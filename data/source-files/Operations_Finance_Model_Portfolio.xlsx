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g_contract_values" sheetId="1" r:id="rId5"/>
    <sheet state="visible" name="stg_sca_rfp" sheetId="2" r:id="rId6"/>
    <sheet state="visible" name="stg_sca_fixed_prices" sheetId="3" r:id="rId7"/>
    <sheet state="visible" name="stg_sca_wa" sheetId="4" r:id="rId8"/>
    <sheet state="visible" name="stg_monthly_status" sheetId="5" r:id="rId9"/>
    <sheet state="visible" name="stg_job_list" sheetId="6" r:id="rId10"/>
    <sheet state="visible" name="stg_payroll" sheetId="7" r:id="rId11"/>
    <sheet state="visible" name="stg_employees" sheetId="8" r:id="rId12"/>
    <sheet state="visible" name="stg_labor_codes" sheetId="9" r:id="rId13"/>
    <sheet state="visible" name="stg_emp_rate_history" sheetId="10" r:id="rId14"/>
    <sheet state="visible" name="stg_lab_reports" sheetId="11" r:id="rId15"/>
    <sheet state="visible" name="dim_date" sheetId="12" r:id="rId16"/>
    <sheet state="visible" name="dim_sai_rfp" sheetId="13" r:id="rId17"/>
    <sheet state="visible" name="dim_job" sheetId="14" r:id="rId18"/>
    <sheet state="visible" name="dim_labor_title" sheetId="15" r:id="rId19"/>
    <sheet state="visible" name="dim_technician" sheetId="16" r:id="rId20"/>
    <sheet state="visible" name="dim_emp_rate_history " sheetId="17" r:id="rId21"/>
    <sheet state="visible" name="dim_sca_labor_rate" sheetId="18" r:id="rId22"/>
    <sheet state="visible" name="dim_labor_sca_map" sheetId="19" r:id="rId23"/>
    <sheet state="visible" name="dim_lab_sca_rates" sheetId="20" r:id="rId24"/>
    <sheet state="visible" name="dim_lab_vendor_rates" sheetId="21" r:id="rId25"/>
    <sheet state="visible" name="dim_lab_sca_map" sheetId="22" r:id="rId26"/>
    <sheet state="visible" name="dim_fixed_fees" sheetId="23" r:id="rId27"/>
    <sheet state="visible" name="fact_labor" sheetId="24" r:id="rId28"/>
    <sheet state="visible" name="fact_lab" sheetId="25" r:id="rId29"/>
    <sheet state="visible" name="fact_job_profitability" sheetId="26" r:id="rId30"/>
    <sheet state="visible" name="dim_building" sheetId="27" r:id="rId31"/>
    <sheet state="visible" name="dim_sca_contracts" sheetId="28" r:id="rId32"/>
    <sheet state="visible" name="DASHBOARD" sheetId="29" r:id="rId33"/>
    <sheet state="visible" name="Issues I Found" sheetId="30" r:id="rId34"/>
    <sheet state="visible" name="Final Model" sheetId="31" r:id="rId35"/>
  </sheets>
  <definedNames>
    <definedName localSheetId="12" name="JobList_JOBID">#REF!</definedName>
    <definedName localSheetId="16" name="JobList_JOBID">#REF!</definedName>
    <definedName localSheetId="16" name="JobList_SID">#REF!</definedName>
    <definedName name="JobList_SID">#REF!</definedName>
    <definedName name="TECHNICIAN">#REF!</definedName>
    <definedName localSheetId="19" name="JobList_JOBID">#REF!</definedName>
    <definedName localSheetId="12" name="JobList_SID">#REF!</definedName>
    <definedName name="JobList_JOBID">#REF!</definedName>
    <definedName localSheetId="19" name="JobList_SID">#REF!</definedName>
  </definedNames>
  <calcPr/>
</workbook>
</file>

<file path=xl/sharedStrings.xml><?xml version="1.0" encoding="utf-8"?>
<sst xmlns="http://schemas.openxmlformats.org/spreadsheetml/2006/main" count="8020" uniqueCount="1973">
  <si>
    <t>Contract #</t>
  </si>
  <si>
    <t>Contract Status</t>
  </si>
  <si>
    <t>Contract Execution Date</t>
  </si>
  <si>
    <t>Contract Expiration Date</t>
  </si>
  <si>
    <t>Contract Home Multiplier</t>
  </si>
  <si>
    <t>Contract Field Multiplier</t>
  </si>
  <si>
    <t>Contract Value</t>
  </si>
  <si>
    <t>C000015869</t>
  </si>
  <si>
    <t>Closed</t>
  </si>
  <si>
    <t>C000015128</t>
  </si>
  <si>
    <t>C000016435</t>
  </si>
  <si>
    <t>Open</t>
  </si>
  <si>
    <t>BuildingID</t>
  </si>
  <si>
    <t>Project _D</t>
  </si>
  <si>
    <t>Project Descriptio</t>
  </si>
  <si>
    <t>ServiceID</t>
  </si>
  <si>
    <t>ServiceName</t>
  </si>
  <si>
    <t>InitiationDate</t>
  </si>
  <si>
    <t>PrimaryHygienist</t>
  </si>
  <si>
    <t>WA_Number</t>
  </si>
  <si>
    <t>ContractNo</t>
  </si>
  <si>
    <t>RFPNo</t>
  </si>
  <si>
    <t>IsFinal</t>
  </si>
  <si>
    <t>RFP_Status</t>
  </si>
  <si>
    <t>RFP_Status_Date</t>
  </si>
  <si>
    <t>eRFP_Status</t>
  </si>
  <si>
    <t>eRFP_Status_Date</t>
  </si>
  <si>
    <t>RFPDate</t>
  </si>
  <si>
    <t>M180</t>
  </si>
  <si>
    <t>141149</t>
  </si>
  <si>
    <t>PO18-ABATEMENT OF PIPE INSULATION ENTRANCE OF BOILER RM WE ARE GOING TO NEED APPROXIMATELY 10' OF CO</t>
  </si>
  <si>
    <t>93632</t>
  </si>
  <si>
    <t>PO 18 Asbestos Service</t>
  </si>
  <si>
    <t>Lazicki, Rafal</t>
  </si>
  <si>
    <t>1315970</t>
  </si>
  <si>
    <t>202</t>
  </si>
  <si>
    <t>Y</t>
  </si>
  <si>
    <t>Check Issued</t>
  </si>
  <si>
    <t>R455</t>
  </si>
  <si>
    <t>135678</t>
  </si>
  <si>
    <t>PO18-ASSIST PLUMBERS: OPEN A 3FT X 8FT CIELING SPRAYED IN RED. ALSO REMOVE ALL LOOSE ACM IN CIELING</t>
  </si>
  <si>
    <t>88731</t>
  </si>
  <si>
    <t>Bracamonte, Jesus</t>
  </si>
  <si>
    <t>1187909</t>
  </si>
  <si>
    <t>224</t>
  </si>
  <si>
    <t>K014</t>
  </si>
  <si>
    <t>P026159</t>
  </si>
  <si>
    <t>RESO A AUDITORIUM UPGRADE</t>
  </si>
  <si>
    <t>85451</t>
  </si>
  <si>
    <t>LAP Construction Phase Services</t>
  </si>
  <si>
    <t>Clyne, Sean</t>
  </si>
  <si>
    <t>1129904</t>
  </si>
  <si>
    <t>305</t>
  </si>
  <si>
    <t>Q189</t>
  </si>
  <si>
    <t>133460</t>
  </si>
  <si>
    <t>PO18-05/25Q189/ BOILER #3 ABATE 1 SQUARE FOOT OF ACM, SPRAYED IN GREEN</t>
  </si>
  <si>
    <t>86933</t>
  </si>
  <si>
    <t>Kondilis, Milton</t>
  </si>
  <si>
    <t>1157908</t>
  </si>
  <si>
    <t>312</t>
  </si>
  <si>
    <t>X107</t>
  </si>
  <si>
    <t>141770</t>
  </si>
  <si>
    <t>PO18-ABATE AND REPAIR DAMAGED PIPE INSULATION 1000, 3218 ABATE AND REPLACE FLOOR TILES 1001S, 2106,</t>
  </si>
  <si>
    <t>94758</t>
  </si>
  <si>
    <t>1334935</t>
  </si>
  <si>
    <t>319</t>
  </si>
  <si>
    <t>Contract No</t>
  </si>
  <si>
    <t>Work Type Code</t>
  </si>
  <si>
    <t>Work Type Desc</t>
  </si>
  <si>
    <t>Fixed Price</t>
  </si>
  <si>
    <t>Status Date</t>
  </si>
  <si>
    <t>LAMP48</t>
  </si>
  <si>
    <t>Lead Wipe Clearance - CIP &amp; Capacity</t>
  </si>
  <si>
    <t>LAMP19</t>
  </si>
  <si>
    <t>Lead Wipe Clearance - PO18</t>
  </si>
  <si>
    <t>LAMP18</t>
  </si>
  <si>
    <t>Project Records Package Review</t>
  </si>
  <si>
    <t>LAMP23</t>
  </si>
  <si>
    <t>Emergency Site Visit</t>
  </si>
  <si>
    <t>LAMP20</t>
  </si>
  <si>
    <t>PO18 Survey</t>
  </si>
  <si>
    <t>LAMP05</t>
  </si>
  <si>
    <t>PO18 Cores</t>
  </si>
  <si>
    <t>LAMP21</t>
  </si>
  <si>
    <t>Mold Survey</t>
  </si>
  <si>
    <t>LCS149</t>
  </si>
  <si>
    <t>ACP5 Fee</t>
  </si>
  <si>
    <t>LCS152</t>
  </si>
  <si>
    <t>CTF/Small Cap/Local Law Asbestos Survey</t>
  </si>
  <si>
    <t>LAMP1000</t>
  </si>
  <si>
    <t>No Sampling Required Rate for Service</t>
  </si>
  <si>
    <t>Building Id</t>
  </si>
  <si>
    <t>Building Name</t>
  </si>
  <si>
    <t>Building Address</t>
  </si>
  <si>
    <t>Project ID</t>
  </si>
  <si>
    <t>Project Name</t>
  </si>
  <si>
    <t>Project Type</t>
  </si>
  <si>
    <t>Service ID</t>
  </si>
  <si>
    <t>Service Name</t>
  </si>
  <si>
    <t>Service Initiation Date</t>
  </si>
  <si>
    <t>Priority</t>
  </si>
  <si>
    <t>Primary Hygienist</t>
  </si>
  <si>
    <t>Contract_No</t>
  </si>
  <si>
    <t>WA_No</t>
  </si>
  <si>
    <t>WA Type</t>
  </si>
  <si>
    <t>Date WA Issued</t>
  </si>
  <si>
    <t>WA Status</t>
  </si>
  <si>
    <t>Expected Due Date</t>
  </si>
  <si>
    <t>Original WA Amt</t>
  </si>
  <si>
    <t>Current Approved Amt</t>
  </si>
  <si>
    <t>Proposed Amendment Amt</t>
  </si>
  <si>
    <t>WA_Total_Amt</t>
  </si>
  <si>
    <t>P.S. 107 - BRONX</t>
  </si>
  <si>
    <t>1695 SEWARD AVENUE</t>
  </si>
  <si>
    <t>CIP</t>
  </si>
  <si>
    <t>Emergency</t>
  </si>
  <si>
    <t>RFA</t>
  </si>
  <si>
    <t>575</t>
  </si>
  <si>
    <t>39440.45</t>
  </si>
  <si>
    <t>0</t>
  </si>
  <si>
    <t>P.S. 180 - MANHATTAN</t>
  </si>
  <si>
    <t>370 WEST 120 STREET</t>
  </si>
  <si>
    <t>4759.59</t>
  </si>
  <si>
    <t>TOTTENVILLE HS - STATEN ISLAND</t>
  </si>
  <si>
    <t>100 LUTEN AVENUE</t>
  </si>
  <si>
    <t>7875</t>
  </si>
  <si>
    <t>2628.23</t>
  </si>
  <si>
    <t>J.H.S. 189 - QUEENS</t>
  </si>
  <si>
    <t>144-80 BARCLAY AVENUE</t>
  </si>
  <si>
    <t>3200</t>
  </si>
  <si>
    <t>1867.45</t>
  </si>
  <si>
    <t>I.S. 14 - BROOKLYN</t>
  </si>
  <si>
    <t>2424 BATCHELDER STREET</t>
  </si>
  <si>
    <t>Normal</t>
  </si>
  <si>
    <t>9700</t>
  </si>
  <si>
    <t>3108.44</t>
  </si>
  <si>
    <t>JobID</t>
  </si>
  <si>
    <t>School_Name</t>
  </si>
  <si>
    <t>WA_NO</t>
  </si>
  <si>
    <t>Service_ID</t>
  </si>
  <si>
    <t>Primary_Hygienist</t>
  </si>
  <si>
    <t>Service_Name</t>
  </si>
  <si>
    <t>Initiation_Date</t>
  </si>
  <si>
    <t>WA_Estimate_Cost</t>
  </si>
  <si>
    <t>Actual Start Date (RFP)</t>
  </si>
  <si>
    <t>Actual Date of Completion (RFP)</t>
  </si>
  <si>
    <t>RFP_No</t>
  </si>
  <si>
    <t>RFP_Date</t>
  </si>
  <si>
    <t>Amount_Invoiced</t>
  </si>
  <si>
    <t>Amount_Received</t>
  </si>
  <si>
    <t>Amount Outstanding</t>
  </si>
  <si>
    <t>Check_No</t>
  </si>
  <si>
    <t>DATE ON CHECK</t>
  </si>
  <si>
    <t>DATE CHECK RECEIVED</t>
  </si>
  <si>
    <t>Billing_Status</t>
  </si>
  <si>
    <t>17SD-136</t>
  </si>
  <si>
    <t>C000013440</t>
  </si>
  <si>
    <t>M470</t>
  </si>
  <si>
    <t>LOUIS D. BRANDEIS HS - MANHATTAN</t>
  </si>
  <si>
    <t>Langlois, Bret</t>
  </si>
  <si>
    <t>LAP Design Review &amp; Specification</t>
  </si>
  <si>
    <t>Amendment</t>
  </si>
  <si>
    <t>WIP</t>
  </si>
  <si>
    <t>NOT BILLED</t>
  </si>
  <si>
    <t>21S-100</t>
  </si>
  <si>
    <t>K186</t>
  </si>
  <si>
    <t>P.S. 186 - BROOKLYN</t>
  </si>
  <si>
    <t>Scott, Richard</t>
  </si>
  <si>
    <t>24S-077</t>
  </si>
  <si>
    <t>Q089</t>
  </si>
  <si>
    <t>P.S. 89 - QUEENS</t>
  </si>
  <si>
    <t>Poskrobko, Lukasz</t>
  </si>
  <si>
    <t>Initial</t>
  </si>
  <si>
    <t>UNPAID</t>
  </si>
  <si>
    <t>21S-105</t>
  </si>
  <si>
    <t>X405</t>
  </si>
  <si>
    <t>HERBERT H. LEHMAN HS - BRONX</t>
  </si>
  <si>
    <t>Alawamleh, Eman</t>
  </si>
  <si>
    <t>22S-029</t>
  </si>
  <si>
    <t>PAID</t>
  </si>
  <si>
    <t>24S-128</t>
  </si>
  <si>
    <t>K043</t>
  </si>
  <si>
    <t>I.S. 98 - BROOKLYN</t>
  </si>
  <si>
    <t>Special Program</t>
  </si>
  <si>
    <t>K102</t>
  </si>
  <si>
    <t>P.S. 102 - BROOKLYN</t>
  </si>
  <si>
    <t>25S-012</t>
  </si>
  <si>
    <t>K138</t>
  </si>
  <si>
    <t>P.S. 138 - BROOKLYN</t>
  </si>
  <si>
    <t>Palermo, Albert</t>
  </si>
  <si>
    <t>24S-061</t>
  </si>
  <si>
    <t>K151</t>
  </si>
  <si>
    <t>P.S. 151 - BROOKLYN</t>
  </si>
  <si>
    <t>Walsh, Joseph</t>
  </si>
  <si>
    <t>24S-014</t>
  </si>
  <si>
    <t>K160</t>
  </si>
  <si>
    <t>P.S. 160 - BROOKLYN</t>
  </si>
  <si>
    <t>24S-054</t>
  </si>
  <si>
    <t>K162</t>
  </si>
  <si>
    <t>I.S. 162 - BROOKLYN</t>
  </si>
  <si>
    <t>23S-129</t>
  </si>
  <si>
    <t>K163</t>
  </si>
  <si>
    <t>P.S. 163 - BROOKLYN</t>
  </si>
  <si>
    <t>23S-005</t>
  </si>
  <si>
    <t>K183</t>
  </si>
  <si>
    <t>P.S. 183 - BROOKLYN</t>
  </si>
  <si>
    <t>23S-120</t>
  </si>
  <si>
    <t>K224</t>
  </si>
  <si>
    <t>P.S. 224 - BROOKLYN</t>
  </si>
  <si>
    <t>Vafiadis, Jon</t>
  </si>
  <si>
    <t>K226</t>
  </si>
  <si>
    <t>P.S. 126 - BROOKLYN</t>
  </si>
  <si>
    <t>P.S. 226 - BROOKLYN</t>
  </si>
  <si>
    <t>24S-016</t>
  </si>
  <si>
    <t>K232</t>
  </si>
  <si>
    <t>I.S. 232 - BROOKLYN</t>
  </si>
  <si>
    <t>24S-017</t>
  </si>
  <si>
    <t>24S-018</t>
  </si>
  <si>
    <t>K233</t>
  </si>
  <si>
    <t>P.S. 233 - BROOKLYN</t>
  </si>
  <si>
    <t>K244</t>
  </si>
  <si>
    <t>P.S. 244 - BROOKLYN</t>
  </si>
  <si>
    <t>K250</t>
  </si>
  <si>
    <t>P.S. 250 - BROOKLYN</t>
  </si>
  <si>
    <t>K260</t>
  </si>
  <si>
    <t>P.S. 260 - BROOKLYN</t>
  </si>
  <si>
    <t>K273</t>
  </si>
  <si>
    <t>P.S. 273 - BROOKLYN</t>
  </si>
  <si>
    <t>K276</t>
  </si>
  <si>
    <t>P.S. 276 - BROOKLYN</t>
  </si>
  <si>
    <t>K279</t>
  </si>
  <si>
    <t>P.S. 279 - BROOKLYN</t>
  </si>
  <si>
    <t>K287</t>
  </si>
  <si>
    <t>P.S. 287 - BROOKLYN</t>
  </si>
  <si>
    <t>23S-075</t>
  </si>
  <si>
    <t>K335</t>
  </si>
  <si>
    <t>P.S. 335 - BROOKLYN</t>
  </si>
  <si>
    <t>K370</t>
  </si>
  <si>
    <t>P.S. 370 - BROOKLYN</t>
  </si>
  <si>
    <t>K615</t>
  </si>
  <si>
    <t>E NY VOC HS OF TRANSIT TECH - BROOKLYN</t>
  </si>
  <si>
    <t>Amend 1</t>
  </si>
  <si>
    <t>24S-026</t>
  </si>
  <si>
    <t>K620</t>
  </si>
  <si>
    <t>WILLIAM E GRADY VOC HS - BROOKLYN</t>
  </si>
  <si>
    <t>K851</t>
  </si>
  <si>
    <t>P.S. 159 MINI SCHOOL - BROOKLYN</t>
  </si>
  <si>
    <t>SAFE ACCESS</t>
  </si>
  <si>
    <t>24S-087</t>
  </si>
  <si>
    <t>K932</t>
  </si>
  <si>
    <t>HIGH SCHOOL SUSPENSION CENTER - BROOKLYN</t>
  </si>
  <si>
    <t>24S-148</t>
  </si>
  <si>
    <t>M061</t>
  </si>
  <si>
    <t>P.S. 61 - MANHATTAN</t>
  </si>
  <si>
    <t>23S-117</t>
  </si>
  <si>
    <t>M115</t>
  </si>
  <si>
    <t>P.S. 115 - MANHATTAN</t>
  </si>
  <si>
    <t>24S-049</t>
  </si>
  <si>
    <t>M124</t>
  </si>
  <si>
    <t>P.S. 124 (ECF) - MANHATTAN</t>
  </si>
  <si>
    <t>M125</t>
  </si>
  <si>
    <t>P.S. 125 - MANHATTAN</t>
  </si>
  <si>
    <t>24S-053</t>
  </si>
  <si>
    <t>M152</t>
  </si>
  <si>
    <t>P.S. 152 - MANHATTAN</t>
  </si>
  <si>
    <t>24S-023</t>
  </si>
  <si>
    <t>M163</t>
  </si>
  <si>
    <t>P.S. 163 - MANHATTAN</t>
  </si>
  <si>
    <t>24S-114</t>
  </si>
  <si>
    <t>24S-006</t>
  </si>
  <si>
    <t>M192</t>
  </si>
  <si>
    <t>P.S. 192 - MANHATTAN</t>
  </si>
  <si>
    <t>24S-002</t>
  </si>
  <si>
    <t>M440</t>
  </si>
  <si>
    <t>BAYARD RUSTIN EDUCATIONAL COMPLEX - MANHATTAN</t>
  </si>
  <si>
    <t>24S-024</t>
  </si>
  <si>
    <t>M465</t>
  </si>
  <si>
    <t>G. WASHINGTON HS EDUC. CAMPUS - M465</t>
  </si>
  <si>
    <t>23S-097</t>
  </si>
  <si>
    <t>24S-144</t>
  </si>
  <si>
    <t>M540</t>
  </si>
  <si>
    <t>A. PHILLIP RANDOLPH HS - MANHATTAN</t>
  </si>
  <si>
    <t>24S-047</t>
  </si>
  <si>
    <t>Q024</t>
  </si>
  <si>
    <t>P.S. 24 - QUEENS</t>
  </si>
  <si>
    <t>24S-035</t>
  </si>
  <si>
    <t>Q037</t>
  </si>
  <si>
    <t>P.S. 37 - QUEENS</t>
  </si>
  <si>
    <t>24S-036</t>
  </si>
  <si>
    <t>Q061</t>
  </si>
  <si>
    <t>I.S. 61 - QUEENS</t>
  </si>
  <si>
    <t>Q122</t>
  </si>
  <si>
    <t>P.S. 122 - QUEENS</t>
  </si>
  <si>
    <t>24S-015</t>
  </si>
  <si>
    <t>Q165</t>
  </si>
  <si>
    <t>P.S. 165 - QUEENS</t>
  </si>
  <si>
    <t>Q166</t>
  </si>
  <si>
    <t>P.S. 166 - QUEENS</t>
  </si>
  <si>
    <t>22S-079</t>
  </si>
  <si>
    <t>Q192</t>
  </si>
  <si>
    <t>I.S. 192 - QUEENS</t>
  </si>
  <si>
    <t>Q196</t>
  </si>
  <si>
    <t>P.S. 196 - QUEENS</t>
  </si>
  <si>
    <t>24S-019</t>
  </si>
  <si>
    <t>Q225</t>
  </si>
  <si>
    <t>P.S. 225 - QUEENS</t>
  </si>
  <si>
    <t>24S-020</t>
  </si>
  <si>
    <t>25S-006</t>
  </si>
  <si>
    <t>Q400</t>
  </si>
  <si>
    <t>AUGUST MARTIN HS - QUEENS</t>
  </si>
  <si>
    <t>Q420</t>
  </si>
  <si>
    <t>SPRINGFIELD GARDENS HS - QUEENS</t>
  </si>
  <si>
    <t>23S-001</t>
  </si>
  <si>
    <t>Q800</t>
  </si>
  <si>
    <t>DOE ADMINISTRATIVE / STUDENT SERVICES - QUEENS</t>
  </si>
  <si>
    <t>24S-008</t>
  </si>
  <si>
    <t>R002</t>
  </si>
  <si>
    <t>I.S. 2 - STATEN ISLAND</t>
  </si>
  <si>
    <t>24S-033</t>
  </si>
  <si>
    <t>R013</t>
  </si>
  <si>
    <t>P.S. 13 - STATEN ISLAND</t>
  </si>
  <si>
    <t>24S-034</t>
  </si>
  <si>
    <t>24S-011</t>
  </si>
  <si>
    <t>R022</t>
  </si>
  <si>
    <t>P.S. 22 - STATEN ISLAND</t>
  </si>
  <si>
    <t>25S-007</t>
  </si>
  <si>
    <t>R024</t>
  </si>
  <si>
    <t>I.S. 24 - STATEN ISLAND</t>
  </si>
  <si>
    <t>24S-089</t>
  </si>
  <si>
    <t>R026</t>
  </si>
  <si>
    <t>P.S. 26 - STATEN ISLAND</t>
  </si>
  <si>
    <t>22S-032</t>
  </si>
  <si>
    <t>R032</t>
  </si>
  <si>
    <t>P.S. 32 - STATEN ISLAND</t>
  </si>
  <si>
    <t>23S-127</t>
  </si>
  <si>
    <t>R049</t>
  </si>
  <si>
    <t>I.S. 49 - STATEN ISLAND</t>
  </si>
  <si>
    <t>23S-074</t>
  </si>
  <si>
    <t>R053</t>
  </si>
  <si>
    <t>P.S. 53 - STATEN ISLAND</t>
  </si>
  <si>
    <t>R055</t>
  </si>
  <si>
    <t>P.S. 55 - STATEN ISLAND</t>
  </si>
  <si>
    <t>23S-056</t>
  </si>
  <si>
    <t>24S-057</t>
  </si>
  <si>
    <t>X005</t>
  </si>
  <si>
    <t>P.S. 5 - BRONX</t>
  </si>
  <si>
    <t>25S-011</t>
  </si>
  <si>
    <t>X030</t>
  </si>
  <si>
    <t>P.S. 30 - BRONX</t>
  </si>
  <si>
    <t>23S-025</t>
  </si>
  <si>
    <t>X041</t>
  </si>
  <si>
    <t>P.S. 41 - BRONX</t>
  </si>
  <si>
    <t>Kowalski, Zbigniew</t>
  </si>
  <si>
    <t>24S-044</t>
  </si>
  <si>
    <t>X074</t>
  </si>
  <si>
    <t>I.S. 201 - BRONX</t>
  </si>
  <si>
    <t>X102</t>
  </si>
  <si>
    <t>P.S. 102 - BRONX</t>
  </si>
  <si>
    <t>25S-010</t>
  </si>
  <si>
    <t>I.S. 107 - BRONX</t>
  </si>
  <si>
    <t>X131</t>
  </si>
  <si>
    <t>I.S. 131 - BRONX</t>
  </si>
  <si>
    <t>24S-118</t>
  </si>
  <si>
    <t>X139</t>
  </si>
  <si>
    <t>J.H.S. 222 - BRONX</t>
  </si>
  <si>
    <t>24S-058</t>
  </si>
  <si>
    <t>X149</t>
  </si>
  <si>
    <t>J.H.S. 149 - BRONX</t>
  </si>
  <si>
    <t>X161</t>
  </si>
  <si>
    <t>P.S. 161 - BRONX</t>
  </si>
  <si>
    <t>23S-041</t>
  </si>
  <si>
    <t>X807</t>
  </si>
  <si>
    <t>DISTRICT OFFICE #7 (OLD 18) - BRONX</t>
  </si>
  <si>
    <t>K003</t>
  </si>
  <si>
    <t>P.S. 3 - BROOKLYN</t>
  </si>
  <si>
    <t>Initial WA Pending Receipt</t>
  </si>
  <si>
    <t>K017</t>
  </si>
  <si>
    <t>P.S. 17 - BROOKLYN</t>
  </si>
  <si>
    <t>K019</t>
  </si>
  <si>
    <t>P.S. 19 - BROOKLYN</t>
  </si>
  <si>
    <t>K021</t>
  </si>
  <si>
    <t>P.S. 21 - BROOKLYN</t>
  </si>
  <si>
    <t>K035</t>
  </si>
  <si>
    <t>I.S. 35 - BROOKLYN</t>
  </si>
  <si>
    <t>K050</t>
  </si>
  <si>
    <t>J.H.S. 50 - BROOKLYN</t>
  </si>
  <si>
    <t>K073</t>
  </si>
  <si>
    <t>P.S. 73 - BROOKLYN</t>
  </si>
  <si>
    <t>K094</t>
  </si>
  <si>
    <t>P.S. 94 - BROOKLYN</t>
  </si>
  <si>
    <t>K096</t>
  </si>
  <si>
    <t>I.S. 96 - BROOKLYN</t>
  </si>
  <si>
    <t>K099</t>
  </si>
  <si>
    <t>P.S. 99 - BROOKLYN</t>
  </si>
  <si>
    <t>Amended WA Pending Receipt</t>
  </si>
  <si>
    <t>Kholodenko, Aleksandr</t>
  </si>
  <si>
    <t>LAP Scope Review &amp; Survey</t>
  </si>
  <si>
    <t>K104</t>
  </si>
  <si>
    <t>P.S. 104 - BROOKLYN</t>
  </si>
  <si>
    <t>23S-105</t>
  </si>
  <si>
    <t>K114</t>
  </si>
  <si>
    <t>P.S. 114 - BROOKLYN</t>
  </si>
  <si>
    <t>K116</t>
  </si>
  <si>
    <t>P.S. 116 - BROOKLYN</t>
  </si>
  <si>
    <t>K124</t>
  </si>
  <si>
    <t>P.S. 124 - BROOKLYN</t>
  </si>
  <si>
    <t>K127</t>
  </si>
  <si>
    <t>P.S. 127 - BROOKLYN</t>
  </si>
  <si>
    <t>K132</t>
  </si>
  <si>
    <t>P.S. 132 - BROOKLYN</t>
  </si>
  <si>
    <t>K145</t>
  </si>
  <si>
    <t>P.S. 145 - BROOKLYN</t>
  </si>
  <si>
    <t>K191</t>
  </si>
  <si>
    <t>P.S. 191 - BROOKLYN</t>
  </si>
  <si>
    <t>Kordes, Kristin</t>
  </si>
  <si>
    <t>K193</t>
  </si>
  <si>
    <t>P.S. 193 - BROOKLYN</t>
  </si>
  <si>
    <t>25S-017</t>
  </si>
  <si>
    <t>K209</t>
  </si>
  <si>
    <t>P.S. 209 - BROOKLYN</t>
  </si>
  <si>
    <t>K258</t>
  </si>
  <si>
    <t>I.S. 258 - BROOKLYN</t>
  </si>
  <si>
    <t>K282</t>
  </si>
  <si>
    <t>P.S. 282 - BROOKLYN</t>
  </si>
  <si>
    <t>K285</t>
  </si>
  <si>
    <t>I.S. 285 - BROOKLYN</t>
  </si>
  <si>
    <t>K297</t>
  </si>
  <si>
    <t>P.S. 297 - BROOKLYN</t>
  </si>
  <si>
    <t>K306</t>
  </si>
  <si>
    <t>P.S. 306 - BROOKLYN</t>
  </si>
  <si>
    <t>K318</t>
  </si>
  <si>
    <t>I.S. 318 - BROOKLYN</t>
  </si>
  <si>
    <t>K320</t>
  </si>
  <si>
    <t>P.S. 320 - BROOKLYN</t>
  </si>
  <si>
    <t>K324</t>
  </si>
  <si>
    <t>I.S. 324 - BROOKLYN</t>
  </si>
  <si>
    <t>K400</t>
  </si>
  <si>
    <t>LAFAYETTE EDUCATIONAL CAMPUS - BROOKLYN</t>
  </si>
  <si>
    <t>K420</t>
  </si>
  <si>
    <t>FRANKLIN K. LANE HS - BROOKLYN</t>
  </si>
  <si>
    <t>K465</t>
  </si>
  <si>
    <t>ERASMUS HALL CAMPUS - BROOKLYN</t>
  </si>
  <si>
    <t>K495</t>
  </si>
  <si>
    <t>FRANK J. MACCHIAROLA EDUCATIONAL COMPLEX - BROOKLYN</t>
  </si>
  <si>
    <t>K505</t>
  </si>
  <si>
    <t>FRANKLIN D. ROOSEVELT HS - BROOKLYN</t>
  </si>
  <si>
    <t>K540</t>
  </si>
  <si>
    <t>JOHN DEWEY HS - BROOKLYN</t>
  </si>
  <si>
    <t>M017</t>
  </si>
  <si>
    <t>I.S. 17 - MANHATTAN</t>
  </si>
  <si>
    <t>M030</t>
  </si>
  <si>
    <t>P.S. 30 - MANHATTAN</t>
  </si>
  <si>
    <t>M052</t>
  </si>
  <si>
    <t>I.S. 52 - MANHATTAN</t>
  </si>
  <si>
    <t>M064</t>
  </si>
  <si>
    <t>P.S. 64 (OLD 71) - MANHATTAN</t>
  </si>
  <si>
    <t>M096</t>
  </si>
  <si>
    <t>P.S. 96 - MANHATTAN</t>
  </si>
  <si>
    <t>M102</t>
  </si>
  <si>
    <t>P.S. 102 - MANHATTAN</t>
  </si>
  <si>
    <t>M108</t>
  </si>
  <si>
    <t>P.S. 108 - MANHATTAN</t>
  </si>
  <si>
    <t>M140</t>
  </si>
  <si>
    <t>P.S. 140 - MANHATTAN</t>
  </si>
  <si>
    <t>Draft RFA</t>
  </si>
  <si>
    <t>M146</t>
  </si>
  <si>
    <t>P.S. 146 - MANHATTAN</t>
  </si>
  <si>
    <t>M154</t>
  </si>
  <si>
    <t>P.S. 154 - MANHATTAN</t>
  </si>
  <si>
    <t>M155</t>
  </si>
  <si>
    <t>P.S. 155 - MANHATTAN</t>
  </si>
  <si>
    <t>22S-050</t>
  </si>
  <si>
    <t>M164</t>
  </si>
  <si>
    <t>I.S. 164 - MANHATTAN</t>
  </si>
  <si>
    <t>M165</t>
  </si>
  <si>
    <t>P.S. 165 - MANHATTAN</t>
  </si>
  <si>
    <t>M166</t>
  </si>
  <si>
    <t>P.S. 166 - MANHATTAN</t>
  </si>
  <si>
    <t>M171</t>
  </si>
  <si>
    <t>P.S. 171 - MANHATTAN</t>
  </si>
  <si>
    <t>M198</t>
  </si>
  <si>
    <t>P.S. 198 - MANHATTAN</t>
  </si>
  <si>
    <t>M223</t>
  </si>
  <si>
    <t>I.S. 223 (MOTT HALL) - MANHATTAN</t>
  </si>
  <si>
    <t>ACM Services for A&amp;E Roof Cuts</t>
  </si>
  <si>
    <t>M435</t>
  </si>
  <si>
    <t>MANHTN CT FOR MATH &amp; SCI. HS - MANHATTAN</t>
  </si>
  <si>
    <t>G. WASHINGTON HS EDUC. CAMPUS - MANHATTAN</t>
  </si>
  <si>
    <t>Submitted RFA</t>
  </si>
  <si>
    <t>M495</t>
  </si>
  <si>
    <t>PARK EAST HS - MANHATTAN</t>
  </si>
  <si>
    <t>M520</t>
  </si>
  <si>
    <t>MURRY BERGTRAUM HS (ECF) - MANHATTAN</t>
  </si>
  <si>
    <t>M528</t>
  </si>
  <si>
    <t>I.S. 528 - MANHATTAN</t>
  </si>
  <si>
    <t>M625</t>
  </si>
  <si>
    <t>HS OF GRAPHIC COMMUNICATION ARTS - MANHATTAN</t>
  </si>
  <si>
    <t>FDNY Fire Alarm Filing Survey</t>
  </si>
  <si>
    <t>M871</t>
  </si>
  <si>
    <t>HARBOR HIGH BOATHOUSE - MANHATTAN</t>
  </si>
  <si>
    <t>Q020</t>
  </si>
  <si>
    <t>P.S. 20 - QUEENS</t>
  </si>
  <si>
    <t>Q021</t>
  </si>
  <si>
    <t>P.S. 21 - QUEENS</t>
  </si>
  <si>
    <t>Arholekas, Nikolaos</t>
  </si>
  <si>
    <t>Q022</t>
  </si>
  <si>
    <t>P.S. 22 - QUEENS</t>
  </si>
  <si>
    <t>Q025</t>
  </si>
  <si>
    <t>J.H.S. 25 - QUEENS</t>
  </si>
  <si>
    <t>Q029</t>
  </si>
  <si>
    <t>P.S. 29 - QUEENS</t>
  </si>
  <si>
    <t>Q036</t>
  </si>
  <si>
    <t>P.S. 36 - QUEENS</t>
  </si>
  <si>
    <t>Q069</t>
  </si>
  <si>
    <t>P.S. 69 - QUEENS</t>
  </si>
  <si>
    <t>Q091</t>
  </si>
  <si>
    <t>P.S. 91 - QUEENS</t>
  </si>
  <si>
    <t>Q119</t>
  </si>
  <si>
    <t>I.S. 119 - QUEENS</t>
  </si>
  <si>
    <t>Mikkilineni, Yujaya</t>
  </si>
  <si>
    <t>ACM Services for A&amp;E Probes</t>
  </si>
  <si>
    <t>Q121</t>
  </si>
  <si>
    <t>P.S. 121 - QUEENS</t>
  </si>
  <si>
    <t>26S-010</t>
  </si>
  <si>
    <t>Q130</t>
  </si>
  <si>
    <t>P.S. 130 - QUEENS</t>
  </si>
  <si>
    <t>CLOSED</t>
  </si>
  <si>
    <t>Q134</t>
  </si>
  <si>
    <t>P.S. 134 - QUEENS</t>
  </si>
  <si>
    <t>Q143</t>
  </si>
  <si>
    <t>P.S. 143 - QUEENS</t>
  </si>
  <si>
    <t>Q144</t>
  </si>
  <si>
    <t>P.S. 144 - QUEENS</t>
  </si>
  <si>
    <t>Q160</t>
  </si>
  <si>
    <t>P.S. 160 WALTER FRANCIS BISHOP - QUEENS</t>
  </si>
  <si>
    <t>Q162</t>
  </si>
  <si>
    <t>P.S. 162 - QUEENS</t>
  </si>
  <si>
    <t>Q169</t>
  </si>
  <si>
    <t>THE PAUL VALLONE COMMUNITY CAMPUS - QUEENS</t>
  </si>
  <si>
    <t>Q172</t>
  </si>
  <si>
    <t>J.H.S. 172 - QUEENS</t>
  </si>
  <si>
    <t>Q191</t>
  </si>
  <si>
    <t>P.S. 191 - QUEENS</t>
  </si>
  <si>
    <t>25S-043</t>
  </si>
  <si>
    <t>Q214</t>
  </si>
  <si>
    <t>P.S. 214 - QUEENS</t>
  </si>
  <si>
    <t>Q226</t>
  </si>
  <si>
    <t>I.S. 226 - QUEENS</t>
  </si>
  <si>
    <t>Q436</t>
  </si>
  <si>
    <t>VAN BUREN HS AF - QUEENS</t>
  </si>
  <si>
    <t>Q450</t>
  </si>
  <si>
    <t>NEWCOMERS HIGH SCHOOL (OLD LIC) - QUEENS</t>
  </si>
  <si>
    <t>Q460</t>
  </si>
  <si>
    <t>FLUSHING HS - QUEENS</t>
  </si>
  <si>
    <t>25S-021</t>
  </si>
  <si>
    <t>Q465</t>
  </si>
  <si>
    <t>FAR ROCKAWAY HS - QUEENS</t>
  </si>
  <si>
    <t>Q470</t>
  </si>
  <si>
    <t>JAMAICA HS - QUEENS</t>
  </si>
  <si>
    <t>Q600</t>
  </si>
  <si>
    <t>QUEENS VOC HS - QUEENS</t>
  </si>
  <si>
    <t>25S-033</t>
  </si>
  <si>
    <t>R001</t>
  </si>
  <si>
    <t>P.S. 1 - STATEN ISLAND</t>
  </si>
  <si>
    <t>R007</t>
  </si>
  <si>
    <t>I.S. 7 - STATEN ISLAND</t>
  </si>
  <si>
    <t>25S-049</t>
  </si>
  <si>
    <t>R023</t>
  </si>
  <si>
    <t>P.S. 23 - STATEN ISLAND</t>
  </si>
  <si>
    <t>R040</t>
  </si>
  <si>
    <t>P.S. 373 (OLD P40) - STATEN ISLAND</t>
  </si>
  <si>
    <t>26S-002</t>
  </si>
  <si>
    <t>R042</t>
  </si>
  <si>
    <t>P.S. 42 - STATEN ISLAND</t>
  </si>
  <si>
    <t>R057</t>
  </si>
  <si>
    <t>P.S. 57 - STATEN ISLAND</t>
  </si>
  <si>
    <t>R060</t>
  </si>
  <si>
    <t>P.S. 60 - STATEN ISLAND</t>
  </si>
  <si>
    <t>24S-001</t>
  </si>
  <si>
    <t>R082</t>
  </si>
  <si>
    <t>I.S. 82 - STATEN ISLAND</t>
  </si>
  <si>
    <t>25S-035</t>
  </si>
  <si>
    <t>R440</t>
  </si>
  <si>
    <t>STATEN ISLAND TECHNIAL HS - STATEN ISLAND</t>
  </si>
  <si>
    <t>26S-005</t>
  </si>
  <si>
    <t>STATEN ISLAND TECHNICAL HS - STATEN ISLAND</t>
  </si>
  <si>
    <t>R450</t>
  </si>
  <si>
    <t>CURTIS HS - STATEN ISLAND</t>
  </si>
  <si>
    <t>R600</t>
  </si>
  <si>
    <t>RALPH MCKEE VOC HS - STATEN ISLAND</t>
  </si>
  <si>
    <t>X043</t>
  </si>
  <si>
    <t>P.S. 43 - BRONX</t>
  </si>
  <si>
    <t>X061</t>
  </si>
  <si>
    <t>P.S. 61 - BRONX</t>
  </si>
  <si>
    <t>X064</t>
  </si>
  <si>
    <t>P.S. 64 - BRONX</t>
  </si>
  <si>
    <t>X071</t>
  </si>
  <si>
    <t>P.S. 71 - BRONX</t>
  </si>
  <si>
    <t>X098</t>
  </si>
  <si>
    <t>I.S. 98 - BRONX</t>
  </si>
  <si>
    <t>Sikorski, Nicole</t>
  </si>
  <si>
    <t>X099</t>
  </si>
  <si>
    <t>REV. J.A. POLITE AVE SCHOOL CAMPUS - BRONX</t>
  </si>
  <si>
    <t>Delduca, Gianni</t>
  </si>
  <si>
    <t>X101</t>
  </si>
  <si>
    <t>I.S. 101 - BRONX</t>
  </si>
  <si>
    <t>X115</t>
  </si>
  <si>
    <t>I.S. 399 (OLD X HS/115) - BRONX</t>
  </si>
  <si>
    <t>X120</t>
  </si>
  <si>
    <t>I.S. 301 - BRONX</t>
  </si>
  <si>
    <t>X122</t>
  </si>
  <si>
    <t>P.S. 310 - BRONX</t>
  </si>
  <si>
    <t>X125</t>
  </si>
  <si>
    <t>I.S. 125 - BRONX</t>
  </si>
  <si>
    <t>X147</t>
  </si>
  <si>
    <t>I.S. 339 (OLD 147) - BRONX</t>
  </si>
  <si>
    <t>J.H.S. - 149 - BRONX</t>
  </si>
  <si>
    <t>X152</t>
  </si>
  <si>
    <t>P.S. 152 - BRONX</t>
  </si>
  <si>
    <t>X192</t>
  </si>
  <si>
    <t>I.S. 192 - BRONX</t>
  </si>
  <si>
    <t>X205</t>
  </si>
  <si>
    <t>P.S. 205A (ECF) - BRONX</t>
  </si>
  <si>
    <t>X410</t>
  </si>
  <si>
    <t>WILLIAM H. TAFT HS - BRONX</t>
  </si>
  <si>
    <t>X445</t>
  </si>
  <si>
    <t>BRONX HS OF SCIENCE - BRONX</t>
  </si>
  <si>
    <t>26S-015</t>
  </si>
  <si>
    <t>26S-016</t>
  </si>
  <si>
    <t>26S-030</t>
  </si>
  <si>
    <t>JOBID</t>
  </si>
  <si>
    <t>BID</t>
  </si>
  <si>
    <t>Description</t>
  </si>
  <si>
    <t>Project_ID</t>
  </si>
  <si>
    <t>SAI_Job_Status</t>
  </si>
  <si>
    <t>Complete</t>
  </si>
  <si>
    <t>R445</t>
  </si>
  <si>
    <t>EMPLOYEE_NAME</t>
  </si>
  <si>
    <t>CODE</t>
  </si>
  <si>
    <t>HOURLY RATE</t>
  </si>
  <si>
    <t>DATE WORKED</t>
  </si>
  <si>
    <t>WEEK ENDING DATE</t>
  </si>
  <si>
    <t>HOURS WORKED</t>
  </si>
  <si>
    <t>BUILDING LOCATION</t>
  </si>
  <si>
    <t>EXPENSES</t>
  </si>
  <si>
    <t>JOB TYPE</t>
  </si>
  <si>
    <t>LegacyEmpKey</t>
  </si>
  <si>
    <t>Igor Groysman</t>
  </si>
  <si>
    <t>SCA</t>
  </si>
  <si>
    <t>Ricardo Vilchez</t>
  </si>
  <si>
    <t>Cornel Albu</t>
  </si>
  <si>
    <t>Soslan Lazarov</t>
  </si>
  <si>
    <t>Leon Groysman</t>
  </si>
  <si>
    <t>25S-002</t>
  </si>
  <si>
    <t>X475</t>
  </si>
  <si>
    <t>Dimitri Bellos</t>
  </si>
  <si>
    <t>EmpKey</t>
  </si>
  <si>
    <t>Last Name</t>
  </si>
  <si>
    <t>First Name</t>
  </si>
  <si>
    <t>Full Name</t>
  </si>
  <si>
    <t>EmployeeID</t>
  </si>
  <si>
    <t>EmployeeType</t>
  </si>
  <si>
    <t>Is_Active</t>
  </si>
  <si>
    <t>Bellos</t>
  </si>
  <si>
    <t>Vasili</t>
  </si>
  <si>
    <t>VBE01</t>
  </si>
  <si>
    <t>Salary</t>
  </si>
  <si>
    <t>Dimitri</t>
  </si>
  <si>
    <t>DBE01</t>
  </si>
  <si>
    <t>Dros</t>
  </si>
  <si>
    <t>Patricia</t>
  </si>
  <si>
    <t>PDR01</t>
  </si>
  <si>
    <t>Hourly</t>
  </si>
  <si>
    <t>Albu</t>
  </si>
  <si>
    <t>Cornel</t>
  </si>
  <si>
    <t>CAL01</t>
  </si>
  <si>
    <t>Contracted</t>
  </si>
  <si>
    <t>Ablitsova</t>
  </si>
  <si>
    <t>Marina</t>
  </si>
  <si>
    <t>MAB01</t>
  </si>
  <si>
    <t>Ciobanu</t>
  </si>
  <si>
    <t>Tatiana</t>
  </si>
  <si>
    <t>TCI01</t>
  </si>
  <si>
    <t>Hung</t>
  </si>
  <si>
    <t>ChiFei</t>
  </si>
  <si>
    <t>CFE01</t>
  </si>
  <si>
    <t>JoiFei</t>
  </si>
  <si>
    <t>JFE01</t>
  </si>
  <si>
    <t>Groysman</t>
  </si>
  <si>
    <t>Leon</t>
  </si>
  <si>
    <t>LGR01</t>
  </si>
  <si>
    <t>Igor</t>
  </si>
  <si>
    <t>IGR01</t>
  </si>
  <si>
    <t>Vilchez</t>
  </si>
  <si>
    <t>Ricardo</t>
  </si>
  <si>
    <t>RVI01</t>
  </si>
  <si>
    <t>Lazarov</t>
  </si>
  <si>
    <t>Soslan</t>
  </si>
  <si>
    <t>SLA01</t>
  </si>
  <si>
    <t>Gasis</t>
  </si>
  <si>
    <t>Aleksandr</t>
  </si>
  <si>
    <t>AGA01</t>
  </si>
  <si>
    <t>Tsvayg</t>
  </si>
  <si>
    <t>ATS01</t>
  </si>
  <si>
    <t>Nebieridze</t>
  </si>
  <si>
    <t>Zviadi</t>
  </si>
  <si>
    <t>ZNE01</t>
  </si>
  <si>
    <t>Hasan</t>
  </si>
  <si>
    <t>Isha</t>
  </si>
  <si>
    <t>IHA01</t>
  </si>
  <si>
    <t>Sagihashvili</t>
  </si>
  <si>
    <t>Shalva</t>
  </si>
  <si>
    <t>SSA01</t>
  </si>
  <si>
    <t>Adeniran</t>
  </si>
  <si>
    <t>Adeniyi</t>
  </si>
  <si>
    <t>AAD01</t>
  </si>
  <si>
    <t>Skira</t>
  </si>
  <si>
    <t>Maryan</t>
  </si>
  <si>
    <t>MSK01</t>
  </si>
  <si>
    <t>Gumenyuk</t>
  </si>
  <si>
    <t>Sergiy</t>
  </si>
  <si>
    <t>SGU01</t>
  </si>
  <si>
    <t>Gurchiani</t>
  </si>
  <si>
    <t>Zaur</t>
  </si>
  <si>
    <t>ZGU01</t>
  </si>
  <si>
    <t>Jintchveladze</t>
  </si>
  <si>
    <t>Avtandil</t>
  </si>
  <si>
    <t>AJI01</t>
  </si>
  <si>
    <t>LaborClassKey</t>
  </si>
  <si>
    <t>JobCode</t>
  </si>
  <si>
    <t>JobTitle</t>
  </si>
  <si>
    <t>Asbestos Project Monitor</t>
  </si>
  <si>
    <t>Asbestos Inspector</t>
  </si>
  <si>
    <t>Asbestos Investigator</t>
  </si>
  <si>
    <t>Asbestos Project Designer</t>
  </si>
  <si>
    <t>Asbestos Project Manager</t>
  </si>
  <si>
    <t>Lead Inspector</t>
  </si>
  <si>
    <t>Lead Inspector/Risk Assessor</t>
  </si>
  <si>
    <t>Mold Inspector</t>
  </si>
  <si>
    <t>EmpName</t>
  </si>
  <si>
    <t>ExpTier</t>
  </si>
  <si>
    <t>Rate_StartDate</t>
  </si>
  <si>
    <t>Rate_EndDate</t>
  </si>
  <si>
    <t>Rate</t>
  </si>
  <si>
    <t>adeniyiadeniran01</t>
  </si>
  <si>
    <t>Adeniyi Adeniran</t>
  </si>
  <si>
    <t>aleksandrgasis01</t>
  </si>
  <si>
    <t>Aleksandr Gasis</t>
  </si>
  <si>
    <t>aleksandrtsvayg01</t>
  </si>
  <si>
    <t>Aleksandr Tsvayg</t>
  </si>
  <si>
    <t>chifeihung01</t>
  </si>
  <si>
    <t>Chi Fei Hung</t>
  </si>
  <si>
    <t>chifeihung02</t>
  </si>
  <si>
    <t>Asbestos On Site Technical Air Testing</t>
  </si>
  <si>
    <t>cornelalbu01</t>
  </si>
  <si>
    <t>cornelalbu03</t>
  </si>
  <si>
    <t>cornelalbu05</t>
  </si>
  <si>
    <t>igorgroysman01</t>
  </si>
  <si>
    <t>igorgroysman03</t>
  </si>
  <si>
    <t>igorgroysman02</t>
  </si>
  <si>
    <t>ishahasan03</t>
  </si>
  <si>
    <t>Isha Hasan</t>
  </si>
  <si>
    <t>joifeihung01</t>
  </si>
  <si>
    <t>Joi Fei Hung</t>
  </si>
  <si>
    <t>leongroysman01</t>
  </si>
  <si>
    <t>leongroysman03</t>
  </si>
  <si>
    <t>marinaablitsova01</t>
  </si>
  <si>
    <t>Marina Ablitsova</t>
  </si>
  <si>
    <t>maryanskira01</t>
  </si>
  <si>
    <t>Maryan Skira</t>
  </si>
  <si>
    <t>ricardovilchez06</t>
  </si>
  <si>
    <t>ricardovilchez01</t>
  </si>
  <si>
    <t>ricardovilchez02</t>
  </si>
  <si>
    <t>ricardovilchez03</t>
  </si>
  <si>
    <t>shalvasagihashvili01</t>
  </si>
  <si>
    <t>Shalva Sagihashvili</t>
  </si>
  <si>
    <t>soslanlazarov01</t>
  </si>
  <si>
    <t>tatianaciobanu01</t>
  </si>
  <si>
    <t>Tatiana Ciobanu</t>
  </si>
  <si>
    <t>zviadinebieridze01</t>
  </si>
  <si>
    <t>Zviadi Nebieridze</t>
  </si>
  <si>
    <t>vasilisbellos01</t>
  </si>
  <si>
    <t>Vasilis Bellos</t>
  </si>
  <si>
    <t>vasilisbellos03</t>
  </si>
  <si>
    <t>vasilisbellos07</t>
  </si>
  <si>
    <t>dimitribellos01</t>
  </si>
  <si>
    <t>dimitribellos03</t>
  </si>
  <si>
    <t>patriciadros00</t>
  </si>
  <si>
    <t>Patricia Dros</t>
  </si>
  <si>
    <t>Admin</t>
  </si>
  <si>
    <t>CLIENT_TYPE</t>
  </si>
  <si>
    <t>JOB_NO</t>
  </si>
  <si>
    <t>DATE OF REPORT</t>
  </si>
  <si>
    <t>BATCH NO</t>
  </si>
  <si>
    <t>SAMPLE TYPE</t>
  </si>
  <si>
    <t>QUANTITY</t>
  </si>
  <si>
    <t>TECHNICIAN</t>
  </si>
  <si>
    <t>FACILITY</t>
  </si>
  <si>
    <t>25-02-233</t>
  </si>
  <si>
    <t>Durings</t>
  </si>
  <si>
    <t>LTS</t>
  </si>
  <si>
    <t>25-02-234</t>
  </si>
  <si>
    <t>Finals</t>
  </si>
  <si>
    <t>25-03-812</t>
  </si>
  <si>
    <t>Backgrounds</t>
  </si>
  <si>
    <t>25-03-908</t>
  </si>
  <si>
    <t>25-03-871</t>
  </si>
  <si>
    <t>Pre</t>
  </si>
  <si>
    <t>25-03-872</t>
  </si>
  <si>
    <t>25-03-909</t>
  </si>
  <si>
    <t>25-03-910</t>
  </si>
  <si>
    <t>25-03-873</t>
  </si>
  <si>
    <t>25-03-911</t>
  </si>
  <si>
    <t>25-04-082</t>
  </si>
  <si>
    <t>25-04-081</t>
  </si>
  <si>
    <t>25-04-137</t>
  </si>
  <si>
    <t>25-04-138</t>
  </si>
  <si>
    <t>25-04-183</t>
  </si>
  <si>
    <t>25-04-184</t>
  </si>
  <si>
    <t>25-04-139</t>
  </si>
  <si>
    <t>25-04-182</t>
  </si>
  <si>
    <t>25-04-393</t>
  </si>
  <si>
    <t>25-04-395</t>
  </si>
  <si>
    <t>25-04-484</t>
  </si>
  <si>
    <t>25-04-483</t>
  </si>
  <si>
    <t>25-04-394</t>
  </si>
  <si>
    <t>25-04-482</t>
  </si>
  <si>
    <t>25-04-392</t>
  </si>
  <si>
    <t>25-04-481</t>
  </si>
  <si>
    <t>25-04-030</t>
  </si>
  <si>
    <t>TEM</t>
  </si>
  <si>
    <t>25-03-108</t>
  </si>
  <si>
    <t>25-03-105</t>
  </si>
  <si>
    <t>25-04-011</t>
  </si>
  <si>
    <t>25-04-014</t>
  </si>
  <si>
    <t>25-04-048</t>
  </si>
  <si>
    <t>221216-1</t>
  </si>
  <si>
    <t>FINALS</t>
  </si>
  <si>
    <t>ALLAB</t>
  </si>
  <si>
    <t>24-10-545</t>
  </si>
  <si>
    <t>DURINGS</t>
  </si>
  <si>
    <t>24-10-544</t>
  </si>
  <si>
    <t>23-07-466</t>
  </si>
  <si>
    <t>220715-32</t>
  </si>
  <si>
    <t>DAF</t>
  </si>
  <si>
    <t>FullDate</t>
  </si>
  <si>
    <t>DateKey</t>
  </si>
  <si>
    <t>DayName</t>
  </si>
  <si>
    <t>MonthName</t>
  </si>
  <si>
    <t>Quarter</t>
  </si>
  <si>
    <t>Year</t>
  </si>
  <si>
    <t>WeekEndingDate</t>
  </si>
  <si>
    <t>WeekdayFlag</t>
  </si>
  <si>
    <t>JobKey</t>
  </si>
  <si>
    <t>SAI_RFP_No</t>
  </si>
  <si>
    <t>RFP_amount</t>
  </si>
  <si>
    <t>DateJobComplete</t>
  </si>
  <si>
    <t>Project_Description</t>
  </si>
  <si>
    <t>Work_Auth_No</t>
  </si>
  <si>
    <t>PID</t>
  </si>
  <si>
    <t>Job_Status</t>
  </si>
  <si>
    <t>WA_Status</t>
  </si>
  <si>
    <t>LaborTitleKey</t>
  </si>
  <si>
    <t>Job_Code</t>
  </si>
  <si>
    <t>Job_Category</t>
  </si>
  <si>
    <t>Job_Title</t>
  </si>
  <si>
    <t>Title</t>
  </si>
  <si>
    <t>YearsExp</t>
  </si>
  <si>
    <t>Emp_YrsExp_Key</t>
  </si>
  <si>
    <t>Asbestos</t>
  </si>
  <si>
    <t>Project Monitor</t>
  </si>
  <si>
    <t>Air Testing</t>
  </si>
  <si>
    <t>Investigator</t>
  </si>
  <si>
    <t>Project Designer</t>
  </si>
  <si>
    <t>Project Manager</t>
  </si>
  <si>
    <t>Lead</t>
  </si>
  <si>
    <t>Inspector</t>
  </si>
  <si>
    <t>Inspector / Risk Assessor</t>
  </si>
  <si>
    <t>Office</t>
  </si>
  <si>
    <t>EmpIDKey</t>
  </si>
  <si>
    <t>Employee_Name</t>
  </si>
  <si>
    <t>First_Name</t>
  </si>
  <si>
    <t>Last_Name</t>
  </si>
  <si>
    <t>SCA_Job_Title</t>
  </si>
  <si>
    <t>Yrs_Exp</t>
  </si>
  <si>
    <t>Vasili Bellos</t>
  </si>
  <si>
    <t>EmpRateKey</t>
  </si>
  <si>
    <t>Start_Date</t>
  </si>
  <si>
    <t>StartDateKey</t>
  </si>
  <si>
    <t>End_Date</t>
  </si>
  <si>
    <t>EndDateKey</t>
  </si>
  <si>
    <t>Hourly_Rate</t>
  </si>
  <si>
    <t>Title Code</t>
  </si>
  <si>
    <t>SCA_Title_Description</t>
  </si>
  <si>
    <t>Category</t>
  </si>
  <si>
    <t>SCA_JobTitle_Key</t>
  </si>
  <si>
    <t>Level</t>
  </si>
  <si>
    <t>Years of Experience</t>
  </si>
  <si>
    <t>Max Billable Hourly Rate</t>
  </si>
  <si>
    <t>Max Loaded Home Hourly Rate ($)</t>
  </si>
  <si>
    <t>Max Loaded Field Hourly Rate ($)</t>
  </si>
  <si>
    <t>LMPABT1</t>
  </si>
  <si>
    <t>Asbestos Certified Industrial Hygienist</t>
  </si>
  <si>
    <t>Certified Industrial Hygienist</t>
  </si>
  <si>
    <t>LMPABT9</t>
  </si>
  <si>
    <t>A</t>
  </si>
  <si>
    <t>LMPABT10</t>
  </si>
  <si>
    <t>B</t>
  </si>
  <si>
    <t>LMPABT4</t>
  </si>
  <si>
    <t>LMPABT5</t>
  </si>
  <si>
    <t>LMPABT11</t>
  </si>
  <si>
    <t>LMPABT6</t>
  </si>
  <si>
    <t>LMPABT7</t>
  </si>
  <si>
    <t>LMPABT2</t>
  </si>
  <si>
    <t>LMPABT3</t>
  </si>
  <si>
    <t>LMPABT8</t>
  </si>
  <si>
    <t>LMPGNT12</t>
  </si>
  <si>
    <t>Computer Assisted Design Draftsperson</t>
  </si>
  <si>
    <t>Computer</t>
  </si>
  <si>
    <t>Assisted Design Draftsperson</t>
  </si>
  <si>
    <t>LMPGNT13</t>
  </si>
  <si>
    <t>Field Engineer P.E.</t>
  </si>
  <si>
    <t>Field</t>
  </si>
  <si>
    <t>Engineer P.E.</t>
  </si>
  <si>
    <t>LMPLDT21</t>
  </si>
  <si>
    <t>Certified Lead Inspector</t>
  </si>
  <si>
    <t>LMPLDT22</t>
  </si>
  <si>
    <t>LMPLDT19</t>
  </si>
  <si>
    <t>Certified Lead Inspector / Risk Assessor</t>
  </si>
  <si>
    <t>LMPLDT20</t>
  </si>
  <si>
    <t>LMPLDT23</t>
  </si>
  <si>
    <t>Certified Lead Project Designer</t>
  </si>
  <si>
    <t>LMPLDT24</t>
  </si>
  <si>
    <t>LMPLDT25</t>
  </si>
  <si>
    <t>SSPC C3 Certified Lead Supervisor</t>
  </si>
  <si>
    <t>SSPC</t>
  </si>
  <si>
    <t>C3 Certified Lead Supervisor</t>
  </si>
  <si>
    <t>LMPLDT26</t>
  </si>
  <si>
    <t>LMPMDT18</t>
  </si>
  <si>
    <t>Mold Certified Industrial Hygienist</t>
  </si>
  <si>
    <t>Mold</t>
  </si>
  <si>
    <t>LMPMDT17</t>
  </si>
  <si>
    <t>Mold Field Technician</t>
  </si>
  <si>
    <t>Field Technician</t>
  </si>
  <si>
    <t>LMPMDT14</t>
  </si>
  <si>
    <t>Mold Program Director</t>
  </si>
  <si>
    <t>Program Director</t>
  </si>
  <si>
    <t>LMPMDT15</t>
  </si>
  <si>
    <t>Mold Project Manager</t>
  </si>
  <si>
    <t>LMPMDT16</t>
  </si>
  <si>
    <t>LMPPBT31</t>
  </si>
  <si>
    <t>PCB Certified Industrial Hygienist</t>
  </si>
  <si>
    <t>PCB</t>
  </si>
  <si>
    <t>LMPPBT29</t>
  </si>
  <si>
    <t>PCB Field Technician</t>
  </si>
  <si>
    <t>LMPPBT30</t>
  </si>
  <si>
    <t>LMPPBT27</t>
  </si>
  <si>
    <t>PCB Program Director</t>
  </si>
  <si>
    <t>LMPPBT28</t>
  </si>
  <si>
    <t>PCB Project Manager</t>
  </si>
  <si>
    <t>Years_Experience</t>
  </si>
  <si>
    <t>Map_SCA_Labor_Key</t>
  </si>
  <si>
    <t>SCA_Labor_Rate_Lookup</t>
  </si>
  <si>
    <t>MaxLoadFieldHourly</t>
  </si>
  <si>
    <t>Actual_Bill_Rate</t>
  </si>
  <si>
    <t>Test_Code</t>
  </si>
  <si>
    <t>SCA_Lab_Key</t>
  </si>
  <si>
    <t>Sample_Type</t>
  </si>
  <si>
    <t>Test_Description</t>
  </si>
  <si>
    <t>TATime</t>
  </si>
  <si>
    <t>Test_Rate</t>
  </si>
  <si>
    <t>Check_Duplicates</t>
  </si>
  <si>
    <t>LMPACM56</t>
  </si>
  <si>
    <t>Amph</t>
  </si>
  <si>
    <t>NYS 198.8 Segment II:Amphibole Prep and Analysis</t>
  </si>
  <si>
    <t>10 Day</t>
  </si>
  <si>
    <t>2 Day</t>
  </si>
  <si>
    <t>5 Day</t>
  </si>
  <si>
    <t>LMPACM58</t>
  </si>
  <si>
    <t>Chrys</t>
  </si>
  <si>
    <t>NYS 198.8 Segment I:Chrysotile Prep and Analysis</t>
  </si>
  <si>
    <t>LMPACMC1</t>
  </si>
  <si>
    <t>PLM</t>
  </si>
  <si>
    <t>Unit Price-Bulk SamplAnalysis by PLM/DS</t>
  </si>
  <si>
    <t>1 Hr</t>
  </si>
  <si>
    <t>24 Hr</t>
  </si>
  <si>
    <t>6 Hr</t>
  </si>
  <si>
    <t>LMPACMC2</t>
  </si>
  <si>
    <t>PCM</t>
  </si>
  <si>
    <t>Unit Price-Airborne FFiber Analysis by PCM</t>
  </si>
  <si>
    <t>LMPACMC3</t>
  </si>
  <si>
    <t>Unit Price-Airborne AAsbestos Analysis by TEM</t>
  </si>
  <si>
    <t>3 Hr</t>
  </si>
  <si>
    <t>LMPACMC4</t>
  </si>
  <si>
    <t>NOB-PLM</t>
  </si>
  <si>
    <t>Non-Organically BoundNOBs) Materials (PLM)</t>
  </si>
  <si>
    <t>LMPACMC5</t>
  </si>
  <si>
    <t>NOB-TEM</t>
  </si>
  <si>
    <t>Non-Organically BoundNOBs) Materials (TEM)</t>
  </si>
  <si>
    <t>LMPACMC6</t>
  </si>
  <si>
    <t>SLIDE PREP</t>
  </si>
  <si>
    <t>Non-Organically BoundTEM) Prep Only</t>
  </si>
  <si>
    <t>0 Hr</t>
  </si>
  <si>
    <t>LMPLBP54</t>
  </si>
  <si>
    <t>Paint Chip</t>
  </si>
  <si>
    <t>Bulk paint chip sample</t>
  </si>
  <si>
    <t>48 Hr</t>
  </si>
  <si>
    <t>12 Hr</t>
  </si>
  <si>
    <t>72 Hr</t>
  </si>
  <si>
    <t>LMPLBPC10</t>
  </si>
  <si>
    <t>LWS</t>
  </si>
  <si>
    <t>Lead-in-dust wipe sain-dust wipe sample</t>
  </si>
  <si>
    <t>LMPLBPC11</t>
  </si>
  <si>
    <t>Lead In Air</t>
  </si>
  <si>
    <t>Lead-in-air sample</t>
  </si>
  <si>
    <t>LMPLBPC12</t>
  </si>
  <si>
    <t>Lead In Soil</t>
  </si>
  <si>
    <t>Lead-in-soil sample</t>
  </si>
  <si>
    <t>LMPLBPC13</t>
  </si>
  <si>
    <t>TCLP</t>
  </si>
  <si>
    <t>Full TCLP</t>
  </si>
  <si>
    <t>10 BD</t>
  </si>
  <si>
    <t>LMPLBPC14</t>
  </si>
  <si>
    <t>RCRA</t>
  </si>
  <si>
    <t>RCRA metals</t>
  </si>
  <si>
    <t>LMPLBPC15</t>
  </si>
  <si>
    <t>Lead Only</t>
  </si>
  <si>
    <t>LMPLBPC16</t>
  </si>
  <si>
    <t>Semivolatile compounds</t>
  </si>
  <si>
    <t>LMPLBPC17</t>
  </si>
  <si>
    <t>Volatile compounds</t>
  </si>
  <si>
    <t>LMPLBPC18</t>
  </si>
  <si>
    <t>STARS volatile compounds</t>
  </si>
  <si>
    <t>LMPLBPC19</t>
  </si>
  <si>
    <t>STARS semivolatile compounds</t>
  </si>
  <si>
    <t>LMPLBPC20</t>
  </si>
  <si>
    <t>Pesticides</t>
  </si>
  <si>
    <t>LMPLBPC21</t>
  </si>
  <si>
    <t>Herbicides</t>
  </si>
  <si>
    <t>LMPLBPC22</t>
  </si>
  <si>
    <t>Reactivity</t>
  </si>
  <si>
    <t>LMPLBPC23</t>
  </si>
  <si>
    <t>Corrosivity</t>
  </si>
  <si>
    <t>LMPLBPC24</t>
  </si>
  <si>
    <t>Ignitability</t>
  </si>
  <si>
    <t>LMPLBPC25</t>
  </si>
  <si>
    <t>PCBs</t>
  </si>
  <si>
    <t>LMPLBPC26</t>
  </si>
  <si>
    <t>Free Liquids Test</t>
  </si>
  <si>
    <t>LMPLBPC8</t>
  </si>
  <si>
    <t>XRF</t>
  </si>
  <si>
    <t>X-ray Fluorescence LeLead Paint Analyzer</t>
  </si>
  <si>
    <t>Daily</t>
  </si>
  <si>
    <t>LMPLBPC9</t>
  </si>
  <si>
    <t>K Shell measurement sLPA-1, Scitec MAP-4, or similar)</t>
  </si>
  <si>
    <t>LMPMoldC7</t>
  </si>
  <si>
    <t>Fungal</t>
  </si>
  <si>
    <t>Total Fungal Spore Count:Air-O-Cell Cassettes &amp; analysis</t>
  </si>
  <si>
    <t>LMPPCB42</t>
  </si>
  <si>
    <t>PCB-Air</t>
  </si>
  <si>
    <t>Air (emergency only)</t>
  </si>
  <si>
    <t>LMPPCB44</t>
  </si>
  <si>
    <t>PCB-Bulk</t>
  </si>
  <si>
    <t>Bulk (emergency only)</t>
  </si>
  <si>
    <t>LMPPCB46</t>
  </si>
  <si>
    <t>PCB-Wipe</t>
  </si>
  <si>
    <t>Wipe (emergency only)</t>
  </si>
  <si>
    <t>LMPPCB48</t>
  </si>
  <si>
    <t>PCB-Waste</t>
  </si>
  <si>
    <t>Waste / Wash Water (eWaste / Wash Water (emergency only)</t>
  </si>
  <si>
    <t>LMPPCB50</t>
  </si>
  <si>
    <t>PCB-Soil</t>
  </si>
  <si>
    <t>Soil PREP ONLY (if saSoil PREP ONLY (if sample not analyzed) (emergency only)</t>
  </si>
  <si>
    <t>LMPPCB52</t>
  </si>
  <si>
    <t>Soil (including prep analyzed samples) (emergency only)</t>
  </si>
  <si>
    <t>LMPPCBC27</t>
  </si>
  <si>
    <t>Soil (including prepprep for analyzed samples)</t>
  </si>
  <si>
    <t>LMPPCBC28</t>
  </si>
  <si>
    <t>Soil PREP ONLY (if sSoil PREP ONLY (if sample not analyzed)</t>
  </si>
  <si>
    <t>LMPPCBC29</t>
  </si>
  <si>
    <t>PCB Air</t>
  </si>
  <si>
    <t>Air</t>
  </si>
  <si>
    <t>LMPPCBC30</t>
  </si>
  <si>
    <t>PCB Wipe</t>
  </si>
  <si>
    <t>Wipe</t>
  </si>
  <si>
    <t>LMPPCBC31</t>
  </si>
  <si>
    <t>PCB Bulk</t>
  </si>
  <si>
    <t>Bulk</t>
  </si>
  <si>
    <t>LMPPCBC32</t>
  </si>
  <si>
    <t>PCB Waste / Wash Water</t>
  </si>
  <si>
    <t>Waste / Wash Water</t>
  </si>
  <si>
    <t>Facility_Sample</t>
  </si>
  <si>
    <t>Facility</t>
  </si>
  <si>
    <t>Sample</t>
  </si>
  <si>
    <t>TAT</t>
  </si>
  <si>
    <t>BACKGROUNDS</t>
  </si>
  <si>
    <t>PRE</t>
  </si>
  <si>
    <t>VERMICULITE</t>
  </si>
  <si>
    <t>ATC</t>
  </si>
  <si>
    <t>PCM-24HRS</t>
  </si>
  <si>
    <t>PCM-6HRS</t>
  </si>
  <si>
    <t>PCM-1HR</t>
  </si>
  <si>
    <t>EMSL</t>
  </si>
  <si>
    <t>WMF</t>
  </si>
  <si>
    <t>WCF</t>
  </si>
  <si>
    <t>LWS-NYCHA</t>
  </si>
  <si>
    <t>KAM</t>
  </si>
  <si>
    <t>AMPH-2 DAY</t>
  </si>
  <si>
    <t>CHRYS-2 DAY</t>
  </si>
  <si>
    <t>Map_Key</t>
  </si>
  <si>
    <t>SCA_Sample_Name</t>
  </si>
  <si>
    <t>Vendor_Sample_Name</t>
  </si>
  <si>
    <t>SCA_Rate_Lookup</t>
  </si>
  <si>
    <t>Final_Key</t>
  </si>
  <si>
    <t>AMPH</t>
  </si>
  <si>
    <t>CHRYS</t>
  </si>
  <si>
    <t>JobIDKey</t>
  </si>
  <si>
    <t>JobReportCost</t>
  </si>
  <si>
    <t>Date_Worked</t>
  </si>
  <si>
    <t>WeekEndingDateKey</t>
  </si>
  <si>
    <t>Hours_Worked</t>
  </si>
  <si>
    <t>Expenses</t>
  </si>
  <si>
    <t>Clean_JobID</t>
  </si>
  <si>
    <t>JobTitle_YrsExp_Key</t>
  </si>
  <si>
    <t>SCA_Labor_Key</t>
  </si>
  <si>
    <t>HomeMultiplier</t>
  </si>
  <si>
    <t>SCA_Labor_Rate</t>
  </si>
  <si>
    <t>Hourly_HomeMult</t>
  </si>
  <si>
    <t>COST</t>
  </si>
  <si>
    <t>REVENUE</t>
  </si>
  <si>
    <t>PROFIT</t>
  </si>
  <si>
    <t>MARGIN</t>
  </si>
  <si>
    <t>ActualRFPAMT</t>
  </si>
  <si>
    <t>Job_Type</t>
  </si>
  <si>
    <t>Sample_Bridge</t>
  </si>
  <si>
    <t>Quantity</t>
  </si>
  <si>
    <t>Vendor_Rate</t>
  </si>
  <si>
    <t>SCA_Rate</t>
  </si>
  <si>
    <t>Cost</t>
  </si>
  <si>
    <t>Revenue</t>
  </si>
  <si>
    <t>Profit</t>
  </si>
  <si>
    <t>Vendor_Key</t>
  </si>
  <si>
    <t>JobID_Labs</t>
  </si>
  <si>
    <t>check</t>
  </si>
  <si>
    <t>Job_Number</t>
  </si>
  <si>
    <t>Labor_Revenue</t>
  </si>
  <si>
    <t>Labor_Cost</t>
  </si>
  <si>
    <t>labor_jobs_count</t>
  </si>
  <si>
    <t>Labor_Margin</t>
  </si>
  <si>
    <t>Lab_Revenue</t>
  </si>
  <si>
    <t>Lab_Cost</t>
  </si>
  <si>
    <t>lab_jobs_count</t>
  </si>
  <si>
    <t>Lab_Margin</t>
  </si>
  <si>
    <t>Total_Profit</t>
  </si>
  <si>
    <t>Total_Cost</t>
  </si>
  <si>
    <t>Total_Revenue</t>
  </si>
  <si>
    <t>Profit_Margin_Pct</t>
  </si>
  <si>
    <t>Building_ID</t>
  </si>
  <si>
    <t>BID_NAME</t>
  </si>
  <si>
    <t>BID_ADDRESS</t>
  </si>
  <si>
    <t>BID_BOUROUGH</t>
  </si>
  <si>
    <t>BID_STATE</t>
  </si>
  <si>
    <t>BID_ZIP</t>
  </si>
  <si>
    <t>BID_GEO</t>
  </si>
  <si>
    <t>I.S. 14</t>
  </si>
  <si>
    <t>BROOKLYN</t>
  </si>
  <si>
    <t>NY</t>
  </si>
  <si>
    <t>K016</t>
  </si>
  <si>
    <t>P.S. 16</t>
  </si>
  <si>
    <t>157 WILSON STREET</t>
  </si>
  <si>
    <t>P.S. 17</t>
  </si>
  <si>
    <t>208 NORTH 5 STREET</t>
  </si>
  <si>
    <t>K018</t>
  </si>
  <si>
    <t>P.S. 18</t>
  </si>
  <si>
    <t>101 MAUJER STREET</t>
  </si>
  <si>
    <t>P.S. 19</t>
  </si>
  <si>
    <t>325 SOUTH 3 STREET</t>
  </si>
  <si>
    <t>K027</t>
  </si>
  <si>
    <t>P.S. 27</t>
  </si>
  <si>
    <t>27 HUNTINGTON STREET</t>
  </si>
  <si>
    <t>I.S. 35</t>
  </si>
  <si>
    <t>272 MACDONOUGH STREET</t>
  </si>
  <si>
    <t>I.S. 98</t>
  </si>
  <si>
    <t>1401 EMMONS AVENUE</t>
  </si>
  <si>
    <t>J.H.S. 50</t>
  </si>
  <si>
    <t>183 SOUTH 3 STREET</t>
  </si>
  <si>
    <t>K051</t>
  </si>
  <si>
    <t>I.S. 51</t>
  </si>
  <si>
    <t>350 5 AVENUE</t>
  </si>
  <si>
    <t>K054</t>
  </si>
  <si>
    <t>P.S. 54</t>
  </si>
  <si>
    <t>195 SANDFORD STREET</t>
  </si>
  <si>
    <t>K055</t>
  </si>
  <si>
    <t>I.S. 55</t>
  </si>
  <si>
    <t>2021 BERGEN STREET</t>
  </si>
  <si>
    <t>K061</t>
  </si>
  <si>
    <t>I.S. 61</t>
  </si>
  <si>
    <t>400 EMPIRE BOULEVARD</t>
  </si>
  <si>
    <t>K085</t>
  </si>
  <si>
    <t>P.S. 753 (OLD P85/STERLING HS)</t>
  </si>
  <si>
    <t>510 CLERMONT AVENUE</t>
  </si>
  <si>
    <t>K086</t>
  </si>
  <si>
    <t>P.S. 86</t>
  </si>
  <si>
    <t>220 IRVING AVENUE</t>
  </si>
  <si>
    <t>K095</t>
  </si>
  <si>
    <t>P.S. 95</t>
  </si>
  <si>
    <t>345 VAN SICKLEN STREET</t>
  </si>
  <si>
    <t>I.S. 96</t>
  </si>
  <si>
    <t>99 AVENUE P</t>
  </si>
  <si>
    <t>P.S. 99</t>
  </si>
  <si>
    <t>1120 EAST 10 STREET</t>
  </si>
  <si>
    <t>P.S. 102</t>
  </si>
  <si>
    <t>211 72 STREET</t>
  </si>
  <si>
    <t>P.S. 104</t>
  </si>
  <si>
    <t>9115 5 AVENUE</t>
  </si>
  <si>
    <t>K110</t>
  </si>
  <si>
    <t>P.S. 110</t>
  </si>
  <si>
    <t>124 MONITOR STREET</t>
  </si>
  <si>
    <t>K111</t>
  </si>
  <si>
    <t>I.S. 111</t>
  </si>
  <si>
    <t>35 STARR STREET</t>
  </si>
  <si>
    <t>P.S. 114</t>
  </si>
  <si>
    <t>1077 REMSEN AVENUE</t>
  </si>
  <si>
    <t>P.S. 124</t>
  </si>
  <si>
    <t>515 4 AVENUE</t>
  </si>
  <si>
    <t>P.S. 127</t>
  </si>
  <si>
    <t>922 78 STREET</t>
  </si>
  <si>
    <t>K128</t>
  </si>
  <si>
    <t>P.S. 128 (TANDEM BROOKLYN STUDIO K721)</t>
  </si>
  <si>
    <t>2075 84 STREET</t>
  </si>
  <si>
    <t>P.S. 132</t>
  </si>
  <si>
    <t>320 MANHATTAN AVENUE</t>
  </si>
  <si>
    <t>11211</t>
  </si>
  <si>
    <t>14</t>
  </si>
  <si>
    <t>K136</t>
  </si>
  <si>
    <t>I.S. 136</t>
  </si>
  <si>
    <t>4004 4 AVENUE</t>
  </si>
  <si>
    <t>P.S. 138</t>
  </si>
  <si>
    <t>760 PROSPECT PLACE</t>
  </si>
  <si>
    <t>K142</t>
  </si>
  <si>
    <t>J.H.S. 142</t>
  </si>
  <si>
    <t>610 HENRY STREET</t>
  </si>
  <si>
    <t>P.S. 145</t>
  </si>
  <si>
    <t>100 NOLL STREET</t>
  </si>
  <si>
    <t>K149</t>
  </si>
  <si>
    <t>P.S. 149</t>
  </si>
  <si>
    <t>700 SUTTER AVENUE</t>
  </si>
  <si>
    <t>K150</t>
  </si>
  <si>
    <t>P.S. 150</t>
  </si>
  <si>
    <t>364 SACKMAN STREET</t>
  </si>
  <si>
    <t>P.S. 151</t>
  </si>
  <si>
    <t>763 KNICKERBOCKER AVENUE</t>
  </si>
  <si>
    <t>K159</t>
  </si>
  <si>
    <t>P.S. 159</t>
  </si>
  <si>
    <t>2781 PITKIN AVENUE</t>
  </si>
  <si>
    <t>P.S. 160</t>
  </si>
  <si>
    <t>5105 FORT HAMILTON PARKWAY</t>
  </si>
  <si>
    <t>I.S. 162</t>
  </si>
  <si>
    <t>1390 WILLOUGHBY AVENUE</t>
  </si>
  <si>
    <t>P.S. 163</t>
  </si>
  <si>
    <t>1664 BENSON AVENUE</t>
  </si>
  <si>
    <t>K164</t>
  </si>
  <si>
    <t>P.S. 164</t>
  </si>
  <si>
    <t>4211 14 AVENUE</t>
  </si>
  <si>
    <t>K166</t>
  </si>
  <si>
    <t>I.S. 166</t>
  </si>
  <si>
    <t>800 VAN SICLEN AVENUE</t>
  </si>
  <si>
    <t>K171</t>
  </si>
  <si>
    <t>I.S. 171</t>
  </si>
  <si>
    <t>528 RIDGEWOOD AVENUE</t>
  </si>
  <si>
    <t>K174</t>
  </si>
  <si>
    <t>P.S. 174</t>
  </si>
  <si>
    <t>574 DUMONT AVENUE</t>
  </si>
  <si>
    <t>P.S. 183</t>
  </si>
  <si>
    <t>76 RIVERDALE AVENUE</t>
  </si>
  <si>
    <t>K184</t>
  </si>
  <si>
    <t>P.S. 184</t>
  </si>
  <si>
    <t>273 NEWPORT STREET</t>
  </si>
  <si>
    <t>K207</t>
  </si>
  <si>
    <t>P.S. 207</t>
  </si>
  <si>
    <t>4011 FILLMORE AVENUE</t>
  </si>
  <si>
    <t>P.S. 209</t>
  </si>
  <si>
    <t>2609 EAST 7TH STREET</t>
  </si>
  <si>
    <t>P.S. 224</t>
  </si>
  <si>
    <t>757 WORTMAN AVENUE</t>
  </si>
  <si>
    <t>P.S. 226</t>
  </si>
  <si>
    <t>6006 23 AVENUE</t>
  </si>
  <si>
    <t>K231</t>
  </si>
  <si>
    <t>P.S. 231</t>
  </si>
  <si>
    <t>360 36 STREET</t>
  </si>
  <si>
    <t>I.S. 232</t>
  </si>
  <si>
    <t>905 WINTHROP STREET</t>
  </si>
  <si>
    <t>P.S. 233</t>
  </si>
  <si>
    <t>9301 AVENUE B</t>
  </si>
  <si>
    <t>P.S. 244</t>
  </si>
  <si>
    <t>5404 TILDEN AVENUE</t>
  </si>
  <si>
    <t>K246</t>
  </si>
  <si>
    <t>I.S. 246</t>
  </si>
  <si>
    <t>72 VERONICA PLACE</t>
  </si>
  <si>
    <t>P.S. 250</t>
  </si>
  <si>
    <t>108 MONTROSE AVENUE</t>
  </si>
  <si>
    <t>P.S. 260</t>
  </si>
  <si>
    <t>875 WILLIAMS AVENUE</t>
  </si>
  <si>
    <t>K261</t>
  </si>
  <si>
    <t>P.S. 261</t>
  </si>
  <si>
    <t>314 PACIFIC STREET</t>
  </si>
  <si>
    <t>K263</t>
  </si>
  <si>
    <t>P.S./I.S. 323</t>
  </si>
  <si>
    <t>210 CHESTER STREET</t>
  </si>
  <si>
    <t>K265</t>
  </si>
  <si>
    <t>I.S. 265</t>
  </si>
  <si>
    <t>101 PARK AVENUE</t>
  </si>
  <si>
    <t>P.S. 273</t>
  </si>
  <si>
    <t>923 JEROME STREET</t>
  </si>
  <si>
    <t>P.S. 276</t>
  </si>
  <si>
    <t>1070 EAST 83 STREET</t>
  </si>
  <si>
    <t>P.S. 279</t>
  </si>
  <si>
    <t>1070 EAST 104 STREET</t>
  </si>
  <si>
    <t>I.S. 285</t>
  </si>
  <si>
    <t>5905 BEVERLY ROAD</t>
  </si>
  <si>
    <t>P.S. 287</t>
  </si>
  <si>
    <t>50 NAVY STREET</t>
  </si>
  <si>
    <t>K289</t>
  </si>
  <si>
    <t>P.S. 289</t>
  </si>
  <si>
    <t>900 ST MARKS AVENUE</t>
  </si>
  <si>
    <t>P.S. 306</t>
  </si>
  <si>
    <t>970 VERMONT STREET</t>
  </si>
  <si>
    <t>K316</t>
  </si>
  <si>
    <t>P.S. 316</t>
  </si>
  <si>
    <t>750 CLASSON AVENUE</t>
  </si>
  <si>
    <t>I.S. 324</t>
  </si>
  <si>
    <t>800 GATES AVENUE</t>
  </si>
  <si>
    <t>P.S. 335</t>
  </si>
  <si>
    <t>130 ROCHESTER AVENUE</t>
  </si>
  <si>
    <t>K364</t>
  </si>
  <si>
    <t>I.S. 364</t>
  </si>
  <si>
    <t>1426 FREEPORT LOOP</t>
  </si>
  <si>
    <t>P.S. 370</t>
  </si>
  <si>
    <t>3000 WEST 1 STREET</t>
  </si>
  <si>
    <t>K384</t>
  </si>
  <si>
    <t>P.S. 384</t>
  </si>
  <si>
    <t>242 COOPER STREET</t>
  </si>
  <si>
    <t>FRANKLIN K. LANE HS</t>
  </si>
  <si>
    <t>999 JAMAICA AVENUE</t>
  </si>
  <si>
    <t>K425</t>
  </si>
  <si>
    <t>JAMES MADISON HS</t>
  </si>
  <si>
    <t>3787 BEDFORD AVENUE</t>
  </si>
  <si>
    <t>K445</t>
  </si>
  <si>
    <t>NEW UTRECHT HS</t>
  </si>
  <si>
    <t>1601 80 STREET</t>
  </si>
  <si>
    <t>K455</t>
  </si>
  <si>
    <t>BOYS &amp; GIRLS HS</t>
  </si>
  <si>
    <t>1700 FULTON STREET</t>
  </si>
  <si>
    <t>K486</t>
  </si>
  <si>
    <t>I.S. 187</t>
  </si>
  <si>
    <t>1171 65 STREET</t>
  </si>
  <si>
    <t>FRANK J. MACCHIAROLA EDUCATIONAL COMPLEX</t>
  </si>
  <si>
    <t>3000 AVENUE X</t>
  </si>
  <si>
    <t>FRANKLIN D. ROOSEVELT HS</t>
  </si>
  <si>
    <t>5800 20 AVENUE</t>
  </si>
  <si>
    <t>K515</t>
  </si>
  <si>
    <t>SOUTH SHORE EDUCATIONAL COMPLEX</t>
  </si>
  <si>
    <t>6565 FLATLANDS AVENUE</t>
  </si>
  <si>
    <t>JOHN DEWEY HS</t>
  </si>
  <si>
    <t>50 AVENUE X</t>
  </si>
  <si>
    <t>K600</t>
  </si>
  <si>
    <t>CLARA BARTON HS</t>
  </si>
  <si>
    <t>901 CLASSON AVENUE</t>
  </si>
  <si>
    <t>E NY VOC HS OF TRANSIT TECH</t>
  </si>
  <si>
    <t>1 WELLS STREET</t>
  </si>
  <si>
    <t>WILLIAM E. GRADY VOC HS</t>
  </si>
  <si>
    <t>25 BRIGHTON 4 ROAD</t>
  </si>
  <si>
    <t>K650</t>
  </si>
  <si>
    <t>HARRY VANARSDALE VOC HS(WHITNEY)</t>
  </si>
  <si>
    <t>257 N 6 STREET</t>
  </si>
  <si>
    <t>K799</t>
  </si>
  <si>
    <t>BROOKLYN EAST ALTERNATE LEARNING</t>
  </si>
  <si>
    <t>271 MELROSE STREET</t>
  </si>
  <si>
    <t>K804</t>
  </si>
  <si>
    <t>COBBLE HILL SCL OF AMR STD (OL6)</t>
  </si>
  <si>
    <t>347 BALTIC STREET</t>
  </si>
  <si>
    <t>K845</t>
  </si>
  <si>
    <t>P.S. 295</t>
  </si>
  <si>
    <t>330 18 STREET</t>
  </si>
  <si>
    <t>P.S. 159 MINISCHOOL</t>
  </si>
  <si>
    <t>K854</t>
  </si>
  <si>
    <t>P.S. 178 AX (BED STUY ECC 1)</t>
  </si>
  <si>
    <t>1784 PARK PLACE</t>
  </si>
  <si>
    <t>K872</t>
  </si>
  <si>
    <t>I.S. 364 ANNEX</t>
  </si>
  <si>
    <t>1461 GENEVA LOOP</t>
  </si>
  <si>
    <t>K874</t>
  </si>
  <si>
    <t>I.S. 340 (OLD 249 AX)</t>
  </si>
  <si>
    <t>227 STERLING PLACE</t>
  </si>
  <si>
    <t>HIGH SCHOOL SUSPENSION CENTER</t>
  </si>
  <si>
    <t>619 BELMONT AVENUE</t>
  </si>
  <si>
    <t>M001</t>
  </si>
  <si>
    <t>P.S. 1</t>
  </si>
  <si>
    <t>8 HENRY STREET</t>
  </si>
  <si>
    <t>MANHATTAN</t>
  </si>
  <si>
    <t>I.S. 17</t>
  </si>
  <si>
    <t>328 WEST 48 STREET</t>
  </si>
  <si>
    <t>M022</t>
  </si>
  <si>
    <t>N.E.S.T (OLD J22)</t>
  </si>
  <si>
    <t>111 COLUMBIA STREET</t>
  </si>
  <si>
    <t>M028</t>
  </si>
  <si>
    <t>P.S. 28</t>
  </si>
  <si>
    <t>475 WEST 155 STREET</t>
  </si>
  <si>
    <t>P.S. 30</t>
  </si>
  <si>
    <t>144-176 EAST 128 STREET</t>
  </si>
  <si>
    <t>M046</t>
  </si>
  <si>
    <t>P.S. 46</t>
  </si>
  <si>
    <t>2987 FREDERICK DOUGLASS BOULEVARD</t>
  </si>
  <si>
    <t>M050</t>
  </si>
  <si>
    <t>P.S. 50 (UDC)</t>
  </si>
  <si>
    <t>433 EAST 100 STREET</t>
  </si>
  <si>
    <t>I.S. 52</t>
  </si>
  <si>
    <t>650 ACADEMY STREET</t>
  </si>
  <si>
    <t>P.S. 61</t>
  </si>
  <si>
    <t>610 EAST 12 STREET</t>
  </si>
  <si>
    <t>P.S. 64 (OLD 71)</t>
  </si>
  <si>
    <t>600 EAST 6 STREET</t>
  </si>
  <si>
    <t>M066</t>
  </si>
  <si>
    <t>YORKVILLE COMMUNITY SCHOOL</t>
  </si>
  <si>
    <t>421 EAST 88 STREET</t>
  </si>
  <si>
    <t>M070</t>
  </si>
  <si>
    <t>I.S. 70</t>
  </si>
  <si>
    <t>333 WEST 17 STREET</t>
  </si>
  <si>
    <t>M081</t>
  </si>
  <si>
    <t>MID MAN ADULT LRNG CTR (81)</t>
  </si>
  <si>
    <t>212 W 120 STREET</t>
  </si>
  <si>
    <t>P.S. 96</t>
  </si>
  <si>
    <t>216 EAST 120 STREET</t>
  </si>
  <si>
    <t>M098</t>
  </si>
  <si>
    <t>P.S. 98</t>
  </si>
  <si>
    <t>512 WEST 212 STREET</t>
  </si>
  <si>
    <t>M099</t>
  </si>
  <si>
    <t>I.S. 99</t>
  </si>
  <si>
    <t>410 EAST 100 STREET</t>
  </si>
  <si>
    <t>M110</t>
  </si>
  <si>
    <t>285 DELANCEY STREET</t>
  </si>
  <si>
    <t>P.S. 115</t>
  </si>
  <si>
    <t>586 WEST 177 STREET</t>
  </si>
  <si>
    <t>P.S. 124 (ECF)</t>
  </si>
  <si>
    <t>40 DIVISION STREET</t>
  </si>
  <si>
    <t>P.S. 125</t>
  </si>
  <si>
    <t>425 WEST 123 STREET</t>
  </si>
  <si>
    <t>M128</t>
  </si>
  <si>
    <t>P.S. 128</t>
  </si>
  <si>
    <t>560 WEST 169 STREET</t>
  </si>
  <si>
    <t>M129</t>
  </si>
  <si>
    <t>P.S. 129</t>
  </si>
  <si>
    <t>425 WEST 130 STREET</t>
  </si>
  <si>
    <t>M133</t>
  </si>
  <si>
    <t>P.S. 133</t>
  </si>
  <si>
    <t>2121 5 AVENUE</t>
  </si>
  <si>
    <t>M136</t>
  </si>
  <si>
    <t>6 EDGECOMBE AVENUE</t>
  </si>
  <si>
    <t>M137</t>
  </si>
  <si>
    <t>P.S. 137</t>
  </si>
  <si>
    <t>327 CHERRY STREET</t>
  </si>
  <si>
    <t>P.S. 140</t>
  </si>
  <si>
    <t>123 RIDGE STREET</t>
  </si>
  <si>
    <t>M144</t>
  </si>
  <si>
    <t>P.S. 242 (OLD P144)</t>
  </si>
  <si>
    <t>134 WEST 122 STREET</t>
  </si>
  <si>
    <t>P.S. 152</t>
  </si>
  <si>
    <t>93 NAGLE AVENUE</t>
  </si>
  <si>
    <t>P.S. 154</t>
  </si>
  <si>
    <t>250 WEST 127 STREET</t>
  </si>
  <si>
    <t>P.S. 155</t>
  </si>
  <si>
    <t>319 EAST 117 STREET</t>
  </si>
  <si>
    <t>163 WEST 97 STREET</t>
  </si>
  <si>
    <t>I.S. 164</t>
  </si>
  <si>
    <t>401 WEST 164 STREET</t>
  </si>
  <si>
    <t>P.S. 165</t>
  </si>
  <si>
    <t>234 WEST 109 STREET</t>
  </si>
  <si>
    <t>P.S. 166</t>
  </si>
  <si>
    <t>132 WEST 89 STREET</t>
  </si>
  <si>
    <t>M169</t>
  </si>
  <si>
    <t>P.S. 169 (ECF)</t>
  </si>
  <si>
    <t>110 EAST 88 STREET</t>
  </si>
  <si>
    <t>P.S. 180</t>
  </si>
  <si>
    <t>M183</t>
  </si>
  <si>
    <t>419 EAST 66 STREET</t>
  </si>
  <si>
    <t>M185</t>
  </si>
  <si>
    <t>P.S. 185 (TANDEM M208)</t>
  </si>
  <si>
    <t>20 WEST 112 STREET</t>
  </si>
  <si>
    <t>M187</t>
  </si>
  <si>
    <t>P.S./I.S. 187</t>
  </si>
  <si>
    <t>349 CABRINI BOULEVARD</t>
  </si>
  <si>
    <t>P.S. 192</t>
  </si>
  <si>
    <t>500 WEST 138 STREET</t>
  </si>
  <si>
    <t>M197</t>
  </si>
  <si>
    <t>P.S. 197</t>
  </si>
  <si>
    <t>2230 5TH AVENUE</t>
  </si>
  <si>
    <t>MANHTN CT FOR MATH &amp; SCI. HS</t>
  </si>
  <si>
    <t>260 PLEASANT AVENUE</t>
  </si>
  <si>
    <t>BAYARD RUSTIN EDUCATIONAL COMPLEX</t>
  </si>
  <si>
    <t>351 WEST 18 STREET</t>
  </si>
  <si>
    <t>G. WASHINGTON HS EDUC. CAMPUS</t>
  </si>
  <si>
    <t>549 AUDUBON AVENUE</t>
  </si>
  <si>
    <t>LOUIS D. BRANDEIS HS</t>
  </si>
  <si>
    <t>145 WEST 84 STREET</t>
  </si>
  <si>
    <t>M475</t>
  </si>
  <si>
    <t>HEALTH PROFESSIONS HS (OL STY)</t>
  </si>
  <si>
    <t>345 EAST 15 STREET</t>
  </si>
  <si>
    <t>M480</t>
  </si>
  <si>
    <t>JULIA RICHMAN ED. COMPLEX</t>
  </si>
  <si>
    <t>317 EAST 67 STREET</t>
  </si>
  <si>
    <t>M490</t>
  </si>
  <si>
    <t>MARTIN LUTHER KING, JR. HS</t>
  </si>
  <si>
    <t>122 AMSTERDAM AVENUE</t>
  </si>
  <si>
    <t>M501</t>
  </si>
  <si>
    <t>ARTHUR SCHOMBURG HS (IS 201)</t>
  </si>
  <si>
    <t>2005 MADISON AVENUE</t>
  </si>
  <si>
    <t>M512</t>
  </si>
  <si>
    <t>3K CENTER @ 163-165 EAST 84 STREET</t>
  </si>
  <si>
    <t>163-165 EAST 84 STREET</t>
  </si>
  <si>
    <t>MURRY BERGTRAUM HS (ECF)</t>
  </si>
  <si>
    <t>411 PEARL STREET</t>
  </si>
  <si>
    <t>I.S. 528</t>
  </si>
  <si>
    <t>180 WADSWORTH AVENUE</t>
  </si>
  <si>
    <t>A. PHILLIP RANDOLPH HS</t>
  </si>
  <si>
    <t>443 WEST 135 STREET</t>
  </si>
  <si>
    <t>M600</t>
  </si>
  <si>
    <t>FASHION INDUSTRIES VOC HS</t>
  </si>
  <si>
    <t>225 WEST 24 STREET</t>
  </si>
  <si>
    <t>M615</t>
  </si>
  <si>
    <t>CHELSEA VOC HS</t>
  </si>
  <si>
    <t>131 AVE OF THE AMERICAS</t>
  </si>
  <si>
    <t>M620</t>
  </si>
  <si>
    <t>NORMAN THOMAS HS (ECF)</t>
  </si>
  <si>
    <t>111 EAST 33 STREET</t>
  </si>
  <si>
    <t>HS OF GRAPHIC COMMUNICATION ARTS</t>
  </si>
  <si>
    <t>439 WEST 49 STREET</t>
  </si>
  <si>
    <t>M660</t>
  </si>
  <si>
    <t>SCHL OF THE FUTURE (OLD BACON)</t>
  </si>
  <si>
    <t>127 EAST 22 STREET</t>
  </si>
  <si>
    <t>M844</t>
  </si>
  <si>
    <t>P.S. 138 ANNEX (OLD M047 AX)</t>
  </si>
  <si>
    <t>400 1ST AVENUE</t>
  </si>
  <si>
    <t>Q014</t>
  </si>
  <si>
    <t>P.S. 14</t>
  </si>
  <si>
    <t>107-01 OTIS AVENUE</t>
  </si>
  <si>
    <t>QUEENS</t>
  </si>
  <si>
    <t>Q015</t>
  </si>
  <si>
    <t>P.S. 15</t>
  </si>
  <si>
    <t>121-15 LUCAS STREET</t>
  </si>
  <si>
    <t>P.S. 20</t>
  </si>
  <si>
    <t>142-30 BARCLAY AVENUE</t>
  </si>
  <si>
    <t>11355</t>
  </si>
  <si>
    <t>25</t>
  </si>
  <si>
    <t>P.S. 21</t>
  </si>
  <si>
    <t>147-36 26TH AVENUE</t>
  </si>
  <si>
    <t>P.S. 22</t>
  </si>
  <si>
    <t>153-33 SANFORD AVENUE</t>
  </si>
  <si>
    <t>Q023</t>
  </si>
  <si>
    <t>QUEENS ACADEMY HS</t>
  </si>
  <si>
    <t>138-11 35 AVENUE</t>
  </si>
  <si>
    <t>P.S. 24</t>
  </si>
  <si>
    <t>45-57 UNION STREET</t>
  </si>
  <si>
    <t>J.H.S. 25</t>
  </si>
  <si>
    <t>34-65 192 STREET</t>
  </si>
  <si>
    <t>P.S. 29</t>
  </si>
  <si>
    <t>125-10 23 AVENUE</t>
  </si>
  <si>
    <t>Q030</t>
  </si>
  <si>
    <t>126-10 BEDELL STREET</t>
  </si>
  <si>
    <t>Q035</t>
  </si>
  <si>
    <t>P.S. 35</t>
  </si>
  <si>
    <t>191-02 90TH AVENUE</t>
  </si>
  <si>
    <t>P.S. 37</t>
  </si>
  <si>
    <t>179-37 137 AVENUE</t>
  </si>
  <si>
    <t>Q038</t>
  </si>
  <si>
    <t>P.S. 38</t>
  </si>
  <si>
    <t>135-21 241 STREET</t>
  </si>
  <si>
    <t>Q041</t>
  </si>
  <si>
    <t>P.S. 41</t>
  </si>
  <si>
    <t>34-06 214 LANE</t>
  </si>
  <si>
    <t>Q059</t>
  </si>
  <si>
    <t>I.S. 59</t>
  </si>
  <si>
    <t>132-55 RIDGEDALE STREET</t>
  </si>
  <si>
    <t>Q060</t>
  </si>
  <si>
    <t>P.S. 60</t>
  </si>
  <si>
    <t>91-02 88 AVENUE</t>
  </si>
  <si>
    <t>Q067</t>
  </si>
  <si>
    <t>J.H.S. 67</t>
  </si>
  <si>
    <t>51-60 MARATHON PARKWAY</t>
  </si>
  <si>
    <t>Q079</t>
  </si>
  <si>
    <t>P.S. 79</t>
  </si>
  <si>
    <t>147-27 15 DRIVE</t>
  </si>
  <si>
    <t>Q085</t>
  </si>
  <si>
    <t>P.S. 85</t>
  </si>
  <si>
    <t>23-70 31 STREET</t>
  </si>
  <si>
    <t>P.S. 89</t>
  </si>
  <si>
    <t>85-28 BRITTON AVENUE</t>
  </si>
  <si>
    <t>Q112</t>
  </si>
  <si>
    <t>P.S. 112</t>
  </si>
  <si>
    <t>25-05 37 AVENUE</t>
  </si>
  <si>
    <t>Q116</t>
  </si>
  <si>
    <t>P.S. 116</t>
  </si>
  <si>
    <t>107-25 WREN PLACE</t>
  </si>
  <si>
    <t>P.S. 122</t>
  </si>
  <si>
    <t>21-21 DITMARS BOULEVARD</t>
  </si>
  <si>
    <t>Q126</t>
  </si>
  <si>
    <t>I.S. 126</t>
  </si>
  <si>
    <t>31-51 21 STREET</t>
  </si>
  <si>
    <t>Q141</t>
  </si>
  <si>
    <t>I.S. 141</t>
  </si>
  <si>
    <t>37-11 21 AVENUE</t>
  </si>
  <si>
    <t>P.S. 162</t>
  </si>
  <si>
    <t>201-02 53 AVENUE</t>
  </si>
  <si>
    <t>70-35 150 STREET</t>
  </si>
  <si>
    <t>33-09 35 AVENUE</t>
  </si>
  <si>
    <t>Q168</t>
  </si>
  <si>
    <t>J.H.S. 168</t>
  </si>
  <si>
    <t>158-40 76 ROAD</t>
  </si>
  <si>
    <t>Q173</t>
  </si>
  <si>
    <t>P.S. 173</t>
  </si>
  <si>
    <t>174-10 67TH AVENUE</t>
  </si>
  <si>
    <t>Q176</t>
  </si>
  <si>
    <t>P.S. 176</t>
  </si>
  <si>
    <t>120-45 235 STREET</t>
  </si>
  <si>
    <t>Q185</t>
  </si>
  <si>
    <t>J.H.S. 185</t>
  </si>
  <si>
    <t>147-26 25 DRIVE</t>
  </si>
  <si>
    <t>Q188</t>
  </si>
  <si>
    <t>P.S. 188</t>
  </si>
  <si>
    <t>218-12 HARTLAND AVENUE</t>
  </si>
  <si>
    <t>J.H.S. 189</t>
  </si>
  <si>
    <t>P.S. 191</t>
  </si>
  <si>
    <t>85-15 258 STREET</t>
  </si>
  <si>
    <t>I.S. 192</t>
  </si>
  <si>
    <t>109-89 204 STREET</t>
  </si>
  <si>
    <t>Q193</t>
  </si>
  <si>
    <t>P.S. 193</t>
  </si>
  <si>
    <t>152-20 11 AVENUE</t>
  </si>
  <si>
    <t>P.S. 196</t>
  </si>
  <si>
    <t>71-25 113 STREET</t>
  </si>
  <si>
    <t>Q200</t>
  </si>
  <si>
    <t>P.S. 200</t>
  </si>
  <si>
    <t>70-10 164 STREET</t>
  </si>
  <si>
    <t>Q203</t>
  </si>
  <si>
    <t>P.S. 203</t>
  </si>
  <si>
    <t>53-11 SPRINGFIELD BOULEVARD</t>
  </si>
  <si>
    <t>Q205</t>
  </si>
  <si>
    <t>P.S. 205</t>
  </si>
  <si>
    <t>75-25 BELL BOULEVARD</t>
  </si>
  <si>
    <t>Q210</t>
  </si>
  <si>
    <t>I.S. 210</t>
  </si>
  <si>
    <t>93-11 101 AVENUE</t>
  </si>
  <si>
    <t>P.S. 214</t>
  </si>
  <si>
    <t>31-15 140 STREET</t>
  </si>
  <si>
    <t>Q216</t>
  </si>
  <si>
    <t>J.H.S. 216</t>
  </si>
  <si>
    <t>64-20 175 STREET</t>
  </si>
  <si>
    <t>Q217</t>
  </si>
  <si>
    <t>I.S. 217</t>
  </si>
  <si>
    <t>85-05 144 STREET</t>
  </si>
  <si>
    <t>Q221</t>
  </si>
  <si>
    <t>P.S. 221</t>
  </si>
  <si>
    <t>57-40 MARATHON PARKWAY</t>
  </si>
  <si>
    <t>Q223</t>
  </si>
  <si>
    <t>P.S. 223</t>
  </si>
  <si>
    <t>125-20 SUTPHIN BOULEVARD</t>
  </si>
  <si>
    <t>P.S. 225</t>
  </si>
  <si>
    <t>1-90 BEACH 110 STREET</t>
  </si>
  <si>
    <t>Q231</t>
  </si>
  <si>
    <t>I.S. 231 (TANDEM Q251)</t>
  </si>
  <si>
    <t>145-00 SPRINGFIELD BOULEVARD</t>
  </si>
  <si>
    <t>Q397</t>
  </si>
  <si>
    <t>PRE-K CENTER @ 32-52 37 STREET</t>
  </si>
  <si>
    <t>32-52 37TH STREET</t>
  </si>
  <si>
    <t>AUGUST MARTIN HS</t>
  </si>
  <si>
    <t>156-10 BAISLEY BOULEVARD</t>
  </si>
  <si>
    <t>Q405</t>
  </si>
  <si>
    <t>BAYSIDE HS</t>
  </si>
  <si>
    <t>32-24 CORPORAL KENNEDY STREET</t>
  </si>
  <si>
    <t>SPRINGFIELD GARDENS HS</t>
  </si>
  <si>
    <t>143-10 SPRINGFIELD BOULEVARD</t>
  </si>
  <si>
    <t>Q425</t>
  </si>
  <si>
    <t>JOHN BOWNE HS</t>
  </si>
  <si>
    <t>63-25 MAIN STREET</t>
  </si>
  <si>
    <t>Q435</t>
  </si>
  <si>
    <t>MARTIN VAN BUREN HS</t>
  </si>
  <si>
    <t>230-17 HILLSIDE AVE</t>
  </si>
  <si>
    <t>Q438</t>
  </si>
  <si>
    <t>P.S. 256 ANNEX</t>
  </si>
  <si>
    <t>445 BEACH 135 STREET</t>
  </si>
  <si>
    <t>Q442</t>
  </si>
  <si>
    <t>DISTRICT 29 PRE-K CENTER @ 92-53 SPRINGFIELD BLVD</t>
  </si>
  <si>
    <t>92-53 SPRINGFIELD BOULEVARD</t>
  </si>
  <si>
    <t>NEWCOMERS HIGH SCHOOL (OLD LIC)</t>
  </si>
  <si>
    <t>28-01 41ST AVENUE</t>
  </si>
  <si>
    <t>Q456</t>
  </si>
  <si>
    <t>HS FOR ARTS AND BUS. (OL NUTN X)</t>
  </si>
  <si>
    <t>105-25 HORACE HARDING EXPY N</t>
  </si>
  <si>
    <t>FLUSHING HS</t>
  </si>
  <si>
    <t>35-01 UNION STREET</t>
  </si>
  <si>
    <t>FAR ROCKAWAY HS</t>
  </si>
  <si>
    <t>8-21 BAY 25 STREET</t>
  </si>
  <si>
    <t>Q475</t>
  </si>
  <si>
    <t>RICHMOND HILL HS</t>
  </si>
  <si>
    <t>89-30 114 STREET</t>
  </si>
  <si>
    <t>Q480</t>
  </si>
  <si>
    <t>JOHN ADAMS HS</t>
  </si>
  <si>
    <t>102-10 ROCKAWAY BOULEVARD</t>
  </si>
  <si>
    <t>Q490</t>
  </si>
  <si>
    <t>CAMPUS MAGNET HS (JACKSON)</t>
  </si>
  <si>
    <t>207-01 116 AVENUE</t>
  </si>
  <si>
    <t>Q520</t>
  </si>
  <si>
    <t>NOT FOUND</t>
  </si>
  <si>
    <t>Q593</t>
  </si>
  <si>
    <t>P.S. @ 140 BEACH 112 STREET</t>
  </si>
  <si>
    <t>140 BEACH 112 STREET</t>
  </si>
  <si>
    <t>Q725</t>
  </si>
  <si>
    <t>HS FOR INFORMATION TECH</t>
  </si>
  <si>
    <t>21-16 44TH ROAD</t>
  </si>
  <si>
    <t>DOE ADMINISTRATIVE / STUDENT SERVICES</t>
  </si>
  <si>
    <t>28-11 QUEENS PLAZA NORTH</t>
  </si>
  <si>
    <t>Q801</t>
  </si>
  <si>
    <t>OSSS / DSF</t>
  </si>
  <si>
    <t>44-36 VERNON BOULEVARD</t>
  </si>
  <si>
    <t>58 SUMMIT STREET</t>
  </si>
  <si>
    <t>STATEN ISLAND</t>
  </si>
  <si>
    <t>I.S. 2</t>
  </si>
  <si>
    <t>333 MIDLAND AVENUE</t>
  </si>
  <si>
    <t>R005</t>
  </si>
  <si>
    <t>P.S. 5</t>
  </si>
  <si>
    <t>348A DEISIUS STREET</t>
  </si>
  <si>
    <t>I.S. 7</t>
  </si>
  <si>
    <t>1270 HUGUENOT AVENUE</t>
  </si>
  <si>
    <t>R008</t>
  </si>
  <si>
    <t>P.S. 8</t>
  </si>
  <si>
    <t>112 LINDENWOOD ROAD</t>
  </si>
  <si>
    <t>P.S. 13</t>
  </si>
  <si>
    <t>191 VERMONT AVENUE</t>
  </si>
  <si>
    <t>R014</t>
  </si>
  <si>
    <t>100 TOMPKINS AVENUE</t>
  </si>
  <si>
    <t>R018</t>
  </si>
  <si>
    <t>221 BROADWAY</t>
  </si>
  <si>
    <t>1860 FOREST AVENUE</t>
  </si>
  <si>
    <t>P.S. 023 Richmondtown</t>
  </si>
  <si>
    <t>30 NATICK STREET</t>
  </si>
  <si>
    <t>I.S. 24</t>
  </si>
  <si>
    <t>750 DURANT AVENUE</t>
  </si>
  <si>
    <t>P.S. 26</t>
  </si>
  <si>
    <t>4108 VICTORY BOULEVARD</t>
  </si>
  <si>
    <t>R030</t>
  </si>
  <si>
    <t>200 WARDWELL AVENUE</t>
  </si>
  <si>
    <t>P.S. 32</t>
  </si>
  <si>
    <t>232 BARLOW AVENUE</t>
  </si>
  <si>
    <t>R034</t>
  </si>
  <si>
    <t>I.S. 34 (OLD TOTTENVILLE)</t>
  </si>
  <si>
    <t>528 ACADEMY AVENUE</t>
  </si>
  <si>
    <t>P.S. 373 (OLD P40)</t>
  </si>
  <si>
    <t>91 HENDERSON AVENUE</t>
  </si>
  <si>
    <t>P.S. 42</t>
  </si>
  <si>
    <t>380 GENESEE AVENUE</t>
  </si>
  <si>
    <t>R045</t>
  </si>
  <si>
    <t>P.S. 45</t>
  </si>
  <si>
    <t>58 LAWRENCE AVENUE</t>
  </si>
  <si>
    <t>I.S. 49</t>
  </si>
  <si>
    <t>101 WARREN STREET</t>
  </si>
  <si>
    <t>R050</t>
  </si>
  <si>
    <t>P.S. 50</t>
  </si>
  <si>
    <t>200 ADELAIDE AVENUE</t>
  </si>
  <si>
    <t>P.S. 53</t>
  </si>
  <si>
    <t>330 DURANT AVENUE</t>
  </si>
  <si>
    <t>P.S. 55</t>
  </si>
  <si>
    <t>54 OSBORNE STREET</t>
  </si>
  <si>
    <t>P.S. 57</t>
  </si>
  <si>
    <t>140 PALMA DRIVE</t>
  </si>
  <si>
    <t>R059</t>
  </si>
  <si>
    <t>THE HARBOR VIEW SCHOOL</t>
  </si>
  <si>
    <t>300 RICHMOND TERRACE</t>
  </si>
  <si>
    <t>55 MERRILL AVENUE</t>
  </si>
  <si>
    <t>R061</t>
  </si>
  <si>
    <t>445 CASTLETON AVENUE</t>
  </si>
  <si>
    <t>R075</t>
  </si>
  <si>
    <t>I.S. 75</t>
  </si>
  <si>
    <t>455 HUGUENOT AVENUE</t>
  </si>
  <si>
    <t>I.S. 82</t>
  </si>
  <si>
    <t>104 GORDON STREET</t>
  </si>
  <si>
    <t>R435</t>
  </si>
  <si>
    <t>NEW DORP HS (NEW)</t>
  </si>
  <si>
    <t>465 NEW DORP LANE</t>
  </si>
  <si>
    <t>STATEN ISLAND TECHNICAL HS</t>
  </si>
  <si>
    <t>485 CLAWSON STREET</t>
  </si>
  <si>
    <t>PORT RICHMOND HS</t>
  </si>
  <si>
    <t>85 ST JOSEPHS AVENUE</t>
  </si>
  <si>
    <t>CURTIS HS</t>
  </si>
  <si>
    <t>105 HAMILTON AVENUE</t>
  </si>
  <si>
    <t>TOTTENVILLE HS</t>
  </si>
  <si>
    <t>R460</t>
  </si>
  <si>
    <t>SUSAN E. WAGNER HS</t>
  </si>
  <si>
    <t>1200 MANOR ROAD</t>
  </si>
  <si>
    <t>RALPH R. MCKEE CAREER AND TECHNICAL EDUCATION HIGH SCHOOL</t>
  </si>
  <si>
    <t>101 BELMONT PLACE</t>
  </si>
  <si>
    <t>R825</t>
  </si>
  <si>
    <t>P.S. 25 (MOUNT LORETTO)</t>
  </si>
  <si>
    <t>6581 HYLAN BOULEVARD</t>
  </si>
  <si>
    <t>R831</t>
  </si>
  <si>
    <t>P.S. 74</t>
  </si>
  <si>
    <t>211 DANIEL LOW TERRACE</t>
  </si>
  <si>
    <t>R880</t>
  </si>
  <si>
    <t>P.S. 80 (PETRIDES COMPLEX BLDG B)</t>
  </si>
  <si>
    <t>715 OCEAN TERRACE</t>
  </si>
  <si>
    <t>R883</t>
  </si>
  <si>
    <t>P.S. 80 ANNEX (PETRIDES COMPLEX BLDG K)</t>
  </si>
  <si>
    <t>564 JACKSON AVENUE</t>
  </si>
  <si>
    <t>BRONX</t>
  </si>
  <si>
    <t>X011</t>
  </si>
  <si>
    <t>P.S. 11</t>
  </si>
  <si>
    <t>1257 OGDEN AVENUE</t>
  </si>
  <si>
    <t>X019</t>
  </si>
  <si>
    <t>311 EAST 237TH STREET</t>
  </si>
  <si>
    <t>X027</t>
  </si>
  <si>
    <t>P.S. 277</t>
  </si>
  <si>
    <t>519 ST ANNS AVENUE</t>
  </si>
  <si>
    <t>X028</t>
  </si>
  <si>
    <t>1861 ANTHONY AVENUE</t>
  </si>
  <si>
    <t>510 EAST 141 STREET</t>
  </si>
  <si>
    <t>X039</t>
  </si>
  <si>
    <t>NEW SCH FOR ARTS AND SCIENCE</t>
  </si>
  <si>
    <t>965 LONGWOOD AVENUE</t>
  </si>
  <si>
    <t>3352 OLINVILLE AVENUE</t>
  </si>
  <si>
    <t>X049</t>
  </si>
  <si>
    <t>P.S. 49</t>
  </si>
  <si>
    <t>383 EAST 139 STREET</t>
  </si>
  <si>
    <t>1550 CROTONA PARK EAST</t>
  </si>
  <si>
    <t>X065</t>
  </si>
  <si>
    <t>P.S. 65</t>
  </si>
  <si>
    <t>677 EAST 141 STREET</t>
  </si>
  <si>
    <t>ROSE E SCALA SCHOOL</t>
  </si>
  <si>
    <t>3040 ROBERTS AVENUE</t>
  </si>
  <si>
    <t>10461</t>
  </si>
  <si>
    <t>8</t>
  </si>
  <si>
    <t>I.S. 201</t>
  </si>
  <si>
    <t>730 BRYANT AVENUE</t>
  </si>
  <si>
    <t>X075</t>
  </si>
  <si>
    <t>P.S. 75</t>
  </si>
  <si>
    <t>984 FAILE STREET</t>
  </si>
  <si>
    <t>X080</t>
  </si>
  <si>
    <t>I.S. 80/P.S. 280</t>
  </si>
  <si>
    <t>149 EAST MOSHOLU PARKWAY NORTH</t>
  </si>
  <si>
    <t>X085</t>
  </si>
  <si>
    <t>2400 MARION AVENUE</t>
  </si>
  <si>
    <t>X086</t>
  </si>
  <si>
    <t>2756 RESERVOIR AVENUE</t>
  </si>
  <si>
    <t>X093</t>
  </si>
  <si>
    <t>P.S. 93</t>
  </si>
  <si>
    <t>1535 STORY AVENUE</t>
  </si>
  <si>
    <t>I.S. 101</t>
  </si>
  <si>
    <t>2750 LAFAYETTE AVENUE</t>
  </si>
  <si>
    <t>1827 ARCHER STREET</t>
  </si>
  <si>
    <t>P.S. 107</t>
  </si>
  <si>
    <t>I.S. 301</t>
  </si>
  <si>
    <t>890 CAULDWELL AVENUE</t>
  </si>
  <si>
    <t>10456</t>
  </si>
  <si>
    <t>I.S. 125</t>
  </si>
  <si>
    <t>1111 PUGSLEY AVENUE</t>
  </si>
  <si>
    <t>X127</t>
  </si>
  <si>
    <t>I.S. 127</t>
  </si>
  <si>
    <t>1560 PURDY STREET</t>
  </si>
  <si>
    <t>I.S. 131</t>
  </si>
  <si>
    <t>885 BOLTON AVENUE</t>
  </si>
  <si>
    <t>X132</t>
  </si>
  <si>
    <t>I.S. 132</t>
  </si>
  <si>
    <t>1245 WASHINGTON AVENUE</t>
  </si>
  <si>
    <t>J.H.S. 222</t>
  </si>
  <si>
    <t>345 BROOK AVENUE</t>
  </si>
  <si>
    <t>X142</t>
  </si>
  <si>
    <t>I.S. 142</t>
  </si>
  <si>
    <t>3750 BAYCHESTER AVENUE</t>
  </si>
  <si>
    <t>X146</t>
  </si>
  <si>
    <t>P.S. 146</t>
  </si>
  <si>
    <t>968 CAULDWELL AVENUE</t>
  </si>
  <si>
    <t>J.H.S. 149</t>
  </si>
  <si>
    <t>360 EAST 145 STREET</t>
  </si>
  <si>
    <t>P.S. 161</t>
  </si>
  <si>
    <t>628 TINTON AVENUE</t>
  </si>
  <si>
    <t>X277</t>
  </si>
  <si>
    <t>X425</t>
  </si>
  <si>
    <t>EVANDER CHILDS EDUCATIONAL COMPLEX</t>
  </si>
  <si>
    <t>800 EAST GUN HILL ROAD</t>
  </si>
  <si>
    <t>X455</t>
  </si>
  <si>
    <t>HARRY S. TRUMAN HS</t>
  </si>
  <si>
    <t>750 BAYCHESTER AVENUE</t>
  </si>
  <si>
    <t>X470</t>
  </si>
  <si>
    <t>SOUTH BRONX EDUCATIONAL CAMPUS (OLD 38)</t>
  </si>
  <si>
    <t>701 ST ANNS AVENUE</t>
  </si>
  <si>
    <t>JOHN F. KENNEDY HS</t>
  </si>
  <si>
    <t>99 TERRACE VIEW AVENUE</t>
  </si>
  <si>
    <t>X480</t>
  </si>
  <si>
    <t>BRONX REGIONAL HS (OLD 133)</t>
  </si>
  <si>
    <t>1010 REV. J.A. POLITE AVENUE</t>
  </si>
  <si>
    <t>X544</t>
  </si>
  <si>
    <t>HIGH SCHOOL FOR CONTEMPORARY ARTS</t>
  </si>
  <si>
    <t>DISTRICT 7 ADMINISTRATIVE OFFICE (OLD 18)</t>
  </si>
  <si>
    <t>501 COURTLANDT AVENUE</t>
  </si>
  <si>
    <t>X843</t>
  </si>
  <si>
    <t>P.S. 246 (POE CENTER)</t>
  </si>
  <si>
    <t>2641 GRAND CONCOURSE</t>
  </si>
  <si>
    <t>SCA_Execution_Date</t>
  </si>
  <si>
    <t>Expiration_Date</t>
  </si>
  <si>
    <t>Contract_Value</t>
  </si>
  <si>
    <t>Home_Multiplier</t>
  </si>
  <si>
    <t>Field_Multiplier</t>
  </si>
  <si>
    <t>Operations Command Center</t>
  </si>
  <si>
    <t>What Job Needs</t>
  </si>
  <si>
    <t>Total Revenue</t>
  </si>
  <si>
    <t>Total Cost</t>
  </si>
  <si>
    <t>Total Profit</t>
  </si>
  <si>
    <t>Profit Margin %</t>
  </si>
  <si>
    <t>Job-Level Breakdown</t>
  </si>
  <si>
    <t>Job ID</t>
  </si>
  <si>
    <t>Labor Revenue</t>
  </si>
  <si>
    <t>Lab Revenue</t>
  </si>
  <si>
    <t>Labor Cost</t>
  </si>
  <si>
    <t>Lab Cost</t>
  </si>
  <si>
    <t>Part of Phase 1</t>
  </si>
  <si>
    <t>The Groysman's are the two top technicians that don't hand in their log books - they don't get paid either</t>
  </si>
  <si>
    <t>Phase 2 of this project</t>
  </si>
  <si>
    <t>We are paying (vendor - cost) far more for CHRYS and AMPH then we are being reimbursed for (sca - revenue).</t>
  </si>
  <si>
    <t>This is where this project started</t>
  </si>
  <si>
    <t>Only CA has been paid twice for the same job</t>
  </si>
  <si>
    <t>Stumbling Block</t>
  </si>
  <si>
    <t>Changes of Hourly Rates - between contract rates and raises, this was tough to get a handle on</t>
  </si>
  <si>
    <t>SCA Debug</t>
  </si>
  <si>
    <t>They had me listed as Sent to RCMS, using my data, RFP's for dim_assigned_job, these were paid and I found a bug in their system</t>
  </si>
  <si>
    <t>Corrections to numbers of labs were made after the "Create RFP" and this broke their system. Through this project, I was able to identify which job it was, what was changed, the amounts that were changed, basically where it went wrong. This should not have been possible, so bug found.</t>
  </si>
  <si>
    <t>Lost logs</t>
  </si>
  <si>
    <t>This helped me audit logs received and payroll to locate logs that were misfiled and thought lost.</t>
  </si>
  <si>
    <t>The real start of this project</t>
  </si>
  <si>
    <t>Project Monitor Rate</t>
  </si>
  <si>
    <t>We have been overpaying our technicians for Project Monitoring (Code 01)</t>
  </si>
  <si>
    <t>Based on Labor_Margin</t>
  </si>
  <si>
    <t>I was pulling from the wrong column in sca_rates. Only when I got to fact_job_summary did I see my issue, we were making no profit and that can't be right. I check a few jobs, the final RFP, and saw the hourly billing error.</t>
  </si>
  <si>
    <t>DIMENSIONAL MODELING</t>
  </si>
  <si>
    <t>dim_technician</t>
  </si>
  <si>
    <t>IsActive</t>
  </si>
  <si>
    <t>PK</t>
  </si>
  <si>
    <t>COR001</t>
  </si>
  <si>
    <t>Cornel Albue</t>
  </si>
  <si>
    <t>dim_job_code</t>
  </si>
  <si>
    <t>JobCodeKey</t>
  </si>
  <si>
    <t>Job Title</t>
  </si>
  <si>
    <t>dim_contract</t>
  </si>
  <si>
    <t>ContractKey</t>
  </si>
  <si>
    <t>StartDate</t>
  </si>
  <si>
    <t>EndDate</t>
  </si>
  <si>
    <t>ContractGrp</t>
  </si>
  <si>
    <t>IsCurrent</t>
  </si>
  <si>
    <t>Previous</t>
  </si>
  <si>
    <t>NULL</t>
  </si>
  <si>
    <t>Current</t>
  </si>
  <si>
    <t>NonSCA</t>
  </si>
  <si>
    <t>dim_job</t>
  </si>
  <si>
    <t>dim emp rate hx</t>
  </si>
  <si>
    <t>SCD Type 2 Table</t>
  </si>
  <si>
    <t>Rate Key</t>
  </si>
  <si>
    <t>YrsExpTier</t>
  </si>
  <si>
    <t>HourlyRate</t>
  </si>
  <si>
    <t>RateStartDate</t>
  </si>
  <si>
    <t>RateEndDate</t>
  </si>
  <si>
    <t>FK</t>
  </si>
  <si>
    <t xml:space="preserve">Mine looks like this but doesn't use keys, uses names </t>
  </si>
  <si>
    <t>fact labor</t>
  </si>
  <si>
    <t>Hours</t>
  </si>
  <si>
    <t>LaborCost</t>
  </si>
  <si>
    <t>SCARate</t>
  </si>
  <si>
    <t>LaborRevenue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</si>
</sst>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\-dd\-yyyy"/>
    <numFmt numFmtId="165" formatCode="&quot;$&quot;#,##0.00_);[Red]\(&quot;$&quot;#,##0.00\)"/>
    <numFmt numFmtId="166" formatCode="&quot;$&quot;#,##0.00"/>
    <numFmt numFmtId="167" formatCode="00"/>
    <numFmt numFmtId="168" formatCode="0.0"/>
    <numFmt numFmtId="169" formatCode="yyyy\-mm\-dd"/>
    <numFmt numFmtId="170" formatCode="yyyy\-dd\-mm"/>
    <numFmt numFmtId="171" formatCode="M/d/yyyy"/>
  </numFmts>
  <fonts count="13">
    <font>
      <sz val="11.0"/>
      <color theme="1"/>
      <name val="Aptos Narrow"/>
      <scheme val="minor"/>
    </font>
    <font>
      <sz val="10.0"/>
      <color theme="1"/>
      <name val="Arial"/>
    </font>
    <font>
      <sz val="11.0"/>
      <color theme="1"/>
      <name val="Calibri"/>
    </font>
    <font>
      <sz val="11.0"/>
      <color theme="1"/>
      <name val="Aptos Narrow"/>
    </font>
    <font>
      <b/>
      <sz val="12.0"/>
      <color theme="1"/>
      <name val="Calibri"/>
    </font>
    <font>
      <sz val="12.0"/>
      <color theme="1"/>
      <name val="Calibri"/>
    </font>
    <font>
      <sz val="11.0"/>
      <color theme="1"/>
      <name val="Arial"/>
    </font>
    <font>
      <color theme="1"/>
      <name val="Arial"/>
    </font>
    <font>
      <color theme="1"/>
      <name val="Aptos Narrow"/>
      <scheme val="minor"/>
    </font>
    <font>
      <b/>
      <sz val="11.0"/>
      <color theme="1"/>
      <name val="Calibri"/>
    </font>
    <font>
      <b/>
      <sz val="11.0"/>
      <color theme="1"/>
      <name val="Aptos Narrow"/>
    </font>
    <font>
      <sz val="10.0"/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4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top style="thin">
        <color theme="1"/>
      </top>
      <bottom style="thin">
        <color theme="1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14" xfId="0" applyFont="1" applyNumberFormat="1"/>
    <xf borderId="0" fillId="0" fontId="2" numFmtId="0" xfId="0" applyFont="1"/>
    <xf borderId="0" fillId="0" fontId="2" numFmtId="0" xfId="0" applyFont="1"/>
    <xf borderId="0" fillId="0" fontId="2" numFmtId="0" xfId="0" applyAlignment="1" applyFont="1">
      <alignment vertical="center"/>
    </xf>
    <xf borderId="0" fillId="0" fontId="2" numFmtId="165" xfId="0" applyAlignment="1" applyFont="1" applyNumberFormat="1">
      <alignment vertical="center"/>
    </xf>
    <xf borderId="0" fillId="0" fontId="2" numFmtId="14" xfId="0" applyAlignment="1" applyFont="1" applyNumberFormat="1">
      <alignment vertical="center"/>
    </xf>
    <xf borderId="0" fillId="0" fontId="3" numFmtId="0" xfId="0" applyFont="1"/>
    <xf borderId="0" fillId="0" fontId="4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1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left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4" numFmtId="164" xfId="0" applyAlignment="1" applyBorder="1" applyFont="1" applyNumberFormat="1">
      <alignment vertical="center"/>
    </xf>
    <xf borderId="1" fillId="0" fontId="4" numFmtId="1" xfId="0" applyAlignment="1" applyBorder="1" applyFont="1" applyNumberFormat="1">
      <alignment horizontal="center" shrinkToFit="0" vertical="center" wrapText="1"/>
    </xf>
    <xf borderId="1" fillId="0" fontId="4" numFmtId="165" xfId="0" applyAlignment="1" applyBorder="1" applyFont="1" applyNumberFormat="1">
      <alignment horizontal="center" shrinkToFit="0" vertical="center" wrapText="1"/>
    </xf>
    <xf borderId="2" fillId="0" fontId="4" numFmtId="40" xfId="0" applyAlignment="1" applyBorder="1" applyFont="1" applyNumberFormat="1">
      <alignment horizontal="center" shrinkToFit="0" vertical="center" wrapText="1"/>
    </xf>
    <xf borderId="1" fillId="0" fontId="4" numFmtId="14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0" fillId="0" fontId="5" numFmtId="0" xfId="0" applyFont="1"/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5" numFmtId="164" xfId="0" applyFont="1" applyNumberFormat="1"/>
    <xf borderId="0" fillId="0" fontId="5" numFmtId="165" xfId="0" applyFont="1" applyNumberFormat="1"/>
    <xf borderId="0" fillId="0" fontId="5" numFmtId="164" xfId="0" applyAlignment="1" applyFont="1" applyNumberFormat="1">
      <alignment horizontal="right"/>
    </xf>
    <xf borderId="0" fillId="0" fontId="5" numFmtId="1" xfId="0" applyAlignment="1" applyFont="1" applyNumberFormat="1">
      <alignment horizontal="center"/>
    </xf>
    <xf borderId="0" fillId="0" fontId="5" numFmtId="14" xfId="0" applyFont="1" applyNumberFormat="1"/>
    <xf borderId="0" fillId="0" fontId="5" numFmtId="40" xfId="0" applyFont="1" applyNumberFormat="1"/>
    <xf borderId="0" fillId="0" fontId="5" numFmtId="1" xfId="0" applyFont="1" applyNumberFormat="1"/>
    <xf borderId="0" fillId="0" fontId="5" numFmtId="14" xfId="0" applyAlignment="1" applyFont="1" applyNumberFormat="1">
      <alignment horizontal="center"/>
    </xf>
    <xf borderId="0" fillId="0" fontId="5" numFmtId="0" xfId="0" applyAlignment="1" applyFont="1">
      <alignment horizontal="right"/>
    </xf>
    <xf borderId="0" fillId="0" fontId="5" numFmtId="166" xfId="0" applyFont="1" applyNumberFormat="1"/>
    <xf borderId="0" fillId="0" fontId="5" numFmtId="0" xfId="0" applyFont="1"/>
    <xf borderId="0" fillId="0" fontId="5" numFmtId="1" xfId="0" applyFont="1" applyNumberFormat="1"/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5" numFmtId="164" xfId="0" applyFont="1" applyNumberFormat="1"/>
    <xf borderId="0" fillId="0" fontId="5" numFmtId="164" xfId="0" applyAlignment="1" applyFont="1" applyNumberFormat="1">
      <alignment horizontal="center"/>
    </xf>
    <xf borderId="0" fillId="0" fontId="5" numFmtId="165" xfId="0" applyFont="1" applyNumberFormat="1"/>
    <xf borderId="0" fillId="0" fontId="5" numFmtId="14" xfId="0" applyFont="1" applyNumberForma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/>
    </xf>
    <xf borderId="0" fillId="0" fontId="1" numFmtId="1" xfId="0" applyAlignment="1" applyFont="1" applyNumberFormat="1">
      <alignment horizontal="right"/>
    </xf>
    <xf borderId="0" fillId="0" fontId="1" numFmtId="1" xfId="0" applyAlignment="1" applyFont="1" applyNumberFormat="1">
      <alignment horizontal="center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/>
    </xf>
    <xf borderId="0" fillId="0" fontId="2" numFmtId="167" xfId="0" applyFont="1" applyNumberFormat="1"/>
    <xf borderId="0" fillId="0" fontId="2" numFmtId="14" xfId="0" applyFont="1" applyNumberFormat="1"/>
    <xf borderId="0" fillId="0" fontId="2" numFmtId="2" xfId="0" applyFont="1" applyNumberFormat="1"/>
    <xf borderId="0" fillId="0" fontId="2" numFmtId="0" xfId="0" applyAlignment="1" applyFont="1">
      <alignment readingOrder="0"/>
    </xf>
    <xf borderId="0" fillId="0" fontId="2" numFmtId="1" xfId="0" applyFont="1" applyNumberFormat="1"/>
    <xf borderId="0" fillId="0" fontId="2" numFmtId="168" xfId="0" applyFont="1" applyNumberFormat="1"/>
    <xf borderId="0" fillId="0" fontId="2" numFmtId="49" xfId="0" applyFont="1" applyNumberFormat="1"/>
    <xf borderId="0" fillId="0" fontId="2" numFmtId="167" xfId="0" applyFont="1" applyNumberFormat="1"/>
    <xf borderId="0" fillId="0" fontId="2" numFmtId="14" xfId="0" applyFont="1" applyNumberFormat="1"/>
    <xf borderId="0" fillId="0" fontId="2" numFmtId="2" xfId="0" applyFont="1" applyNumberFormat="1"/>
    <xf borderId="0" fillId="2" fontId="3" numFmtId="0" xfId="0" applyAlignment="1" applyFill="1" applyFont="1">
      <alignment vertical="bottom"/>
    </xf>
    <xf borderId="0" fillId="3" fontId="3" numFmtId="0" xfId="0" applyAlignment="1" applyFill="1" applyFont="1">
      <alignment horizontal="right" vertical="bottom"/>
    </xf>
    <xf borderId="0" fillId="3" fontId="3" numFmtId="0" xfId="0" applyAlignment="1" applyFont="1">
      <alignment vertical="bottom"/>
    </xf>
    <xf borderId="0" fillId="3" fontId="6" numFmtId="0" xfId="0" applyAlignment="1" applyFont="1">
      <alignment vertical="bottom"/>
    </xf>
    <xf borderId="0" fillId="2" fontId="3" numFmtId="0" xfId="0" applyAlignment="1" applyFont="1">
      <alignment horizontal="right" vertical="bottom"/>
    </xf>
    <xf borderId="0" fillId="2" fontId="6" numFmtId="0" xfId="0" applyAlignment="1" applyFont="1">
      <alignment vertical="bottom"/>
    </xf>
    <xf borderId="0" fillId="3" fontId="3" numFmtId="167" xfId="0" applyAlignment="1" applyFont="1" applyNumberFormat="1">
      <alignment horizontal="right" vertical="bottom"/>
    </xf>
    <xf borderId="0" fillId="2" fontId="3" numFmtId="167" xfId="0" applyAlignment="1" applyFont="1" applyNumberFormat="1">
      <alignment horizontal="right" vertical="bottom"/>
    </xf>
    <xf borderId="0" fillId="3" fontId="6" numFmtId="0" xfId="0" applyAlignment="1" applyFont="1">
      <alignment readingOrder="0" vertical="bottom"/>
    </xf>
    <xf borderId="0" fillId="2" fontId="6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6" numFmtId="167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3" numFmtId="14" xfId="0" applyFont="1" applyNumberFormat="1"/>
    <xf borderId="0" fillId="0" fontId="3" numFmtId="2" xfId="0" applyFont="1" applyNumberFormat="1"/>
    <xf borderId="0" fillId="0" fontId="9" numFmtId="0" xfId="0" applyFont="1"/>
    <xf borderId="0" fillId="0" fontId="9" numFmtId="0" xfId="0" applyAlignment="1" applyFont="1">
      <alignment horizontal="center"/>
    </xf>
    <xf borderId="0" fillId="0" fontId="9" numFmtId="14" xfId="0" applyFont="1" applyNumberFormat="1"/>
    <xf borderId="0" fillId="0" fontId="9" numFmtId="49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14" xfId="0" applyAlignment="1" applyFont="1" applyNumberFormat="1">
      <alignment horizontal="center"/>
    </xf>
    <xf borderId="0" fillId="0" fontId="2" numFmtId="1" xfId="0" applyAlignment="1" applyFont="1" applyNumberFormat="1">
      <alignment horizontal="right"/>
    </xf>
    <xf borderId="0" fillId="0" fontId="3" numFmtId="0" xfId="0" applyAlignment="1" applyFont="1">
      <alignment horizontal="center"/>
    </xf>
    <xf borderId="0" fillId="0" fontId="3" numFmtId="49" xfId="0" applyAlignment="1" applyFont="1" applyNumberFormat="1">
      <alignment horizontal="center"/>
    </xf>
    <xf borderId="0" fillId="0" fontId="10" numFmtId="0" xfId="0" applyFont="1"/>
    <xf borderId="0" fillId="0" fontId="3" numFmtId="169" xfId="0" applyFont="1" applyNumberFormat="1"/>
    <xf borderId="0" fillId="0" fontId="3" numFmtId="170" xfId="0" applyFont="1" applyNumberFormat="1"/>
    <xf borderId="0" fillId="0" fontId="2" numFmtId="1" xfId="0" applyAlignment="1" applyFont="1" applyNumberFormat="1">
      <alignment horizontal="center" readingOrder="0"/>
    </xf>
    <xf borderId="0" fillId="0" fontId="2" numFmtId="4" xfId="0" applyFont="1" applyNumberFormat="1"/>
    <xf borderId="0" fillId="0" fontId="2" numFmtId="0" xfId="0" applyAlignment="1" applyFont="1">
      <alignment horizontal="center"/>
    </xf>
    <xf borderId="0" fillId="0" fontId="8" numFmtId="1" xfId="0" applyFont="1" applyNumberFormat="1"/>
    <xf borderId="0" fillId="0" fontId="7" numFmtId="171" xfId="0" applyAlignment="1" applyFont="1" applyNumberFormat="1">
      <alignment readingOrder="0"/>
    </xf>
    <xf borderId="0" fillId="0" fontId="2" numFmtId="171" xfId="0" applyAlignment="1" applyFont="1" applyNumberFormat="1">
      <alignment readingOrder="0"/>
    </xf>
    <xf borderId="0" fillId="0" fontId="6" numFmtId="0" xfId="0" applyAlignment="1" applyFont="1">
      <alignment horizontal="center" readingOrder="0"/>
    </xf>
    <xf borderId="0" fillId="0" fontId="3" numFmtId="167" xfId="0" applyFont="1" applyNumberFormat="1"/>
    <xf borderId="0" fillId="0" fontId="3" numFmtId="0" xfId="0" applyAlignment="1" applyFont="1">
      <alignment horizontal="center"/>
    </xf>
    <xf borderId="0" fillId="0" fontId="3" numFmtId="1" xfId="0" applyFont="1" applyNumberFormat="1"/>
    <xf borderId="0" fillId="0" fontId="3" numFmtId="14" xfId="0" applyFont="1" applyNumberFormat="1"/>
    <xf borderId="0" fillId="0" fontId="3" numFmtId="2" xfId="0" applyAlignment="1" applyFont="1" applyNumberFormat="1">
      <alignment horizontal="center"/>
    </xf>
    <xf borderId="0" fillId="0" fontId="10" numFmtId="0" xfId="0" applyAlignment="1" applyFont="1">
      <alignment horizontal="center" vertical="center"/>
    </xf>
    <xf borderId="3" fillId="0" fontId="10" numFmtId="0" xfId="0" applyBorder="1" applyFont="1"/>
    <xf borderId="0" fillId="0" fontId="3" numFmtId="3" xfId="0" applyFont="1" applyNumberFormat="1"/>
    <xf borderId="0" fillId="0" fontId="3" numFmtId="166" xfId="0" applyFont="1" applyNumberFormat="1"/>
    <xf borderId="0" fillId="0" fontId="3" numFmtId="168" xfId="0" applyFont="1" applyNumberFormat="1"/>
    <xf borderId="0" fillId="0" fontId="3" numFmtId="49" xfId="0" applyFont="1" applyNumberFormat="1"/>
    <xf borderId="0" fillId="0" fontId="3" numFmtId="9" xfId="0" applyFont="1" applyNumberFormat="1"/>
    <xf borderId="0" fillId="0" fontId="3" numFmtId="0" xfId="0" applyFont="1"/>
    <xf borderId="0" fillId="0" fontId="3" numFmtId="0" xfId="0" applyFont="1"/>
    <xf borderId="0" fillId="0" fontId="11" numFmtId="0" xfId="0" applyFont="1"/>
    <xf borderId="0" fillId="0" fontId="11" numFmtId="0" xfId="0" applyFont="1"/>
    <xf borderId="0" fillId="0" fontId="11" numFmtId="49" xfId="0" applyFont="1" applyNumberFormat="1"/>
    <xf borderId="0" fillId="0" fontId="11" numFmtId="0" xfId="0" applyAlignment="1" applyFont="1">
      <alignment horizontal="left"/>
    </xf>
    <xf borderId="0" fillId="0" fontId="12" numFmtId="0" xfId="0" applyFont="1"/>
    <xf borderId="0" fillId="0" fontId="8" numFmtId="0" xfId="0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28">
    <tableStyle count="3" pivot="0" name="stg_contract_values-style">
      <tableStyleElement dxfId="1" type="headerRow"/>
      <tableStyleElement dxfId="2" type="firstRowStripe"/>
      <tableStyleElement dxfId="1" type="secondRowStripe"/>
    </tableStyle>
    <tableStyle count="3" pivot="0" name="stg_sca_rfp-style">
      <tableStyleElement dxfId="1" type="headerRow"/>
      <tableStyleElement dxfId="2" type="firstRowStripe"/>
      <tableStyleElement dxfId="1" type="secondRowStripe"/>
    </tableStyle>
    <tableStyle count="3" pivot="0" name="stg_sca_fixed_prices-style">
      <tableStyleElement dxfId="1" type="headerRow"/>
      <tableStyleElement dxfId="2" type="firstRowStripe"/>
      <tableStyleElement dxfId="1" type="secondRowStripe"/>
    </tableStyle>
    <tableStyle count="3" pivot="0" name="stg_sca_wa-style">
      <tableStyleElement dxfId="1" type="headerRow"/>
      <tableStyleElement dxfId="2" type="firstRowStripe"/>
      <tableStyleElement dxfId="1" type="secondRowStripe"/>
    </tableStyle>
    <tableStyle count="3" pivot="0" name="stg_monthly_status-style">
      <tableStyleElement dxfId="1" type="headerRow"/>
      <tableStyleElement dxfId="2" type="firstRowStripe"/>
      <tableStyleElement dxfId="1" type="secondRowStripe"/>
    </tableStyle>
    <tableStyle count="3" pivot="0" name="stg_job_list-style">
      <tableStyleElement dxfId="1" type="headerRow"/>
      <tableStyleElement dxfId="2" type="firstRowStripe"/>
      <tableStyleElement dxfId="1" type="secondRowStripe"/>
    </tableStyle>
    <tableStyle count="3" pivot="0" name="stg_payroll-style">
      <tableStyleElement dxfId="1" type="headerRow"/>
      <tableStyleElement dxfId="2" type="firstRowStripe"/>
      <tableStyleElement dxfId="1" type="secondRowStripe"/>
    </tableStyle>
    <tableStyle count="3" pivot="0" name="stg_employees-style">
      <tableStyleElement dxfId="1" type="headerRow"/>
      <tableStyleElement dxfId="2" type="firstRowStripe"/>
      <tableStyleElement dxfId="1" type="secondRowStripe"/>
    </tableStyle>
    <tableStyle count="3" pivot="0" name="stg_labor_codes-style">
      <tableStyleElement dxfId="1" type="headerRow"/>
      <tableStyleElement dxfId="2" type="firstRowStripe"/>
      <tableStyleElement dxfId="1" type="secondRowStripe"/>
    </tableStyle>
    <tableStyle count="3" pivot="0" name="stg_emp_rate_history-style">
      <tableStyleElement dxfId="1" type="headerRow"/>
      <tableStyleElement dxfId="2" type="firstRowStripe"/>
      <tableStyleElement dxfId="1" type="secondRowStripe"/>
    </tableStyle>
    <tableStyle count="3" pivot="0" name="stg_lab_reports-style">
      <tableStyleElement dxfId="1" type="headerRow"/>
      <tableStyleElement dxfId="2" type="firstRowStripe"/>
      <tableStyleElement dxfId="1" type="secondRowStripe"/>
    </tableStyle>
    <tableStyle count="3" pivot="0" name="dim_date-style">
      <tableStyleElement dxfId="1" type="headerRow"/>
      <tableStyleElement dxfId="2" type="firstRowStripe"/>
      <tableStyleElement dxfId="1" type="secondRowStripe"/>
    </tableStyle>
    <tableStyle count="3" pivot="0" name="dim_sai_rfp-style">
      <tableStyleElement dxfId="1" type="headerRow"/>
      <tableStyleElement dxfId="2" type="firstRowStripe"/>
      <tableStyleElement dxfId="1" type="secondRowStripe"/>
    </tableStyle>
    <tableStyle count="3" pivot="0" name="dim_job-style">
      <tableStyleElement dxfId="1" type="headerRow"/>
      <tableStyleElement dxfId="2" type="firstRowStripe"/>
      <tableStyleElement dxfId="1" type="secondRowStripe"/>
    </tableStyle>
    <tableStyle count="3" pivot="0" name="dim_labor_title-style">
      <tableStyleElement dxfId="1" type="headerRow"/>
      <tableStyleElement dxfId="2" type="firstRowStripe"/>
      <tableStyleElement dxfId="1" type="secondRowStripe"/>
    </tableStyle>
    <tableStyle count="3" pivot="0" name="dim_technician-style">
      <tableStyleElement dxfId="1" type="headerRow"/>
      <tableStyleElement dxfId="2" type="firstRowStripe"/>
      <tableStyleElement dxfId="1" type="secondRowStripe"/>
    </tableStyle>
    <tableStyle count="3" pivot="0" name="dim_emp_rate_history -style">
      <tableStyleElement dxfId="1" type="headerRow"/>
      <tableStyleElement dxfId="2" type="firstRowStripe"/>
      <tableStyleElement dxfId="1" type="secondRowStripe"/>
    </tableStyle>
    <tableStyle count="3" pivot="0" name="dim_sca_labor_rate-style">
      <tableStyleElement dxfId="1" type="headerRow"/>
      <tableStyleElement dxfId="2" type="firstRowStripe"/>
      <tableStyleElement dxfId="1" type="secondRowStripe"/>
    </tableStyle>
    <tableStyle count="3" pivot="0" name="dim_labor_sca_map-style">
      <tableStyleElement dxfId="1" type="headerRow"/>
      <tableStyleElement dxfId="2" type="firstRowStripe"/>
      <tableStyleElement dxfId="1" type="secondRowStripe"/>
    </tableStyle>
    <tableStyle count="3" pivot="0" name="dim_lab_sca_rates-style">
      <tableStyleElement dxfId="1" type="headerRow"/>
      <tableStyleElement dxfId="2" type="firstRowStripe"/>
      <tableStyleElement dxfId="1" type="secondRowStripe"/>
    </tableStyle>
    <tableStyle count="3" pivot="0" name="dim_lab_vendor_rates-style">
      <tableStyleElement dxfId="1" type="headerRow"/>
      <tableStyleElement dxfId="2" type="firstRowStripe"/>
      <tableStyleElement dxfId="1" type="secondRowStripe"/>
    </tableStyle>
    <tableStyle count="3" pivot="0" name="dim_lab_sca_map-style">
      <tableStyleElement dxfId="1" type="headerRow"/>
      <tableStyleElement dxfId="2" type="firstRowStripe"/>
      <tableStyleElement dxfId="1" type="secondRowStripe"/>
    </tableStyle>
    <tableStyle count="3" pivot="0" name="dim_fixed_fees-style">
      <tableStyleElement dxfId="1" type="headerRow"/>
      <tableStyleElement dxfId="2" type="firstRowStripe"/>
      <tableStyleElement dxfId="1" type="secondRowStripe"/>
    </tableStyle>
    <tableStyle count="3" pivot="0" name="fact_labor-style">
      <tableStyleElement dxfId="1" type="headerRow"/>
      <tableStyleElement dxfId="2" type="firstRowStripe"/>
      <tableStyleElement dxfId="1" type="secondRowStripe"/>
    </tableStyle>
    <tableStyle count="3" pivot="0" name="fact_lab-style">
      <tableStyleElement dxfId="1" type="headerRow"/>
      <tableStyleElement dxfId="2" type="firstRowStripe"/>
      <tableStyleElement dxfId="1" type="secondRowStripe"/>
    </tableStyle>
    <tableStyle count="3" pivot="0" name="fact_job_profitability-style">
      <tableStyleElement dxfId="1" type="headerRow"/>
      <tableStyleElement dxfId="2" type="firstRowStripe"/>
      <tableStyleElement dxfId="1" type="secondRowStripe"/>
    </tableStyle>
    <tableStyle count="3" pivot="0" name="dim_building-style">
      <tableStyleElement dxfId="1" type="headerRow"/>
      <tableStyleElement dxfId="2" type="firstRowStripe"/>
      <tableStyleElement dxfId="1" type="secondRowStripe"/>
    </tableStyle>
    <tableStyle count="3" pivot="0" name="dim_sca_contracts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4" displayName="Table_1" name="Table_1" id="1">
  <tableColumns count="7">
    <tableColumn name="Contract #" id="1"/>
    <tableColumn name="Contract Status" id="2"/>
    <tableColumn name="Contract Execution Date" id="3"/>
    <tableColumn name="Contract Expiration Date" id="4"/>
    <tableColumn name="Contract Home Multiplier" id="5"/>
    <tableColumn name="Contract Field Multiplier" id="6"/>
    <tableColumn name="Contract Value" id="7"/>
  </tableColumns>
  <tableStyleInfo name="stg_contract_values-style" showColumnStripes="0" showFirstColumn="1" showLastColumn="1" showRowStripes="1"/>
</table>
</file>

<file path=xl/tables/table2.xml><?xml version="1.0" encoding="utf-8"?>
<table xmlns="http://schemas.openxmlformats.org/spreadsheetml/2006/main" ref="A1:P6" displayName="Table_2" name="Table_2" id="2">
  <tableColumns count="16">
    <tableColumn name="BuildingID" id="1"/>
    <tableColumn name="Project _D" id="2"/>
    <tableColumn name="Project Descriptio" id="3"/>
    <tableColumn name="ServiceID" id="4"/>
    <tableColumn name="ServiceName" id="5"/>
    <tableColumn name="InitiationDate" id="6"/>
    <tableColumn name="PrimaryHygienist" id="7"/>
    <tableColumn name="WA_Number" id="8"/>
    <tableColumn name="ContractNo" id="9"/>
    <tableColumn name="RFPNo" id="10"/>
    <tableColumn name="IsFinal" id="11"/>
    <tableColumn name="RFP_Status" id="12"/>
    <tableColumn name="RFP_Status_Date" id="13"/>
    <tableColumn name="eRFP_Status" id="14"/>
    <tableColumn name="eRFP_Status_Date" id="15"/>
    <tableColumn name="RFPDate" id="16"/>
  </tableColumns>
  <tableStyleInfo name="stg_sca_rfp-style" showColumnStripes="0" showFirstColumn="1" showLastColumn="1" showRowStripes="1"/>
</table>
</file>

<file path=xl/tables/table3.xml><?xml version="1.0" encoding="utf-8"?>
<table xmlns="http://schemas.openxmlformats.org/spreadsheetml/2006/main" ref="A1:E31" displayName="Table_3" name="Table_3" id="3">
  <tableColumns count="5">
    <tableColumn name="Contract No" id="1"/>
    <tableColumn name="Work Type Code" id="2"/>
    <tableColumn name="Work Type Desc" id="3"/>
    <tableColumn name="Fixed Price" id="4"/>
    <tableColumn name="Status Date" id="5"/>
  </tableColumns>
  <tableStyleInfo name="stg_sca_fixed_prices-style" showColumnStripes="0" showFirstColumn="1" showLastColumn="1" showRowStripes="1"/>
</table>
</file>

<file path=xl/tables/table4.xml><?xml version="1.0" encoding="utf-8"?>
<table xmlns="http://schemas.openxmlformats.org/spreadsheetml/2006/main" ref="A1:V6" displayName="Table_4" name="Table_4" id="4">
  <tableColumns count="22">
    <tableColumn name="Building Id" id="1"/>
    <tableColumn name="Building Name" id="2"/>
    <tableColumn name="Building Address" id="3"/>
    <tableColumn name="Project ID" id="4"/>
    <tableColumn name="Project Name" id="5"/>
    <tableColumn name="Project Type" id="6"/>
    <tableColumn name="Service ID" id="7"/>
    <tableColumn name="Service Name" id="8"/>
    <tableColumn name="Service Initiation Date" id="9"/>
    <tableColumn name="Priority" id="10"/>
    <tableColumn name="Primary Hygienist" id="11"/>
    <tableColumn name="Contract_No" id="12"/>
    <tableColumn name="WA_No" id="13"/>
    <tableColumn name="WA Type" id="14"/>
    <tableColumn name="Date WA Issued" id="15"/>
    <tableColumn name="WA Status" id="16"/>
    <tableColumn name="Status Date" id="17"/>
    <tableColumn name="Expected Due Date" id="18"/>
    <tableColumn name="Original WA Amt" id="19"/>
    <tableColumn name="Current Approved Amt" id="20"/>
    <tableColumn name="Proposed Amendment Amt" id="21"/>
    <tableColumn name="WA_Total_Amt" id="22"/>
  </tableColumns>
  <tableStyleInfo name="stg_sca_wa-style" showColumnStripes="0" showFirstColumn="1" showLastColumn="1" showRowStripes="1"/>
</table>
</file>

<file path=xl/tables/table5.xml><?xml version="1.0" encoding="utf-8"?>
<table xmlns="http://schemas.openxmlformats.org/spreadsheetml/2006/main" ref="A1:X257" displayName="Table_5" name="Table_5" id="5">
  <tableColumns count="24">
    <tableColumn name="JobID" id="1"/>
    <tableColumn name="Contract_No" id="2"/>
    <tableColumn name="BuildingID" id="3"/>
    <tableColumn name="School_Name" id="4"/>
    <tableColumn name="WA_NO" id="5"/>
    <tableColumn name="Service_ID" id="6"/>
    <tableColumn name="Project Type" id="7"/>
    <tableColumn name="Primary_Hygienist" id="8"/>
    <tableColumn name="Service_Name" id="9"/>
    <tableColumn name="WA Type" id="10"/>
    <tableColumn name="WA Status" id="11"/>
    <tableColumn name="Initiation_Date" id="12"/>
    <tableColumn name="WA_Estimate_Cost" id="13"/>
    <tableColumn name="Actual Start Date (RFP)" id="14"/>
    <tableColumn name="Actual Date of Completion (RFP)" id="15"/>
    <tableColumn name="RFP_No" id="16"/>
    <tableColumn name="RFP_Date" id="17"/>
    <tableColumn name="Amount_Invoiced" id="18"/>
    <tableColumn name="Amount_Received" id="19"/>
    <tableColumn name="Amount Outstanding" id="20"/>
    <tableColumn name="Check_No" id="21"/>
    <tableColumn name="DATE ON CHECK" id="22"/>
    <tableColumn name="DATE CHECK RECEIVED" id="23"/>
    <tableColumn name="Billing_Status" id="24"/>
  </tableColumns>
  <tableStyleInfo name="stg_monthly_status-style" showColumnStripes="0" showFirstColumn="1" showLastColumn="1" showRowStripes="1"/>
</table>
</file>

<file path=xl/tables/table6.xml><?xml version="1.0" encoding="utf-8"?>
<table xmlns="http://schemas.openxmlformats.org/spreadsheetml/2006/main" ref="A1:G6" displayName="Table_6" name="Table_6" id="6">
  <tableColumns count="7">
    <tableColumn name="JOBID" id="1"/>
    <tableColumn name="BID" id="2"/>
    <tableColumn name="Description" id="3"/>
    <tableColumn name="ServiceID" id="4"/>
    <tableColumn name="Project_ID" id="5"/>
    <tableColumn name="ContractNo" id="6"/>
    <tableColumn name="SAI_Job_Status" id="7"/>
  </tableColumns>
  <tableStyleInfo name="stg_job_list-style" showColumnStripes="0" showFirstColumn="1" showLastColumn="1" showRowStripes="1"/>
</table>
</file>

<file path=xl/tables/table7.xml><?xml version="1.0" encoding="utf-8"?>
<table xmlns="http://schemas.openxmlformats.org/spreadsheetml/2006/main" ref="A1:L29" displayName="Table_7" name="Table_7" id="7">
  <tableColumns count="12">
    <tableColumn name="EMPLOYEE_NAME" id="1"/>
    <tableColumn name="CODE" id="2"/>
    <tableColumn name="HOURLY RATE" id="3"/>
    <tableColumn name="DATE ON CHECK" id="4"/>
    <tableColumn name="DATE WORKED" id="5"/>
    <tableColumn name="WEEK ENDING DATE" id="6"/>
    <tableColumn name="HOURS WORKED" id="7"/>
    <tableColumn name="JOBID" id="8"/>
    <tableColumn name="BUILDING LOCATION" id="9"/>
    <tableColumn name="EXPENSES" id="10"/>
    <tableColumn name="JOB TYPE" id="11"/>
    <tableColumn name="LegacyEmpKey" id="12"/>
  </tableColumns>
  <tableStyleInfo name="stg_payroll-style" showColumnStripes="0" showFirstColumn="1" showLastColumn="1" showRowStripes="1"/>
</table>
</file>

<file path=xl/tables/table8.xml><?xml version="1.0" encoding="utf-8"?>
<table xmlns="http://schemas.openxmlformats.org/spreadsheetml/2006/main" ref="A1:G23" displayName="Table_8" name="Table_8" id="8">
  <tableColumns count="7">
    <tableColumn name="EmpKey" id="1"/>
    <tableColumn name="Last Name" id="2"/>
    <tableColumn name="First Name" id="3"/>
    <tableColumn name="Full Name" id="4"/>
    <tableColumn name="EmployeeID" id="5"/>
    <tableColumn name="EmployeeType" id="6"/>
    <tableColumn name="Is_Active" id="7"/>
  </tableColumns>
  <tableStyleInfo name="stg_employees-style" showColumnStripes="0" showFirstColumn="1" showLastColumn="1" showRowStripes="1"/>
</table>
</file>

<file path=xl/tables/table9.xml><?xml version="1.0" encoding="utf-8"?>
<table xmlns="http://schemas.openxmlformats.org/spreadsheetml/2006/main" ref="A1:C9" displayName="Table_9" name="Table_9" id="9">
  <tableColumns count="3">
    <tableColumn name="LaborClassKey" id="1"/>
    <tableColumn name="JobCode" id="2"/>
    <tableColumn name="JobTitle" id="3"/>
  </tableColumns>
  <tableStyleInfo name="stg_labor_codes-style" showColumnStripes="0" showFirstColumn="1" showLastColumn="1" showRowStripes="1"/>
</table>
</file>

<file path=xl/tables/table10.xml><?xml version="1.0" encoding="utf-8"?>
<table xmlns="http://schemas.openxmlformats.org/spreadsheetml/2006/main" ref="A1:H56" displayName="Table_10" name="Table_10" id="10">
  <tableColumns count="8">
    <tableColumn name="LegacyEmpKey" id="1"/>
    <tableColumn name="EmpName" id="2"/>
    <tableColumn name="JobCode" id="3"/>
    <tableColumn name="JobTitle" id="4"/>
    <tableColumn name="ExpTier" id="5"/>
    <tableColumn name="Rate_StartDate" id="6"/>
    <tableColumn name="Rate_EndDate" id="7"/>
    <tableColumn name="Rate" id="8"/>
  </tableColumns>
  <tableStyleInfo name="stg_emp_rate_history-style" showColumnStripes="0" showFirstColumn="1" showLastColumn="1" showRowStripes="1"/>
</table>
</file>

<file path=xl/tables/table11.xml><?xml version="1.0" encoding="utf-8"?>
<table xmlns="http://schemas.openxmlformats.org/spreadsheetml/2006/main" ref="A1:I39" displayName="Table_11" name="Table_11" id="11">
  <tableColumns count="9">
    <tableColumn name="CLIENT_TYPE" id="1"/>
    <tableColumn name="BID" id="2"/>
    <tableColumn name="JOB_NO" id="3"/>
    <tableColumn name="DATE OF REPORT" id="4"/>
    <tableColumn name="BATCH NO" id="5"/>
    <tableColumn name="SAMPLE TYPE" id="6"/>
    <tableColumn name="QUANTITY" id="7"/>
    <tableColumn name="TECHNICIAN" id="8"/>
    <tableColumn name="FACILITY" id="9"/>
  </tableColumns>
  <tableStyleInfo name="stg_lab_reports-style" showColumnStripes="0" showFirstColumn="1" showLastColumn="1" showRowStripes="1"/>
</table>
</file>

<file path=xl/tables/table12.xml><?xml version="1.0" encoding="utf-8"?>
<table xmlns="http://schemas.openxmlformats.org/spreadsheetml/2006/main" ref="A1:H2924" displayName="Table_12" name="Table_12" id="12">
  <tableColumns count="8">
    <tableColumn name="FullDate" id="1"/>
    <tableColumn name="DateKey" id="2"/>
    <tableColumn name="DayName" id="3"/>
    <tableColumn name="MonthName" id="4"/>
    <tableColumn name="Quarter" id="5"/>
    <tableColumn name="Year" id="6"/>
    <tableColumn name="WeekEndingDate" id="7"/>
    <tableColumn name="WeekdayFlag" id="8"/>
  </tableColumns>
  <tableStyleInfo name="dim_date-style" showColumnStripes="0" showFirstColumn="1" showLastColumn="1" showRowStripes="1"/>
</table>
</file>

<file path=xl/tables/table13.xml><?xml version="1.0" encoding="utf-8"?>
<table xmlns="http://schemas.openxmlformats.org/spreadsheetml/2006/main" ref="A1:H6" displayName="Table_13" name="Table_13" id="13">
  <tableColumns count="8">
    <tableColumn name="JobKey" id="1"/>
    <tableColumn name="JobID" id="2"/>
    <tableColumn name="ServiceID" id="3"/>
    <tableColumn name="Contract_No" id="4"/>
    <tableColumn name="SAI_RFP_No" id="5"/>
    <tableColumn name="RFP_amount" id="6"/>
    <tableColumn name="DateJobComplete" id="7"/>
    <tableColumn name="RFP_Date" id="8"/>
  </tableColumns>
  <tableStyleInfo name="dim_sai_rfp-style" showColumnStripes="0" showFirstColumn="1" showLastColumn="1" showRowStripes="1"/>
</table>
</file>

<file path=xl/tables/table14.xml><?xml version="1.0" encoding="utf-8"?>
<table xmlns="http://schemas.openxmlformats.org/spreadsheetml/2006/main" ref="A1:K6" displayName="Table_14" name="Table_14" id="14">
  <tableColumns count="11">
    <tableColumn name="JobKey" id="1"/>
    <tableColumn name="JobID" id="2"/>
    <tableColumn name="BID" id="3"/>
    <tableColumn name="Project_Description" id="4"/>
    <tableColumn name="ServiceID" id="5"/>
    <tableColumn name="Work_Auth_No" id="6"/>
    <tableColumn name="PID" id="7"/>
    <tableColumn name="Contract_No" id="8"/>
    <tableColumn name="Initiation_Date" id="9"/>
    <tableColumn name="Job_Status" id="10"/>
    <tableColumn name="WA_Status" id="11"/>
  </tableColumns>
  <tableStyleInfo name="dim_job-style" showColumnStripes="0" showFirstColumn="1" showLastColumn="1" showRowStripes="1"/>
</table>
</file>

<file path=xl/tables/table15.xml><?xml version="1.0" encoding="utf-8"?>
<table xmlns="http://schemas.openxmlformats.org/spreadsheetml/2006/main" ref="A1:G16" displayName="Table_15" name="Table_15" id="15">
  <tableColumns count="7">
    <tableColumn name="LaborTitleKey" id="1"/>
    <tableColumn name="Job_Code" id="2"/>
    <tableColumn name="Job_Category" id="3"/>
    <tableColumn name="Job_Title" id="4"/>
    <tableColumn name="Title" id="5"/>
    <tableColumn name="YearsExp" id="6"/>
    <tableColumn name="Emp_YrsExp_Key" id="7"/>
  </tableColumns>
  <tableStyleInfo name="dim_labor_title-style" showColumnStripes="0" showFirstColumn="1" showLastColumn="1" showRowStripes="1"/>
</table>
</file>

<file path=xl/tables/table16.xml><?xml version="1.0" encoding="utf-8"?>
<table xmlns="http://schemas.openxmlformats.org/spreadsheetml/2006/main" ref="A1:H39" displayName="Table_16" name="Table_16" id="16">
  <tableColumns count="8">
    <tableColumn name="EmpIDKey" id="1"/>
    <tableColumn name="Employee_Name" id="2"/>
    <tableColumn name="First_Name" id="3"/>
    <tableColumn name="Last_Name" id="4"/>
    <tableColumn name="Job_Code" id="5"/>
    <tableColumn name="SCA_Job_Title" id="6"/>
    <tableColumn name="Yrs_Exp" id="7"/>
    <tableColumn name="LegacyEmpKey" id="8"/>
  </tableColumns>
  <tableStyleInfo name="dim_technician-style" showColumnStripes="0" showFirstColumn="1" showLastColumn="1" showRowStripes="1"/>
</table>
</file>

<file path=xl/tables/table17.xml><?xml version="1.0" encoding="utf-8"?>
<table xmlns="http://schemas.openxmlformats.org/spreadsheetml/2006/main" ref="A1:G52" displayName="Table_17" name="Table_17" id="17">
  <tableColumns count="7">
    <tableColumn name="EmpRateKey" id="1"/>
    <tableColumn name="EmpKey" id="2"/>
    <tableColumn name="Start_Date" id="3"/>
    <tableColumn name="StartDateKey" id="4"/>
    <tableColumn name="End_Date" id="5"/>
    <tableColumn name="EndDateKey" id="6"/>
    <tableColumn name="Hourly_Rate" id="7"/>
  </tableColumns>
  <tableStyleInfo name="dim_emp_rate_history -style" showColumnStripes="0" showFirstColumn="1" showLastColumn="1" showRowStripes="1"/>
</table>
</file>

<file path=xl/tables/table18.xml><?xml version="1.0" encoding="utf-8"?>
<table xmlns="http://schemas.openxmlformats.org/spreadsheetml/2006/main" ref="A1:K100" displayName="Table_18" name="Table_18" id="18">
  <tableColumns count="11">
    <tableColumn name="Contract_No" id="1"/>
    <tableColumn name="Title Code" id="2"/>
    <tableColumn name="SCA_Title_Description" id="3"/>
    <tableColumn name="Category" id="4"/>
    <tableColumn name="Job_Title" id="5"/>
    <tableColumn name="SCA_JobTitle_Key" id="6"/>
    <tableColumn name="Level" id="7"/>
    <tableColumn name="Years of Experience" id="8"/>
    <tableColumn name="Max Billable Hourly Rate" id="9"/>
    <tableColumn name="Max Loaded Home Hourly Rate ($)" id="10"/>
    <tableColumn name="Max Loaded Field Hourly Rate ($)" id="11"/>
  </tableColumns>
  <tableStyleInfo name="dim_sca_labor_rate-style" showColumnStripes="0" showFirstColumn="1" showLastColumn="1" showRowStripes="1"/>
</table>
</file>

<file path=xl/tables/table19.xml><?xml version="1.0" encoding="utf-8"?>
<table xmlns="http://schemas.openxmlformats.org/spreadsheetml/2006/main" ref="A1:H58" displayName="Table_19" name="Table_19" id="19">
  <tableColumns count="8">
    <tableColumn name="Category" id="1"/>
    <tableColumn name="Title" id="2"/>
    <tableColumn name="Years_Experience" id="3"/>
    <tableColumn name="Map_SCA_Labor_Key" id="4"/>
    <tableColumn name="SCA_Labor_Rate_Lookup" id="5"/>
    <tableColumn name="MaxLoadFieldHourly" id="6"/>
    <tableColumn name="Actual_Bill_Rate" id="7"/>
    <tableColumn name="Contract_No" id="8"/>
  </tableColumns>
  <tableStyleInfo name="dim_labor_sca_map-style" showColumnStripes="0" showFirstColumn="1" showLastColumn="1" showRowStripes="1"/>
</table>
</file>

<file path=xl/tables/table20.xml><?xml version="1.0" encoding="utf-8"?>
<table xmlns="http://schemas.openxmlformats.org/spreadsheetml/2006/main" ref="A1:H316" displayName="Table_20" name="Table_20" id="20">
  <tableColumns count="8">
    <tableColumn name="Contract_No" id="1"/>
    <tableColumn name="Test_Code" id="2"/>
    <tableColumn name="SCA_Lab_Key" id="3"/>
    <tableColumn name="Sample_Type" id="4"/>
    <tableColumn name="Test_Description" id="5"/>
    <tableColumn name="TATime" id="6"/>
    <tableColumn name="Test_Rate" id="7"/>
    <tableColumn name="Check_Duplicates" id="8"/>
  </tableColumns>
  <tableStyleInfo name="dim_lab_sca_rates-style" showColumnStripes="0" showFirstColumn="1" showLastColumn="1" showRowStripes="1"/>
</table>
</file>

<file path=xl/tables/table21.xml><?xml version="1.0" encoding="utf-8"?>
<table xmlns="http://schemas.openxmlformats.org/spreadsheetml/2006/main" ref="A1:E49" displayName="Table_21" name="Table_21" id="21">
  <tableColumns count="5">
    <tableColumn name="Facility_Sample" id="1"/>
    <tableColumn name="Facility" id="2"/>
    <tableColumn name="Sample" id="3"/>
    <tableColumn name="TAT" id="4"/>
    <tableColumn name="Rate" id="5"/>
  </tableColumns>
  <tableStyleInfo name="dim_lab_vendor_rates-style" showColumnStripes="0" showFirstColumn="1" showLastColumn="1" showRowStripes="1"/>
</table>
</file>

<file path=xl/tables/table22.xml><?xml version="1.0" encoding="utf-8"?>
<table xmlns="http://schemas.openxmlformats.org/spreadsheetml/2006/main" ref="A1:G64" displayName="Table_22" name="Table_22" id="22">
  <tableColumns count="7">
    <tableColumn name="Map_Key" id="1"/>
    <tableColumn name="SCA_Sample_Name" id="2"/>
    <tableColumn name="Vendor_Sample_Name" id="3"/>
    <tableColumn name="TAT" id="4"/>
    <tableColumn name="SCA_Rate_Lookup" id="5"/>
    <tableColumn name="Contract_No" id="6"/>
    <tableColumn name="Final_Key" id="7"/>
  </tableColumns>
  <tableStyleInfo name="dim_lab_sca_map-style" showColumnStripes="0" showFirstColumn="1" showLastColumn="1" showRowStripes="1"/>
</table>
</file>

<file path=xl/tables/table23.xml><?xml version="1.0" encoding="utf-8"?>
<table xmlns="http://schemas.openxmlformats.org/spreadsheetml/2006/main" ref="A1:C6" displayName="Table_23" name="Table_23" id="23">
  <tableColumns count="3">
    <tableColumn name="JobIDKey" id="1"/>
    <tableColumn name="JobID" id="2"/>
    <tableColumn name="JobReportCost" id="3"/>
  </tableColumns>
  <tableStyleInfo name="dim_fixed_fees-style" showColumnStripes="0" showFirstColumn="1" showLastColumn="1" showRowStripes="1"/>
</table>
</file>

<file path=xl/tables/table24.xml><?xml version="1.0" encoding="utf-8"?>
<table xmlns="http://schemas.openxmlformats.org/spreadsheetml/2006/main" ref="A1:V29" displayName="Table_24" name="Table_24" id="24">
  <tableColumns count="22">
    <tableColumn name="EmpKey" id="1"/>
    <tableColumn name="LegacyEmpKey" id="2"/>
    <tableColumn name="Employee_Name" id="3"/>
    <tableColumn name="JobCode" id="4"/>
    <tableColumn name="Hourly_Rate" id="5"/>
    <tableColumn name="Date_Worked" id="6"/>
    <tableColumn name="WeekEndingDateKey" id="7"/>
    <tableColumn name="Hours_Worked" id="8"/>
    <tableColumn name="JobID" id="9"/>
    <tableColumn name="Expenses" id="10"/>
    <tableColumn name="Clean_JobID" id="11"/>
    <tableColumn name="Contract_No" id="12"/>
    <tableColumn name="JobTitle_YrsExp_Key" id="13"/>
    <tableColumn name="SCA_Labor_Key" id="14"/>
    <tableColumn name="HomeMultiplier" id="15"/>
    <tableColumn name="SCA_Labor_Rate" id="16"/>
    <tableColumn name="Hourly_HomeMult" id="17"/>
    <tableColumn name="COST" id="18"/>
    <tableColumn name="REVENUE" id="19"/>
    <tableColumn name="PROFIT" id="20"/>
    <tableColumn name="MARGIN" id="21"/>
    <tableColumn name="ActualRFPAMT" id="22"/>
  </tableColumns>
  <tableStyleInfo name="fact_labor-style" showColumnStripes="0" showFirstColumn="1" showLastColumn="1" showRowStripes="1"/>
</table>
</file>

<file path=xl/tables/table25.xml><?xml version="1.0" encoding="utf-8"?>
<table xmlns="http://schemas.openxmlformats.org/spreadsheetml/2006/main" ref="A1:R38" displayName="Table_25" name="Table_25" id="25">
  <tableColumns count="18">
    <tableColumn name="JobID" id="1"/>
    <tableColumn name="Job_Type" id="2"/>
    <tableColumn name="Sample" id="3"/>
    <tableColumn name="Sample_Bridge" id="4"/>
    <tableColumn name="Quantity" id="5"/>
    <tableColumn name="TAT" id="6"/>
    <tableColumn name="Facility" id="7"/>
    <tableColumn name="Contract_No" id="8"/>
    <tableColumn name="Vendor_Rate" id="9"/>
    <tableColumn name="SCA_Rate" id="10"/>
    <tableColumn name="Cost" id="11"/>
    <tableColumn name="Revenue" id="12"/>
    <tableColumn name="Profit" id="13"/>
    <tableColumn name="Map_Key" id="14"/>
    <tableColumn name="Final_Key" id="15"/>
    <tableColumn name="Vendor_Key" id="16"/>
    <tableColumn name="JobID_Labs" id="17"/>
    <tableColumn name="check" id="18"/>
  </tableColumns>
  <tableStyleInfo name="fact_lab-style" showColumnStripes="0" showFirstColumn="1" showLastColumn="1" showRowStripes="1"/>
</table>
</file>

<file path=xl/tables/table26.xml><?xml version="1.0" encoding="utf-8"?>
<table xmlns="http://schemas.openxmlformats.org/spreadsheetml/2006/main" ref="A1:M6" displayName="Table_26" name="Table_26" id="26">
  <tableColumns count="13">
    <tableColumn name="Job_Number" id="1"/>
    <tableColumn name="Labor_Revenue" id="2"/>
    <tableColumn name="Labor_Cost" id="3"/>
    <tableColumn name="labor_jobs_count" id="4"/>
    <tableColumn name="Labor_Margin" id="5"/>
    <tableColumn name="Lab_Revenue" id="6"/>
    <tableColumn name="Lab_Cost" id="7"/>
    <tableColumn name="lab_jobs_count" id="8"/>
    <tableColumn name="Lab_Margin" id="9"/>
    <tableColumn name="Total_Profit" id="10"/>
    <tableColumn name="Total_Cost" id="11"/>
    <tableColumn name="Total_Revenue" id="12"/>
    <tableColumn name="Profit_Margin_Pct" id="13"/>
  </tableColumns>
  <tableStyleInfo name="fact_job_profitability-style" showColumnStripes="0" showFirstColumn="1" showLastColumn="1" showRowStripes="1"/>
</table>
</file>

<file path=xl/tables/table27.xml><?xml version="1.0" encoding="utf-8"?>
<table xmlns="http://schemas.openxmlformats.org/spreadsheetml/2006/main" ref="A1:G300" displayName="Table_27" name="Table_27" id="27">
  <tableColumns count="7">
    <tableColumn name="Building_ID" id="1"/>
    <tableColumn name="BID_NAME" id="2"/>
    <tableColumn name="BID_ADDRESS" id="3"/>
    <tableColumn name="BID_BOUROUGH" id="4"/>
    <tableColumn name="BID_STATE" id="5"/>
    <tableColumn name="BID_ZIP" id="6"/>
    <tableColumn name="BID_GEO" id="7"/>
  </tableColumns>
  <tableStyleInfo name="dim_building-style" showColumnStripes="0" showFirstColumn="1" showLastColumn="1" showRowStripes="1"/>
</table>
</file>

<file path=xl/tables/table28.xml><?xml version="1.0" encoding="utf-8"?>
<table xmlns="http://schemas.openxmlformats.org/spreadsheetml/2006/main" ref="A1:F4" displayName="Table_28" name="Table_28" id="28">
  <tableColumns count="6">
    <tableColumn name="Contract_No" id="1"/>
    <tableColumn name="SCA_Execution_Date" id="2"/>
    <tableColumn name="Expiration_Date" id="3"/>
    <tableColumn name="Contract_Value" id="4"/>
    <tableColumn name="Home_Multiplier" id="5"/>
    <tableColumn name="Field_Multiplier" id="6"/>
  </tableColumns>
  <tableStyleInfo name="dim_sca_contrac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16.13"/>
    <col customWidth="1" min="3" max="4" width="23.38"/>
    <col customWidth="1" min="5" max="5" width="23.63"/>
    <col customWidth="1" min="6" max="6" width="22.75"/>
    <col customWidth="1" min="7" max="7" width="15.38"/>
    <col customWidth="1" min="8" max="15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</row>
    <row r="2" ht="12.75" customHeight="1">
      <c r="A2" s="1" t="s">
        <v>7</v>
      </c>
      <c r="B2" s="1" t="s">
        <v>8</v>
      </c>
      <c r="C2" s="3">
        <v>44621.0</v>
      </c>
      <c r="D2" s="3">
        <v>45716.0</v>
      </c>
      <c r="E2" s="1">
        <v>2.75</v>
      </c>
      <c r="F2" s="1">
        <v>2.54</v>
      </c>
      <c r="G2" s="1">
        <v>6000000.0</v>
      </c>
      <c r="H2" s="2"/>
      <c r="I2" s="2"/>
      <c r="J2" s="2"/>
      <c r="K2" s="2"/>
      <c r="L2" s="2"/>
      <c r="M2" s="2"/>
      <c r="N2" s="2"/>
      <c r="O2" s="2"/>
    </row>
    <row r="3" ht="12.75" customHeight="1">
      <c r="A3" s="1" t="s">
        <v>9</v>
      </c>
      <c r="B3" s="1" t="s">
        <v>8</v>
      </c>
      <c r="C3" s="3">
        <v>43424.0</v>
      </c>
      <c r="D3" s="3">
        <v>44519.0</v>
      </c>
      <c r="E3" s="1">
        <v>2.51</v>
      </c>
      <c r="F3" s="1">
        <v>2.41</v>
      </c>
      <c r="G3" s="1">
        <v>6000000.0</v>
      </c>
      <c r="H3" s="2"/>
      <c r="I3" s="2"/>
      <c r="J3" s="2"/>
      <c r="K3" s="2"/>
      <c r="L3" s="2"/>
      <c r="M3" s="2"/>
      <c r="N3" s="2"/>
      <c r="O3" s="2"/>
    </row>
    <row r="4" ht="12.75" customHeight="1">
      <c r="A4" s="1" t="s">
        <v>10</v>
      </c>
      <c r="B4" s="1" t="s">
        <v>11</v>
      </c>
      <c r="C4" s="3">
        <v>45728.0</v>
      </c>
      <c r="D4" s="3">
        <v>46823.0</v>
      </c>
      <c r="E4" s="1">
        <v>3.0</v>
      </c>
      <c r="F4" s="1">
        <v>2.93</v>
      </c>
      <c r="G4" s="1">
        <v>5000000.0</v>
      </c>
      <c r="H4" s="2"/>
      <c r="I4" s="2"/>
      <c r="J4" s="2"/>
      <c r="K4" s="2"/>
      <c r="L4" s="2"/>
      <c r="M4" s="2"/>
      <c r="N4" s="2"/>
      <c r="O4" s="2"/>
    </row>
    <row r="5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12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2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ht="12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20.25"/>
    <col customWidth="1" min="3" max="3" width="28.25"/>
    <col customWidth="1" min="4" max="4" width="11.38"/>
    <col customWidth="1" min="5" max="5" width="30.63"/>
    <col customWidth="1" min="6" max="6" width="14.38"/>
    <col customWidth="1" min="7" max="7" width="20.38"/>
    <col customWidth="1" min="8" max="8" width="13.25"/>
    <col customWidth="1" min="9" max="9" width="11.63"/>
    <col customWidth="1" min="10" max="10" width="7.88"/>
    <col customWidth="1" min="11" max="11" width="9.13"/>
    <col customWidth="1" min="12" max="12" width="13.25"/>
    <col customWidth="1" min="13" max="13" width="17.25"/>
    <col customWidth="1" min="14" max="14" width="13.88"/>
    <col customWidth="1" min="15" max="15" width="18.25"/>
    <col customWidth="1" min="16" max="16" width="10.13"/>
    <col customWidth="1" min="17" max="18" width="8.63"/>
  </cols>
  <sheetData>
    <row r="1" ht="12.75" customHeight="1">
      <c r="A1" s="4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4" t="s">
        <v>17</v>
      </c>
      <c r="G1" s="4" t="s">
        <v>18</v>
      </c>
      <c r="H1" s="1" t="s">
        <v>19</v>
      </c>
      <c r="I1" s="4" t="s">
        <v>20</v>
      </c>
      <c r="J1" s="4" t="s">
        <v>21</v>
      </c>
      <c r="K1" s="1" t="s">
        <v>22</v>
      </c>
      <c r="L1" s="1" t="s">
        <v>23</v>
      </c>
      <c r="M1" s="4" t="s">
        <v>24</v>
      </c>
      <c r="N1" s="1" t="s">
        <v>25</v>
      </c>
      <c r="O1" s="4" t="s">
        <v>26</v>
      </c>
      <c r="P1" s="1" t="s">
        <v>27</v>
      </c>
      <c r="Q1" s="2"/>
      <c r="R1" s="2"/>
    </row>
    <row r="2" ht="12.75" customHeight="1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3">
        <v>45573.0</v>
      </c>
      <c r="G2" s="1" t="s">
        <v>33</v>
      </c>
      <c r="H2" s="1" t="s">
        <v>34</v>
      </c>
      <c r="I2" s="1" t="s">
        <v>7</v>
      </c>
      <c r="J2" s="1" t="s">
        <v>35</v>
      </c>
      <c r="K2" s="1" t="s">
        <v>36</v>
      </c>
      <c r="L2" s="1" t="s">
        <v>37</v>
      </c>
      <c r="M2" s="3">
        <v>45888.0</v>
      </c>
      <c r="N2" s="1" t="s">
        <v>8</v>
      </c>
      <c r="O2" s="3">
        <v>45888.0</v>
      </c>
      <c r="P2" s="5">
        <f t="shared" ref="P2:P6" si="1">DATE(YEAR(O2),MONTH(O2),DAY(O2))</f>
        <v>45888</v>
      </c>
      <c r="Q2" s="2"/>
      <c r="R2" s="2"/>
    </row>
    <row r="3" ht="12.75" customHeight="1">
      <c r="A3" s="1" t="s">
        <v>38</v>
      </c>
      <c r="B3" s="1" t="s">
        <v>39</v>
      </c>
      <c r="C3" s="1" t="s">
        <v>40</v>
      </c>
      <c r="D3" s="1" t="s">
        <v>41</v>
      </c>
      <c r="E3" s="1" t="s">
        <v>32</v>
      </c>
      <c r="F3" s="3">
        <v>45120.0</v>
      </c>
      <c r="G3" s="1" t="s">
        <v>42</v>
      </c>
      <c r="H3" s="1" t="s">
        <v>43</v>
      </c>
      <c r="I3" s="1" t="s">
        <v>7</v>
      </c>
      <c r="J3" s="1" t="s">
        <v>44</v>
      </c>
      <c r="K3" s="1" t="s">
        <v>36</v>
      </c>
      <c r="L3" s="1" t="s">
        <v>37</v>
      </c>
      <c r="M3" s="3">
        <v>45888.0</v>
      </c>
      <c r="N3" s="1" t="s">
        <v>8</v>
      </c>
      <c r="O3" s="3">
        <v>45888.0</v>
      </c>
      <c r="P3" s="5">
        <f t="shared" si="1"/>
        <v>45888</v>
      </c>
      <c r="Q3" s="2"/>
      <c r="R3" s="2"/>
    </row>
    <row r="4" ht="12.75" customHeight="1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  <c r="F4" s="3">
        <v>44741.0</v>
      </c>
      <c r="G4" s="1" t="s">
        <v>50</v>
      </c>
      <c r="H4" s="1" t="s">
        <v>51</v>
      </c>
      <c r="I4" s="1" t="s">
        <v>7</v>
      </c>
      <c r="J4" s="1" t="s">
        <v>52</v>
      </c>
      <c r="K4" s="1" t="s">
        <v>36</v>
      </c>
      <c r="L4" s="1" t="s">
        <v>37</v>
      </c>
      <c r="M4" s="3">
        <v>46018.0</v>
      </c>
      <c r="N4" s="1" t="s">
        <v>8</v>
      </c>
      <c r="O4" s="3">
        <v>46018.0</v>
      </c>
      <c r="P4" s="5">
        <f t="shared" si="1"/>
        <v>46018</v>
      </c>
      <c r="Q4" s="2"/>
      <c r="R4" s="2"/>
    </row>
    <row r="5" ht="12.75" customHeight="1">
      <c r="A5" s="1" t="s">
        <v>53</v>
      </c>
      <c r="B5" s="1" t="s">
        <v>54</v>
      </c>
      <c r="C5" s="1" t="s">
        <v>55</v>
      </c>
      <c r="D5" s="1" t="s">
        <v>56</v>
      </c>
      <c r="E5" s="1" t="s">
        <v>32</v>
      </c>
      <c r="F5" s="3">
        <v>44910.0</v>
      </c>
      <c r="G5" s="1" t="s">
        <v>57</v>
      </c>
      <c r="H5" s="1" t="s">
        <v>58</v>
      </c>
      <c r="I5" s="1" t="s">
        <v>7</v>
      </c>
      <c r="J5" s="1" t="s">
        <v>59</v>
      </c>
      <c r="K5" s="1" t="s">
        <v>36</v>
      </c>
      <c r="L5" s="1" t="s">
        <v>37</v>
      </c>
      <c r="M5" s="3">
        <v>46100.0</v>
      </c>
      <c r="N5" s="1" t="s">
        <v>8</v>
      </c>
      <c r="O5" s="3">
        <v>46100.0</v>
      </c>
      <c r="P5" s="5">
        <f t="shared" si="1"/>
        <v>46100</v>
      </c>
      <c r="Q5" s="2"/>
      <c r="R5" s="2"/>
    </row>
    <row r="6" ht="12.75" customHeight="1">
      <c r="A6" s="1" t="s">
        <v>60</v>
      </c>
      <c r="B6" s="1" t="s">
        <v>61</v>
      </c>
      <c r="C6" s="1" t="s">
        <v>62</v>
      </c>
      <c r="D6" s="1" t="s">
        <v>63</v>
      </c>
      <c r="E6" s="1" t="s">
        <v>32</v>
      </c>
      <c r="F6" s="3">
        <v>45695.0</v>
      </c>
      <c r="G6" s="1" t="s">
        <v>42</v>
      </c>
      <c r="H6" s="1" t="s">
        <v>64</v>
      </c>
      <c r="I6" s="1" t="s">
        <v>7</v>
      </c>
      <c r="J6" s="1" t="s">
        <v>65</v>
      </c>
      <c r="K6" s="1" t="s">
        <v>36</v>
      </c>
      <c r="L6" s="1" t="s">
        <v>37</v>
      </c>
      <c r="M6" s="3">
        <v>46165.0</v>
      </c>
      <c r="N6" s="1" t="s">
        <v>8</v>
      </c>
      <c r="O6" s="3">
        <v>46165.0</v>
      </c>
      <c r="P6" s="5">
        <f t="shared" si="1"/>
        <v>46165</v>
      </c>
      <c r="Q6" s="2"/>
      <c r="R6" s="2"/>
    </row>
    <row r="7" ht="12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ht="12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</sheetData>
  <printOptions/>
  <pageMargins bottom="1.0" footer="0.0" header="0.0" left="0.75" right="0.75" top="1.0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17.63"/>
    <col customWidth="1" min="3" max="3" width="39.63"/>
    <col customWidth="1" min="4" max="4" width="12.88"/>
    <col customWidth="1" min="5" max="5" width="13.13"/>
    <col customWidth="1" min="6" max="22" width="8.63"/>
  </cols>
  <sheetData>
    <row r="1">
      <c r="A1" s="6" t="s">
        <v>66</v>
      </c>
      <c r="B1" s="6" t="s">
        <v>67</v>
      </c>
      <c r="C1" s="6" t="s">
        <v>68</v>
      </c>
      <c r="D1" s="6" t="s">
        <v>69</v>
      </c>
      <c r="E1" s="6" t="s">
        <v>70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>
      <c r="A2" s="6" t="s">
        <v>10</v>
      </c>
      <c r="B2" s="8" t="s">
        <v>71</v>
      </c>
      <c r="C2" s="8" t="s">
        <v>72</v>
      </c>
      <c r="D2" s="9">
        <v>375.0</v>
      </c>
      <c r="E2" s="10">
        <v>45126.0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>
      <c r="A3" s="6" t="s">
        <v>10</v>
      </c>
      <c r="B3" s="8" t="s">
        <v>73</v>
      </c>
      <c r="C3" s="8" t="s">
        <v>74</v>
      </c>
      <c r="D3" s="9">
        <v>375.0</v>
      </c>
      <c r="E3" s="10">
        <v>45126.0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>
      <c r="A4" s="6" t="s">
        <v>10</v>
      </c>
      <c r="B4" s="8" t="s">
        <v>75</v>
      </c>
      <c r="C4" s="8" t="s">
        <v>76</v>
      </c>
      <c r="D4" s="9">
        <v>375.0</v>
      </c>
      <c r="E4" s="10">
        <v>45126.0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>
      <c r="A5" s="6" t="s">
        <v>10</v>
      </c>
      <c r="B5" s="8" t="s">
        <v>77</v>
      </c>
      <c r="C5" s="8" t="s">
        <v>78</v>
      </c>
      <c r="D5" s="9">
        <v>375.0</v>
      </c>
      <c r="E5" s="10">
        <v>45126.0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>
      <c r="A6" s="6" t="s">
        <v>10</v>
      </c>
      <c r="B6" s="8" t="s">
        <v>79</v>
      </c>
      <c r="C6" s="8" t="s">
        <v>80</v>
      </c>
      <c r="D6" s="9">
        <v>750.0</v>
      </c>
      <c r="E6" s="10">
        <v>45126.0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>
      <c r="A7" s="6" t="s">
        <v>10</v>
      </c>
      <c r="B7" s="8" t="s">
        <v>81</v>
      </c>
      <c r="C7" s="8" t="s">
        <v>82</v>
      </c>
      <c r="D7" s="9">
        <v>650.0</v>
      </c>
      <c r="E7" s="10">
        <v>45126.0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>
      <c r="A8" s="6" t="s">
        <v>10</v>
      </c>
      <c r="B8" s="8" t="s">
        <v>83</v>
      </c>
      <c r="C8" s="8" t="s">
        <v>84</v>
      </c>
      <c r="D8" s="9">
        <v>750.0</v>
      </c>
      <c r="E8" s="10">
        <v>45126.0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>
      <c r="A9" s="6" t="s">
        <v>10</v>
      </c>
      <c r="B9" s="8" t="s">
        <v>85</v>
      </c>
      <c r="C9" s="8" t="s">
        <v>86</v>
      </c>
      <c r="D9" s="9">
        <v>500.0</v>
      </c>
      <c r="E9" s="10">
        <v>45126.0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>
      <c r="A10" s="6" t="s">
        <v>10</v>
      </c>
      <c r="B10" s="8" t="s">
        <v>87</v>
      </c>
      <c r="C10" s="8" t="s">
        <v>88</v>
      </c>
      <c r="D10" s="9">
        <v>750.0</v>
      </c>
      <c r="E10" s="10">
        <v>45126.0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>
      <c r="A11" s="6" t="s">
        <v>10</v>
      </c>
      <c r="B11" s="8" t="s">
        <v>89</v>
      </c>
      <c r="C11" s="8" t="s">
        <v>90</v>
      </c>
      <c r="D11" s="9">
        <v>750.0</v>
      </c>
      <c r="E11" s="10">
        <v>45126.0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>
      <c r="A12" s="6" t="s">
        <v>9</v>
      </c>
      <c r="B12" s="8" t="s">
        <v>71</v>
      </c>
      <c r="C12" s="8" t="s">
        <v>72</v>
      </c>
      <c r="D12" s="9">
        <v>250.0</v>
      </c>
      <c r="E12" s="10">
        <v>41923.0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>
      <c r="A13" s="6" t="s">
        <v>9</v>
      </c>
      <c r="B13" s="8" t="s">
        <v>73</v>
      </c>
      <c r="C13" s="8" t="s">
        <v>74</v>
      </c>
      <c r="D13" s="9">
        <v>250.0</v>
      </c>
      <c r="E13" s="10">
        <v>41923.0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>
      <c r="A14" s="6" t="s">
        <v>9</v>
      </c>
      <c r="B14" s="8" t="s">
        <v>75</v>
      </c>
      <c r="C14" s="8" t="s">
        <v>76</v>
      </c>
      <c r="D14" s="9">
        <v>250.0</v>
      </c>
      <c r="E14" s="10">
        <v>41923.0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>
      <c r="A15" s="6" t="s">
        <v>9</v>
      </c>
      <c r="B15" s="8" t="s">
        <v>77</v>
      </c>
      <c r="C15" s="8" t="s">
        <v>78</v>
      </c>
      <c r="D15" s="9">
        <v>250.0</v>
      </c>
      <c r="E15" s="10">
        <v>41923.0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>
      <c r="A16" s="6" t="s">
        <v>9</v>
      </c>
      <c r="B16" s="8" t="s">
        <v>79</v>
      </c>
      <c r="C16" s="8" t="s">
        <v>80</v>
      </c>
      <c r="D16" s="9">
        <v>500.0</v>
      </c>
      <c r="E16" s="10">
        <v>41923.0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>
      <c r="A17" s="6" t="s">
        <v>9</v>
      </c>
      <c r="B17" s="8" t="s">
        <v>81</v>
      </c>
      <c r="C17" s="8" t="s">
        <v>82</v>
      </c>
      <c r="D17" s="9">
        <v>500.0</v>
      </c>
      <c r="E17" s="10">
        <v>41923.0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>
      <c r="A18" s="6" t="s">
        <v>9</v>
      </c>
      <c r="B18" s="8" t="s">
        <v>83</v>
      </c>
      <c r="C18" s="8" t="s">
        <v>84</v>
      </c>
      <c r="D18" s="9">
        <v>500.0</v>
      </c>
      <c r="E18" s="10">
        <v>41923.0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>
      <c r="A19" s="6" t="s">
        <v>9</v>
      </c>
      <c r="B19" s="8" t="s">
        <v>85</v>
      </c>
      <c r="C19" s="8" t="s">
        <v>86</v>
      </c>
      <c r="D19" s="9">
        <v>100.0</v>
      </c>
      <c r="E19" s="10">
        <v>41962.0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>
      <c r="A20" s="6" t="s">
        <v>9</v>
      </c>
      <c r="B20" s="8" t="s">
        <v>87</v>
      </c>
      <c r="C20" s="8" t="s">
        <v>88</v>
      </c>
      <c r="D20" s="9">
        <v>500.0</v>
      </c>
      <c r="E20" s="10">
        <v>42671.0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ht="15.75" customHeight="1">
      <c r="A21" s="6" t="s">
        <v>9</v>
      </c>
      <c r="B21" s="8" t="s">
        <v>89</v>
      </c>
      <c r="C21" s="8" t="s">
        <v>90</v>
      </c>
      <c r="D21" s="9">
        <v>500.0</v>
      </c>
      <c r="E21" s="10">
        <v>43614.0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ht="15.75" customHeight="1">
      <c r="A22" s="6" t="s">
        <v>7</v>
      </c>
      <c r="B22" s="8" t="s">
        <v>71</v>
      </c>
      <c r="C22" s="8" t="s">
        <v>72</v>
      </c>
      <c r="D22" s="9">
        <v>300.0</v>
      </c>
      <c r="E22" s="10">
        <v>44295.0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ht="15.75" customHeight="1">
      <c r="A23" s="6" t="s">
        <v>7</v>
      </c>
      <c r="B23" s="8" t="s">
        <v>73</v>
      </c>
      <c r="C23" s="8" t="s">
        <v>74</v>
      </c>
      <c r="D23" s="9">
        <v>300.0</v>
      </c>
      <c r="E23" s="10">
        <v>44295.0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ht="15.75" customHeight="1">
      <c r="A24" s="6" t="s">
        <v>7</v>
      </c>
      <c r="B24" s="8" t="s">
        <v>75</v>
      </c>
      <c r="C24" s="8" t="s">
        <v>76</v>
      </c>
      <c r="D24" s="9">
        <v>300.0</v>
      </c>
      <c r="E24" s="10">
        <v>44295.0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ht="15.75" customHeight="1">
      <c r="A25" s="6" t="s">
        <v>7</v>
      </c>
      <c r="B25" s="8" t="s">
        <v>77</v>
      </c>
      <c r="C25" s="8" t="s">
        <v>78</v>
      </c>
      <c r="D25" s="9">
        <v>300.0</v>
      </c>
      <c r="E25" s="10">
        <v>44295.0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ht="15.75" customHeight="1">
      <c r="A26" s="6" t="s">
        <v>7</v>
      </c>
      <c r="B26" s="8" t="s">
        <v>79</v>
      </c>
      <c r="C26" s="8" t="s">
        <v>80</v>
      </c>
      <c r="D26" s="9">
        <v>575.0</v>
      </c>
      <c r="E26" s="10">
        <v>44295.0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ht="15.75" customHeight="1">
      <c r="A27" s="6" t="s">
        <v>7</v>
      </c>
      <c r="B27" s="8" t="s">
        <v>81</v>
      </c>
      <c r="C27" s="8" t="s">
        <v>82</v>
      </c>
      <c r="D27" s="9">
        <v>500.0</v>
      </c>
      <c r="E27" s="10">
        <v>44271.0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ht="15.75" customHeight="1">
      <c r="A28" s="6" t="s">
        <v>7</v>
      </c>
      <c r="B28" s="8" t="s">
        <v>83</v>
      </c>
      <c r="C28" s="8" t="s">
        <v>84</v>
      </c>
      <c r="D28" s="9">
        <v>575.0</v>
      </c>
      <c r="E28" s="10">
        <v>44295.0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ht="15.75" customHeight="1">
      <c r="A29" s="6" t="s">
        <v>7</v>
      </c>
      <c r="B29" s="8" t="s">
        <v>85</v>
      </c>
      <c r="C29" s="8" t="s">
        <v>86</v>
      </c>
      <c r="D29" s="9">
        <v>200.0</v>
      </c>
      <c r="E29" s="10">
        <v>44295.0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ht="15.75" customHeight="1">
      <c r="A30" s="6" t="s">
        <v>7</v>
      </c>
      <c r="B30" s="8" t="s">
        <v>87</v>
      </c>
      <c r="C30" s="8" t="s">
        <v>88</v>
      </c>
      <c r="D30" s="9">
        <v>500.0</v>
      </c>
      <c r="E30" s="10">
        <v>44271.0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ht="15.75" customHeight="1">
      <c r="A31" s="6" t="s">
        <v>7</v>
      </c>
      <c r="B31" s="8" t="s">
        <v>89</v>
      </c>
      <c r="C31" s="8" t="s">
        <v>90</v>
      </c>
      <c r="D31" s="9">
        <v>500.0</v>
      </c>
      <c r="E31" s="10">
        <v>44271.0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18.0"/>
    <col customWidth="1" min="3" max="3" width="20.25"/>
    <col customWidth="1" min="4" max="4" width="11.25"/>
    <col customWidth="1" min="5" max="5" width="17.13"/>
    <col customWidth="1" min="6" max="6" width="8.38"/>
    <col customWidth="1" min="7" max="7" width="12.63"/>
    <col customWidth="1" min="8" max="9" width="11.38"/>
    <col customWidth="1" min="10" max="10" width="11.13"/>
    <col customWidth="1" min="11" max="11" width="10.75"/>
    <col customWidth="1" min="12" max="12" width="20.38"/>
    <col customWidth="1" min="13" max="13" width="11.75"/>
    <col customWidth="1" min="14" max="14" width="12.88"/>
    <col customWidth="1" min="15" max="15" width="17.63"/>
    <col customWidth="1" min="16" max="17" width="16.75"/>
    <col customWidth="1" min="18" max="18" width="8.13"/>
    <col customWidth="1" min="19" max="19" width="13.0"/>
    <col customWidth="1" min="20" max="20" width="11.13"/>
    <col customWidth="1" min="21" max="21" width="4.75"/>
    <col customWidth="1" min="22" max="22" width="16.75"/>
  </cols>
  <sheetData>
    <row r="1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70</v>
      </c>
      <c r="R1" s="1" t="s">
        <v>107</v>
      </c>
      <c r="S1" s="1" t="s">
        <v>108</v>
      </c>
      <c r="T1" s="1" t="s">
        <v>109</v>
      </c>
      <c r="U1" s="1" t="s">
        <v>110</v>
      </c>
      <c r="V1" s="1" t="s">
        <v>111</v>
      </c>
    </row>
    <row r="2">
      <c r="A2" s="1" t="s">
        <v>60</v>
      </c>
      <c r="B2" s="1" t="s">
        <v>112</v>
      </c>
      <c r="C2" s="1" t="s">
        <v>113</v>
      </c>
      <c r="D2" s="1" t="s">
        <v>61</v>
      </c>
      <c r="E2" s="1" t="s">
        <v>62</v>
      </c>
      <c r="F2" s="1" t="s">
        <v>114</v>
      </c>
      <c r="G2" s="1" t="s">
        <v>63</v>
      </c>
      <c r="H2" s="1" t="s">
        <v>32</v>
      </c>
      <c r="I2" s="1">
        <v>45695.0</v>
      </c>
      <c r="J2" s="1" t="s">
        <v>115</v>
      </c>
      <c r="K2" s="3" t="s">
        <v>42</v>
      </c>
      <c r="L2" s="1" t="s">
        <v>7</v>
      </c>
      <c r="M2" s="1" t="s">
        <v>64</v>
      </c>
      <c r="N2" s="1" t="s">
        <v>116</v>
      </c>
      <c r="O2" s="3">
        <v>45695.0</v>
      </c>
      <c r="P2" s="1" t="s">
        <v>8</v>
      </c>
      <c r="Q2" s="3">
        <v>46165.0</v>
      </c>
      <c r="R2" s="1"/>
      <c r="S2" s="3" t="s">
        <v>117</v>
      </c>
      <c r="T2" s="3" t="s">
        <v>118</v>
      </c>
      <c r="U2" s="3" t="s">
        <v>119</v>
      </c>
      <c r="V2" s="1" t="s">
        <v>118</v>
      </c>
    </row>
    <row r="3">
      <c r="A3" s="1" t="s">
        <v>28</v>
      </c>
      <c r="B3" s="1" t="s">
        <v>120</v>
      </c>
      <c r="C3" s="1" t="s">
        <v>121</v>
      </c>
      <c r="D3" s="1" t="s">
        <v>29</v>
      </c>
      <c r="E3" s="1" t="s">
        <v>30</v>
      </c>
      <c r="F3" s="1" t="s">
        <v>114</v>
      </c>
      <c r="G3" s="1" t="s">
        <v>31</v>
      </c>
      <c r="H3" s="1" t="s">
        <v>32</v>
      </c>
      <c r="I3" s="1">
        <v>45573.0</v>
      </c>
      <c r="J3" s="1" t="s">
        <v>115</v>
      </c>
      <c r="K3" s="3" t="s">
        <v>33</v>
      </c>
      <c r="L3" s="1" t="s">
        <v>7</v>
      </c>
      <c r="M3" s="1" t="s">
        <v>34</v>
      </c>
      <c r="N3" s="1" t="s">
        <v>116</v>
      </c>
      <c r="O3" s="3">
        <v>45575.0</v>
      </c>
      <c r="P3" s="1" t="s">
        <v>8</v>
      </c>
      <c r="Q3" s="3">
        <v>45888.0</v>
      </c>
      <c r="R3" s="1"/>
      <c r="S3" s="3" t="s">
        <v>117</v>
      </c>
      <c r="T3" s="3" t="s">
        <v>122</v>
      </c>
      <c r="U3" s="3" t="s">
        <v>119</v>
      </c>
      <c r="V3" s="1" t="s">
        <v>122</v>
      </c>
    </row>
    <row r="4">
      <c r="A4" s="1" t="s">
        <v>38</v>
      </c>
      <c r="B4" s="1" t="s">
        <v>123</v>
      </c>
      <c r="C4" s="1" t="s">
        <v>124</v>
      </c>
      <c r="D4" s="1" t="s">
        <v>39</v>
      </c>
      <c r="E4" s="1" t="s">
        <v>40</v>
      </c>
      <c r="F4" s="1" t="s">
        <v>114</v>
      </c>
      <c r="G4" s="1" t="s">
        <v>41</v>
      </c>
      <c r="H4" s="1" t="s">
        <v>32</v>
      </c>
      <c r="I4" s="1">
        <v>45120.0</v>
      </c>
      <c r="J4" s="1" t="s">
        <v>115</v>
      </c>
      <c r="K4" s="3" t="s">
        <v>42</v>
      </c>
      <c r="L4" s="1" t="s">
        <v>7</v>
      </c>
      <c r="M4" s="1" t="s">
        <v>43</v>
      </c>
      <c r="N4" s="1" t="s">
        <v>116</v>
      </c>
      <c r="O4" s="3">
        <v>45120.0</v>
      </c>
      <c r="P4" s="1" t="s">
        <v>8</v>
      </c>
      <c r="Q4" s="3">
        <v>45888.0</v>
      </c>
      <c r="R4" s="1"/>
      <c r="S4" s="3" t="s">
        <v>125</v>
      </c>
      <c r="T4" s="3" t="s">
        <v>126</v>
      </c>
      <c r="U4" s="3" t="s">
        <v>119</v>
      </c>
      <c r="V4" s="1" t="s">
        <v>126</v>
      </c>
    </row>
    <row r="5">
      <c r="A5" s="1" t="s">
        <v>53</v>
      </c>
      <c r="B5" s="1" t="s">
        <v>127</v>
      </c>
      <c r="C5" s="1" t="s">
        <v>128</v>
      </c>
      <c r="D5" s="1" t="s">
        <v>54</v>
      </c>
      <c r="E5" s="1" t="s">
        <v>55</v>
      </c>
      <c r="F5" s="1" t="s">
        <v>114</v>
      </c>
      <c r="G5" s="1" t="s">
        <v>56</v>
      </c>
      <c r="H5" s="1" t="s">
        <v>32</v>
      </c>
      <c r="I5" s="1">
        <v>44910.0</v>
      </c>
      <c r="J5" s="1" t="s">
        <v>115</v>
      </c>
      <c r="K5" s="3" t="s">
        <v>57</v>
      </c>
      <c r="L5" s="1" t="s">
        <v>7</v>
      </c>
      <c r="M5" s="1" t="s">
        <v>58</v>
      </c>
      <c r="N5" s="1" t="s">
        <v>116</v>
      </c>
      <c r="O5" s="3">
        <v>44910.0</v>
      </c>
      <c r="P5" s="1" t="s">
        <v>8</v>
      </c>
      <c r="Q5" s="3">
        <v>46100.0</v>
      </c>
      <c r="R5" s="1"/>
      <c r="S5" s="3" t="s">
        <v>129</v>
      </c>
      <c r="T5" s="3" t="s">
        <v>130</v>
      </c>
      <c r="U5" s="3" t="s">
        <v>119</v>
      </c>
      <c r="V5" s="1" t="s">
        <v>130</v>
      </c>
    </row>
    <row r="6">
      <c r="A6" s="1" t="s">
        <v>45</v>
      </c>
      <c r="B6" s="1" t="s">
        <v>131</v>
      </c>
      <c r="C6" s="1" t="s">
        <v>132</v>
      </c>
      <c r="D6" s="1" t="s">
        <v>46</v>
      </c>
      <c r="E6" s="1" t="s">
        <v>47</v>
      </c>
      <c r="F6" s="1" t="s">
        <v>114</v>
      </c>
      <c r="G6" s="1" t="s">
        <v>48</v>
      </c>
      <c r="H6" s="1" t="s">
        <v>49</v>
      </c>
      <c r="I6" s="1">
        <v>44741.0</v>
      </c>
      <c r="J6" s="1" t="s">
        <v>133</v>
      </c>
      <c r="K6" s="3" t="s">
        <v>50</v>
      </c>
      <c r="L6" s="1" t="s">
        <v>7</v>
      </c>
      <c r="M6" s="1" t="s">
        <v>51</v>
      </c>
      <c r="N6" s="1" t="s">
        <v>116</v>
      </c>
      <c r="O6" s="3">
        <v>44749.0</v>
      </c>
      <c r="P6" s="1" t="s">
        <v>8</v>
      </c>
      <c r="Q6" s="3">
        <v>46018.0</v>
      </c>
      <c r="R6" s="1"/>
      <c r="S6" s="3" t="s">
        <v>134</v>
      </c>
      <c r="T6" s="3" t="s">
        <v>135</v>
      </c>
      <c r="U6" s="3" t="s">
        <v>119</v>
      </c>
      <c r="V6" s="1" t="s">
        <v>135</v>
      </c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R7" s="2"/>
      <c r="S7" s="2"/>
      <c r="T7" s="2"/>
      <c r="U7" s="2"/>
      <c r="V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R8" s="2"/>
      <c r="S8" s="2"/>
      <c r="T8" s="2"/>
      <c r="U8" s="2"/>
      <c r="V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R9" s="2"/>
      <c r="S9" s="2"/>
      <c r="T9" s="2"/>
      <c r="U9" s="2"/>
      <c r="V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R10" s="2"/>
      <c r="S10" s="2"/>
      <c r="T10" s="2"/>
      <c r="U10" s="2"/>
      <c r="V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R11" s="2"/>
      <c r="S11" s="2"/>
      <c r="T11" s="2"/>
      <c r="U11" s="2"/>
      <c r="V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R12" s="2"/>
      <c r="S12" s="2"/>
      <c r="T12" s="2"/>
      <c r="U12" s="2"/>
      <c r="V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R13" s="2"/>
      <c r="S13" s="2"/>
      <c r="T13" s="2"/>
      <c r="U13" s="2"/>
      <c r="V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R14" s="2"/>
      <c r="S14" s="2"/>
      <c r="T14" s="2"/>
      <c r="U14" s="2"/>
      <c r="V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R15" s="2"/>
      <c r="S15" s="2"/>
      <c r="T15" s="2"/>
      <c r="U15" s="2"/>
      <c r="V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R16" s="2"/>
      <c r="S16" s="2"/>
      <c r="T16" s="2"/>
      <c r="U16" s="2"/>
      <c r="V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R17" s="2"/>
      <c r="S17" s="2"/>
      <c r="T17" s="2"/>
      <c r="U17" s="2"/>
      <c r="V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R18" s="2"/>
      <c r="S18" s="2"/>
      <c r="T18" s="2"/>
      <c r="U18" s="2"/>
      <c r="V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R19" s="2"/>
      <c r="S19" s="2"/>
      <c r="T19" s="2"/>
      <c r="U19" s="2"/>
      <c r="V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R20" s="2"/>
      <c r="S20" s="2"/>
      <c r="T20" s="2"/>
      <c r="U20" s="2"/>
      <c r="V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R21" s="2"/>
      <c r="S21" s="2"/>
      <c r="T21" s="2"/>
      <c r="U21" s="2"/>
      <c r="V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R22" s="2"/>
      <c r="S22" s="2"/>
      <c r="T22" s="2"/>
      <c r="U22" s="2"/>
      <c r="V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R23" s="2"/>
      <c r="S23" s="2"/>
      <c r="T23" s="2"/>
      <c r="U23" s="2"/>
      <c r="V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R24" s="2"/>
      <c r="S24" s="2"/>
      <c r="T24" s="2"/>
      <c r="U24" s="2"/>
      <c r="V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R25" s="2"/>
      <c r="S25" s="2"/>
      <c r="T25" s="2"/>
      <c r="U25" s="2"/>
      <c r="V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R26" s="2"/>
      <c r="S26" s="2"/>
      <c r="T26" s="2"/>
      <c r="U26" s="2"/>
      <c r="V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R27" s="2"/>
      <c r="S27" s="2"/>
      <c r="T27" s="2"/>
      <c r="U27" s="2"/>
      <c r="V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R28" s="2"/>
      <c r="S28" s="2"/>
      <c r="T28" s="2"/>
      <c r="U28" s="2"/>
      <c r="V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R29" s="2"/>
      <c r="S29" s="2"/>
      <c r="T29" s="2"/>
      <c r="U29" s="2"/>
      <c r="V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R30" s="2"/>
      <c r="S30" s="2"/>
      <c r="T30" s="2"/>
      <c r="U30" s="2"/>
      <c r="V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R31" s="2"/>
      <c r="S31" s="2"/>
      <c r="T31" s="2"/>
      <c r="U31" s="2"/>
      <c r="V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R32" s="2"/>
      <c r="S32" s="2"/>
      <c r="T32" s="2"/>
      <c r="U32" s="2"/>
      <c r="V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R33" s="2"/>
      <c r="S33" s="2"/>
      <c r="T33" s="2"/>
      <c r="U33" s="2"/>
      <c r="V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R34" s="2"/>
      <c r="S34" s="2"/>
      <c r="T34" s="2"/>
      <c r="U34" s="2"/>
      <c r="V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R35" s="2"/>
      <c r="S35" s="2"/>
      <c r="T35" s="2"/>
      <c r="U35" s="2"/>
      <c r="V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R36" s="2"/>
      <c r="S36" s="2"/>
      <c r="T36" s="2"/>
      <c r="U36" s="2"/>
      <c r="V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R37" s="2"/>
      <c r="S37" s="2"/>
      <c r="T37" s="2"/>
      <c r="U37" s="2"/>
      <c r="V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R38" s="2"/>
      <c r="S38" s="2"/>
      <c r="T38" s="2"/>
      <c r="U38" s="2"/>
      <c r="V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R39" s="2"/>
      <c r="S39" s="2"/>
      <c r="T39" s="2"/>
      <c r="U39" s="2"/>
      <c r="V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R40" s="2"/>
      <c r="S40" s="2"/>
      <c r="T40" s="2"/>
      <c r="U40" s="2"/>
      <c r="V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R41" s="2"/>
      <c r="S41" s="2"/>
      <c r="T41" s="2"/>
      <c r="U41" s="2"/>
      <c r="V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R42" s="2"/>
      <c r="S42" s="2"/>
      <c r="T42" s="2"/>
      <c r="U42" s="2"/>
      <c r="V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R43" s="2"/>
      <c r="S43" s="2"/>
      <c r="T43" s="2"/>
      <c r="U43" s="2"/>
      <c r="V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R44" s="2"/>
      <c r="S44" s="2"/>
      <c r="T44" s="2"/>
      <c r="U44" s="2"/>
      <c r="V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R45" s="2"/>
      <c r="S45" s="2"/>
      <c r="T45" s="2"/>
      <c r="U45" s="2"/>
      <c r="V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R46" s="2"/>
      <c r="S46" s="2"/>
      <c r="T46" s="2"/>
      <c r="U46" s="2"/>
      <c r="V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R47" s="2"/>
      <c r="S47" s="2"/>
      <c r="T47" s="2"/>
      <c r="U47" s="2"/>
      <c r="V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R48" s="2"/>
      <c r="S48" s="2"/>
      <c r="T48" s="2"/>
      <c r="U48" s="2"/>
      <c r="V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R49" s="2"/>
      <c r="S49" s="2"/>
      <c r="T49" s="2"/>
      <c r="U49" s="2"/>
      <c r="V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R50" s="2"/>
      <c r="S50" s="2"/>
      <c r="T50" s="2"/>
      <c r="U50" s="2"/>
      <c r="V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R51" s="2"/>
      <c r="S51" s="2"/>
      <c r="T51" s="2"/>
      <c r="U51" s="2"/>
      <c r="V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R52" s="2"/>
      <c r="S52" s="2"/>
      <c r="T52" s="2"/>
      <c r="U52" s="2"/>
      <c r="V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R53" s="2"/>
      <c r="S53" s="2"/>
      <c r="T53" s="2"/>
      <c r="U53" s="2"/>
      <c r="V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R54" s="2"/>
      <c r="S54" s="2"/>
      <c r="T54" s="2"/>
      <c r="U54" s="2"/>
      <c r="V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R55" s="2"/>
      <c r="S55" s="2"/>
      <c r="T55" s="2"/>
      <c r="U55" s="2"/>
      <c r="V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R56" s="2"/>
      <c r="S56" s="2"/>
      <c r="T56" s="2"/>
      <c r="U56" s="2"/>
      <c r="V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R57" s="2"/>
      <c r="S57" s="2"/>
      <c r="T57" s="2"/>
      <c r="U57" s="2"/>
      <c r="V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R58" s="2"/>
      <c r="S58" s="2"/>
      <c r="T58" s="2"/>
      <c r="U58" s="2"/>
      <c r="V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R59" s="2"/>
      <c r="S59" s="2"/>
      <c r="T59" s="2"/>
      <c r="U59" s="2"/>
      <c r="V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R60" s="2"/>
      <c r="S60" s="2"/>
      <c r="T60" s="2"/>
      <c r="U60" s="2"/>
      <c r="V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R61" s="2"/>
      <c r="S61" s="2"/>
      <c r="T61" s="2"/>
      <c r="U61" s="2"/>
      <c r="V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R62" s="2"/>
      <c r="S62" s="2"/>
      <c r="T62" s="2"/>
      <c r="U62" s="2"/>
      <c r="V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R63" s="2"/>
      <c r="S63" s="2"/>
      <c r="T63" s="2"/>
      <c r="U63" s="2"/>
      <c r="V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R64" s="2"/>
      <c r="S64" s="2"/>
      <c r="T64" s="2"/>
      <c r="U64" s="2"/>
      <c r="V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R65" s="2"/>
      <c r="S65" s="2"/>
      <c r="T65" s="2"/>
      <c r="U65" s="2"/>
      <c r="V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R66" s="2"/>
      <c r="S66" s="2"/>
      <c r="T66" s="2"/>
      <c r="U66" s="2"/>
      <c r="V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R67" s="2"/>
      <c r="S67" s="2"/>
      <c r="T67" s="2"/>
      <c r="U67" s="2"/>
      <c r="V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R68" s="2"/>
      <c r="S68" s="2"/>
      <c r="T68" s="2"/>
      <c r="U68" s="2"/>
      <c r="V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R69" s="2"/>
      <c r="S69" s="2"/>
      <c r="T69" s="2"/>
      <c r="U69" s="2"/>
      <c r="V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R70" s="2"/>
      <c r="S70" s="2"/>
      <c r="T70" s="2"/>
      <c r="U70" s="2"/>
      <c r="V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R71" s="2"/>
      <c r="S71" s="2"/>
      <c r="T71" s="2"/>
      <c r="U71" s="2"/>
      <c r="V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R72" s="2"/>
      <c r="S72" s="2"/>
      <c r="T72" s="2"/>
      <c r="U72" s="2"/>
      <c r="V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R73" s="2"/>
      <c r="S73" s="2"/>
      <c r="T73" s="2"/>
      <c r="U73" s="2"/>
      <c r="V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R74" s="2"/>
      <c r="S74" s="2"/>
      <c r="T74" s="2"/>
      <c r="U74" s="2"/>
      <c r="V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R75" s="2"/>
      <c r="S75" s="2"/>
      <c r="T75" s="2"/>
      <c r="U75" s="2"/>
      <c r="V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R76" s="2"/>
      <c r="S76" s="2"/>
      <c r="T76" s="2"/>
      <c r="U76" s="2"/>
      <c r="V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R77" s="2"/>
      <c r="S77" s="2"/>
      <c r="T77" s="2"/>
      <c r="U77" s="2"/>
      <c r="V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R78" s="2"/>
      <c r="S78" s="2"/>
      <c r="T78" s="2"/>
      <c r="U78" s="2"/>
      <c r="V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R79" s="2"/>
      <c r="S79" s="2"/>
      <c r="T79" s="2"/>
      <c r="U79" s="2"/>
      <c r="V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R80" s="2"/>
      <c r="S80" s="2"/>
      <c r="T80" s="2"/>
      <c r="U80" s="2"/>
      <c r="V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R81" s="2"/>
      <c r="S81" s="2"/>
      <c r="T81" s="2"/>
      <c r="U81" s="2"/>
      <c r="V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R82" s="2"/>
      <c r="S82" s="2"/>
      <c r="T82" s="2"/>
      <c r="U82" s="2"/>
      <c r="V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R83" s="2"/>
      <c r="S83" s="2"/>
      <c r="T83" s="2"/>
      <c r="U83" s="2"/>
      <c r="V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R84" s="2"/>
      <c r="S84" s="2"/>
      <c r="T84" s="2"/>
      <c r="U84" s="2"/>
      <c r="V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R85" s="2"/>
      <c r="S85" s="2"/>
      <c r="T85" s="2"/>
      <c r="U85" s="2"/>
      <c r="V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R86" s="2"/>
      <c r="S86" s="2"/>
      <c r="T86" s="2"/>
      <c r="U86" s="2"/>
      <c r="V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R87" s="2"/>
      <c r="S87" s="2"/>
      <c r="T87" s="2"/>
      <c r="U87" s="2"/>
      <c r="V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R88" s="2"/>
      <c r="S88" s="2"/>
      <c r="T88" s="2"/>
      <c r="U88" s="2"/>
      <c r="V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R89" s="2"/>
      <c r="S89" s="2"/>
      <c r="T89" s="2"/>
      <c r="U89" s="2"/>
      <c r="V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R90" s="2"/>
      <c r="S90" s="2"/>
      <c r="T90" s="2"/>
      <c r="U90" s="2"/>
      <c r="V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R91" s="2"/>
      <c r="S91" s="2"/>
      <c r="T91" s="2"/>
      <c r="U91" s="2"/>
      <c r="V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R92" s="2"/>
      <c r="S92" s="2"/>
      <c r="T92" s="2"/>
      <c r="U92" s="2"/>
      <c r="V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R93" s="2"/>
      <c r="S93" s="2"/>
      <c r="T93" s="2"/>
      <c r="U93" s="2"/>
      <c r="V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R94" s="2"/>
      <c r="S94" s="2"/>
      <c r="T94" s="2"/>
      <c r="U94" s="2"/>
      <c r="V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R95" s="2"/>
      <c r="S95" s="2"/>
      <c r="T95" s="2"/>
      <c r="U95" s="2"/>
      <c r="V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R96" s="2"/>
      <c r="S96" s="2"/>
      <c r="T96" s="2"/>
      <c r="U96" s="2"/>
      <c r="V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R97" s="2"/>
      <c r="S97" s="2"/>
      <c r="T97" s="2"/>
      <c r="U97" s="2"/>
      <c r="V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R98" s="2"/>
      <c r="S98" s="2"/>
      <c r="T98" s="2"/>
      <c r="U98" s="2"/>
      <c r="V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R99" s="2"/>
      <c r="S99" s="2"/>
      <c r="T99" s="2"/>
      <c r="U99" s="2"/>
      <c r="V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R100" s="2"/>
      <c r="S100" s="2"/>
      <c r="T100" s="2"/>
      <c r="U100" s="2"/>
      <c r="V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R101" s="2"/>
      <c r="S101" s="2"/>
      <c r="T101" s="2"/>
      <c r="U101" s="2"/>
      <c r="V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R102" s="2"/>
      <c r="S102" s="2"/>
      <c r="T102" s="2"/>
      <c r="U102" s="2"/>
      <c r="V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R103" s="2"/>
      <c r="S103" s="2"/>
      <c r="T103" s="2"/>
      <c r="U103" s="2"/>
      <c r="V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R104" s="2"/>
      <c r="S104" s="2"/>
      <c r="T104" s="2"/>
      <c r="U104" s="2"/>
      <c r="V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R105" s="2"/>
      <c r="S105" s="2"/>
      <c r="T105" s="2"/>
      <c r="U105" s="2"/>
      <c r="V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R106" s="2"/>
      <c r="S106" s="2"/>
      <c r="T106" s="2"/>
      <c r="U106" s="2"/>
      <c r="V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R107" s="2"/>
      <c r="S107" s="2"/>
      <c r="T107" s="2"/>
      <c r="U107" s="2"/>
      <c r="V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R108" s="2"/>
      <c r="S108" s="2"/>
      <c r="T108" s="2"/>
      <c r="U108" s="2"/>
      <c r="V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R109" s="2"/>
      <c r="S109" s="2"/>
      <c r="T109" s="2"/>
      <c r="U109" s="2"/>
      <c r="V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R110" s="2"/>
      <c r="S110" s="2"/>
      <c r="T110" s="2"/>
      <c r="U110" s="2"/>
      <c r="V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R111" s="2"/>
      <c r="S111" s="2"/>
      <c r="T111" s="2"/>
      <c r="U111" s="2"/>
      <c r="V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R112" s="2"/>
      <c r="S112" s="2"/>
      <c r="T112" s="2"/>
      <c r="U112" s="2"/>
      <c r="V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R113" s="2"/>
      <c r="S113" s="2"/>
      <c r="T113" s="2"/>
      <c r="U113" s="2"/>
      <c r="V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R114" s="2"/>
      <c r="S114" s="2"/>
      <c r="T114" s="2"/>
      <c r="U114" s="2"/>
      <c r="V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R115" s="2"/>
      <c r="S115" s="2"/>
      <c r="T115" s="2"/>
      <c r="U115" s="2"/>
      <c r="V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R116" s="2"/>
      <c r="S116" s="2"/>
      <c r="T116" s="2"/>
      <c r="U116" s="2"/>
      <c r="V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R117" s="2"/>
      <c r="S117" s="2"/>
      <c r="T117" s="2"/>
      <c r="U117" s="2"/>
      <c r="V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R118" s="2"/>
      <c r="S118" s="2"/>
      <c r="T118" s="2"/>
      <c r="U118" s="2"/>
      <c r="V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R119" s="2"/>
      <c r="S119" s="2"/>
      <c r="T119" s="2"/>
      <c r="U119" s="2"/>
      <c r="V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R120" s="2"/>
      <c r="S120" s="2"/>
      <c r="T120" s="2"/>
      <c r="U120" s="2"/>
      <c r="V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R121" s="2"/>
      <c r="S121" s="2"/>
      <c r="T121" s="2"/>
      <c r="U121" s="2"/>
      <c r="V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R122" s="2"/>
      <c r="S122" s="2"/>
      <c r="T122" s="2"/>
      <c r="U122" s="2"/>
      <c r="V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R123" s="2"/>
      <c r="S123" s="2"/>
      <c r="T123" s="2"/>
      <c r="U123" s="2"/>
      <c r="V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R124" s="2"/>
      <c r="S124" s="2"/>
      <c r="T124" s="2"/>
      <c r="U124" s="2"/>
      <c r="V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R125" s="2"/>
      <c r="S125" s="2"/>
      <c r="T125" s="2"/>
      <c r="U125" s="2"/>
      <c r="V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R126" s="2"/>
      <c r="S126" s="2"/>
      <c r="T126" s="2"/>
      <c r="U126" s="2"/>
      <c r="V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R127" s="2"/>
      <c r="S127" s="2"/>
      <c r="T127" s="2"/>
      <c r="U127" s="2"/>
      <c r="V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R128" s="2"/>
      <c r="S128" s="2"/>
      <c r="T128" s="2"/>
      <c r="U128" s="2"/>
      <c r="V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R129" s="2"/>
      <c r="S129" s="2"/>
      <c r="T129" s="2"/>
      <c r="U129" s="2"/>
      <c r="V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R130" s="2"/>
      <c r="S130" s="2"/>
      <c r="T130" s="2"/>
      <c r="U130" s="2"/>
      <c r="V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R131" s="2"/>
      <c r="S131" s="2"/>
      <c r="T131" s="2"/>
      <c r="U131" s="2"/>
      <c r="V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R132" s="2"/>
      <c r="S132" s="2"/>
      <c r="T132" s="2"/>
      <c r="U132" s="2"/>
      <c r="V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R133" s="2"/>
      <c r="S133" s="2"/>
      <c r="T133" s="2"/>
      <c r="U133" s="2"/>
      <c r="V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R134" s="2"/>
      <c r="S134" s="2"/>
      <c r="T134" s="2"/>
      <c r="U134" s="2"/>
      <c r="V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R135" s="2"/>
      <c r="S135" s="2"/>
      <c r="T135" s="2"/>
      <c r="U135" s="2"/>
      <c r="V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R136" s="2"/>
      <c r="S136" s="2"/>
      <c r="T136" s="2"/>
      <c r="U136" s="2"/>
      <c r="V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R137" s="2"/>
      <c r="S137" s="2"/>
      <c r="T137" s="2"/>
      <c r="U137" s="2"/>
      <c r="V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R138" s="2"/>
      <c r="S138" s="2"/>
      <c r="T138" s="2"/>
      <c r="U138" s="2"/>
      <c r="V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R139" s="2"/>
      <c r="S139" s="2"/>
      <c r="T139" s="2"/>
      <c r="U139" s="2"/>
      <c r="V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R140" s="2"/>
      <c r="S140" s="2"/>
      <c r="T140" s="2"/>
      <c r="U140" s="2"/>
      <c r="V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R141" s="2"/>
      <c r="S141" s="2"/>
      <c r="T141" s="2"/>
      <c r="U141" s="2"/>
      <c r="V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R142" s="2"/>
      <c r="S142" s="2"/>
      <c r="T142" s="2"/>
      <c r="U142" s="2"/>
      <c r="V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R143" s="2"/>
      <c r="S143" s="2"/>
      <c r="T143" s="2"/>
      <c r="U143" s="2"/>
      <c r="V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R144" s="2"/>
      <c r="S144" s="2"/>
      <c r="T144" s="2"/>
      <c r="U144" s="2"/>
      <c r="V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R145" s="2"/>
      <c r="S145" s="2"/>
      <c r="T145" s="2"/>
      <c r="U145" s="2"/>
      <c r="V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R146" s="2"/>
      <c r="S146" s="2"/>
      <c r="T146" s="2"/>
      <c r="U146" s="2"/>
      <c r="V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R147" s="2"/>
      <c r="S147" s="2"/>
      <c r="T147" s="2"/>
      <c r="U147" s="2"/>
      <c r="V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R148" s="2"/>
      <c r="S148" s="2"/>
      <c r="T148" s="2"/>
      <c r="U148" s="2"/>
      <c r="V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R149" s="2"/>
      <c r="S149" s="2"/>
      <c r="T149" s="2"/>
      <c r="U149" s="2"/>
      <c r="V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R150" s="2"/>
      <c r="S150" s="2"/>
      <c r="T150" s="2"/>
      <c r="U150" s="2"/>
      <c r="V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R151" s="2"/>
      <c r="S151" s="2"/>
      <c r="T151" s="2"/>
      <c r="U151" s="2"/>
      <c r="V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R352" s="2"/>
      <c r="S352" s="2"/>
      <c r="T352" s="2"/>
      <c r="U352" s="2"/>
      <c r="V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R353" s="2"/>
      <c r="S353" s="2"/>
      <c r="T353" s="2"/>
      <c r="U353" s="2"/>
      <c r="V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R354" s="2"/>
      <c r="S354" s="2"/>
      <c r="T354" s="2"/>
      <c r="U354" s="2"/>
      <c r="V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R355" s="2"/>
      <c r="S355" s="2"/>
      <c r="T355" s="2"/>
      <c r="U355" s="2"/>
      <c r="V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R356" s="2"/>
      <c r="S356" s="2"/>
      <c r="T356" s="2"/>
      <c r="U356" s="2"/>
      <c r="V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R357" s="2"/>
      <c r="S357" s="2"/>
      <c r="T357" s="2"/>
      <c r="U357" s="2"/>
      <c r="V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R358" s="2"/>
      <c r="S358" s="2"/>
      <c r="T358" s="2"/>
      <c r="U358" s="2"/>
      <c r="V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R359" s="2"/>
      <c r="S359" s="2"/>
      <c r="T359" s="2"/>
      <c r="U359" s="2"/>
      <c r="V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R360" s="2"/>
      <c r="S360" s="2"/>
      <c r="T360" s="2"/>
      <c r="U360" s="2"/>
      <c r="V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R361" s="2"/>
      <c r="S361" s="2"/>
      <c r="T361" s="2"/>
      <c r="U361" s="2"/>
      <c r="V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R362" s="2"/>
      <c r="S362" s="2"/>
      <c r="T362" s="2"/>
      <c r="U362" s="2"/>
      <c r="V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R363" s="2"/>
      <c r="S363" s="2"/>
      <c r="T363" s="2"/>
      <c r="U363" s="2"/>
      <c r="V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R364" s="2"/>
      <c r="S364" s="2"/>
      <c r="T364" s="2"/>
      <c r="U364" s="2"/>
      <c r="V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R365" s="2"/>
      <c r="S365" s="2"/>
      <c r="T365" s="2"/>
      <c r="U365" s="2"/>
      <c r="V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R366" s="2"/>
      <c r="S366" s="2"/>
      <c r="T366" s="2"/>
      <c r="U366" s="2"/>
      <c r="V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R367" s="2"/>
      <c r="S367" s="2"/>
      <c r="T367" s="2"/>
      <c r="U367" s="2"/>
      <c r="V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R368" s="2"/>
      <c r="S368" s="2"/>
      <c r="T368" s="2"/>
      <c r="U368" s="2"/>
      <c r="V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R369" s="2"/>
      <c r="S369" s="2"/>
      <c r="T369" s="2"/>
      <c r="U369" s="2"/>
      <c r="V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R370" s="2"/>
      <c r="S370" s="2"/>
      <c r="T370" s="2"/>
      <c r="U370" s="2"/>
      <c r="V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R371" s="2"/>
      <c r="S371" s="2"/>
      <c r="T371" s="2"/>
      <c r="U371" s="2"/>
      <c r="V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R372" s="2"/>
      <c r="S372" s="2"/>
      <c r="T372" s="2"/>
      <c r="U372" s="2"/>
      <c r="V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R373" s="2"/>
      <c r="S373" s="2"/>
      <c r="T373" s="2"/>
      <c r="U373" s="2"/>
      <c r="V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R374" s="2"/>
      <c r="S374" s="2"/>
      <c r="T374" s="2"/>
      <c r="U374" s="2"/>
      <c r="V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R375" s="2"/>
      <c r="S375" s="2"/>
      <c r="T375" s="2"/>
      <c r="U375" s="2"/>
      <c r="V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R376" s="2"/>
      <c r="S376" s="2"/>
      <c r="T376" s="2"/>
      <c r="U376" s="2"/>
      <c r="V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R377" s="2"/>
      <c r="S377" s="2"/>
      <c r="T377" s="2"/>
      <c r="U377" s="2"/>
      <c r="V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R378" s="2"/>
      <c r="S378" s="2"/>
      <c r="T378" s="2"/>
      <c r="U378" s="2"/>
      <c r="V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R379" s="2"/>
      <c r="S379" s="2"/>
      <c r="T379" s="2"/>
      <c r="U379" s="2"/>
      <c r="V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R380" s="2"/>
      <c r="S380" s="2"/>
      <c r="T380" s="2"/>
      <c r="U380" s="2"/>
      <c r="V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R381" s="2"/>
      <c r="S381" s="2"/>
      <c r="T381" s="2"/>
      <c r="U381" s="2"/>
      <c r="V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R382" s="2"/>
      <c r="S382" s="2"/>
      <c r="T382" s="2"/>
      <c r="U382" s="2"/>
      <c r="V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R383" s="2"/>
      <c r="S383" s="2"/>
      <c r="T383" s="2"/>
      <c r="U383" s="2"/>
      <c r="V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R384" s="2"/>
      <c r="S384" s="2"/>
      <c r="T384" s="2"/>
      <c r="U384" s="2"/>
      <c r="V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R385" s="2"/>
      <c r="S385" s="2"/>
      <c r="T385" s="2"/>
      <c r="U385" s="2"/>
      <c r="V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R386" s="2"/>
      <c r="S386" s="2"/>
      <c r="T386" s="2"/>
      <c r="U386" s="2"/>
      <c r="V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R387" s="2"/>
      <c r="S387" s="2"/>
      <c r="T387" s="2"/>
      <c r="U387" s="2"/>
      <c r="V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R388" s="2"/>
      <c r="S388" s="2"/>
      <c r="T388" s="2"/>
      <c r="U388" s="2"/>
      <c r="V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R389" s="2"/>
      <c r="S389" s="2"/>
      <c r="T389" s="2"/>
      <c r="U389" s="2"/>
      <c r="V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R390" s="2"/>
      <c r="S390" s="2"/>
      <c r="T390" s="2"/>
      <c r="U390" s="2"/>
      <c r="V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R391" s="2"/>
      <c r="S391" s="2"/>
      <c r="T391" s="2"/>
      <c r="U391" s="2"/>
      <c r="V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R392" s="2"/>
      <c r="S392" s="2"/>
      <c r="T392" s="2"/>
      <c r="U392" s="2"/>
      <c r="V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R393" s="2"/>
      <c r="S393" s="2"/>
      <c r="T393" s="2"/>
      <c r="U393" s="2"/>
      <c r="V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R394" s="2"/>
      <c r="S394" s="2"/>
      <c r="T394" s="2"/>
      <c r="U394" s="2"/>
      <c r="V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R395" s="2"/>
      <c r="S395" s="2"/>
      <c r="T395" s="2"/>
      <c r="U395" s="2"/>
      <c r="V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R396" s="2"/>
      <c r="S396" s="2"/>
      <c r="T396" s="2"/>
      <c r="U396" s="2"/>
      <c r="V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R397" s="2"/>
      <c r="S397" s="2"/>
      <c r="T397" s="2"/>
      <c r="U397" s="2"/>
      <c r="V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R398" s="2"/>
      <c r="S398" s="2"/>
      <c r="T398" s="2"/>
      <c r="U398" s="2"/>
      <c r="V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R399" s="2"/>
      <c r="S399" s="2"/>
      <c r="T399" s="2"/>
      <c r="U399" s="2"/>
      <c r="V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R400" s="2"/>
      <c r="S400" s="2"/>
      <c r="T400" s="2"/>
      <c r="U400" s="2"/>
      <c r="V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R401" s="2"/>
      <c r="S401" s="2"/>
      <c r="T401" s="2"/>
      <c r="U401" s="2"/>
      <c r="V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R402" s="2"/>
      <c r="S402" s="2"/>
      <c r="T402" s="2"/>
      <c r="U402" s="2"/>
      <c r="V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R403" s="2"/>
      <c r="S403" s="2"/>
      <c r="T403" s="2"/>
      <c r="U403" s="2"/>
      <c r="V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R404" s="2"/>
      <c r="S404" s="2"/>
      <c r="T404" s="2"/>
      <c r="U404" s="2"/>
      <c r="V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R405" s="2"/>
      <c r="S405" s="2"/>
      <c r="T405" s="2"/>
      <c r="U405" s="2"/>
      <c r="V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R406" s="2"/>
      <c r="S406" s="2"/>
      <c r="T406" s="2"/>
      <c r="U406" s="2"/>
      <c r="V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R407" s="2"/>
      <c r="S407" s="2"/>
      <c r="T407" s="2"/>
      <c r="U407" s="2"/>
      <c r="V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R408" s="2"/>
      <c r="S408" s="2"/>
      <c r="T408" s="2"/>
      <c r="U408" s="2"/>
      <c r="V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R409" s="2"/>
      <c r="S409" s="2"/>
      <c r="T409" s="2"/>
      <c r="U409" s="2"/>
      <c r="V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R410" s="2"/>
      <c r="S410" s="2"/>
      <c r="T410" s="2"/>
      <c r="U410" s="2"/>
      <c r="V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R411" s="2"/>
      <c r="S411" s="2"/>
      <c r="T411" s="2"/>
      <c r="U411" s="2"/>
      <c r="V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R412" s="2"/>
      <c r="S412" s="2"/>
      <c r="T412" s="2"/>
      <c r="U412" s="2"/>
      <c r="V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R413" s="2"/>
      <c r="S413" s="2"/>
      <c r="T413" s="2"/>
      <c r="U413" s="2"/>
      <c r="V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R414" s="2"/>
      <c r="S414" s="2"/>
      <c r="T414" s="2"/>
      <c r="U414" s="2"/>
      <c r="V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R415" s="2"/>
      <c r="S415" s="2"/>
      <c r="T415" s="2"/>
      <c r="U415" s="2"/>
      <c r="V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R416" s="2"/>
      <c r="S416" s="2"/>
      <c r="T416" s="2"/>
      <c r="U416" s="2"/>
      <c r="V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R417" s="2"/>
      <c r="S417" s="2"/>
      <c r="T417" s="2"/>
      <c r="U417" s="2"/>
      <c r="V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R418" s="2"/>
      <c r="S418" s="2"/>
      <c r="T418" s="2"/>
      <c r="U418" s="2"/>
      <c r="V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R419" s="2"/>
      <c r="S419" s="2"/>
      <c r="T419" s="2"/>
      <c r="U419" s="2"/>
      <c r="V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R420" s="2"/>
      <c r="S420" s="2"/>
      <c r="T420" s="2"/>
      <c r="U420" s="2"/>
      <c r="V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R421" s="2"/>
      <c r="S421" s="2"/>
      <c r="T421" s="2"/>
      <c r="U421" s="2"/>
      <c r="V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R422" s="2"/>
      <c r="S422" s="2"/>
      <c r="T422" s="2"/>
      <c r="U422" s="2"/>
      <c r="V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R423" s="2"/>
      <c r="S423" s="2"/>
      <c r="T423" s="2"/>
      <c r="U423" s="2"/>
      <c r="V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R424" s="2"/>
      <c r="S424" s="2"/>
      <c r="T424" s="2"/>
      <c r="U424" s="2"/>
      <c r="V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R425" s="2"/>
      <c r="S425" s="2"/>
      <c r="T425" s="2"/>
      <c r="U425" s="2"/>
      <c r="V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R426" s="2"/>
      <c r="S426" s="2"/>
      <c r="T426" s="2"/>
      <c r="U426" s="2"/>
      <c r="V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R427" s="2"/>
      <c r="S427" s="2"/>
      <c r="T427" s="2"/>
      <c r="U427" s="2"/>
      <c r="V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R428" s="2"/>
      <c r="S428" s="2"/>
      <c r="T428" s="2"/>
      <c r="U428" s="2"/>
      <c r="V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R429" s="2"/>
      <c r="S429" s="2"/>
      <c r="T429" s="2"/>
      <c r="U429" s="2"/>
      <c r="V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R430" s="2"/>
      <c r="S430" s="2"/>
      <c r="T430" s="2"/>
      <c r="U430" s="2"/>
      <c r="V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R431" s="2"/>
      <c r="S431" s="2"/>
      <c r="T431" s="2"/>
      <c r="U431" s="2"/>
      <c r="V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R432" s="2"/>
      <c r="S432" s="2"/>
      <c r="T432" s="2"/>
      <c r="U432" s="2"/>
      <c r="V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R433" s="2"/>
      <c r="S433" s="2"/>
      <c r="T433" s="2"/>
      <c r="U433" s="2"/>
      <c r="V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R434" s="2"/>
      <c r="S434" s="2"/>
      <c r="T434" s="2"/>
      <c r="U434" s="2"/>
      <c r="V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R435" s="2"/>
      <c r="S435" s="2"/>
      <c r="T435" s="2"/>
      <c r="U435" s="2"/>
      <c r="V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R436" s="2"/>
      <c r="S436" s="2"/>
      <c r="T436" s="2"/>
      <c r="U436" s="2"/>
      <c r="V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R437" s="2"/>
      <c r="S437" s="2"/>
      <c r="T437" s="2"/>
      <c r="U437" s="2"/>
      <c r="V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R438" s="2"/>
      <c r="S438" s="2"/>
      <c r="T438" s="2"/>
      <c r="U438" s="2"/>
      <c r="V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R439" s="2"/>
      <c r="S439" s="2"/>
      <c r="T439" s="2"/>
      <c r="U439" s="2"/>
      <c r="V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R440" s="2"/>
      <c r="S440" s="2"/>
      <c r="T440" s="2"/>
      <c r="U440" s="2"/>
      <c r="V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R441" s="2"/>
      <c r="S441" s="2"/>
      <c r="T441" s="2"/>
      <c r="U441" s="2"/>
      <c r="V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R442" s="2"/>
      <c r="S442" s="2"/>
      <c r="T442" s="2"/>
      <c r="U442" s="2"/>
      <c r="V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R443" s="2"/>
      <c r="S443" s="2"/>
      <c r="T443" s="2"/>
      <c r="U443" s="2"/>
      <c r="V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R444" s="2"/>
      <c r="S444" s="2"/>
      <c r="T444" s="2"/>
      <c r="U444" s="2"/>
      <c r="V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R445" s="2"/>
      <c r="S445" s="2"/>
      <c r="T445" s="2"/>
      <c r="U445" s="2"/>
      <c r="V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R446" s="2"/>
      <c r="S446" s="2"/>
      <c r="T446" s="2"/>
      <c r="U446" s="2"/>
      <c r="V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R447" s="2"/>
      <c r="S447" s="2"/>
      <c r="T447" s="2"/>
      <c r="U447" s="2"/>
      <c r="V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R448" s="2"/>
      <c r="S448" s="2"/>
      <c r="T448" s="2"/>
      <c r="U448" s="2"/>
      <c r="V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R449" s="2"/>
      <c r="S449" s="2"/>
      <c r="T449" s="2"/>
      <c r="U449" s="2"/>
      <c r="V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R450" s="2"/>
      <c r="S450" s="2"/>
      <c r="T450" s="2"/>
      <c r="U450" s="2"/>
      <c r="V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R451" s="2"/>
      <c r="S451" s="2"/>
      <c r="T451" s="2"/>
      <c r="U451" s="2"/>
      <c r="V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R452" s="2"/>
      <c r="S452" s="2"/>
      <c r="T452" s="2"/>
      <c r="U452" s="2"/>
      <c r="V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R453" s="2"/>
      <c r="S453" s="2"/>
      <c r="T453" s="2"/>
      <c r="U453" s="2"/>
      <c r="V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R454" s="2"/>
      <c r="S454" s="2"/>
      <c r="T454" s="2"/>
      <c r="U454" s="2"/>
      <c r="V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R455" s="2"/>
      <c r="S455" s="2"/>
      <c r="T455" s="2"/>
      <c r="U455" s="2"/>
      <c r="V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R456" s="2"/>
      <c r="S456" s="2"/>
      <c r="T456" s="2"/>
      <c r="U456" s="2"/>
      <c r="V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R457" s="2"/>
      <c r="S457" s="2"/>
      <c r="T457" s="2"/>
      <c r="U457" s="2"/>
      <c r="V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R458" s="2"/>
      <c r="S458" s="2"/>
      <c r="T458" s="2"/>
      <c r="U458" s="2"/>
      <c r="V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R459" s="2"/>
      <c r="S459" s="2"/>
      <c r="T459" s="2"/>
      <c r="U459" s="2"/>
      <c r="V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R460" s="2"/>
      <c r="S460" s="2"/>
      <c r="T460" s="2"/>
      <c r="U460" s="2"/>
      <c r="V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R461" s="2"/>
      <c r="S461" s="2"/>
      <c r="T461" s="2"/>
      <c r="U461" s="2"/>
      <c r="V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R462" s="2"/>
      <c r="S462" s="2"/>
      <c r="T462" s="2"/>
      <c r="U462" s="2"/>
      <c r="V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R463" s="2"/>
      <c r="S463" s="2"/>
      <c r="T463" s="2"/>
      <c r="U463" s="2"/>
      <c r="V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R464" s="2"/>
      <c r="S464" s="2"/>
      <c r="T464" s="2"/>
      <c r="U464" s="2"/>
      <c r="V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R465" s="2"/>
      <c r="S465" s="2"/>
      <c r="T465" s="2"/>
      <c r="U465" s="2"/>
      <c r="V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R466" s="2"/>
      <c r="S466" s="2"/>
      <c r="T466" s="2"/>
      <c r="U466" s="2"/>
      <c r="V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R467" s="2"/>
      <c r="S467" s="2"/>
      <c r="T467" s="2"/>
      <c r="U467" s="2"/>
      <c r="V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R468" s="2"/>
      <c r="S468" s="2"/>
      <c r="T468" s="2"/>
      <c r="U468" s="2"/>
      <c r="V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R469" s="2"/>
      <c r="S469" s="2"/>
      <c r="T469" s="2"/>
      <c r="U469" s="2"/>
      <c r="V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R470" s="2"/>
      <c r="S470" s="2"/>
      <c r="T470" s="2"/>
      <c r="U470" s="2"/>
      <c r="V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R471" s="2"/>
      <c r="S471" s="2"/>
      <c r="T471" s="2"/>
      <c r="U471" s="2"/>
      <c r="V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R472" s="2"/>
      <c r="S472" s="2"/>
      <c r="T472" s="2"/>
      <c r="U472" s="2"/>
      <c r="V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R473" s="2"/>
      <c r="S473" s="2"/>
      <c r="T473" s="2"/>
      <c r="U473" s="2"/>
      <c r="V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R474" s="2"/>
      <c r="S474" s="2"/>
      <c r="T474" s="2"/>
      <c r="U474" s="2"/>
      <c r="V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R475" s="2"/>
      <c r="S475" s="2"/>
      <c r="T475" s="2"/>
      <c r="U475" s="2"/>
      <c r="V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R476" s="2"/>
      <c r="S476" s="2"/>
      <c r="T476" s="2"/>
      <c r="U476" s="2"/>
      <c r="V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R477" s="2"/>
      <c r="S477" s="2"/>
      <c r="T477" s="2"/>
      <c r="U477" s="2"/>
      <c r="V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R478" s="2"/>
      <c r="S478" s="2"/>
      <c r="T478" s="2"/>
      <c r="U478" s="2"/>
      <c r="V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R479" s="2"/>
      <c r="S479" s="2"/>
      <c r="T479" s="2"/>
      <c r="U479" s="2"/>
      <c r="V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R480" s="2"/>
      <c r="S480" s="2"/>
      <c r="T480" s="2"/>
      <c r="U480" s="2"/>
      <c r="V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R481" s="2"/>
      <c r="S481" s="2"/>
      <c r="T481" s="2"/>
      <c r="U481" s="2"/>
      <c r="V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R482" s="2"/>
      <c r="S482" s="2"/>
      <c r="T482" s="2"/>
      <c r="U482" s="2"/>
      <c r="V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R483" s="2"/>
      <c r="S483" s="2"/>
      <c r="T483" s="2"/>
      <c r="U483" s="2"/>
      <c r="V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R484" s="2"/>
      <c r="S484" s="2"/>
      <c r="T484" s="2"/>
      <c r="U484" s="2"/>
      <c r="V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R485" s="2"/>
      <c r="S485" s="2"/>
      <c r="T485" s="2"/>
      <c r="U485" s="2"/>
      <c r="V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R486" s="2"/>
      <c r="S486" s="2"/>
      <c r="T486" s="2"/>
      <c r="U486" s="2"/>
      <c r="V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R487" s="2"/>
      <c r="S487" s="2"/>
      <c r="T487" s="2"/>
      <c r="U487" s="2"/>
      <c r="V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R488" s="2"/>
      <c r="S488" s="2"/>
      <c r="T488" s="2"/>
      <c r="U488" s="2"/>
      <c r="V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R489" s="2"/>
      <c r="S489" s="2"/>
      <c r="T489" s="2"/>
      <c r="U489" s="2"/>
      <c r="V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R490" s="2"/>
      <c r="S490" s="2"/>
      <c r="T490" s="2"/>
      <c r="U490" s="2"/>
      <c r="V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R491" s="2"/>
      <c r="S491" s="2"/>
      <c r="T491" s="2"/>
      <c r="U491" s="2"/>
      <c r="V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R492" s="2"/>
      <c r="S492" s="2"/>
      <c r="T492" s="2"/>
      <c r="U492" s="2"/>
      <c r="V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R493" s="2"/>
      <c r="S493" s="2"/>
      <c r="T493" s="2"/>
      <c r="U493" s="2"/>
      <c r="V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R494" s="2"/>
      <c r="S494" s="2"/>
      <c r="T494" s="2"/>
      <c r="U494" s="2"/>
      <c r="V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R495" s="2"/>
      <c r="S495" s="2"/>
      <c r="T495" s="2"/>
      <c r="U495" s="2"/>
      <c r="V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R496" s="2"/>
      <c r="S496" s="2"/>
      <c r="T496" s="2"/>
      <c r="U496" s="2"/>
      <c r="V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R497" s="2"/>
      <c r="S497" s="2"/>
      <c r="T497" s="2"/>
      <c r="U497" s="2"/>
      <c r="V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R498" s="2"/>
      <c r="S498" s="2"/>
      <c r="T498" s="2"/>
      <c r="U498" s="2"/>
      <c r="V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R499" s="2"/>
      <c r="S499" s="2"/>
      <c r="T499" s="2"/>
      <c r="U499" s="2"/>
      <c r="V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R500" s="2"/>
      <c r="S500" s="2"/>
      <c r="T500" s="2"/>
      <c r="U500" s="2"/>
      <c r="V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R501" s="2"/>
      <c r="S501" s="2"/>
      <c r="T501" s="2"/>
      <c r="U501" s="2"/>
      <c r="V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R502" s="2"/>
      <c r="S502" s="2"/>
      <c r="T502" s="2"/>
      <c r="U502" s="2"/>
      <c r="V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R503" s="2"/>
      <c r="S503" s="2"/>
      <c r="T503" s="2"/>
      <c r="U503" s="2"/>
      <c r="V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R504" s="2"/>
      <c r="S504" s="2"/>
      <c r="T504" s="2"/>
      <c r="U504" s="2"/>
      <c r="V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R505" s="2"/>
      <c r="S505" s="2"/>
      <c r="T505" s="2"/>
      <c r="U505" s="2"/>
      <c r="V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R506" s="2"/>
      <c r="S506" s="2"/>
      <c r="T506" s="2"/>
      <c r="U506" s="2"/>
      <c r="V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R507" s="2"/>
      <c r="S507" s="2"/>
      <c r="T507" s="2"/>
      <c r="U507" s="2"/>
      <c r="V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R508" s="2"/>
      <c r="S508" s="2"/>
      <c r="T508" s="2"/>
      <c r="U508" s="2"/>
      <c r="V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R509" s="2"/>
      <c r="S509" s="2"/>
      <c r="T509" s="2"/>
      <c r="U509" s="2"/>
      <c r="V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R510" s="2"/>
      <c r="S510" s="2"/>
      <c r="T510" s="2"/>
      <c r="U510" s="2"/>
      <c r="V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R511" s="2"/>
      <c r="S511" s="2"/>
      <c r="T511" s="2"/>
      <c r="U511" s="2"/>
      <c r="V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R512" s="2"/>
      <c r="S512" s="2"/>
      <c r="T512" s="2"/>
      <c r="U512" s="2"/>
      <c r="V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R513" s="2"/>
      <c r="S513" s="2"/>
      <c r="T513" s="2"/>
      <c r="U513" s="2"/>
      <c r="V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R514" s="2"/>
      <c r="S514" s="2"/>
      <c r="T514" s="2"/>
      <c r="U514" s="2"/>
      <c r="V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R515" s="2"/>
      <c r="S515" s="2"/>
      <c r="T515" s="2"/>
      <c r="U515" s="2"/>
      <c r="V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R516" s="2"/>
      <c r="S516" s="2"/>
      <c r="T516" s="2"/>
      <c r="U516" s="2"/>
      <c r="V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R517" s="2"/>
      <c r="S517" s="2"/>
      <c r="T517" s="2"/>
      <c r="U517" s="2"/>
      <c r="V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R518" s="2"/>
      <c r="S518" s="2"/>
      <c r="T518" s="2"/>
      <c r="U518" s="2"/>
      <c r="V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R519" s="2"/>
      <c r="S519" s="2"/>
      <c r="T519" s="2"/>
      <c r="U519" s="2"/>
      <c r="V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R520" s="2"/>
      <c r="S520" s="2"/>
      <c r="T520" s="2"/>
      <c r="U520" s="2"/>
      <c r="V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R521" s="2"/>
      <c r="S521" s="2"/>
      <c r="T521" s="2"/>
      <c r="U521" s="2"/>
      <c r="V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R522" s="2"/>
      <c r="S522" s="2"/>
      <c r="T522" s="2"/>
      <c r="U522" s="2"/>
      <c r="V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R523" s="2"/>
      <c r="S523" s="2"/>
      <c r="T523" s="2"/>
      <c r="U523" s="2"/>
      <c r="V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R524" s="2"/>
      <c r="S524" s="2"/>
      <c r="T524" s="2"/>
      <c r="U524" s="2"/>
      <c r="V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R525" s="2"/>
      <c r="S525" s="2"/>
      <c r="T525" s="2"/>
      <c r="U525" s="2"/>
      <c r="V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R526" s="2"/>
      <c r="S526" s="2"/>
      <c r="T526" s="2"/>
      <c r="U526" s="2"/>
      <c r="V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R527" s="2"/>
      <c r="S527" s="2"/>
      <c r="T527" s="2"/>
      <c r="U527" s="2"/>
      <c r="V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R528" s="2"/>
      <c r="S528" s="2"/>
      <c r="T528" s="2"/>
      <c r="U528" s="2"/>
      <c r="V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R529" s="2"/>
      <c r="S529" s="2"/>
      <c r="T529" s="2"/>
      <c r="U529" s="2"/>
      <c r="V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R530" s="2"/>
      <c r="S530" s="2"/>
      <c r="T530" s="2"/>
      <c r="U530" s="2"/>
      <c r="V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R531" s="2"/>
      <c r="S531" s="2"/>
      <c r="T531" s="2"/>
      <c r="U531" s="2"/>
      <c r="V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R532" s="2"/>
      <c r="S532" s="2"/>
      <c r="T532" s="2"/>
      <c r="U532" s="2"/>
      <c r="V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R533" s="2"/>
      <c r="S533" s="2"/>
      <c r="T533" s="2"/>
      <c r="U533" s="2"/>
      <c r="V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R534" s="2"/>
      <c r="S534" s="2"/>
      <c r="T534" s="2"/>
      <c r="U534" s="2"/>
      <c r="V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R535" s="2"/>
      <c r="S535" s="2"/>
      <c r="T535" s="2"/>
      <c r="U535" s="2"/>
      <c r="V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R536" s="2"/>
      <c r="S536" s="2"/>
      <c r="T536" s="2"/>
      <c r="U536" s="2"/>
      <c r="V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R537" s="2"/>
      <c r="S537" s="2"/>
      <c r="T537" s="2"/>
      <c r="U537" s="2"/>
      <c r="V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R538" s="2"/>
      <c r="S538" s="2"/>
      <c r="T538" s="2"/>
      <c r="U538" s="2"/>
      <c r="V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R539" s="2"/>
      <c r="S539" s="2"/>
      <c r="T539" s="2"/>
      <c r="U539" s="2"/>
      <c r="V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R540" s="2"/>
      <c r="S540" s="2"/>
      <c r="T540" s="2"/>
      <c r="U540" s="2"/>
      <c r="V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R541" s="2"/>
      <c r="S541" s="2"/>
      <c r="T541" s="2"/>
      <c r="U541" s="2"/>
      <c r="V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R542" s="2"/>
      <c r="S542" s="2"/>
      <c r="T542" s="2"/>
      <c r="U542" s="2"/>
      <c r="V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R543" s="2"/>
      <c r="S543" s="2"/>
      <c r="T543" s="2"/>
      <c r="U543" s="2"/>
      <c r="V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R544" s="2"/>
      <c r="S544" s="2"/>
      <c r="T544" s="2"/>
      <c r="U544" s="2"/>
      <c r="V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R545" s="2"/>
      <c r="S545" s="2"/>
      <c r="T545" s="2"/>
      <c r="U545" s="2"/>
      <c r="V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R546" s="2"/>
      <c r="S546" s="2"/>
      <c r="T546" s="2"/>
      <c r="U546" s="2"/>
      <c r="V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R547" s="2"/>
      <c r="S547" s="2"/>
      <c r="T547" s="2"/>
      <c r="U547" s="2"/>
      <c r="V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R548" s="2"/>
      <c r="S548" s="2"/>
      <c r="T548" s="2"/>
      <c r="U548" s="2"/>
      <c r="V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R549" s="2"/>
      <c r="S549" s="2"/>
      <c r="T549" s="2"/>
      <c r="U549" s="2"/>
      <c r="V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R550" s="2"/>
      <c r="S550" s="2"/>
      <c r="T550" s="2"/>
      <c r="U550" s="2"/>
      <c r="V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R551" s="2"/>
      <c r="S551" s="2"/>
      <c r="T551" s="2"/>
      <c r="U551" s="2"/>
      <c r="V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R552" s="2"/>
      <c r="S552" s="2"/>
      <c r="T552" s="2"/>
      <c r="U552" s="2"/>
      <c r="V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R553" s="2"/>
      <c r="S553" s="2"/>
      <c r="T553" s="2"/>
      <c r="U553" s="2"/>
      <c r="V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R554" s="2"/>
      <c r="S554" s="2"/>
      <c r="T554" s="2"/>
      <c r="U554" s="2"/>
      <c r="V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R555" s="2"/>
      <c r="S555" s="2"/>
      <c r="T555" s="2"/>
      <c r="U555" s="2"/>
      <c r="V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R556" s="2"/>
      <c r="S556" s="2"/>
      <c r="T556" s="2"/>
      <c r="U556" s="2"/>
      <c r="V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R557" s="2"/>
      <c r="S557" s="2"/>
      <c r="T557" s="2"/>
      <c r="U557" s="2"/>
      <c r="V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R558" s="2"/>
      <c r="S558" s="2"/>
      <c r="T558" s="2"/>
      <c r="U558" s="2"/>
      <c r="V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R559" s="2"/>
      <c r="S559" s="2"/>
      <c r="T559" s="2"/>
      <c r="U559" s="2"/>
      <c r="V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R560" s="2"/>
      <c r="S560" s="2"/>
      <c r="T560" s="2"/>
      <c r="U560" s="2"/>
      <c r="V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R561" s="2"/>
      <c r="S561" s="2"/>
      <c r="T561" s="2"/>
      <c r="U561" s="2"/>
      <c r="V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R562" s="2"/>
      <c r="S562" s="2"/>
      <c r="T562" s="2"/>
      <c r="U562" s="2"/>
      <c r="V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R563" s="2"/>
      <c r="S563" s="2"/>
      <c r="T563" s="2"/>
      <c r="U563" s="2"/>
      <c r="V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R564" s="2"/>
      <c r="S564" s="2"/>
      <c r="T564" s="2"/>
      <c r="U564" s="2"/>
      <c r="V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R565" s="2"/>
      <c r="S565" s="2"/>
      <c r="T565" s="2"/>
      <c r="U565" s="2"/>
      <c r="V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R566" s="2"/>
      <c r="S566" s="2"/>
      <c r="T566" s="2"/>
      <c r="U566" s="2"/>
      <c r="V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R567" s="2"/>
      <c r="S567" s="2"/>
      <c r="T567" s="2"/>
      <c r="U567" s="2"/>
      <c r="V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R568" s="2"/>
      <c r="S568" s="2"/>
      <c r="T568" s="2"/>
      <c r="U568" s="2"/>
      <c r="V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R569" s="2"/>
      <c r="S569" s="2"/>
      <c r="T569" s="2"/>
      <c r="U569" s="2"/>
      <c r="V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R570" s="2"/>
      <c r="S570" s="2"/>
      <c r="T570" s="2"/>
      <c r="U570" s="2"/>
      <c r="V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R571" s="2"/>
      <c r="S571" s="2"/>
      <c r="T571" s="2"/>
      <c r="U571" s="2"/>
      <c r="V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R572" s="2"/>
      <c r="S572" s="2"/>
      <c r="T572" s="2"/>
      <c r="U572" s="2"/>
      <c r="V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R573" s="2"/>
      <c r="S573" s="2"/>
      <c r="T573" s="2"/>
      <c r="U573" s="2"/>
      <c r="V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R574" s="2"/>
      <c r="S574" s="2"/>
      <c r="T574" s="2"/>
      <c r="U574" s="2"/>
      <c r="V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R575" s="2"/>
      <c r="S575" s="2"/>
      <c r="T575" s="2"/>
      <c r="U575" s="2"/>
      <c r="V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R576" s="2"/>
      <c r="S576" s="2"/>
      <c r="T576" s="2"/>
      <c r="U576" s="2"/>
      <c r="V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R577" s="2"/>
      <c r="S577" s="2"/>
      <c r="T577" s="2"/>
      <c r="U577" s="2"/>
      <c r="V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R578" s="2"/>
      <c r="S578" s="2"/>
      <c r="T578" s="2"/>
      <c r="U578" s="2"/>
      <c r="V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R579" s="2"/>
      <c r="S579" s="2"/>
      <c r="T579" s="2"/>
      <c r="U579" s="2"/>
      <c r="V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R580" s="2"/>
      <c r="S580" s="2"/>
      <c r="T580" s="2"/>
      <c r="U580" s="2"/>
      <c r="V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R581" s="2"/>
      <c r="S581" s="2"/>
      <c r="T581" s="2"/>
      <c r="U581" s="2"/>
      <c r="V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R582" s="2"/>
      <c r="S582" s="2"/>
      <c r="T582" s="2"/>
      <c r="U582" s="2"/>
      <c r="V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R583" s="2"/>
      <c r="S583" s="2"/>
      <c r="T583" s="2"/>
      <c r="U583" s="2"/>
      <c r="V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R584" s="2"/>
      <c r="S584" s="2"/>
      <c r="T584" s="2"/>
      <c r="U584" s="2"/>
      <c r="V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R585" s="2"/>
      <c r="S585" s="2"/>
      <c r="T585" s="2"/>
      <c r="U585" s="2"/>
      <c r="V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R586" s="2"/>
      <c r="S586" s="2"/>
      <c r="T586" s="2"/>
      <c r="U586" s="2"/>
      <c r="V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R587" s="2"/>
      <c r="S587" s="2"/>
      <c r="T587" s="2"/>
      <c r="U587" s="2"/>
      <c r="V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R588" s="2"/>
      <c r="S588" s="2"/>
      <c r="T588" s="2"/>
      <c r="U588" s="2"/>
      <c r="V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R589" s="2"/>
      <c r="S589" s="2"/>
      <c r="T589" s="2"/>
      <c r="U589" s="2"/>
      <c r="V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R590" s="2"/>
      <c r="S590" s="2"/>
      <c r="T590" s="2"/>
      <c r="U590" s="2"/>
      <c r="V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R591" s="2"/>
      <c r="S591" s="2"/>
      <c r="T591" s="2"/>
      <c r="U591" s="2"/>
      <c r="V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R592" s="2"/>
      <c r="S592" s="2"/>
      <c r="T592" s="2"/>
      <c r="U592" s="2"/>
      <c r="V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R593" s="2"/>
      <c r="S593" s="2"/>
      <c r="T593" s="2"/>
      <c r="U593" s="2"/>
      <c r="V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R594" s="2"/>
      <c r="S594" s="2"/>
      <c r="T594" s="2"/>
      <c r="U594" s="2"/>
      <c r="V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R595" s="2"/>
      <c r="S595" s="2"/>
      <c r="T595" s="2"/>
      <c r="U595" s="2"/>
      <c r="V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R596" s="2"/>
      <c r="S596" s="2"/>
      <c r="T596" s="2"/>
      <c r="U596" s="2"/>
      <c r="V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R597" s="2"/>
      <c r="S597" s="2"/>
      <c r="T597" s="2"/>
      <c r="U597" s="2"/>
      <c r="V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R598" s="2"/>
      <c r="S598" s="2"/>
      <c r="T598" s="2"/>
      <c r="U598" s="2"/>
      <c r="V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R599" s="2"/>
      <c r="S599" s="2"/>
      <c r="T599" s="2"/>
      <c r="U599" s="2"/>
      <c r="V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R600" s="2"/>
      <c r="S600" s="2"/>
      <c r="T600" s="2"/>
      <c r="U600" s="2"/>
      <c r="V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R601" s="2"/>
      <c r="S601" s="2"/>
      <c r="T601" s="2"/>
      <c r="U601" s="2"/>
      <c r="V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R602" s="2"/>
      <c r="S602" s="2"/>
      <c r="T602" s="2"/>
      <c r="U602" s="2"/>
      <c r="V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R603" s="2"/>
      <c r="S603" s="2"/>
      <c r="T603" s="2"/>
      <c r="U603" s="2"/>
      <c r="V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R604" s="2"/>
      <c r="S604" s="2"/>
      <c r="T604" s="2"/>
      <c r="U604" s="2"/>
      <c r="V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R605" s="2"/>
      <c r="S605" s="2"/>
      <c r="T605" s="2"/>
      <c r="U605" s="2"/>
      <c r="V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R606" s="2"/>
      <c r="S606" s="2"/>
      <c r="T606" s="2"/>
      <c r="U606" s="2"/>
      <c r="V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R607" s="2"/>
      <c r="S607" s="2"/>
      <c r="T607" s="2"/>
      <c r="U607" s="2"/>
      <c r="V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R608" s="2"/>
      <c r="S608" s="2"/>
      <c r="T608" s="2"/>
      <c r="U608" s="2"/>
      <c r="V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R609" s="2"/>
      <c r="S609" s="2"/>
      <c r="T609" s="2"/>
      <c r="U609" s="2"/>
      <c r="V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R610" s="2"/>
      <c r="S610" s="2"/>
      <c r="T610" s="2"/>
      <c r="U610" s="2"/>
      <c r="V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R611" s="2"/>
      <c r="S611" s="2"/>
      <c r="T611" s="2"/>
      <c r="U611" s="2"/>
      <c r="V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R612" s="2"/>
      <c r="S612" s="2"/>
      <c r="T612" s="2"/>
      <c r="U612" s="2"/>
      <c r="V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R613" s="2"/>
      <c r="S613" s="2"/>
      <c r="T613" s="2"/>
      <c r="U613" s="2"/>
      <c r="V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R614" s="2"/>
      <c r="S614" s="2"/>
      <c r="T614" s="2"/>
      <c r="U614" s="2"/>
      <c r="V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R615" s="2"/>
      <c r="S615" s="2"/>
      <c r="T615" s="2"/>
      <c r="U615" s="2"/>
      <c r="V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R616" s="2"/>
      <c r="S616" s="2"/>
      <c r="T616" s="2"/>
      <c r="U616" s="2"/>
      <c r="V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R617" s="2"/>
      <c r="S617" s="2"/>
      <c r="T617" s="2"/>
      <c r="U617" s="2"/>
      <c r="V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R618" s="2"/>
      <c r="S618" s="2"/>
      <c r="T618" s="2"/>
      <c r="U618" s="2"/>
      <c r="V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R619" s="2"/>
      <c r="S619" s="2"/>
      <c r="T619" s="2"/>
      <c r="U619" s="2"/>
      <c r="V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R620" s="2"/>
      <c r="S620" s="2"/>
      <c r="T620" s="2"/>
      <c r="U620" s="2"/>
      <c r="V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R621" s="2"/>
      <c r="S621" s="2"/>
      <c r="T621" s="2"/>
      <c r="U621" s="2"/>
      <c r="V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R622" s="2"/>
      <c r="S622" s="2"/>
      <c r="T622" s="2"/>
      <c r="U622" s="2"/>
      <c r="V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R623" s="2"/>
      <c r="S623" s="2"/>
      <c r="T623" s="2"/>
      <c r="U623" s="2"/>
      <c r="V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R624" s="2"/>
      <c r="S624" s="2"/>
      <c r="T624" s="2"/>
      <c r="U624" s="2"/>
      <c r="V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R625" s="2"/>
      <c r="S625" s="2"/>
      <c r="T625" s="2"/>
      <c r="U625" s="2"/>
      <c r="V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R626" s="2"/>
      <c r="S626" s="2"/>
      <c r="T626" s="2"/>
      <c r="U626" s="2"/>
      <c r="V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R627" s="2"/>
      <c r="S627" s="2"/>
      <c r="T627" s="2"/>
      <c r="U627" s="2"/>
      <c r="V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R628" s="2"/>
      <c r="S628" s="2"/>
      <c r="T628" s="2"/>
      <c r="U628" s="2"/>
      <c r="V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R629" s="2"/>
      <c r="S629" s="2"/>
      <c r="T629" s="2"/>
      <c r="U629" s="2"/>
      <c r="V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R630" s="2"/>
      <c r="S630" s="2"/>
      <c r="T630" s="2"/>
      <c r="U630" s="2"/>
      <c r="V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R631" s="2"/>
      <c r="S631" s="2"/>
      <c r="T631" s="2"/>
      <c r="U631" s="2"/>
      <c r="V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R632" s="2"/>
      <c r="S632" s="2"/>
      <c r="T632" s="2"/>
      <c r="U632" s="2"/>
      <c r="V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R633" s="2"/>
      <c r="S633" s="2"/>
      <c r="T633" s="2"/>
      <c r="U633" s="2"/>
      <c r="V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R634" s="2"/>
      <c r="S634" s="2"/>
      <c r="T634" s="2"/>
      <c r="U634" s="2"/>
      <c r="V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R635" s="2"/>
      <c r="S635" s="2"/>
      <c r="T635" s="2"/>
      <c r="U635" s="2"/>
      <c r="V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R636" s="2"/>
      <c r="S636" s="2"/>
      <c r="T636" s="2"/>
      <c r="U636" s="2"/>
      <c r="V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R637" s="2"/>
      <c r="S637" s="2"/>
      <c r="T637" s="2"/>
      <c r="U637" s="2"/>
      <c r="V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R638" s="2"/>
      <c r="S638" s="2"/>
      <c r="T638" s="2"/>
      <c r="U638" s="2"/>
      <c r="V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R639" s="2"/>
      <c r="S639" s="2"/>
      <c r="T639" s="2"/>
      <c r="U639" s="2"/>
      <c r="V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R640" s="2"/>
      <c r="S640" s="2"/>
      <c r="T640" s="2"/>
      <c r="U640" s="2"/>
      <c r="V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R641" s="2"/>
      <c r="S641" s="2"/>
      <c r="T641" s="2"/>
      <c r="U641" s="2"/>
      <c r="V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R642" s="2"/>
      <c r="S642" s="2"/>
      <c r="T642" s="2"/>
      <c r="U642" s="2"/>
      <c r="V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R643" s="2"/>
      <c r="S643" s="2"/>
      <c r="T643" s="2"/>
      <c r="U643" s="2"/>
      <c r="V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R644" s="2"/>
      <c r="S644" s="2"/>
      <c r="T644" s="2"/>
      <c r="U644" s="2"/>
      <c r="V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R645" s="2"/>
      <c r="S645" s="2"/>
      <c r="T645" s="2"/>
      <c r="U645" s="2"/>
      <c r="V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R646" s="2"/>
      <c r="S646" s="2"/>
      <c r="T646" s="2"/>
      <c r="U646" s="2"/>
      <c r="V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R647" s="2"/>
      <c r="S647" s="2"/>
      <c r="T647" s="2"/>
      <c r="U647" s="2"/>
      <c r="V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R648" s="2"/>
      <c r="S648" s="2"/>
      <c r="T648" s="2"/>
      <c r="U648" s="2"/>
      <c r="V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R649" s="2"/>
      <c r="S649" s="2"/>
      <c r="T649" s="2"/>
      <c r="U649" s="2"/>
      <c r="V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R650" s="2"/>
      <c r="S650" s="2"/>
      <c r="T650" s="2"/>
      <c r="U650" s="2"/>
      <c r="V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R651" s="2"/>
      <c r="S651" s="2"/>
      <c r="T651" s="2"/>
      <c r="U651" s="2"/>
      <c r="V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R652" s="2"/>
      <c r="S652" s="2"/>
      <c r="T652" s="2"/>
      <c r="U652" s="2"/>
      <c r="V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R653" s="2"/>
      <c r="S653" s="2"/>
      <c r="T653" s="2"/>
      <c r="U653" s="2"/>
      <c r="V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R654" s="2"/>
      <c r="S654" s="2"/>
      <c r="T654" s="2"/>
      <c r="U654" s="2"/>
      <c r="V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R655" s="2"/>
      <c r="S655" s="2"/>
      <c r="T655" s="2"/>
      <c r="U655" s="2"/>
      <c r="V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R656" s="2"/>
      <c r="S656" s="2"/>
      <c r="T656" s="2"/>
      <c r="U656" s="2"/>
      <c r="V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R657" s="2"/>
      <c r="S657" s="2"/>
      <c r="T657" s="2"/>
      <c r="U657" s="2"/>
      <c r="V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R658" s="2"/>
      <c r="S658" s="2"/>
      <c r="T658" s="2"/>
      <c r="U658" s="2"/>
      <c r="V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R659" s="2"/>
      <c r="S659" s="2"/>
      <c r="T659" s="2"/>
      <c r="U659" s="2"/>
      <c r="V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R660" s="2"/>
      <c r="S660" s="2"/>
      <c r="T660" s="2"/>
      <c r="U660" s="2"/>
      <c r="V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R661" s="2"/>
      <c r="S661" s="2"/>
      <c r="T661" s="2"/>
      <c r="U661" s="2"/>
      <c r="V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R662" s="2"/>
      <c r="S662" s="2"/>
      <c r="T662" s="2"/>
      <c r="U662" s="2"/>
      <c r="V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R663" s="2"/>
      <c r="S663" s="2"/>
      <c r="T663" s="2"/>
      <c r="U663" s="2"/>
      <c r="V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R664" s="2"/>
      <c r="S664" s="2"/>
      <c r="T664" s="2"/>
      <c r="U664" s="2"/>
      <c r="V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R665" s="2"/>
      <c r="S665" s="2"/>
      <c r="T665" s="2"/>
      <c r="U665" s="2"/>
      <c r="V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R666" s="2"/>
      <c r="S666" s="2"/>
      <c r="T666" s="2"/>
      <c r="U666" s="2"/>
      <c r="V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R667" s="2"/>
      <c r="S667" s="2"/>
      <c r="T667" s="2"/>
      <c r="U667" s="2"/>
      <c r="V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R668" s="2"/>
      <c r="S668" s="2"/>
      <c r="T668" s="2"/>
      <c r="U668" s="2"/>
      <c r="V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R669" s="2"/>
      <c r="S669" s="2"/>
      <c r="T669" s="2"/>
      <c r="U669" s="2"/>
      <c r="V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R670" s="2"/>
      <c r="S670" s="2"/>
      <c r="T670" s="2"/>
      <c r="U670" s="2"/>
      <c r="V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R671" s="2"/>
      <c r="S671" s="2"/>
      <c r="T671" s="2"/>
      <c r="U671" s="2"/>
      <c r="V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R672" s="2"/>
      <c r="S672" s="2"/>
      <c r="T672" s="2"/>
      <c r="U672" s="2"/>
      <c r="V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R673" s="2"/>
      <c r="S673" s="2"/>
      <c r="T673" s="2"/>
      <c r="U673" s="2"/>
      <c r="V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R674" s="2"/>
      <c r="S674" s="2"/>
      <c r="T674" s="2"/>
      <c r="U674" s="2"/>
      <c r="V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R675" s="2"/>
      <c r="S675" s="2"/>
      <c r="T675" s="2"/>
      <c r="U675" s="2"/>
      <c r="V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R676" s="2"/>
      <c r="S676" s="2"/>
      <c r="T676" s="2"/>
      <c r="U676" s="2"/>
      <c r="V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R677" s="2"/>
      <c r="S677" s="2"/>
      <c r="T677" s="2"/>
      <c r="U677" s="2"/>
      <c r="V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R678" s="2"/>
      <c r="S678" s="2"/>
      <c r="T678" s="2"/>
      <c r="U678" s="2"/>
      <c r="V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R679" s="2"/>
      <c r="S679" s="2"/>
      <c r="T679" s="2"/>
      <c r="U679" s="2"/>
      <c r="V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R680" s="2"/>
      <c r="S680" s="2"/>
      <c r="T680" s="2"/>
      <c r="U680" s="2"/>
      <c r="V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R681" s="2"/>
      <c r="S681" s="2"/>
      <c r="T681" s="2"/>
      <c r="U681" s="2"/>
      <c r="V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R682" s="2"/>
      <c r="S682" s="2"/>
      <c r="T682" s="2"/>
      <c r="U682" s="2"/>
      <c r="V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R683" s="2"/>
      <c r="S683" s="2"/>
      <c r="T683" s="2"/>
      <c r="U683" s="2"/>
      <c r="V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R684" s="2"/>
      <c r="S684" s="2"/>
      <c r="T684" s="2"/>
      <c r="U684" s="2"/>
      <c r="V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R685" s="2"/>
      <c r="S685" s="2"/>
      <c r="T685" s="2"/>
      <c r="U685" s="2"/>
      <c r="V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R686" s="2"/>
      <c r="S686" s="2"/>
      <c r="T686" s="2"/>
      <c r="U686" s="2"/>
      <c r="V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R687" s="2"/>
      <c r="S687" s="2"/>
      <c r="T687" s="2"/>
      <c r="U687" s="2"/>
      <c r="V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R688" s="2"/>
      <c r="S688" s="2"/>
      <c r="T688" s="2"/>
      <c r="U688" s="2"/>
      <c r="V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R689" s="2"/>
      <c r="S689" s="2"/>
      <c r="T689" s="2"/>
      <c r="U689" s="2"/>
      <c r="V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R690" s="2"/>
      <c r="S690" s="2"/>
      <c r="T690" s="2"/>
      <c r="U690" s="2"/>
      <c r="V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R691" s="2"/>
      <c r="S691" s="2"/>
      <c r="T691" s="2"/>
      <c r="U691" s="2"/>
      <c r="V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R692" s="2"/>
      <c r="S692" s="2"/>
      <c r="T692" s="2"/>
      <c r="U692" s="2"/>
      <c r="V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R693" s="2"/>
      <c r="S693" s="2"/>
      <c r="T693" s="2"/>
      <c r="U693" s="2"/>
      <c r="V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R694" s="2"/>
      <c r="S694" s="2"/>
      <c r="T694" s="2"/>
      <c r="U694" s="2"/>
      <c r="V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R695" s="2"/>
      <c r="S695" s="2"/>
      <c r="T695" s="2"/>
      <c r="U695" s="2"/>
      <c r="V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R696" s="2"/>
      <c r="S696" s="2"/>
      <c r="T696" s="2"/>
      <c r="U696" s="2"/>
      <c r="V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R697" s="2"/>
      <c r="S697" s="2"/>
      <c r="T697" s="2"/>
      <c r="U697" s="2"/>
      <c r="V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R698" s="2"/>
      <c r="S698" s="2"/>
      <c r="T698" s="2"/>
      <c r="U698" s="2"/>
      <c r="V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R699" s="2"/>
      <c r="S699" s="2"/>
      <c r="T699" s="2"/>
      <c r="U699" s="2"/>
      <c r="V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R700" s="2"/>
      <c r="S700" s="2"/>
      <c r="T700" s="2"/>
      <c r="U700" s="2"/>
      <c r="V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R701" s="2"/>
      <c r="S701" s="2"/>
      <c r="T701" s="2"/>
      <c r="U701" s="2"/>
      <c r="V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R702" s="2"/>
      <c r="S702" s="2"/>
      <c r="T702" s="2"/>
      <c r="U702" s="2"/>
      <c r="V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R703" s="2"/>
      <c r="S703" s="2"/>
      <c r="T703" s="2"/>
      <c r="U703" s="2"/>
      <c r="V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R704" s="2"/>
      <c r="S704" s="2"/>
      <c r="T704" s="2"/>
      <c r="U704" s="2"/>
      <c r="V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R705" s="2"/>
      <c r="S705" s="2"/>
      <c r="T705" s="2"/>
      <c r="U705" s="2"/>
      <c r="V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R706" s="2"/>
      <c r="S706" s="2"/>
      <c r="T706" s="2"/>
      <c r="U706" s="2"/>
      <c r="V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R707" s="2"/>
      <c r="S707" s="2"/>
      <c r="T707" s="2"/>
      <c r="U707" s="2"/>
      <c r="V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R708" s="2"/>
      <c r="S708" s="2"/>
      <c r="T708" s="2"/>
      <c r="U708" s="2"/>
      <c r="V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R709" s="2"/>
      <c r="S709" s="2"/>
      <c r="T709" s="2"/>
      <c r="U709" s="2"/>
      <c r="V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R710" s="2"/>
      <c r="S710" s="2"/>
      <c r="T710" s="2"/>
      <c r="U710" s="2"/>
      <c r="V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R711" s="2"/>
      <c r="S711" s="2"/>
      <c r="T711" s="2"/>
      <c r="U711" s="2"/>
      <c r="V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R712" s="2"/>
      <c r="S712" s="2"/>
      <c r="T712" s="2"/>
      <c r="U712" s="2"/>
      <c r="V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R713" s="2"/>
      <c r="S713" s="2"/>
      <c r="T713" s="2"/>
      <c r="U713" s="2"/>
      <c r="V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R714" s="2"/>
      <c r="S714" s="2"/>
      <c r="T714" s="2"/>
      <c r="U714" s="2"/>
      <c r="V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R715" s="2"/>
      <c r="S715" s="2"/>
      <c r="T715" s="2"/>
      <c r="U715" s="2"/>
      <c r="V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R716" s="2"/>
      <c r="S716" s="2"/>
      <c r="T716" s="2"/>
      <c r="U716" s="2"/>
      <c r="V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R717" s="2"/>
      <c r="S717" s="2"/>
      <c r="T717" s="2"/>
      <c r="U717" s="2"/>
      <c r="V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R718" s="2"/>
      <c r="S718" s="2"/>
      <c r="T718" s="2"/>
      <c r="U718" s="2"/>
      <c r="V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R719" s="2"/>
      <c r="S719" s="2"/>
      <c r="T719" s="2"/>
      <c r="U719" s="2"/>
      <c r="V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R720" s="2"/>
      <c r="S720" s="2"/>
      <c r="T720" s="2"/>
      <c r="U720" s="2"/>
      <c r="V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R721" s="2"/>
      <c r="S721" s="2"/>
      <c r="T721" s="2"/>
      <c r="U721" s="2"/>
      <c r="V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R722" s="2"/>
      <c r="S722" s="2"/>
      <c r="T722" s="2"/>
      <c r="U722" s="2"/>
      <c r="V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R723" s="2"/>
      <c r="S723" s="2"/>
      <c r="T723" s="2"/>
      <c r="U723" s="2"/>
      <c r="V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R724" s="2"/>
      <c r="S724" s="2"/>
      <c r="T724" s="2"/>
      <c r="U724" s="2"/>
      <c r="V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R725" s="2"/>
      <c r="S725" s="2"/>
      <c r="T725" s="2"/>
      <c r="U725" s="2"/>
      <c r="V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R726" s="2"/>
      <c r="S726" s="2"/>
      <c r="T726" s="2"/>
      <c r="U726" s="2"/>
      <c r="V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R727" s="2"/>
      <c r="S727" s="2"/>
      <c r="T727" s="2"/>
      <c r="U727" s="2"/>
      <c r="V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R728" s="2"/>
      <c r="S728" s="2"/>
      <c r="T728" s="2"/>
      <c r="U728" s="2"/>
      <c r="V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R729" s="2"/>
      <c r="S729" s="2"/>
      <c r="T729" s="2"/>
      <c r="U729" s="2"/>
      <c r="V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R730" s="2"/>
      <c r="S730" s="2"/>
      <c r="T730" s="2"/>
      <c r="U730" s="2"/>
      <c r="V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R731" s="2"/>
      <c r="S731" s="2"/>
      <c r="T731" s="2"/>
      <c r="U731" s="2"/>
      <c r="V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R732" s="2"/>
      <c r="S732" s="2"/>
      <c r="T732" s="2"/>
      <c r="U732" s="2"/>
      <c r="V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R733" s="2"/>
      <c r="S733" s="2"/>
      <c r="T733" s="2"/>
      <c r="U733" s="2"/>
      <c r="V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R734" s="2"/>
      <c r="S734" s="2"/>
      <c r="T734" s="2"/>
      <c r="U734" s="2"/>
      <c r="V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R735" s="2"/>
      <c r="S735" s="2"/>
      <c r="T735" s="2"/>
      <c r="U735" s="2"/>
      <c r="V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R736" s="2"/>
      <c r="S736" s="2"/>
      <c r="T736" s="2"/>
      <c r="U736" s="2"/>
      <c r="V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R737" s="2"/>
      <c r="S737" s="2"/>
      <c r="T737" s="2"/>
      <c r="U737" s="2"/>
      <c r="V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R738" s="2"/>
      <c r="S738" s="2"/>
      <c r="T738" s="2"/>
      <c r="U738" s="2"/>
      <c r="V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R739" s="2"/>
      <c r="S739" s="2"/>
      <c r="T739" s="2"/>
      <c r="U739" s="2"/>
      <c r="V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R740" s="2"/>
      <c r="S740" s="2"/>
      <c r="T740" s="2"/>
      <c r="U740" s="2"/>
      <c r="V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R741" s="2"/>
      <c r="S741" s="2"/>
      <c r="T741" s="2"/>
      <c r="U741" s="2"/>
      <c r="V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R742" s="2"/>
      <c r="S742" s="2"/>
      <c r="T742" s="2"/>
      <c r="U742" s="2"/>
      <c r="V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R743" s="2"/>
      <c r="S743" s="2"/>
      <c r="T743" s="2"/>
      <c r="U743" s="2"/>
      <c r="V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R744" s="2"/>
      <c r="S744" s="2"/>
      <c r="T744" s="2"/>
      <c r="U744" s="2"/>
      <c r="V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R745" s="2"/>
      <c r="S745" s="2"/>
      <c r="T745" s="2"/>
      <c r="U745" s="2"/>
      <c r="V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R746" s="2"/>
      <c r="S746" s="2"/>
      <c r="T746" s="2"/>
      <c r="U746" s="2"/>
      <c r="V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R747" s="2"/>
      <c r="S747" s="2"/>
      <c r="T747" s="2"/>
      <c r="U747" s="2"/>
      <c r="V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R748" s="2"/>
      <c r="S748" s="2"/>
      <c r="T748" s="2"/>
      <c r="U748" s="2"/>
      <c r="V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R749" s="2"/>
      <c r="S749" s="2"/>
      <c r="T749" s="2"/>
      <c r="U749" s="2"/>
      <c r="V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R750" s="2"/>
      <c r="S750" s="2"/>
      <c r="T750" s="2"/>
      <c r="U750" s="2"/>
      <c r="V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R751" s="2"/>
      <c r="S751" s="2"/>
      <c r="T751" s="2"/>
      <c r="U751" s="2"/>
      <c r="V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R752" s="2"/>
      <c r="S752" s="2"/>
      <c r="T752" s="2"/>
      <c r="U752" s="2"/>
      <c r="V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R753" s="2"/>
      <c r="S753" s="2"/>
      <c r="T753" s="2"/>
      <c r="U753" s="2"/>
      <c r="V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R754" s="2"/>
      <c r="S754" s="2"/>
      <c r="T754" s="2"/>
      <c r="U754" s="2"/>
      <c r="V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R755" s="2"/>
      <c r="S755" s="2"/>
      <c r="T755" s="2"/>
      <c r="U755" s="2"/>
      <c r="V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R756" s="2"/>
      <c r="S756" s="2"/>
      <c r="T756" s="2"/>
      <c r="U756" s="2"/>
      <c r="V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R757" s="2"/>
      <c r="S757" s="2"/>
      <c r="T757" s="2"/>
      <c r="U757" s="2"/>
      <c r="V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R758" s="2"/>
      <c r="S758" s="2"/>
      <c r="T758" s="2"/>
      <c r="U758" s="2"/>
      <c r="V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R759" s="2"/>
      <c r="S759" s="2"/>
      <c r="T759" s="2"/>
      <c r="U759" s="2"/>
      <c r="V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R760" s="2"/>
      <c r="S760" s="2"/>
      <c r="T760" s="2"/>
      <c r="U760" s="2"/>
      <c r="V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R761" s="2"/>
      <c r="S761" s="2"/>
      <c r="T761" s="2"/>
      <c r="U761" s="2"/>
      <c r="V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R762" s="2"/>
      <c r="S762" s="2"/>
      <c r="T762" s="2"/>
      <c r="U762" s="2"/>
      <c r="V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R763" s="2"/>
      <c r="S763" s="2"/>
      <c r="T763" s="2"/>
      <c r="U763" s="2"/>
      <c r="V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R764" s="2"/>
      <c r="S764" s="2"/>
      <c r="T764" s="2"/>
      <c r="U764" s="2"/>
      <c r="V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R765" s="2"/>
      <c r="S765" s="2"/>
      <c r="T765" s="2"/>
      <c r="U765" s="2"/>
      <c r="V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R766" s="2"/>
      <c r="S766" s="2"/>
      <c r="T766" s="2"/>
      <c r="U766" s="2"/>
      <c r="V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R767" s="2"/>
      <c r="S767" s="2"/>
      <c r="T767" s="2"/>
      <c r="U767" s="2"/>
      <c r="V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R768" s="2"/>
      <c r="S768" s="2"/>
      <c r="T768" s="2"/>
      <c r="U768" s="2"/>
      <c r="V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R769" s="2"/>
      <c r="S769" s="2"/>
      <c r="T769" s="2"/>
      <c r="U769" s="2"/>
      <c r="V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R770" s="2"/>
      <c r="S770" s="2"/>
      <c r="T770" s="2"/>
      <c r="U770" s="2"/>
      <c r="V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R771" s="2"/>
      <c r="S771" s="2"/>
      <c r="T771" s="2"/>
      <c r="U771" s="2"/>
      <c r="V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R772" s="2"/>
      <c r="S772" s="2"/>
      <c r="T772" s="2"/>
      <c r="U772" s="2"/>
      <c r="V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R773" s="2"/>
      <c r="S773" s="2"/>
      <c r="T773" s="2"/>
      <c r="U773" s="2"/>
      <c r="V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R774" s="2"/>
      <c r="S774" s="2"/>
      <c r="T774" s="2"/>
      <c r="U774" s="2"/>
      <c r="V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R775" s="2"/>
      <c r="S775" s="2"/>
      <c r="T775" s="2"/>
      <c r="U775" s="2"/>
      <c r="V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R776" s="2"/>
      <c r="S776" s="2"/>
      <c r="T776" s="2"/>
      <c r="U776" s="2"/>
      <c r="V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R777" s="2"/>
      <c r="S777" s="2"/>
      <c r="T777" s="2"/>
      <c r="U777" s="2"/>
      <c r="V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R778" s="2"/>
      <c r="S778" s="2"/>
      <c r="T778" s="2"/>
      <c r="U778" s="2"/>
      <c r="V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R779" s="2"/>
      <c r="S779" s="2"/>
      <c r="T779" s="2"/>
      <c r="U779" s="2"/>
      <c r="V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R780" s="2"/>
      <c r="S780" s="2"/>
      <c r="T780" s="2"/>
      <c r="U780" s="2"/>
      <c r="V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R781" s="2"/>
      <c r="S781" s="2"/>
      <c r="T781" s="2"/>
      <c r="U781" s="2"/>
      <c r="V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R782" s="2"/>
      <c r="S782" s="2"/>
      <c r="T782" s="2"/>
      <c r="U782" s="2"/>
      <c r="V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R783" s="2"/>
      <c r="S783" s="2"/>
      <c r="T783" s="2"/>
      <c r="U783" s="2"/>
      <c r="V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R784" s="2"/>
      <c r="S784" s="2"/>
      <c r="T784" s="2"/>
      <c r="U784" s="2"/>
      <c r="V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R785" s="2"/>
      <c r="S785" s="2"/>
      <c r="T785" s="2"/>
      <c r="U785" s="2"/>
      <c r="V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R786" s="2"/>
      <c r="S786" s="2"/>
      <c r="T786" s="2"/>
      <c r="U786" s="2"/>
      <c r="V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R787" s="2"/>
      <c r="S787" s="2"/>
      <c r="T787" s="2"/>
      <c r="U787" s="2"/>
      <c r="V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R788" s="2"/>
      <c r="S788" s="2"/>
      <c r="T788" s="2"/>
      <c r="U788" s="2"/>
      <c r="V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R789" s="2"/>
      <c r="S789" s="2"/>
      <c r="T789" s="2"/>
      <c r="U789" s="2"/>
      <c r="V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R790" s="2"/>
      <c r="S790" s="2"/>
      <c r="T790" s="2"/>
      <c r="U790" s="2"/>
      <c r="V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R791" s="2"/>
      <c r="S791" s="2"/>
      <c r="T791" s="2"/>
      <c r="U791" s="2"/>
      <c r="V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R792" s="2"/>
      <c r="S792" s="2"/>
      <c r="T792" s="2"/>
      <c r="U792" s="2"/>
      <c r="V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R793" s="2"/>
      <c r="S793" s="2"/>
      <c r="T793" s="2"/>
      <c r="U793" s="2"/>
      <c r="V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R794" s="2"/>
      <c r="S794" s="2"/>
      <c r="T794" s="2"/>
      <c r="U794" s="2"/>
      <c r="V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R795" s="2"/>
      <c r="S795" s="2"/>
      <c r="T795" s="2"/>
      <c r="U795" s="2"/>
      <c r="V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R796" s="2"/>
      <c r="S796" s="2"/>
      <c r="T796" s="2"/>
      <c r="U796" s="2"/>
      <c r="V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R797" s="2"/>
      <c r="S797" s="2"/>
      <c r="T797" s="2"/>
      <c r="U797" s="2"/>
      <c r="V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R798" s="2"/>
      <c r="S798" s="2"/>
      <c r="T798" s="2"/>
      <c r="U798" s="2"/>
      <c r="V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R799" s="2"/>
      <c r="S799" s="2"/>
      <c r="T799" s="2"/>
      <c r="U799" s="2"/>
      <c r="V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R800" s="2"/>
      <c r="S800" s="2"/>
      <c r="T800" s="2"/>
      <c r="U800" s="2"/>
      <c r="V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R801" s="2"/>
      <c r="S801" s="2"/>
      <c r="T801" s="2"/>
      <c r="U801" s="2"/>
      <c r="V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R802" s="2"/>
      <c r="S802" s="2"/>
      <c r="T802" s="2"/>
      <c r="U802" s="2"/>
      <c r="V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R803" s="2"/>
      <c r="S803" s="2"/>
      <c r="T803" s="2"/>
      <c r="U803" s="2"/>
      <c r="V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R804" s="2"/>
      <c r="S804" s="2"/>
      <c r="T804" s="2"/>
      <c r="U804" s="2"/>
      <c r="V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R805" s="2"/>
      <c r="S805" s="2"/>
      <c r="T805" s="2"/>
      <c r="U805" s="2"/>
      <c r="V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R806" s="2"/>
      <c r="S806" s="2"/>
      <c r="T806" s="2"/>
      <c r="U806" s="2"/>
      <c r="V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R807" s="2"/>
      <c r="S807" s="2"/>
      <c r="T807" s="2"/>
      <c r="U807" s="2"/>
      <c r="V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R808" s="2"/>
      <c r="S808" s="2"/>
      <c r="T808" s="2"/>
      <c r="U808" s="2"/>
      <c r="V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R809" s="2"/>
      <c r="S809" s="2"/>
      <c r="T809" s="2"/>
      <c r="U809" s="2"/>
      <c r="V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R810" s="2"/>
      <c r="S810" s="2"/>
      <c r="T810" s="2"/>
      <c r="U810" s="2"/>
      <c r="V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R811" s="2"/>
      <c r="S811" s="2"/>
      <c r="T811" s="2"/>
      <c r="U811" s="2"/>
      <c r="V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R812" s="2"/>
      <c r="S812" s="2"/>
      <c r="T812" s="2"/>
      <c r="U812" s="2"/>
      <c r="V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R813" s="2"/>
      <c r="S813" s="2"/>
      <c r="T813" s="2"/>
      <c r="U813" s="2"/>
      <c r="V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R814" s="2"/>
      <c r="S814" s="2"/>
      <c r="T814" s="2"/>
      <c r="U814" s="2"/>
      <c r="V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R815" s="2"/>
      <c r="S815" s="2"/>
      <c r="T815" s="2"/>
      <c r="U815" s="2"/>
      <c r="V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R816" s="2"/>
      <c r="S816" s="2"/>
      <c r="T816" s="2"/>
      <c r="U816" s="2"/>
      <c r="V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R817" s="2"/>
      <c r="S817" s="2"/>
      <c r="T817" s="2"/>
      <c r="U817" s="2"/>
      <c r="V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R818" s="2"/>
      <c r="S818" s="2"/>
      <c r="T818" s="2"/>
      <c r="U818" s="2"/>
      <c r="V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R819" s="2"/>
      <c r="S819" s="2"/>
      <c r="T819" s="2"/>
      <c r="U819" s="2"/>
      <c r="V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R820" s="2"/>
      <c r="S820" s="2"/>
      <c r="T820" s="2"/>
      <c r="U820" s="2"/>
      <c r="V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R821" s="2"/>
      <c r="S821" s="2"/>
      <c r="T821" s="2"/>
      <c r="U821" s="2"/>
      <c r="V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R822" s="2"/>
      <c r="S822" s="2"/>
      <c r="T822" s="2"/>
      <c r="U822" s="2"/>
      <c r="V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R823" s="2"/>
      <c r="S823" s="2"/>
      <c r="T823" s="2"/>
      <c r="U823" s="2"/>
      <c r="V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R824" s="2"/>
      <c r="S824" s="2"/>
      <c r="T824" s="2"/>
      <c r="U824" s="2"/>
      <c r="V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R825" s="2"/>
      <c r="S825" s="2"/>
      <c r="T825" s="2"/>
      <c r="U825" s="2"/>
      <c r="V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R826" s="2"/>
      <c r="S826" s="2"/>
      <c r="T826" s="2"/>
      <c r="U826" s="2"/>
      <c r="V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R827" s="2"/>
      <c r="S827" s="2"/>
      <c r="T827" s="2"/>
      <c r="U827" s="2"/>
      <c r="V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R828" s="2"/>
      <c r="S828" s="2"/>
      <c r="T828" s="2"/>
      <c r="U828" s="2"/>
      <c r="V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R829" s="2"/>
      <c r="S829" s="2"/>
      <c r="T829" s="2"/>
      <c r="U829" s="2"/>
      <c r="V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R830" s="2"/>
      <c r="S830" s="2"/>
      <c r="T830" s="2"/>
      <c r="U830" s="2"/>
      <c r="V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R831" s="2"/>
      <c r="S831" s="2"/>
      <c r="T831" s="2"/>
      <c r="U831" s="2"/>
      <c r="V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R832" s="2"/>
      <c r="S832" s="2"/>
      <c r="T832" s="2"/>
      <c r="U832" s="2"/>
      <c r="V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R833" s="2"/>
      <c r="S833" s="2"/>
      <c r="T833" s="2"/>
      <c r="U833" s="2"/>
      <c r="V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R834" s="2"/>
      <c r="S834" s="2"/>
      <c r="T834" s="2"/>
      <c r="U834" s="2"/>
      <c r="V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R835" s="2"/>
      <c r="S835" s="2"/>
      <c r="T835" s="2"/>
      <c r="U835" s="2"/>
      <c r="V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R836" s="2"/>
      <c r="S836" s="2"/>
      <c r="T836" s="2"/>
      <c r="U836" s="2"/>
      <c r="V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R837" s="2"/>
      <c r="S837" s="2"/>
      <c r="T837" s="2"/>
      <c r="U837" s="2"/>
      <c r="V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R838" s="2"/>
      <c r="S838" s="2"/>
      <c r="T838" s="2"/>
      <c r="U838" s="2"/>
      <c r="V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R839" s="2"/>
      <c r="S839" s="2"/>
      <c r="T839" s="2"/>
      <c r="U839" s="2"/>
      <c r="V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R840" s="2"/>
      <c r="S840" s="2"/>
      <c r="T840" s="2"/>
      <c r="U840" s="2"/>
      <c r="V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R841" s="2"/>
      <c r="S841" s="2"/>
      <c r="T841" s="2"/>
      <c r="U841" s="2"/>
      <c r="V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R842" s="2"/>
      <c r="S842" s="2"/>
      <c r="T842" s="2"/>
      <c r="U842" s="2"/>
      <c r="V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R843" s="2"/>
      <c r="S843" s="2"/>
      <c r="T843" s="2"/>
      <c r="U843" s="2"/>
      <c r="V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R844" s="2"/>
      <c r="S844" s="2"/>
      <c r="T844" s="2"/>
      <c r="U844" s="2"/>
      <c r="V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R845" s="2"/>
      <c r="S845" s="2"/>
      <c r="T845" s="2"/>
      <c r="U845" s="2"/>
      <c r="V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R846" s="2"/>
      <c r="S846" s="2"/>
      <c r="T846" s="2"/>
      <c r="U846" s="2"/>
      <c r="V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R847" s="2"/>
      <c r="S847" s="2"/>
      <c r="T847" s="2"/>
      <c r="U847" s="2"/>
      <c r="V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R848" s="2"/>
      <c r="S848" s="2"/>
      <c r="T848" s="2"/>
      <c r="U848" s="2"/>
      <c r="V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R849" s="2"/>
      <c r="S849" s="2"/>
      <c r="T849" s="2"/>
      <c r="U849" s="2"/>
      <c r="V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R850" s="2"/>
      <c r="S850" s="2"/>
      <c r="T850" s="2"/>
      <c r="U850" s="2"/>
      <c r="V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R851" s="2"/>
      <c r="S851" s="2"/>
      <c r="T851" s="2"/>
      <c r="U851" s="2"/>
      <c r="V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R852" s="2"/>
      <c r="S852" s="2"/>
      <c r="T852" s="2"/>
      <c r="U852" s="2"/>
      <c r="V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R853" s="2"/>
      <c r="S853" s="2"/>
      <c r="T853" s="2"/>
      <c r="U853" s="2"/>
      <c r="V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R854" s="2"/>
      <c r="S854" s="2"/>
      <c r="T854" s="2"/>
      <c r="U854" s="2"/>
      <c r="V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R855" s="2"/>
      <c r="S855" s="2"/>
      <c r="T855" s="2"/>
      <c r="U855" s="2"/>
      <c r="V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R856" s="2"/>
      <c r="S856" s="2"/>
      <c r="T856" s="2"/>
      <c r="U856" s="2"/>
      <c r="V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R857" s="2"/>
      <c r="S857" s="2"/>
      <c r="T857" s="2"/>
      <c r="U857" s="2"/>
      <c r="V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R858" s="2"/>
      <c r="S858" s="2"/>
      <c r="T858" s="2"/>
      <c r="U858" s="2"/>
      <c r="V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R859" s="2"/>
      <c r="S859" s="2"/>
      <c r="T859" s="2"/>
      <c r="U859" s="2"/>
      <c r="V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R860" s="2"/>
      <c r="S860" s="2"/>
      <c r="T860" s="2"/>
      <c r="U860" s="2"/>
      <c r="V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R861" s="2"/>
      <c r="S861" s="2"/>
      <c r="T861" s="2"/>
      <c r="U861" s="2"/>
      <c r="V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R862" s="2"/>
      <c r="S862" s="2"/>
      <c r="T862" s="2"/>
      <c r="U862" s="2"/>
      <c r="V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R863" s="2"/>
      <c r="S863" s="2"/>
      <c r="T863" s="2"/>
      <c r="U863" s="2"/>
      <c r="V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R864" s="2"/>
      <c r="S864" s="2"/>
      <c r="T864" s="2"/>
      <c r="U864" s="2"/>
      <c r="V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R865" s="2"/>
      <c r="S865" s="2"/>
      <c r="T865" s="2"/>
      <c r="U865" s="2"/>
      <c r="V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R866" s="2"/>
      <c r="S866" s="2"/>
      <c r="T866" s="2"/>
      <c r="U866" s="2"/>
      <c r="V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R867" s="2"/>
      <c r="S867" s="2"/>
      <c r="T867" s="2"/>
      <c r="U867" s="2"/>
      <c r="V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R868" s="2"/>
      <c r="S868" s="2"/>
      <c r="T868" s="2"/>
      <c r="U868" s="2"/>
      <c r="V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R869" s="2"/>
      <c r="S869" s="2"/>
      <c r="T869" s="2"/>
      <c r="U869" s="2"/>
      <c r="V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R870" s="2"/>
      <c r="S870" s="2"/>
      <c r="T870" s="2"/>
      <c r="U870" s="2"/>
      <c r="V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R871" s="2"/>
      <c r="S871" s="2"/>
      <c r="T871" s="2"/>
      <c r="U871" s="2"/>
      <c r="V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R872" s="2"/>
      <c r="S872" s="2"/>
      <c r="T872" s="2"/>
      <c r="U872" s="2"/>
      <c r="V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R873" s="2"/>
      <c r="S873" s="2"/>
      <c r="T873" s="2"/>
      <c r="U873" s="2"/>
      <c r="V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R874" s="2"/>
      <c r="S874" s="2"/>
      <c r="T874" s="2"/>
      <c r="U874" s="2"/>
      <c r="V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R875" s="2"/>
      <c r="S875" s="2"/>
      <c r="T875" s="2"/>
      <c r="U875" s="2"/>
      <c r="V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R876" s="2"/>
      <c r="S876" s="2"/>
      <c r="T876" s="2"/>
      <c r="U876" s="2"/>
      <c r="V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R877" s="2"/>
      <c r="S877" s="2"/>
      <c r="T877" s="2"/>
      <c r="U877" s="2"/>
      <c r="V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R878" s="2"/>
      <c r="S878" s="2"/>
      <c r="T878" s="2"/>
      <c r="U878" s="2"/>
      <c r="V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R879" s="2"/>
      <c r="S879" s="2"/>
      <c r="T879" s="2"/>
      <c r="U879" s="2"/>
      <c r="V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R880" s="2"/>
      <c r="S880" s="2"/>
      <c r="T880" s="2"/>
      <c r="U880" s="2"/>
      <c r="V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R881" s="2"/>
      <c r="S881" s="2"/>
      <c r="T881" s="2"/>
      <c r="U881" s="2"/>
      <c r="V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R882" s="2"/>
      <c r="S882" s="2"/>
      <c r="T882" s="2"/>
      <c r="U882" s="2"/>
      <c r="V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R883" s="2"/>
      <c r="S883" s="2"/>
      <c r="T883" s="2"/>
      <c r="U883" s="2"/>
      <c r="V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R884" s="2"/>
      <c r="S884" s="2"/>
      <c r="T884" s="2"/>
      <c r="U884" s="2"/>
      <c r="V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R885" s="2"/>
      <c r="S885" s="2"/>
      <c r="T885" s="2"/>
      <c r="U885" s="2"/>
      <c r="V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R886" s="2"/>
      <c r="S886" s="2"/>
      <c r="T886" s="2"/>
      <c r="U886" s="2"/>
      <c r="V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R887" s="2"/>
      <c r="S887" s="2"/>
      <c r="T887" s="2"/>
      <c r="U887" s="2"/>
      <c r="V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R888" s="2"/>
      <c r="S888" s="2"/>
      <c r="T888" s="2"/>
      <c r="U888" s="2"/>
      <c r="V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R889" s="2"/>
      <c r="S889" s="2"/>
      <c r="T889" s="2"/>
      <c r="U889" s="2"/>
      <c r="V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R890" s="2"/>
      <c r="S890" s="2"/>
      <c r="T890" s="2"/>
      <c r="U890" s="2"/>
      <c r="V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R891" s="2"/>
      <c r="S891" s="2"/>
      <c r="T891" s="2"/>
      <c r="U891" s="2"/>
      <c r="V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R892" s="2"/>
      <c r="S892" s="2"/>
      <c r="T892" s="2"/>
      <c r="U892" s="2"/>
      <c r="V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R893" s="2"/>
      <c r="S893" s="2"/>
      <c r="T893" s="2"/>
      <c r="U893" s="2"/>
      <c r="V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R894" s="2"/>
      <c r="S894" s="2"/>
      <c r="T894" s="2"/>
      <c r="U894" s="2"/>
      <c r="V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R895" s="2"/>
      <c r="S895" s="2"/>
      <c r="T895" s="2"/>
      <c r="U895" s="2"/>
      <c r="V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R896" s="2"/>
      <c r="S896" s="2"/>
      <c r="T896" s="2"/>
      <c r="U896" s="2"/>
      <c r="V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R897" s="2"/>
      <c r="S897" s="2"/>
      <c r="T897" s="2"/>
      <c r="U897" s="2"/>
      <c r="V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R898" s="2"/>
      <c r="S898" s="2"/>
      <c r="T898" s="2"/>
      <c r="U898" s="2"/>
      <c r="V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R899" s="2"/>
      <c r="S899" s="2"/>
      <c r="T899" s="2"/>
      <c r="U899" s="2"/>
      <c r="V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R900" s="2"/>
      <c r="S900" s="2"/>
      <c r="T900" s="2"/>
      <c r="U900" s="2"/>
      <c r="V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R901" s="2"/>
      <c r="S901" s="2"/>
      <c r="T901" s="2"/>
      <c r="U901" s="2"/>
      <c r="V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R902" s="2"/>
      <c r="S902" s="2"/>
      <c r="T902" s="2"/>
      <c r="U902" s="2"/>
      <c r="V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R903" s="2"/>
      <c r="S903" s="2"/>
      <c r="T903" s="2"/>
      <c r="U903" s="2"/>
      <c r="V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R904" s="2"/>
      <c r="S904" s="2"/>
      <c r="T904" s="2"/>
      <c r="U904" s="2"/>
      <c r="V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R905" s="2"/>
      <c r="S905" s="2"/>
      <c r="T905" s="2"/>
      <c r="U905" s="2"/>
      <c r="V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R906" s="2"/>
      <c r="S906" s="2"/>
      <c r="T906" s="2"/>
      <c r="U906" s="2"/>
      <c r="V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R907" s="2"/>
      <c r="S907" s="2"/>
      <c r="T907" s="2"/>
      <c r="U907" s="2"/>
      <c r="V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R908" s="2"/>
      <c r="S908" s="2"/>
      <c r="T908" s="2"/>
      <c r="U908" s="2"/>
      <c r="V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R909" s="2"/>
      <c r="S909" s="2"/>
      <c r="T909" s="2"/>
      <c r="U909" s="2"/>
      <c r="V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R910" s="2"/>
      <c r="S910" s="2"/>
      <c r="T910" s="2"/>
      <c r="U910" s="2"/>
      <c r="V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R911" s="2"/>
      <c r="S911" s="2"/>
      <c r="T911" s="2"/>
      <c r="U911" s="2"/>
      <c r="V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R912" s="2"/>
      <c r="S912" s="2"/>
      <c r="T912" s="2"/>
      <c r="U912" s="2"/>
      <c r="V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R913" s="2"/>
      <c r="S913" s="2"/>
      <c r="T913" s="2"/>
      <c r="U913" s="2"/>
      <c r="V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R914" s="2"/>
      <c r="S914" s="2"/>
      <c r="T914" s="2"/>
      <c r="U914" s="2"/>
      <c r="V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R915" s="2"/>
      <c r="S915" s="2"/>
      <c r="T915" s="2"/>
      <c r="U915" s="2"/>
      <c r="V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R916" s="2"/>
      <c r="S916" s="2"/>
      <c r="T916" s="2"/>
      <c r="U916" s="2"/>
      <c r="V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R917" s="2"/>
      <c r="S917" s="2"/>
      <c r="T917" s="2"/>
      <c r="U917" s="2"/>
      <c r="V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R918" s="2"/>
      <c r="S918" s="2"/>
      <c r="T918" s="2"/>
      <c r="U918" s="2"/>
      <c r="V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R919" s="2"/>
      <c r="S919" s="2"/>
      <c r="T919" s="2"/>
      <c r="U919" s="2"/>
      <c r="V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R920" s="2"/>
      <c r="S920" s="2"/>
      <c r="T920" s="2"/>
      <c r="U920" s="2"/>
      <c r="V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R921" s="2"/>
      <c r="S921" s="2"/>
      <c r="T921" s="2"/>
      <c r="U921" s="2"/>
      <c r="V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R922" s="2"/>
      <c r="S922" s="2"/>
      <c r="T922" s="2"/>
      <c r="U922" s="2"/>
      <c r="V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R923" s="2"/>
      <c r="S923" s="2"/>
      <c r="T923" s="2"/>
      <c r="U923" s="2"/>
      <c r="V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R924" s="2"/>
      <c r="S924" s="2"/>
      <c r="T924" s="2"/>
      <c r="U924" s="2"/>
      <c r="V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R925" s="2"/>
      <c r="S925" s="2"/>
      <c r="T925" s="2"/>
      <c r="U925" s="2"/>
      <c r="V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R926" s="2"/>
      <c r="S926" s="2"/>
      <c r="T926" s="2"/>
      <c r="U926" s="2"/>
      <c r="V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R927" s="2"/>
      <c r="S927" s="2"/>
      <c r="T927" s="2"/>
      <c r="U927" s="2"/>
      <c r="V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R928" s="2"/>
      <c r="S928" s="2"/>
      <c r="T928" s="2"/>
      <c r="U928" s="2"/>
      <c r="V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R929" s="2"/>
      <c r="S929" s="2"/>
      <c r="T929" s="2"/>
      <c r="U929" s="2"/>
      <c r="V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R930" s="2"/>
      <c r="S930" s="2"/>
      <c r="T930" s="2"/>
      <c r="U930" s="2"/>
      <c r="V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R931" s="2"/>
      <c r="S931" s="2"/>
      <c r="T931" s="2"/>
      <c r="U931" s="2"/>
      <c r="V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R932" s="2"/>
      <c r="S932" s="2"/>
      <c r="T932" s="2"/>
      <c r="U932" s="2"/>
      <c r="V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R933" s="2"/>
      <c r="S933" s="2"/>
      <c r="T933" s="2"/>
      <c r="U933" s="2"/>
      <c r="V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R934" s="2"/>
      <c r="S934" s="2"/>
      <c r="T934" s="2"/>
      <c r="U934" s="2"/>
      <c r="V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R935" s="2"/>
      <c r="S935" s="2"/>
      <c r="T935" s="2"/>
      <c r="U935" s="2"/>
      <c r="V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R936" s="2"/>
      <c r="S936" s="2"/>
      <c r="T936" s="2"/>
      <c r="U936" s="2"/>
      <c r="V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R937" s="2"/>
      <c r="S937" s="2"/>
      <c r="T937" s="2"/>
      <c r="U937" s="2"/>
      <c r="V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R938" s="2"/>
      <c r="S938" s="2"/>
      <c r="T938" s="2"/>
      <c r="U938" s="2"/>
      <c r="V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R939" s="2"/>
      <c r="S939" s="2"/>
      <c r="T939" s="2"/>
      <c r="U939" s="2"/>
      <c r="V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R940" s="2"/>
      <c r="S940" s="2"/>
      <c r="T940" s="2"/>
      <c r="U940" s="2"/>
      <c r="V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R941" s="2"/>
      <c r="S941" s="2"/>
      <c r="T941" s="2"/>
      <c r="U941" s="2"/>
      <c r="V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R942" s="2"/>
      <c r="S942" s="2"/>
      <c r="T942" s="2"/>
      <c r="U942" s="2"/>
      <c r="V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R943" s="2"/>
      <c r="S943" s="2"/>
      <c r="T943" s="2"/>
      <c r="U943" s="2"/>
      <c r="V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R944" s="2"/>
      <c r="S944" s="2"/>
      <c r="T944" s="2"/>
      <c r="U944" s="2"/>
      <c r="V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R945" s="2"/>
      <c r="S945" s="2"/>
      <c r="T945" s="2"/>
      <c r="U945" s="2"/>
      <c r="V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R946" s="2"/>
      <c r="S946" s="2"/>
      <c r="T946" s="2"/>
      <c r="U946" s="2"/>
      <c r="V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R947" s="2"/>
      <c r="S947" s="2"/>
      <c r="T947" s="2"/>
      <c r="U947" s="2"/>
      <c r="V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R948" s="2"/>
      <c r="S948" s="2"/>
      <c r="T948" s="2"/>
      <c r="U948" s="2"/>
      <c r="V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R949" s="2"/>
      <c r="S949" s="2"/>
      <c r="T949" s="2"/>
      <c r="U949" s="2"/>
      <c r="V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R950" s="2"/>
      <c r="S950" s="2"/>
      <c r="T950" s="2"/>
      <c r="U950" s="2"/>
      <c r="V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R951" s="2"/>
      <c r="S951" s="2"/>
      <c r="T951" s="2"/>
      <c r="U951" s="2"/>
      <c r="V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R952" s="2"/>
      <c r="S952" s="2"/>
      <c r="T952" s="2"/>
      <c r="U952" s="2"/>
      <c r="V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R953" s="2"/>
      <c r="S953" s="2"/>
      <c r="T953" s="2"/>
      <c r="U953" s="2"/>
      <c r="V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R954" s="2"/>
      <c r="S954" s="2"/>
      <c r="T954" s="2"/>
      <c r="U954" s="2"/>
      <c r="V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R955" s="2"/>
      <c r="S955" s="2"/>
      <c r="T955" s="2"/>
      <c r="U955" s="2"/>
      <c r="V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R956" s="2"/>
      <c r="S956" s="2"/>
      <c r="T956" s="2"/>
      <c r="U956" s="2"/>
      <c r="V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R957" s="2"/>
      <c r="S957" s="2"/>
      <c r="T957" s="2"/>
      <c r="U957" s="2"/>
      <c r="V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R958" s="2"/>
      <c r="S958" s="2"/>
      <c r="T958" s="2"/>
      <c r="U958" s="2"/>
      <c r="V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R959" s="2"/>
      <c r="S959" s="2"/>
      <c r="T959" s="2"/>
      <c r="U959" s="2"/>
      <c r="V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R960" s="2"/>
      <c r="S960" s="2"/>
      <c r="T960" s="2"/>
      <c r="U960" s="2"/>
      <c r="V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R961" s="2"/>
      <c r="S961" s="2"/>
      <c r="T961" s="2"/>
      <c r="U961" s="2"/>
      <c r="V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R962" s="2"/>
      <c r="S962" s="2"/>
      <c r="T962" s="2"/>
      <c r="U962" s="2"/>
      <c r="V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R963" s="2"/>
      <c r="S963" s="2"/>
      <c r="T963" s="2"/>
      <c r="U963" s="2"/>
      <c r="V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R964" s="2"/>
      <c r="S964" s="2"/>
      <c r="T964" s="2"/>
      <c r="U964" s="2"/>
      <c r="V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R965" s="2"/>
      <c r="S965" s="2"/>
      <c r="T965" s="2"/>
      <c r="U965" s="2"/>
      <c r="V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R966" s="2"/>
      <c r="S966" s="2"/>
      <c r="T966" s="2"/>
      <c r="U966" s="2"/>
      <c r="V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R967" s="2"/>
      <c r="S967" s="2"/>
      <c r="T967" s="2"/>
      <c r="U967" s="2"/>
      <c r="V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R968" s="2"/>
      <c r="S968" s="2"/>
      <c r="T968" s="2"/>
      <c r="U968" s="2"/>
      <c r="V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R969" s="2"/>
      <c r="S969" s="2"/>
      <c r="T969" s="2"/>
      <c r="U969" s="2"/>
      <c r="V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R970" s="2"/>
      <c r="S970" s="2"/>
      <c r="T970" s="2"/>
      <c r="U970" s="2"/>
      <c r="V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R971" s="2"/>
      <c r="S971" s="2"/>
      <c r="T971" s="2"/>
      <c r="U971" s="2"/>
      <c r="V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R972" s="2"/>
      <c r="S972" s="2"/>
      <c r="T972" s="2"/>
      <c r="U972" s="2"/>
      <c r="V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R973" s="2"/>
      <c r="S973" s="2"/>
      <c r="T973" s="2"/>
      <c r="U973" s="2"/>
      <c r="V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R974" s="2"/>
      <c r="S974" s="2"/>
      <c r="T974" s="2"/>
      <c r="U974" s="2"/>
      <c r="V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R975" s="2"/>
      <c r="S975" s="2"/>
      <c r="T975" s="2"/>
      <c r="U975" s="2"/>
      <c r="V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R976" s="2"/>
      <c r="S976" s="2"/>
      <c r="T976" s="2"/>
      <c r="U976" s="2"/>
      <c r="V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R977" s="2"/>
      <c r="S977" s="2"/>
      <c r="T977" s="2"/>
      <c r="U977" s="2"/>
      <c r="V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R978" s="2"/>
      <c r="S978" s="2"/>
      <c r="T978" s="2"/>
      <c r="U978" s="2"/>
      <c r="V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R979" s="2"/>
      <c r="S979" s="2"/>
      <c r="T979" s="2"/>
      <c r="U979" s="2"/>
      <c r="V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R980" s="2"/>
      <c r="S980" s="2"/>
      <c r="T980" s="2"/>
      <c r="U980" s="2"/>
      <c r="V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R981" s="2"/>
      <c r="S981" s="2"/>
      <c r="T981" s="2"/>
      <c r="U981" s="2"/>
      <c r="V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R982" s="2"/>
      <c r="S982" s="2"/>
      <c r="T982" s="2"/>
      <c r="U982" s="2"/>
      <c r="V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R983" s="2"/>
      <c r="S983" s="2"/>
      <c r="T983" s="2"/>
      <c r="U983" s="2"/>
      <c r="V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R984" s="2"/>
      <c r="S984" s="2"/>
      <c r="T984" s="2"/>
      <c r="U984" s="2"/>
      <c r="V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R985" s="2"/>
      <c r="S985" s="2"/>
      <c r="T985" s="2"/>
      <c r="U985" s="2"/>
      <c r="V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R986" s="2"/>
      <c r="S986" s="2"/>
      <c r="T986" s="2"/>
      <c r="U986" s="2"/>
      <c r="V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R987" s="2"/>
      <c r="S987" s="2"/>
      <c r="T987" s="2"/>
      <c r="U987" s="2"/>
      <c r="V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R988" s="2"/>
      <c r="S988" s="2"/>
      <c r="T988" s="2"/>
      <c r="U988" s="2"/>
      <c r="V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R989" s="2"/>
      <c r="S989" s="2"/>
      <c r="T989" s="2"/>
      <c r="U989" s="2"/>
      <c r="V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R990" s="2"/>
      <c r="S990" s="2"/>
      <c r="T990" s="2"/>
      <c r="U990" s="2"/>
      <c r="V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R991" s="2"/>
      <c r="S991" s="2"/>
      <c r="T991" s="2"/>
      <c r="U991" s="2"/>
      <c r="V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R992" s="2"/>
      <c r="S992" s="2"/>
      <c r="T992" s="2"/>
      <c r="U992" s="2"/>
      <c r="V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R993" s="2"/>
      <c r="S993" s="2"/>
      <c r="T993" s="2"/>
      <c r="U993" s="2"/>
      <c r="V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R994" s="2"/>
      <c r="S994" s="2"/>
      <c r="T994" s="2"/>
      <c r="U994" s="2"/>
      <c r="V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R995" s="2"/>
      <c r="S995" s="2"/>
      <c r="T995" s="2"/>
      <c r="U995" s="2"/>
      <c r="V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R996" s="2"/>
      <c r="S996" s="2"/>
      <c r="T996" s="2"/>
      <c r="U996" s="2"/>
      <c r="V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R997" s="2"/>
      <c r="S997" s="2"/>
      <c r="T997" s="2"/>
      <c r="U997" s="2"/>
      <c r="V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R998" s="2"/>
      <c r="S998" s="2"/>
      <c r="T998" s="2"/>
      <c r="U998" s="2"/>
      <c r="V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R999" s="2"/>
      <c r="S999" s="2"/>
      <c r="T999" s="2"/>
      <c r="U999" s="2"/>
      <c r="V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R1000" s="2"/>
      <c r="S1000" s="2"/>
      <c r="T1000" s="2"/>
      <c r="U1000" s="2"/>
      <c r="V1000" s="2"/>
    </row>
  </sheetData>
  <printOptions/>
  <pageMargins bottom="1.0" footer="0.0" header="0.0" left="0.75" right="0.75" top="1.0"/>
  <pageSetup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63"/>
    <col customWidth="1" min="2" max="2" width="15.13"/>
    <col customWidth="1" min="3" max="3" width="13.63"/>
    <col customWidth="1" min="4" max="4" width="29.13"/>
    <col customWidth="1" min="5" max="5" width="13.0"/>
    <col customWidth="1" min="6" max="6" width="12.75"/>
    <col customWidth="1" min="7" max="7" width="10.0"/>
    <col customWidth="1" min="8" max="8" width="20.38"/>
    <col customWidth="1" min="9" max="9" width="28.25"/>
    <col customWidth="1" min="10" max="10" width="12.13"/>
    <col customWidth="1" min="11" max="11" width="11.25"/>
    <col customWidth="1" min="12" max="12" width="17.38"/>
    <col customWidth="1" min="13" max="13" width="19.0"/>
    <col customWidth="1" min="14" max="14" width="14.75"/>
    <col customWidth="1" min="15" max="15" width="16.38"/>
    <col customWidth="1" min="16" max="16" width="12.75"/>
    <col customWidth="1" min="17" max="17" width="13.75"/>
    <col customWidth="1" min="18" max="18" width="14.38"/>
    <col customWidth="1" min="19" max="19" width="16.38"/>
    <col customWidth="1" min="20" max="20" width="15.38"/>
    <col customWidth="1" min="21" max="21" width="17.0"/>
    <col customWidth="1" min="22" max="23" width="12.88"/>
    <col customWidth="1" min="24" max="24" width="14.25"/>
  </cols>
  <sheetData>
    <row r="1" ht="15.75" customHeight="1">
      <c r="A1" s="12" t="s">
        <v>136</v>
      </c>
      <c r="B1" s="13" t="s">
        <v>102</v>
      </c>
      <c r="C1" s="13" t="s">
        <v>12</v>
      </c>
      <c r="D1" s="13" t="s">
        <v>137</v>
      </c>
      <c r="E1" s="13" t="s">
        <v>138</v>
      </c>
      <c r="F1" s="14" t="s">
        <v>139</v>
      </c>
      <c r="G1" s="13" t="s">
        <v>96</v>
      </c>
      <c r="H1" s="13" t="s">
        <v>140</v>
      </c>
      <c r="I1" s="13" t="s">
        <v>141</v>
      </c>
      <c r="J1" s="15" t="s">
        <v>104</v>
      </c>
      <c r="K1" s="13" t="s">
        <v>106</v>
      </c>
      <c r="L1" s="16" t="s">
        <v>142</v>
      </c>
      <c r="M1" s="17" t="s">
        <v>143</v>
      </c>
      <c r="N1" s="16" t="s">
        <v>144</v>
      </c>
      <c r="O1" s="16" t="s">
        <v>145</v>
      </c>
      <c r="P1" s="18" t="s">
        <v>146</v>
      </c>
      <c r="Q1" s="13" t="s">
        <v>147</v>
      </c>
      <c r="R1" s="19" t="s">
        <v>148</v>
      </c>
      <c r="S1" s="19" t="s">
        <v>149</v>
      </c>
      <c r="T1" s="20" t="s">
        <v>150</v>
      </c>
      <c r="U1" s="18" t="s">
        <v>151</v>
      </c>
      <c r="V1" s="21" t="s">
        <v>152</v>
      </c>
      <c r="W1" s="21" t="s">
        <v>153</v>
      </c>
      <c r="X1" s="22" t="s">
        <v>154</v>
      </c>
    </row>
    <row r="2" ht="15.75" hidden="1" customHeight="1">
      <c r="A2" s="23" t="s">
        <v>155</v>
      </c>
      <c r="B2" s="23" t="s">
        <v>156</v>
      </c>
      <c r="C2" s="23" t="s">
        <v>157</v>
      </c>
      <c r="D2" s="23" t="s">
        <v>158</v>
      </c>
      <c r="E2" s="23">
        <v>888431.0</v>
      </c>
      <c r="F2" s="23">
        <v>68127.0</v>
      </c>
      <c r="G2" s="24" t="s">
        <v>114</v>
      </c>
      <c r="H2" s="23" t="s">
        <v>159</v>
      </c>
      <c r="I2" s="23" t="s">
        <v>160</v>
      </c>
      <c r="J2" s="25" t="s">
        <v>161</v>
      </c>
      <c r="K2" s="23" t="s">
        <v>162</v>
      </c>
      <c r="L2" s="26">
        <v>43046.0</v>
      </c>
      <c r="M2" s="27">
        <v>3575.0</v>
      </c>
      <c r="N2" s="28"/>
      <c r="O2" s="28"/>
      <c r="P2" s="29"/>
      <c r="Q2" s="30"/>
      <c r="R2" s="27"/>
      <c r="S2" s="31">
        <v>0.0</v>
      </c>
      <c r="T2" s="31">
        <v>0.0</v>
      </c>
      <c r="U2" s="23"/>
      <c r="V2" s="30"/>
      <c r="W2" s="30"/>
      <c r="X2" s="23" t="s">
        <v>163</v>
      </c>
    </row>
    <row r="3" ht="15.75" hidden="1" customHeight="1">
      <c r="A3" s="23" t="s">
        <v>164</v>
      </c>
      <c r="B3" s="23" t="s">
        <v>9</v>
      </c>
      <c r="C3" s="23" t="s">
        <v>165</v>
      </c>
      <c r="D3" s="23" t="s">
        <v>166</v>
      </c>
      <c r="E3" s="23">
        <v>1097498.0</v>
      </c>
      <c r="F3" s="23">
        <v>82916.0</v>
      </c>
      <c r="G3" s="24" t="s">
        <v>114</v>
      </c>
      <c r="H3" s="23" t="s">
        <v>167</v>
      </c>
      <c r="I3" s="23" t="s">
        <v>32</v>
      </c>
      <c r="J3" s="25" t="s">
        <v>161</v>
      </c>
      <c r="K3" s="23" t="s">
        <v>162</v>
      </c>
      <c r="L3" s="26">
        <v>44505.0</v>
      </c>
      <c r="M3" s="27">
        <v>10700.0</v>
      </c>
      <c r="N3" s="28"/>
      <c r="O3" s="28"/>
      <c r="P3" s="29"/>
      <c r="Q3" s="30"/>
      <c r="R3" s="27"/>
      <c r="S3" s="31">
        <v>0.0</v>
      </c>
      <c r="T3" s="31">
        <v>0.0</v>
      </c>
      <c r="U3" s="23"/>
      <c r="V3" s="30"/>
      <c r="W3" s="30"/>
      <c r="X3" s="23" t="s">
        <v>163</v>
      </c>
    </row>
    <row r="4" ht="15.75" hidden="1" customHeight="1">
      <c r="A4" s="23" t="s">
        <v>168</v>
      </c>
      <c r="B4" s="23" t="s">
        <v>9</v>
      </c>
      <c r="C4" s="23" t="s">
        <v>169</v>
      </c>
      <c r="D4" s="23" t="s">
        <v>170</v>
      </c>
      <c r="E4" s="23">
        <v>1302817.0</v>
      </c>
      <c r="F4" s="23">
        <v>92921.0</v>
      </c>
      <c r="G4" s="24" t="s">
        <v>114</v>
      </c>
      <c r="H4" s="23" t="s">
        <v>171</v>
      </c>
      <c r="I4" s="23" t="s">
        <v>32</v>
      </c>
      <c r="J4" s="25" t="s">
        <v>172</v>
      </c>
      <c r="K4" s="23" t="s">
        <v>8</v>
      </c>
      <c r="L4" s="26">
        <v>45513.0</v>
      </c>
      <c r="M4" s="27">
        <v>575.0</v>
      </c>
      <c r="N4" s="28">
        <v>45514.0</v>
      </c>
      <c r="O4" s="28">
        <v>45515.0</v>
      </c>
      <c r="P4" s="29">
        <v>327.0</v>
      </c>
      <c r="Q4" s="30">
        <v>46175.0</v>
      </c>
      <c r="R4" s="27">
        <v>2774.69</v>
      </c>
      <c r="S4" s="31">
        <v>0.0</v>
      </c>
      <c r="T4" s="31">
        <v>-2774.69</v>
      </c>
      <c r="U4" s="23"/>
      <c r="V4" s="30"/>
      <c r="W4" s="30"/>
      <c r="X4" s="23" t="s">
        <v>173</v>
      </c>
    </row>
    <row r="5" ht="15.75" hidden="1" customHeight="1">
      <c r="A5" s="23" t="s">
        <v>174</v>
      </c>
      <c r="B5" s="23" t="s">
        <v>9</v>
      </c>
      <c r="C5" s="23" t="s">
        <v>175</v>
      </c>
      <c r="D5" s="23" t="s">
        <v>176</v>
      </c>
      <c r="E5" s="23">
        <v>1098818.0</v>
      </c>
      <c r="F5" s="23">
        <v>83582.0</v>
      </c>
      <c r="G5" s="24" t="s">
        <v>114</v>
      </c>
      <c r="H5" s="23" t="s">
        <v>177</v>
      </c>
      <c r="I5" s="23" t="s">
        <v>49</v>
      </c>
      <c r="J5" s="25" t="s">
        <v>172</v>
      </c>
      <c r="K5" s="23" t="s">
        <v>162</v>
      </c>
      <c r="L5" s="26">
        <v>44516.0</v>
      </c>
      <c r="M5" s="27">
        <v>500.0</v>
      </c>
      <c r="N5" s="28"/>
      <c r="O5" s="28"/>
      <c r="P5" s="29"/>
      <c r="Q5" s="30"/>
      <c r="R5" s="27"/>
      <c r="S5" s="31">
        <v>0.0</v>
      </c>
      <c r="T5" s="31">
        <v>0.0</v>
      </c>
      <c r="U5" s="23"/>
      <c r="V5" s="30"/>
      <c r="W5" s="30"/>
      <c r="X5" s="30" t="s">
        <v>163</v>
      </c>
    </row>
    <row r="6" ht="15.75" customHeight="1">
      <c r="A6" s="23" t="s">
        <v>178</v>
      </c>
      <c r="B6" s="23" t="s">
        <v>7</v>
      </c>
      <c r="C6" s="23" t="s">
        <v>45</v>
      </c>
      <c r="D6" s="23" t="s">
        <v>131</v>
      </c>
      <c r="E6" s="23">
        <v>1129904.0</v>
      </c>
      <c r="F6" s="23">
        <v>85451.0</v>
      </c>
      <c r="G6" s="24" t="s">
        <v>114</v>
      </c>
      <c r="H6" s="23" t="s">
        <v>50</v>
      </c>
      <c r="I6" s="23" t="s">
        <v>49</v>
      </c>
      <c r="J6" s="25" t="s">
        <v>172</v>
      </c>
      <c r="K6" s="23" t="s">
        <v>8</v>
      </c>
      <c r="L6" s="26">
        <v>44754.0</v>
      </c>
      <c r="M6" s="27">
        <v>9700.0</v>
      </c>
      <c r="N6" s="28">
        <v>44749.0</v>
      </c>
      <c r="O6" s="28">
        <v>44758.0</v>
      </c>
      <c r="P6" s="29">
        <v>305.0</v>
      </c>
      <c r="Q6" s="30">
        <v>46000.0</v>
      </c>
      <c r="R6" s="27">
        <v>3108.44</v>
      </c>
      <c r="S6" s="31">
        <v>3108.44</v>
      </c>
      <c r="T6" s="31">
        <v>0.0</v>
      </c>
      <c r="U6" s="32">
        <v>7.0000533E8</v>
      </c>
      <c r="V6" s="30">
        <v>46019.0</v>
      </c>
      <c r="W6" s="30">
        <v>46021.0</v>
      </c>
      <c r="X6" s="30" t="s">
        <v>179</v>
      </c>
    </row>
    <row r="7" ht="15.75" hidden="1" customHeight="1">
      <c r="A7" s="23" t="s">
        <v>180</v>
      </c>
      <c r="B7" s="23" t="s">
        <v>7</v>
      </c>
      <c r="C7" s="23" t="s">
        <v>181</v>
      </c>
      <c r="D7" s="23" t="s">
        <v>182</v>
      </c>
      <c r="E7" s="23">
        <v>1320962.0</v>
      </c>
      <c r="F7" s="23">
        <v>93925.0</v>
      </c>
      <c r="G7" s="24" t="s">
        <v>114</v>
      </c>
      <c r="H7" s="23" t="s">
        <v>42</v>
      </c>
      <c r="I7" s="23" t="s">
        <v>183</v>
      </c>
      <c r="J7" s="25" t="s">
        <v>172</v>
      </c>
      <c r="K7" s="23" t="s">
        <v>172</v>
      </c>
      <c r="L7" s="26">
        <v>45609.0</v>
      </c>
      <c r="M7" s="27">
        <v>4100.0</v>
      </c>
      <c r="N7" s="28"/>
      <c r="O7" s="28"/>
      <c r="P7" s="29"/>
      <c r="Q7" s="30"/>
      <c r="R7" s="27"/>
      <c r="S7" s="31">
        <v>0.0</v>
      </c>
      <c r="T7" s="31">
        <v>0.0</v>
      </c>
      <c r="U7" s="23"/>
      <c r="V7" s="30"/>
      <c r="W7" s="30"/>
      <c r="X7" s="23" t="s">
        <v>163</v>
      </c>
    </row>
    <row r="8" ht="15.75" hidden="1" customHeight="1">
      <c r="A8" s="23"/>
      <c r="B8" s="23" t="s">
        <v>7</v>
      </c>
      <c r="C8" s="23" t="s">
        <v>184</v>
      </c>
      <c r="D8" s="23" t="s">
        <v>185</v>
      </c>
      <c r="E8" s="23">
        <v>1306782.0</v>
      </c>
      <c r="F8" s="23">
        <v>92043.0</v>
      </c>
      <c r="G8" s="24" t="s">
        <v>114</v>
      </c>
      <c r="H8" s="23" t="s">
        <v>167</v>
      </c>
      <c r="I8" s="23" t="s">
        <v>32</v>
      </c>
      <c r="J8" s="25" t="s">
        <v>172</v>
      </c>
      <c r="K8" s="23" t="s">
        <v>172</v>
      </c>
      <c r="L8" s="26">
        <v>45533.0</v>
      </c>
      <c r="M8" s="27">
        <v>575.0</v>
      </c>
      <c r="N8" s="28"/>
      <c r="O8" s="28"/>
      <c r="P8" s="29"/>
      <c r="Q8" s="30"/>
      <c r="R8" s="27"/>
      <c r="S8" s="31">
        <v>0.0</v>
      </c>
      <c r="T8" s="31">
        <v>0.0</v>
      </c>
      <c r="U8" s="23"/>
      <c r="V8" s="30"/>
      <c r="W8" s="30"/>
      <c r="X8" s="23" t="s">
        <v>163</v>
      </c>
    </row>
    <row r="9" ht="15.75" hidden="1" customHeight="1">
      <c r="A9" s="23" t="s">
        <v>186</v>
      </c>
      <c r="B9" s="23" t="s">
        <v>7</v>
      </c>
      <c r="C9" s="23" t="s">
        <v>187</v>
      </c>
      <c r="D9" s="23" t="s">
        <v>188</v>
      </c>
      <c r="E9" s="23">
        <v>1335922.0</v>
      </c>
      <c r="F9" s="23">
        <v>94843.0</v>
      </c>
      <c r="G9" s="24" t="s">
        <v>114</v>
      </c>
      <c r="H9" s="23" t="s">
        <v>189</v>
      </c>
      <c r="I9" s="23" t="s">
        <v>32</v>
      </c>
      <c r="J9" s="25" t="s">
        <v>172</v>
      </c>
      <c r="K9" s="23" t="s">
        <v>172</v>
      </c>
      <c r="L9" s="26">
        <v>45701.0</v>
      </c>
      <c r="M9" s="27">
        <v>6275.0</v>
      </c>
      <c r="N9" s="28"/>
      <c r="O9" s="28"/>
      <c r="P9" s="29"/>
      <c r="Q9" s="30"/>
      <c r="R9" s="27"/>
      <c r="S9" s="31">
        <v>0.0</v>
      </c>
      <c r="T9" s="31">
        <v>0.0</v>
      </c>
      <c r="U9" s="23"/>
      <c r="V9" s="30"/>
      <c r="W9" s="30"/>
      <c r="X9" s="23" t="s">
        <v>163</v>
      </c>
    </row>
    <row r="10" ht="15.75" hidden="1" customHeight="1">
      <c r="A10" s="23" t="s">
        <v>190</v>
      </c>
      <c r="B10" s="23" t="s">
        <v>7</v>
      </c>
      <c r="C10" s="23" t="s">
        <v>191</v>
      </c>
      <c r="D10" s="23" t="s">
        <v>192</v>
      </c>
      <c r="E10" s="23">
        <v>1302568.0</v>
      </c>
      <c r="F10" s="23">
        <v>92321.0</v>
      </c>
      <c r="G10" s="24" t="s">
        <v>114</v>
      </c>
      <c r="H10" s="23" t="s">
        <v>193</v>
      </c>
      <c r="I10" s="23" t="s">
        <v>32</v>
      </c>
      <c r="J10" s="25" t="s">
        <v>172</v>
      </c>
      <c r="K10" s="23" t="s">
        <v>172</v>
      </c>
      <c r="L10" s="26">
        <v>45509.0</v>
      </c>
      <c r="M10" s="27">
        <v>575.0</v>
      </c>
      <c r="N10" s="28"/>
      <c r="O10" s="28"/>
      <c r="P10" s="29"/>
      <c r="Q10" s="30"/>
      <c r="R10" s="27"/>
      <c r="S10" s="31">
        <v>0.0</v>
      </c>
      <c r="T10" s="31">
        <v>0.0</v>
      </c>
      <c r="U10" s="23"/>
      <c r="V10" s="30"/>
      <c r="W10" s="30"/>
      <c r="X10" s="23" t="s">
        <v>163</v>
      </c>
    </row>
    <row r="11" ht="15.75" hidden="1" customHeight="1">
      <c r="A11" s="23" t="s">
        <v>194</v>
      </c>
      <c r="B11" s="23" t="s">
        <v>7</v>
      </c>
      <c r="C11" s="23" t="s">
        <v>195</v>
      </c>
      <c r="D11" s="23" t="s">
        <v>196</v>
      </c>
      <c r="E11" s="23">
        <v>1222094.0</v>
      </c>
      <c r="F11" s="23">
        <v>90892.0</v>
      </c>
      <c r="G11" s="24" t="s">
        <v>114</v>
      </c>
      <c r="H11" s="23" t="s">
        <v>167</v>
      </c>
      <c r="I11" s="23" t="s">
        <v>32</v>
      </c>
      <c r="J11" s="25" t="s">
        <v>172</v>
      </c>
      <c r="K11" s="23" t="s">
        <v>172</v>
      </c>
      <c r="L11" s="26">
        <v>45350.0</v>
      </c>
      <c r="M11" s="27">
        <v>575.0</v>
      </c>
      <c r="N11" s="28"/>
      <c r="O11" s="28"/>
      <c r="P11" s="29"/>
      <c r="Q11" s="30"/>
      <c r="R11" s="27"/>
      <c r="S11" s="31">
        <v>0.0</v>
      </c>
      <c r="T11" s="31">
        <v>0.0</v>
      </c>
      <c r="U11" s="23"/>
      <c r="V11" s="30"/>
      <c r="W11" s="30"/>
      <c r="X11" s="23" t="s">
        <v>163</v>
      </c>
    </row>
    <row r="12" ht="15.75" hidden="1" customHeight="1">
      <c r="A12" s="23" t="s">
        <v>197</v>
      </c>
      <c r="B12" s="23" t="s">
        <v>7</v>
      </c>
      <c r="C12" s="23" t="s">
        <v>198</v>
      </c>
      <c r="D12" s="23" t="s">
        <v>199</v>
      </c>
      <c r="E12" s="23">
        <v>1244202.0</v>
      </c>
      <c r="F12" s="23">
        <v>92352.0</v>
      </c>
      <c r="G12" s="24" t="s">
        <v>114</v>
      </c>
      <c r="H12" s="23" t="s">
        <v>193</v>
      </c>
      <c r="I12" s="23" t="s">
        <v>32</v>
      </c>
      <c r="J12" s="25" t="s">
        <v>172</v>
      </c>
      <c r="K12" s="23" t="s">
        <v>172</v>
      </c>
      <c r="L12" s="26">
        <v>45475.0</v>
      </c>
      <c r="M12" s="27">
        <v>575.0</v>
      </c>
      <c r="N12" s="28"/>
      <c r="O12" s="28"/>
      <c r="P12" s="29"/>
      <c r="Q12" s="30"/>
      <c r="R12" s="27"/>
      <c r="S12" s="31">
        <v>0.0</v>
      </c>
      <c r="T12" s="31">
        <v>0.0</v>
      </c>
      <c r="U12" s="23"/>
      <c r="V12" s="30"/>
      <c r="W12" s="30"/>
      <c r="X12" s="23" t="s">
        <v>163</v>
      </c>
    </row>
    <row r="13" ht="15.75" hidden="1" customHeight="1">
      <c r="A13" s="23" t="s">
        <v>200</v>
      </c>
      <c r="B13" s="23" t="s">
        <v>7</v>
      </c>
      <c r="C13" s="23" t="s">
        <v>201</v>
      </c>
      <c r="D13" s="23" t="s">
        <v>202</v>
      </c>
      <c r="E13" s="23">
        <v>1209543.0</v>
      </c>
      <c r="F13" s="23">
        <v>90141.0</v>
      </c>
      <c r="G13" s="24" t="s">
        <v>114</v>
      </c>
      <c r="H13" s="23" t="s">
        <v>42</v>
      </c>
      <c r="I13" s="23" t="s">
        <v>49</v>
      </c>
      <c r="J13" s="25" t="s">
        <v>172</v>
      </c>
      <c r="K13" s="23" t="s">
        <v>8</v>
      </c>
      <c r="L13" s="26">
        <v>45267.0</v>
      </c>
      <c r="M13" s="27">
        <v>11545.0</v>
      </c>
      <c r="N13" s="28">
        <v>45274.0</v>
      </c>
      <c r="O13" s="28">
        <v>45274.0</v>
      </c>
      <c r="P13" s="29">
        <v>326.0</v>
      </c>
      <c r="Q13" s="30">
        <v>46170.0</v>
      </c>
      <c r="R13" s="27">
        <v>3320.75</v>
      </c>
      <c r="S13" s="31">
        <v>0.0</v>
      </c>
      <c r="T13" s="31">
        <v>-3320.75</v>
      </c>
      <c r="U13" s="23"/>
      <c r="V13" s="30"/>
      <c r="W13" s="30"/>
      <c r="X13" s="23" t="s">
        <v>173</v>
      </c>
    </row>
    <row r="14" ht="15.75" hidden="1" customHeight="1">
      <c r="A14" s="23" t="s">
        <v>203</v>
      </c>
      <c r="B14" s="23" t="s">
        <v>7</v>
      </c>
      <c r="C14" s="23" t="s">
        <v>204</v>
      </c>
      <c r="D14" s="23" t="s">
        <v>205</v>
      </c>
      <c r="E14" s="23">
        <v>1160059.0</v>
      </c>
      <c r="F14" s="23">
        <v>87043.0</v>
      </c>
      <c r="G14" s="24" t="s">
        <v>114</v>
      </c>
      <c r="H14" s="23" t="s">
        <v>189</v>
      </c>
      <c r="I14" s="23" t="s">
        <v>32</v>
      </c>
      <c r="J14" s="25" t="s">
        <v>161</v>
      </c>
      <c r="K14" s="23" t="s">
        <v>162</v>
      </c>
      <c r="L14" s="26">
        <v>44936.0</v>
      </c>
      <c r="M14" s="27">
        <v>5575.0</v>
      </c>
      <c r="N14" s="28"/>
      <c r="O14" s="28"/>
      <c r="P14" s="29"/>
      <c r="Q14" s="30"/>
      <c r="R14" s="27"/>
      <c r="S14" s="31">
        <v>0.0</v>
      </c>
      <c r="T14" s="31">
        <v>0.0</v>
      </c>
      <c r="U14" s="23"/>
      <c r="V14" s="30"/>
      <c r="W14" s="30"/>
      <c r="X14" s="23" t="s">
        <v>163</v>
      </c>
    </row>
    <row r="15" ht="15.75" hidden="1" customHeight="1">
      <c r="A15" s="23" t="s">
        <v>206</v>
      </c>
      <c r="B15" s="23" t="s">
        <v>7</v>
      </c>
      <c r="C15" s="23" t="s">
        <v>207</v>
      </c>
      <c r="D15" s="23" t="s">
        <v>208</v>
      </c>
      <c r="E15" s="23">
        <v>1212815.0</v>
      </c>
      <c r="F15" s="23">
        <v>90349.0</v>
      </c>
      <c r="G15" s="24" t="s">
        <v>114</v>
      </c>
      <c r="H15" s="23" t="s">
        <v>209</v>
      </c>
      <c r="I15" s="23" t="s">
        <v>183</v>
      </c>
      <c r="J15" s="25" t="s">
        <v>172</v>
      </c>
      <c r="K15" s="23" t="s">
        <v>8</v>
      </c>
      <c r="L15" s="26">
        <v>45303.0</v>
      </c>
      <c r="M15" s="27">
        <v>1500.0</v>
      </c>
      <c r="N15" s="28">
        <v>45289.0</v>
      </c>
      <c r="O15" s="28">
        <v>45289.0</v>
      </c>
      <c r="P15" s="29">
        <v>329.0</v>
      </c>
      <c r="Q15" s="30">
        <v>46182.0</v>
      </c>
      <c r="R15" s="27">
        <v>933.13</v>
      </c>
      <c r="S15" s="31">
        <v>0.0</v>
      </c>
      <c r="T15" s="31">
        <v>-933.13</v>
      </c>
      <c r="U15" s="23"/>
      <c r="V15" s="30"/>
      <c r="W15" s="30"/>
      <c r="X15" s="23" t="s">
        <v>173</v>
      </c>
    </row>
    <row r="16" ht="15.75" hidden="1" customHeight="1">
      <c r="A16" s="23"/>
      <c r="B16" s="23" t="s">
        <v>7</v>
      </c>
      <c r="C16" s="23" t="s">
        <v>210</v>
      </c>
      <c r="D16" s="23" t="s">
        <v>211</v>
      </c>
      <c r="E16" s="23">
        <v>1317417.0</v>
      </c>
      <c r="F16" s="23"/>
      <c r="G16" s="24" t="s">
        <v>114</v>
      </c>
      <c r="H16" s="23" t="s">
        <v>42</v>
      </c>
      <c r="I16" s="23" t="s">
        <v>183</v>
      </c>
      <c r="J16" s="25" t="s">
        <v>172</v>
      </c>
      <c r="K16" s="23" t="s">
        <v>172</v>
      </c>
      <c r="L16" s="26">
        <v>45587.0</v>
      </c>
      <c r="M16" s="27">
        <v>4100.0</v>
      </c>
      <c r="N16" s="28"/>
      <c r="O16" s="28"/>
      <c r="P16" s="29"/>
      <c r="Q16" s="30"/>
      <c r="R16" s="27"/>
      <c r="S16" s="31">
        <v>0.0</v>
      </c>
      <c r="T16" s="31">
        <v>0.0</v>
      </c>
      <c r="U16" s="23"/>
      <c r="V16" s="30"/>
      <c r="W16" s="30"/>
      <c r="X16" s="23" t="s">
        <v>163</v>
      </c>
    </row>
    <row r="17" ht="15.75" hidden="1" customHeight="1">
      <c r="A17" s="23"/>
      <c r="B17" s="23" t="s">
        <v>7</v>
      </c>
      <c r="C17" s="23" t="s">
        <v>210</v>
      </c>
      <c r="D17" s="23" t="s">
        <v>212</v>
      </c>
      <c r="E17" s="23">
        <v>1317422.0</v>
      </c>
      <c r="F17" s="23"/>
      <c r="G17" s="24" t="s">
        <v>114</v>
      </c>
      <c r="H17" s="23" t="s">
        <v>42</v>
      </c>
      <c r="I17" s="23" t="s">
        <v>183</v>
      </c>
      <c r="J17" s="25" t="s">
        <v>172</v>
      </c>
      <c r="K17" s="23" t="s">
        <v>172</v>
      </c>
      <c r="L17" s="26">
        <v>45587.0</v>
      </c>
      <c r="M17" s="27">
        <v>7800.06</v>
      </c>
      <c r="N17" s="28"/>
      <c r="O17" s="28"/>
      <c r="P17" s="29"/>
      <c r="Q17" s="30"/>
      <c r="R17" s="27"/>
      <c r="S17" s="31">
        <v>0.0</v>
      </c>
      <c r="T17" s="31">
        <v>0.0</v>
      </c>
      <c r="U17" s="23"/>
      <c r="V17" s="30"/>
      <c r="W17" s="30"/>
      <c r="X17" s="23" t="s">
        <v>163</v>
      </c>
    </row>
    <row r="18" ht="15.75" hidden="1" customHeight="1">
      <c r="A18" s="23" t="s">
        <v>213</v>
      </c>
      <c r="B18" s="23" t="s">
        <v>7</v>
      </c>
      <c r="C18" s="23" t="s">
        <v>214</v>
      </c>
      <c r="D18" s="23" t="s">
        <v>215</v>
      </c>
      <c r="E18" s="23">
        <v>1223724.0</v>
      </c>
      <c r="F18" s="23">
        <v>89776.0</v>
      </c>
      <c r="G18" s="24" t="s">
        <v>114</v>
      </c>
      <c r="H18" s="23" t="s">
        <v>42</v>
      </c>
      <c r="I18" s="23" t="s">
        <v>49</v>
      </c>
      <c r="J18" s="25" t="s">
        <v>172</v>
      </c>
      <c r="K18" s="23" t="s">
        <v>172</v>
      </c>
      <c r="L18" s="26">
        <v>45364.0</v>
      </c>
      <c r="M18" s="27">
        <v>13900.0</v>
      </c>
      <c r="N18" s="28"/>
      <c r="O18" s="28"/>
      <c r="P18" s="29"/>
      <c r="Q18" s="30"/>
      <c r="R18" s="27"/>
      <c r="S18" s="31">
        <v>0.0</v>
      </c>
      <c r="T18" s="31">
        <v>0.0</v>
      </c>
      <c r="U18" s="23"/>
      <c r="V18" s="30"/>
      <c r="W18" s="30"/>
      <c r="X18" s="23" t="s">
        <v>163</v>
      </c>
    </row>
    <row r="19" ht="15.75" hidden="1" customHeight="1">
      <c r="A19" s="23" t="s">
        <v>216</v>
      </c>
      <c r="B19" s="23" t="s">
        <v>7</v>
      </c>
      <c r="C19" s="23" t="s">
        <v>214</v>
      </c>
      <c r="D19" s="23" t="s">
        <v>215</v>
      </c>
      <c r="E19" s="23">
        <v>1223722.0</v>
      </c>
      <c r="F19" s="23">
        <v>89766.0</v>
      </c>
      <c r="G19" s="24" t="s">
        <v>114</v>
      </c>
      <c r="H19" s="23" t="s">
        <v>42</v>
      </c>
      <c r="I19" s="23" t="s">
        <v>49</v>
      </c>
      <c r="J19" s="25" t="s">
        <v>172</v>
      </c>
      <c r="K19" s="23" t="s">
        <v>172</v>
      </c>
      <c r="L19" s="26">
        <v>45365.0</v>
      </c>
      <c r="M19" s="27">
        <v>13900.0</v>
      </c>
      <c r="N19" s="28"/>
      <c r="O19" s="28"/>
      <c r="P19" s="29"/>
      <c r="Q19" s="30"/>
      <c r="R19" s="27"/>
      <c r="S19" s="31">
        <v>0.0</v>
      </c>
      <c r="T19" s="31">
        <v>0.0</v>
      </c>
      <c r="U19" s="23"/>
      <c r="V19" s="30"/>
      <c r="W19" s="30"/>
      <c r="X19" s="23" t="s">
        <v>163</v>
      </c>
    </row>
    <row r="20" ht="15.75" hidden="1" customHeight="1">
      <c r="A20" s="23" t="s">
        <v>217</v>
      </c>
      <c r="B20" s="23" t="s">
        <v>7</v>
      </c>
      <c r="C20" s="23" t="s">
        <v>214</v>
      </c>
      <c r="D20" s="23" t="s">
        <v>215</v>
      </c>
      <c r="E20" s="23">
        <v>1223723.0</v>
      </c>
      <c r="F20" s="23">
        <v>89768.0</v>
      </c>
      <c r="G20" s="24" t="s">
        <v>114</v>
      </c>
      <c r="H20" s="23" t="s">
        <v>42</v>
      </c>
      <c r="I20" s="23" t="s">
        <v>49</v>
      </c>
      <c r="J20" s="25" t="s">
        <v>172</v>
      </c>
      <c r="K20" s="23" t="s">
        <v>8</v>
      </c>
      <c r="L20" s="26">
        <v>45365.0</v>
      </c>
      <c r="M20" s="27">
        <v>13900.0</v>
      </c>
      <c r="N20" s="28">
        <v>45365.0</v>
      </c>
      <c r="O20" s="28">
        <v>45887.0</v>
      </c>
      <c r="P20" s="29">
        <v>324.0</v>
      </c>
      <c r="Q20" s="30">
        <v>46150.0</v>
      </c>
      <c r="R20" s="27">
        <v>12493.53</v>
      </c>
      <c r="S20" s="31">
        <v>0.0</v>
      </c>
      <c r="T20" s="31">
        <v>-12493.53</v>
      </c>
      <c r="U20" s="23"/>
      <c r="V20" s="30"/>
      <c r="W20" s="30"/>
      <c r="X20" s="23" t="s">
        <v>173</v>
      </c>
    </row>
    <row r="21" ht="15.75" hidden="1" customHeight="1">
      <c r="A21" s="23"/>
      <c r="B21" s="23" t="s">
        <v>7</v>
      </c>
      <c r="C21" s="23" t="s">
        <v>218</v>
      </c>
      <c r="D21" s="23" t="s">
        <v>219</v>
      </c>
      <c r="E21" s="23">
        <v>1212811.0</v>
      </c>
      <c r="F21" s="23">
        <v>90339.0</v>
      </c>
      <c r="G21" s="24" t="s">
        <v>114</v>
      </c>
      <c r="H21" s="23" t="s">
        <v>209</v>
      </c>
      <c r="I21" s="23" t="s">
        <v>183</v>
      </c>
      <c r="J21" s="25" t="s">
        <v>172</v>
      </c>
      <c r="K21" s="23" t="s">
        <v>172</v>
      </c>
      <c r="L21" s="26">
        <v>45302.0</v>
      </c>
      <c r="M21" s="27">
        <v>1500.0</v>
      </c>
      <c r="N21" s="28"/>
      <c r="O21" s="28"/>
      <c r="P21" s="29"/>
      <c r="Q21" s="30"/>
      <c r="R21" s="27"/>
      <c r="S21" s="31">
        <v>0.0</v>
      </c>
      <c r="T21" s="31">
        <v>0.0</v>
      </c>
      <c r="U21" s="23"/>
      <c r="V21" s="30"/>
      <c r="W21" s="30"/>
      <c r="X21" s="23" t="s">
        <v>163</v>
      </c>
    </row>
    <row r="22" ht="15.75" hidden="1" customHeight="1">
      <c r="A22" s="23"/>
      <c r="B22" s="23" t="s">
        <v>7</v>
      </c>
      <c r="C22" s="23" t="s">
        <v>220</v>
      </c>
      <c r="D22" s="23" t="s">
        <v>221</v>
      </c>
      <c r="E22" s="23">
        <v>1212812.0</v>
      </c>
      <c r="F22" s="23">
        <v>90338.0</v>
      </c>
      <c r="G22" s="24" t="s">
        <v>114</v>
      </c>
      <c r="H22" s="23" t="s">
        <v>209</v>
      </c>
      <c r="I22" s="23" t="s">
        <v>183</v>
      </c>
      <c r="J22" s="25" t="s">
        <v>172</v>
      </c>
      <c r="K22" s="23" t="s">
        <v>172</v>
      </c>
      <c r="L22" s="26">
        <v>45302.0</v>
      </c>
      <c r="M22" s="27">
        <v>1500.0</v>
      </c>
      <c r="N22" s="28"/>
      <c r="O22" s="28"/>
      <c r="P22" s="29"/>
      <c r="Q22" s="30"/>
      <c r="R22" s="27"/>
      <c r="S22" s="31">
        <v>0.0</v>
      </c>
      <c r="T22" s="31">
        <v>0.0</v>
      </c>
      <c r="U22" s="23"/>
      <c r="V22" s="30"/>
      <c r="W22" s="30"/>
      <c r="X22" s="23" t="s">
        <v>163</v>
      </c>
    </row>
    <row r="23" ht="15.75" hidden="1" customHeight="1">
      <c r="A23" s="23"/>
      <c r="B23" s="23" t="s">
        <v>7</v>
      </c>
      <c r="C23" s="23" t="s">
        <v>222</v>
      </c>
      <c r="D23" s="23" t="s">
        <v>223</v>
      </c>
      <c r="E23" s="23">
        <v>1212797.0</v>
      </c>
      <c r="F23" s="23">
        <v>90325.0</v>
      </c>
      <c r="G23" s="24" t="s">
        <v>114</v>
      </c>
      <c r="H23" s="23" t="s">
        <v>209</v>
      </c>
      <c r="I23" s="23" t="s">
        <v>183</v>
      </c>
      <c r="J23" s="25" t="s">
        <v>172</v>
      </c>
      <c r="K23" s="23" t="s">
        <v>172</v>
      </c>
      <c r="L23" s="26">
        <v>45302.0</v>
      </c>
      <c r="M23" s="27">
        <v>1500.0</v>
      </c>
      <c r="N23" s="28"/>
      <c r="O23" s="28"/>
      <c r="P23" s="29"/>
      <c r="Q23" s="30"/>
      <c r="R23" s="27"/>
      <c r="S23" s="31">
        <v>0.0</v>
      </c>
      <c r="T23" s="31">
        <v>0.0</v>
      </c>
      <c r="U23" s="23"/>
      <c r="V23" s="30"/>
      <c r="W23" s="30"/>
      <c r="X23" s="23" t="s">
        <v>163</v>
      </c>
    </row>
    <row r="24" ht="15.75" hidden="1" customHeight="1">
      <c r="A24" s="23"/>
      <c r="B24" s="23" t="s">
        <v>7</v>
      </c>
      <c r="C24" s="23" t="s">
        <v>224</v>
      </c>
      <c r="D24" s="23" t="s">
        <v>225</v>
      </c>
      <c r="E24" s="23">
        <v>1212816.0</v>
      </c>
      <c r="F24" s="23">
        <v>90348.0</v>
      </c>
      <c r="G24" s="24" t="s">
        <v>114</v>
      </c>
      <c r="H24" s="23" t="s">
        <v>209</v>
      </c>
      <c r="I24" s="23" t="s">
        <v>183</v>
      </c>
      <c r="J24" s="25" t="s">
        <v>172</v>
      </c>
      <c r="K24" s="23" t="s">
        <v>172</v>
      </c>
      <c r="L24" s="26">
        <v>45303.0</v>
      </c>
      <c r="M24" s="27">
        <v>1500.0</v>
      </c>
      <c r="N24" s="28"/>
      <c r="O24" s="28"/>
      <c r="P24" s="29"/>
      <c r="Q24" s="30"/>
      <c r="R24" s="27"/>
      <c r="S24" s="31">
        <v>0.0</v>
      </c>
      <c r="T24" s="31">
        <v>0.0</v>
      </c>
      <c r="U24" s="23"/>
      <c r="V24" s="30"/>
      <c r="W24" s="30"/>
      <c r="X24" s="23" t="s">
        <v>163</v>
      </c>
    </row>
    <row r="25" ht="15.75" hidden="1" customHeight="1">
      <c r="A25" s="23"/>
      <c r="B25" s="23" t="s">
        <v>7</v>
      </c>
      <c r="C25" s="23" t="s">
        <v>226</v>
      </c>
      <c r="D25" s="23" t="s">
        <v>227</v>
      </c>
      <c r="E25" s="23">
        <v>1212817.0</v>
      </c>
      <c r="F25" s="23">
        <v>90347.0</v>
      </c>
      <c r="G25" s="24" t="s">
        <v>114</v>
      </c>
      <c r="H25" s="23" t="s">
        <v>209</v>
      </c>
      <c r="I25" s="23" t="s">
        <v>183</v>
      </c>
      <c r="J25" s="25" t="s">
        <v>172</v>
      </c>
      <c r="K25" s="23" t="s">
        <v>172</v>
      </c>
      <c r="L25" s="26">
        <v>45303.0</v>
      </c>
      <c r="M25" s="27">
        <v>1500.0</v>
      </c>
      <c r="N25" s="28"/>
      <c r="O25" s="28"/>
      <c r="P25" s="29"/>
      <c r="Q25" s="30"/>
      <c r="R25" s="27"/>
      <c r="S25" s="31">
        <v>0.0</v>
      </c>
      <c r="T25" s="31">
        <v>0.0</v>
      </c>
      <c r="U25" s="23"/>
      <c r="V25" s="30"/>
      <c r="W25" s="30"/>
      <c r="X25" s="23" t="s">
        <v>163</v>
      </c>
    </row>
    <row r="26" ht="15.75" hidden="1" customHeight="1">
      <c r="A26" s="23"/>
      <c r="B26" s="23" t="s">
        <v>7</v>
      </c>
      <c r="C26" s="23" t="s">
        <v>228</v>
      </c>
      <c r="D26" s="23" t="s">
        <v>229</v>
      </c>
      <c r="E26" s="23">
        <v>1212812.0</v>
      </c>
      <c r="F26" s="23">
        <v>90337.0</v>
      </c>
      <c r="G26" s="24" t="s">
        <v>114</v>
      </c>
      <c r="H26" s="23" t="s">
        <v>209</v>
      </c>
      <c r="I26" s="23" t="s">
        <v>183</v>
      </c>
      <c r="J26" s="25" t="s">
        <v>172</v>
      </c>
      <c r="K26" s="23" t="s">
        <v>172</v>
      </c>
      <c r="L26" s="26">
        <v>45303.0</v>
      </c>
      <c r="M26" s="27">
        <v>1500.0</v>
      </c>
      <c r="N26" s="28"/>
      <c r="O26" s="28"/>
      <c r="P26" s="29"/>
      <c r="Q26" s="30"/>
      <c r="R26" s="27"/>
      <c r="S26" s="31">
        <v>0.0</v>
      </c>
      <c r="T26" s="31">
        <v>0.0</v>
      </c>
      <c r="U26" s="23"/>
      <c r="V26" s="30"/>
      <c r="W26" s="30"/>
      <c r="X26" s="23" t="s">
        <v>163</v>
      </c>
    </row>
    <row r="27" ht="15.75" hidden="1" customHeight="1">
      <c r="A27" s="23"/>
      <c r="B27" s="23" t="s">
        <v>7</v>
      </c>
      <c r="C27" s="23" t="s">
        <v>230</v>
      </c>
      <c r="D27" s="23" t="s">
        <v>231</v>
      </c>
      <c r="E27" s="23">
        <v>1212814.0</v>
      </c>
      <c r="F27" s="23">
        <v>90336.0</v>
      </c>
      <c r="G27" s="24" t="s">
        <v>114</v>
      </c>
      <c r="H27" s="23" t="s">
        <v>209</v>
      </c>
      <c r="I27" s="23" t="s">
        <v>183</v>
      </c>
      <c r="J27" s="25" t="s">
        <v>172</v>
      </c>
      <c r="K27" s="23" t="s">
        <v>172</v>
      </c>
      <c r="L27" s="26">
        <v>45303.0</v>
      </c>
      <c r="M27" s="27">
        <v>1500.0</v>
      </c>
      <c r="N27" s="28"/>
      <c r="O27" s="28"/>
      <c r="P27" s="29"/>
      <c r="Q27" s="30"/>
      <c r="R27" s="27"/>
      <c r="S27" s="31">
        <v>0.0</v>
      </c>
      <c r="T27" s="31">
        <v>0.0</v>
      </c>
      <c r="U27" s="23"/>
      <c r="V27" s="30"/>
      <c r="W27" s="30"/>
      <c r="X27" s="23" t="s">
        <v>163</v>
      </c>
    </row>
    <row r="28" ht="15.75" hidden="1" customHeight="1">
      <c r="A28" s="23"/>
      <c r="B28" s="23" t="s">
        <v>7</v>
      </c>
      <c r="C28" s="23" t="s">
        <v>232</v>
      </c>
      <c r="D28" s="23" t="s">
        <v>233</v>
      </c>
      <c r="E28" s="23">
        <v>1212544.0</v>
      </c>
      <c r="F28" s="23">
        <v>90316.0</v>
      </c>
      <c r="G28" s="24" t="s">
        <v>114</v>
      </c>
      <c r="H28" s="23" t="s">
        <v>209</v>
      </c>
      <c r="I28" s="23" t="s">
        <v>183</v>
      </c>
      <c r="J28" s="25" t="s">
        <v>172</v>
      </c>
      <c r="K28" s="23" t="s">
        <v>172</v>
      </c>
      <c r="L28" s="26">
        <v>45302.0</v>
      </c>
      <c r="M28" s="27">
        <v>1500.0</v>
      </c>
      <c r="N28" s="28"/>
      <c r="O28" s="28"/>
      <c r="P28" s="29"/>
      <c r="Q28" s="30"/>
      <c r="R28" s="27"/>
      <c r="S28" s="31">
        <v>0.0</v>
      </c>
      <c r="T28" s="31">
        <v>0.0</v>
      </c>
      <c r="U28" s="23"/>
      <c r="V28" s="30"/>
      <c r="W28" s="30"/>
      <c r="X28" s="23" t="s">
        <v>163</v>
      </c>
    </row>
    <row r="29" ht="15.75" hidden="1" customHeight="1">
      <c r="A29" s="23" t="s">
        <v>234</v>
      </c>
      <c r="B29" s="23" t="s">
        <v>7</v>
      </c>
      <c r="C29" s="23" t="s">
        <v>235</v>
      </c>
      <c r="D29" s="23" t="s">
        <v>236</v>
      </c>
      <c r="E29" s="23">
        <v>1189823.0</v>
      </c>
      <c r="F29" s="23">
        <v>88936.0</v>
      </c>
      <c r="G29" s="24" t="s">
        <v>114</v>
      </c>
      <c r="H29" s="23" t="s">
        <v>189</v>
      </c>
      <c r="I29" s="23" t="s">
        <v>32</v>
      </c>
      <c r="J29" s="25" t="s">
        <v>172</v>
      </c>
      <c r="K29" s="23" t="s">
        <v>162</v>
      </c>
      <c r="L29" s="26">
        <v>45152.0</v>
      </c>
      <c r="M29" s="27">
        <v>575.0</v>
      </c>
      <c r="N29" s="28"/>
      <c r="O29" s="28"/>
      <c r="P29" s="29"/>
      <c r="Q29" s="30"/>
      <c r="R29" s="27"/>
      <c r="S29" s="31">
        <v>0.0</v>
      </c>
      <c r="T29" s="31">
        <v>0.0</v>
      </c>
      <c r="U29" s="23"/>
      <c r="V29" s="30"/>
      <c r="W29" s="30"/>
      <c r="X29" s="23" t="s">
        <v>163</v>
      </c>
    </row>
    <row r="30" ht="15.75" hidden="1" customHeight="1">
      <c r="A30" s="23"/>
      <c r="B30" s="23" t="s">
        <v>7</v>
      </c>
      <c r="C30" s="23" t="s">
        <v>237</v>
      </c>
      <c r="D30" s="23" t="s">
        <v>238</v>
      </c>
      <c r="E30" s="23">
        <v>1317423.0</v>
      </c>
      <c r="F30" s="23"/>
      <c r="G30" s="24" t="s">
        <v>114</v>
      </c>
      <c r="H30" s="23" t="s">
        <v>42</v>
      </c>
      <c r="I30" s="23" t="s">
        <v>183</v>
      </c>
      <c r="J30" s="25" t="s">
        <v>172</v>
      </c>
      <c r="K30" s="23" t="s">
        <v>172</v>
      </c>
      <c r="L30" s="26">
        <v>45587.0</v>
      </c>
      <c r="M30" s="27">
        <v>7800.06</v>
      </c>
      <c r="N30" s="28"/>
      <c r="O30" s="28"/>
      <c r="P30" s="29"/>
      <c r="Q30" s="30"/>
      <c r="R30" s="27"/>
      <c r="S30" s="31">
        <v>0.0</v>
      </c>
      <c r="T30" s="31">
        <v>0.0</v>
      </c>
      <c r="U30" s="23"/>
      <c r="V30" s="30"/>
      <c r="W30" s="30"/>
      <c r="X30" s="23" t="s">
        <v>163</v>
      </c>
    </row>
    <row r="31" ht="15.75" hidden="1" customHeight="1">
      <c r="A31" s="23"/>
      <c r="B31" s="23" t="s">
        <v>7</v>
      </c>
      <c r="C31" s="23" t="s">
        <v>239</v>
      </c>
      <c r="D31" s="23" t="s">
        <v>240</v>
      </c>
      <c r="E31" s="23">
        <v>1210691.0</v>
      </c>
      <c r="F31" s="23">
        <v>90158.0</v>
      </c>
      <c r="G31" s="24" t="s">
        <v>114</v>
      </c>
      <c r="H31" s="23" t="s">
        <v>189</v>
      </c>
      <c r="I31" s="23" t="s">
        <v>32</v>
      </c>
      <c r="J31" s="25" t="s">
        <v>241</v>
      </c>
      <c r="K31" s="23" t="s">
        <v>172</v>
      </c>
      <c r="L31" s="26">
        <v>45279.0</v>
      </c>
      <c r="M31" s="27">
        <v>5375.0</v>
      </c>
      <c r="N31" s="28"/>
      <c r="O31" s="28"/>
      <c r="P31" s="29"/>
      <c r="Q31" s="30"/>
      <c r="R31" s="27"/>
      <c r="S31" s="31">
        <v>0.0</v>
      </c>
      <c r="T31" s="31">
        <v>0.0</v>
      </c>
      <c r="U31" s="23"/>
      <c r="V31" s="30"/>
      <c r="W31" s="30"/>
      <c r="X31" s="23" t="s">
        <v>163</v>
      </c>
    </row>
    <row r="32" ht="15.75" hidden="1" customHeight="1">
      <c r="A32" s="23" t="s">
        <v>242</v>
      </c>
      <c r="B32" s="23" t="s">
        <v>7</v>
      </c>
      <c r="C32" s="23" t="s">
        <v>243</v>
      </c>
      <c r="D32" s="23" t="s">
        <v>244</v>
      </c>
      <c r="E32" s="23">
        <v>1224928.0</v>
      </c>
      <c r="F32" s="23">
        <v>91352.0</v>
      </c>
      <c r="G32" s="24" t="s">
        <v>114</v>
      </c>
      <c r="H32" s="23" t="s">
        <v>42</v>
      </c>
      <c r="I32" s="23" t="s">
        <v>49</v>
      </c>
      <c r="J32" s="25" t="s">
        <v>172</v>
      </c>
      <c r="K32" s="23" t="s">
        <v>172</v>
      </c>
      <c r="L32" s="26">
        <v>45378.0</v>
      </c>
      <c r="M32" s="27">
        <v>12400.0</v>
      </c>
      <c r="N32" s="28"/>
      <c r="O32" s="28"/>
      <c r="P32" s="29"/>
      <c r="Q32" s="30"/>
      <c r="R32" s="27"/>
      <c r="S32" s="31">
        <v>0.0</v>
      </c>
      <c r="T32" s="31">
        <v>0.0</v>
      </c>
      <c r="U32" s="23"/>
      <c r="V32" s="30"/>
      <c r="W32" s="30"/>
      <c r="X32" s="23" t="s">
        <v>163</v>
      </c>
    </row>
    <row r="33" ht="15.75" hidden="1" customHeight="1">
      <c r="A33" s="23"/>
      <c r="B33" s="23" t="s">
        <v>7</v>
      </c>
      <c r="C33" s="23" t="s">
        <v>245</v>
      </c>
      <c r="D33" s="23" t="s">
        <v>246</v>
      </c>
      <c r="E33" s="23">
        <v>1320959.0</v>
      </c>
      <c r="F33" s="23">
        <v>93959.0</v>
      </c>
      <c r="G33" s="24" t="s">
        <v>114</v>
      </c>
      <c r="H33" s="23" t="s">
        <v>42</v>
      </c>
      <c r="I33" s="23" t="s">
        <v>247</v>
      </c>
      <c r="J33" s="25" t="s">
        <v>172</v>
      </c>
      <c r="K33" s="23" t="s">
        <v>172</v>
      </c>
      <c r="L33" s="26">
        <v>45609.0</v>
      </c>
      <c r="M33" s="27">
        <v>4100.0</v>
      </c>
      <c r="N33" s="28"/>
      <c r="O33" s="28"/>
      <c r="P33" s="29"/>
      <c r="Q33" s="30"/>
      <c r="R33" s="27"/>
      <c r="S33" s="31">
        <v>0.0</v>
      </c>
      <c r="T33" s="31">
        <v>0.0</v>
      </c>
      <c r="U33" s="23"/>
      <c r="V33" s="30"/>
      <c r="W33" s="30"/>
      <c r="X33" s="23" t="s">
        <v>163</v>
      </c>
    </row>
    <row r="34" ht="15.75" hidden="1" customHeight="1">
      <c r="A34" s="23" t="s">
        <v>248</v>
      </c>
      <c r="B34" s="23" t="s">
        <v>7</v>
      </c>
      <c r="C34" s="23" t="s">
        <v>249</v>
      </c>
      <c r="D34" s="23" t="s">
        <v>250</v>
      </c>
      <c r="E34" s="23">
        <v>1305383.0</v>
      </c>
      <c r="F34" s="23">
        <v>92976.0</v>
      </c>
      <c r="G34" s="24" t="s">
        <v>114</v>
      </c>
      <c r="H34" s="23" t="s">
        <v>42</v>
      </c>
      <c r="I34" s="23" t="s">
        <v>32</v>
      </c>
      <c r="J34" s="25" t="s">
        <v>172</v>
      </c>
      <c r="K34" s="23" t="s">
        <v>172</v>
      </c>
      <c r="L34" s="26">
        <v>45520.0</v>
      </c>
      <c r="M34" s="27">
        <v>4000.0</v>
      </c>
      <c r="N34" s="28"/>
      <c r="O34" s="28"/>
      <c r="P34" s="29"/>
      <c r="Q34" s="30"/>
      <c r="R34" s="27"/>
      <c r="S34" s="31">
        <v>0.0</v>
      </c>
      <c r="T34" s="31">
        <v>0.0</v>
      </c>
      <c r="U34" s="23"/>
      <c r="V34" s="30"/>
      <c r="W34" s="30"/>
      <c r="X34" s="23" t="s">
        <v>163</v>
      </c>
    </row>
    <row r="35" ht="15.75" hidden="1" customHeight="1">
      <c r="A35" s="23" t="s">
        <v>251</v>
      </c>
      <c r="B35" s="23" t="s">
        <v>7</v>
      </c>
      <c r="C35" s="23" t="s">
        <v>252</v>
      </c>
      <c r="D35" s="23" t="s">
        <v>253</v>
      </c>
      <c r="E35" s="23">
        <v>1301457.0</v>
      </c>
      <c r="F35" s="23">
        <v>92654.0</v>
      </c>
      <c r="G35" s="24" t="s">
        <v>114</v>
      </c>
      <c r="H35" s="23" t="s">
        <v>33</v>
      </c>
      <c r="I35" s="23" t="s">
        <v>32</v>
      </c>
      <c r="J35" s="25" t="s">
        <v>172</v>
      </c>
      <c r="K35" s="23" t="s">
        <v>8</v>
      </c>
      <c r="L35" s="26">
        <v>45498.0</v>
      </c>
      <c r="M35" s="27">
        <v>575.0</v>
      </c>
      <c r="N35" s="28">
        <v>45911.0</v>
      </c>
      <c r="O35" s="28">
        <v>45913.0</v>
      </c>
      <c r="P35" s="29">
        <v>331.0</v>
      </c>
      <c r="Q35" s="30">
        <v>46182.0</v>
      </c>
      <c r="R35" s="27">
        <v>6371.31</v>
      </c>
      <c r="S35" s="31">
        <v>0.0</v>
      </c>
      <c r="T35" s="31">
        <v>-6371.31</v>
      </c>
      <c r="U35" s="23"/>
      <c r="V35" s="30"/>
      <c r="W35" s="30"/>
      <c r="X35" s="30" t="s">
        <v>173</v>
      </c>
    </row>
    <row r="36" ht="15.75" hidden="1" customHeight="1">
      <c r="A36" s="23" t="s">
        <v>254</v>
      </c>
      <c r="B36" s="23" t="s">
        <v>7</v>
      </c>
      <c r="C36" s="23" t="s">
        <v>255</v>
      </c>
      <c r="D36" s="23" t="s">
        <v>256</v>
      </c>
      <c r="E36" s="23">
        <v>1206373.0</v>
      </c>
      <c r="F36" s="23">
        <v>90058.0</v>
      </c>
      <c r="G36" s="24" t="s">
        <v>114</v>
      </c>
      <c r="H36" s="23" t="s">
        <v>177</v>
      </c>
      <c r="I36" s="23" t="s">
        <v>32</v>
      </c>
      <c r="J36" s="25" t="s">
        <v>172</v>
      </c>
      <c r="K36" s="23" t="s">
        <v>162</v>
      </c>
      <c r="L36" s="26">
        <v>45259.0</v>
      </c>
      <c r="M36" s="27">
        <v>7923.73</v>
      </c>
      <c r="N36" s="28">
        <v>45267.0</v>
      </c>
      <c r="O36" s="28">
        <v>45269.0</v>
      </c>
      <c r="P36" s="29">
        <v>320.0</v>
      </c>
      <c r="Q36" s="30">
        <v>46125.0</v>
      </c>
      <c r="R36" s="27">
        <v>8091.98</v>
      </c>
      <c r="S36" s="31">
        <v>0.0</v>
      </c>
      <c r="T36" s="31">
        <v>-8091.98</v>
      </c>
      <c r="U36" s="23"/>
      <c r="V36" s="30"/>
      <c r="W36" s="30"/>
      <c r="X36" s="23" t="s">
        <v>173</v>
      </c>
    </row>
    <row r="37" ht="15.75" hidden="1" customHeight="1">
      <c r="A37" s="23" t="s">
        <v>257</v>
      </c>
      <c r="B37" s="23" t="s">
        <v>7</v>
      </c>
      <c r="C37" s="23" t="s">
        <v>255</v>
      </c>
      <c r="D37" s="23" t="s">
        <v>256</v>
      </c>
      <c r="E37" s="23">
        <v>1241224.0</v>
      </c>
      <c r="F37" s="23">
        <v>92097.0</v>
      </c>
      <c r="G37" s="24" t="s">
        <v>114</v>
      </c>
      <c r="H37" s="23" t="s">
        <v>42</v>
      </c>
      <c r="I37" s="23" t="s">
        <v>49</v>
      </c>
      <c r="J37" s="25" t="s">
        <v>172</v>
      </c>
      <c r="K37" s="23" t="s">
        <v>172</v>
      </c>
      <c r="L37" s="26">
        <v>45455.0</v>
      </c>
      <c r="M37" s="27">
        <v>20200.0</v>
      </c>
      <c r="N37" s="28"/>
      <c r="O37" s="28"/>
      <c r="P37" s="29"/>
      <c r="Q37" s="30"/>
      <c r="R37" s="27"/>
      <c r="S37" s="31">
        <v>0.0</v>
      </c>
      <c r="T37" s="31">
        <v>0.0</v>
      </c>
      <c r="U37" s="23"/>
      <c r="V37" s="30"/>
      <c r="W37" s="30"/>
      <c r="X37" s="23" t="s">
        <v>163</v>
      </c>
    </row>
    <row r="38" ht="15.75" hidden="1" customHeight="1">
      <c r="A38" s="23"/>
      <c r="B38" s="23" t="s">
        <v>7</v>
      </c>
      <c r="C38" s="23" t="s">
        <v>258</v>
      </c>
      <c r="D38" s="23" t="s">
        <v>259</v>
      </c>
      <c r="E38" s="23">
        <v>1316025.0</v>
      </c>
      <c r="F38" s="23">
        <v>93166.0</v>
      </c>
      <c r="G38" s="24" t="s">
        <v>114</v>
      </c>
      <c r="H38" s="23"/>
      <c r="I38" s="23" t="s">
        <v>32</v>
      </c>
      <c r="J38" s="25" t="s">
        <v>172</v>
      </c>
      <c r="K38" s="23" t="s">
        <v>172</v>
      </c>
      <c r="L38" s="26">
        <v>45575.0</v>
      </c>
      <c r="M38" s="27">
        <v>575.0</v>
      </c>
      <c r="N38" s="28"/>
      <c r="O38" s="28"/>
      <c r="P38" s="29"/>
      <c r="Q38" s="30"/>
      <c r="R38" s="27"/>
      <c r="S38" s="31">
        <v>0.0</v>
      </c>
      <c r="T38" s="31">
        <v>0.0</v>
      </c>
      <c r="U38" s="23"/>
      <c r="V38" s="30"/>
      <c r="W38" s="30"/>
      <c r="X38" s="23" t="s">
        <v>163</v>
      </c>
    </row>
    <row r="39" ht="15.75" hidden="1" customHeight="1">
      <c r="A39" s="23"/>
      <c r="B39" s="23" t="s">
        <v>7</v>
      </c>
      <c r="C39" s="23" t="s">
        <v>260</v>
      </c>
      <c r="D39" s="23" t="s">
        <v>261</v>
      </c>
      <c r="E39" s="23">
        <v>1335879.0</v>
      </c>
      <c r="F39" s="23">
        <v>94453.0</v>
      </c>
      <c r="G39" s="24" t="s">
        <v>114</v>
      </c>
      <c r="H39" s="23" t="s">
        <v>42</v>
      </c>
      <c r="I39" s="23" t="s">
        <v>49</v>
      </c>
      <c r="J39" s="25" t="s">
        <v>172</v>
      </c>
      <c r="K39" s="23" t="s">
        <v>172</v>
      </c>
      <c r="L39" s="26">
        <v>45708.0</v>
      </c>
      <c r="M39" s="27">
        <v>16200.0</v>
      </c>
      <c r="N39" s="28"/>
      <c r="O39" s="28"/>
      <c r="P39" s="29"/>
      <c r="Q39" s="30"/>
      <c r="R39" s="27"/>
      <c r="S39" s="31">
        <v>0.0</v>
      </c>
      <c r="T39" s="31">
        <v>0.0</v>
      </c>
      <c r="U39" s="23"/>
      <c r="V39" s="30"/>
      <c r="W39" s="30"/>
      <c r="X39" s="23" t="s">
        <v>163</v>
      </c>
    </row>
    <row r="40" ht="15.75" hidden="1" customHeight="1">
      <c r="A40" s="23" t="s">
        <v>262</v>
      </c>
      <c r="B40" s="23" t="s">
        <v>7</v>
      </c>
      <c r="C40" s="23" t="s">
        <v>263</v>
      </c>
      <c r="D40" s="23" t="s">
        <v>264</v>
      </c>
      <c r="E40" s="23">
        <v>1243709.0</v>
      </c>
      <c r="F40" s="23">
        <v>92223.0</v>
      </c>
      <c r="G40" s="24" t="s">
        <v>114</v>
      </c>
      <c r="H40" s="23" t="s">
        <v>177</v>
      </c>
      <c r="I40" s="23" t="s">
        <v>32</v>
      </c>
      <c r="J40" s="25" t="s">
        <v>172</v>
      </c>
      <c r="K40" s="23" t="s">
        <v>172</v>
      </c>
      <c r="L40" s="26">
        <v>45343.0</v>
      </c>
      <c r="M40" s="27">
        <v>575.0</v>
      </c>
      <c r="N40" s="28"/>
      <c r="O40" s="28"/>
      <c r="P40" s="29"/>
      <c r="Q40" s="30"/>
      <c r="R40" s="27"/>
      <c r="S40" s="31">
        <v>0.0</v>
      </c>
      <c r="T40" s="31">
        <v>0.0</v>
      </c>
      <c r="U40" s="23"/>
      <c r="V40" s="30"/>
      <c r="W40" s="30"/>
      <c r="X40" s="23" t="s">
        <v>163</v>
      </c>
    </row>
    <row r="41" ht="15.75" hidden="1" customHeight="1">
      <c r="A41" s="23" t="s">
        <v>265</v>
      </c>
      <c r="B41" s="23" t="s">
        <v>7</v>
      </c>
      <c r="C41" s="23" t="s">
        <v>266</v>
      </c>
      <c r="D41" s="23" t="s">
        <v>267</v>
      </c>
      <c r="E41" s="23">
        <v>1225180.0</v>
      </c>
      <c r="F41" s="23">
        <v>91391.0</v>
      </c>
      <c r="G41" s="24" t="s">
        <v>114</v>
      </c>
      <c r="H41" s="23" t="s">
        <v>33</v>
      </c>
      <c r="I41" s="23" t="s">
        <v>32</v>
      </c>
      <c r="J41" s="25" t="s">
        <v>172</v>
      </c>
      <c r="K41" s="23" t="s">
        <v>172</v>
      </c>
      <c r="L41" s="26">
        <v>45377.0</v>
      </c>
      <c r="M41" s="27">
        <v>575.0</v>
      </c>
      <c r="N41" s="28"/>
      <c r="O41" s="28"/>
      <c r="P41" s="29"/>
      <c r="Q41" s="30"/>
      <c r="R41" s="27"/>
      <c r="S41" s="31">
        <v>0.0</v>
      </c>
      <c r="T41" s="31">
        <v>0.0</v>
      </c>
      <c r="U41" s="23"/>
      <c r="V41" s="30"/>
      <c r="W41" s="30"/>
      <c r="X41" s="23" t="s">
        <v>163</v>
      </c>
    </row>
    <row r="42" ht="15.75" customHeight="1">
      <c r="A42" s="23" t="s">
        <v>268</v>
      </c>
      <c r="B42" s="23" t="s">
        <v>7</v>
      </c>
      <c r="C42" s="23" t="s">
        <v>28</v>
      </c>
      <c r="D42" s="23" t="s">
        <v>120</v>
      </c>
      <c r="E42" s="23">
        <v>1315970.0</v>
      </c>
      <c r="F42" s="23">
        <v>93632.0</v>
      </c>
      <c r="G42" s="24" t="s">
        <v>114</v>
      </c>
      <c r="H42" s="23" t="s">
        <v>33</v>
      </c>
      <c r="I42" s="23" t="s">
        <v>32</v>
      </c>
      <c r="J42" s="25" t="s">
        <v>172</v>
      </c>
      <c r="K42" s="23" t="s">
        <v>8</v>
      </c>
      <c r="L42" s="26">
        <v>45575.0</v>
      </c>
      <c r="M42" s="27">
        <v>575.0</v>
      </c>
      <c r="N42" s="28">
        <v>45583.0</v>
      </c>
      <c r="O42" s="28">
        <v>45584.0</v>
      </c>
      <c r="P42" s="29">
        <v>202.0</v>
      </c>
      <c r="Q42" s="30">
        <v>45825.0</v>
      </c>
      <c r="R42" s="27">
        <v>4759.59</v>
      </c>
      <c r="S42" s="31">
        <v>4759.59</v>
      </c>
      <c r="T42" s="31">
        <v>0.0</v>
      </c>
      <c r="U42" s="32">
        <v>7.0000053E8</v>
      </c>
      <c r="V42" s="30">
        <v>45876.0</v>
      </c>
      <c r="W42" s="30"/>
      <c r="X42" s="23" t="s">
        <v>179</v>
      </c>
    </row>
    <row r="43" ht="15.75" hidden="1" customHeight="1">
      <c r="A43" s="23" t="s">
        <v>269</v>
      </c>
      <c r="B43" s="23" t="s">
        <v>7</v>
      </c>
      <c r="C43" s="23" t="s">
        <v>270</v>
      </c>
      <c r="D43" s="23" t="s">
        <v>271</v>
      </c>
      <c r="E43" s="23">
        <v>1218023.0</v>
      </c>
      <c r="F43" s="23">
        <v>90701.0</v>
      </c>
      <c r="G43" s="24" t="s">
        <v>114</v>
      </c>
      <c r="H43" s="23" t="s">
        <v>177</v>
      </c>
      <c r="I43" s="23" t="s">
        <v>32</v>
      </c>
      <c r="J43" s="25" t="s">
        <v>172</v>
      </c>
      <c r="K43" s="23" t="s">
        <v>8</v>
      </c>
      <c r="L43" s="26">
        <v>45327.0</v>
      </c>
      <c r="M43" s="27">
        <v>575.0</v>
      </c>
      <c r="N43" s="28">
        <v>45757.0</v>
      </c>
      <c r="O43" s="28">
        <v>45808.0</v>
      </c>
      <c r="P43" s="29">
        <v>318.0</v>
      </c>
      <c r="Q43" s="30">
        <v>46083.0</v>
      </c>
      <c r="R43" s="27">
        <v>15850.89</v>
      </c>
      <c r="S43" s="31">
        <v>0.0</v>
      </c>
      <c r="T43" s="31">
        <v>-15850.89</v>
      </c>
      <c r="U43" s="23"/>
      <c r="V43" s="30"/>
      <c r="W43" s="30"/>
      <c r="X43" s="23" t="s">
        <v>173</v>
      </c>
    </row>
    <row r="44" ht="15.75" hidden="1" customHeight="1">
      <c r="A44" s="23" t="s">
        <v>272</v>
      </c>
      <c r="B44" s="23" t="s">
        <v>7</v>
      </c>
      <c r="C44" s="23" t="s">
        <v>273</v>
      </c>
      <c r="D44" s="23" t="s">
        <v>274</v>
      </c>
      <c r="E44" s="23">
        <v>1213594.0</v>
      </c>
      <c r="F44" s="23">
        <v>90375.0</v>
      </c>
      <c r="G44" s="24" t="s">
        <v>114</v>
      </c>
      <c r="H44" s="23" t="s">
        <v>33</v>
      </c>
      <c r="I44" s="23" t="s">
        <v>32</v>
      </c>
      <c r="J44" s="25" t="s">
        <v>172</v>
      </c>
      <c r="K44" s="23" t="s">
        <v>172</v>
      </c>
      <c r="L44" s="26">
        <v>45301.0</v>
      </c>
      <c r="M44" s="27">
        <v>575.0</v>
      </c>
      <c r="N44" s="28"/>
      <c r="O44" s="28"/>
      <c r="P44" s="29"/>
      <c r="Q44" s="30"/>
      <c r="R44" s="27"/>
      <c r="S44" s="31">
        <v>0.0</v>
      </c>
      <c r="T44" s="31">
        <v>0.0</v>
      </c>
      <c r="U44" s="23"/>
      <c r="V44" s="30"/>
      <c r="W44" s="30"/>
      <c r="X44" s="30" t="s">
        <v>163</v>
      </c>
    </row>
    <row r="45" ht="15.75" hidden="1" customHeight="1">
      <c r="A45" s="23" t="s">
        <v>275</v>
      </c>
      <c r="B45" s="23" t="s">
        <v>7</v>
      </c>
      <c r="C45" s="23" t="s">
        <v>276</v>
      </c>
      <c r="D45" s="23" t="s">
        <v>277</v>
      </c>
      <c r="E45" s="23">
        <v>1225222.0</v>
      </c>
      <c r="F45" s="23"/>
      <c r="G45" s="24" t="s">
        <v>114</v>
      </c>
      <c r="H45" s="23"/>
      <c r="I45" s="23" t="s">
        <v>32</v>
      </c>
      <c r="J45" s="25" t="s">
        <v>172</v>
      </c>
      <c r="K45" s="23" t="s">
        <v>172</v>
      </c>
      <c r="L45" s="26">
        <v>45333.0</v>
      </c>
      <c r="M45" s="27">
        <v>575.0</v>
      </c>
      <c r="N45" s="28"/>
      <c r="O45" s="28"/>
      <c r="P45" s="29"/>
      <c r="Q45" s="30"/>
      <c r="R45" s="27"/>
      <c r="S45" s="31">
        <v>0.0</v>
      </c>
      <c r="T45" s="31">
        <v>0.0</v>
      </c>
      <c r="U45" s="23"/>
      <c r="V45" s="30"/>
      <c r="W45" s="30"/>
      <c r="X45" s="30" t="s">
        <v>163</v>
      </c>
    </row>
    <row r="46" ht="15.75" hidden="1" customHeight="1">
      <c r="A46" s="23" t="s">
        <v>278</v>
      </c>
      <c r="B46" s="23" t="s">
        <v>7</v>
      </c>
      <c r="C46" s="23" t="s">
        <v>157</v>
      </c>
      <c r="D46" s="23" t="s">
        <v>158</v>
      </c>
      <c r="E46" s="23">
        <v>1198033.0</v>
      </c>
      <c r="F46" s="23">
        <v>89608.0</v>
      </c>
      <c r="G46" s="24" t="s">
        <v>114</v>
      </c>
      <c r="H46" s="23" t="s">
        <v>42</v>
      </c>
      <c r="I46" s="23" t="s">
        <v>49</v>
      </c>
      <c r="J46" s="25" t="s">
        <v>172</v>
      </c>
      <c r="K46" s="23" t="s">
        <v>8</v>
      </c>
      <c r="L46" s="26">
        <v>45202.0</v>
      </c>
      <c r="M46" s="27">
        <v>19020.0</v>
      </c>
      <c r="N46" s="28">
        <v>45202.0</v>
      </c>
      <c r="O46" s="28">
        <v>45402.0</v>
      </c>
      <c r="P46" s="29">
        <v>315.0</v>
      </c>
      <c r="Q46" s="30">
        <v>46052.0</v>
      </c>
      <c r="R46" s="27">
        <v>17728.88</v>
      </c>
      <c r="S46" s="31">
        <v>0.0</v>
      </c>
      <c r="T46" s="31">
        <v>-17728.88</v>
      </c>
      <c r="U46" s="23"/>
      <c r="V46" s="30"/>
      <c r="W46" s="30"/>
      <c r="X46" s="23" t="s">
        <v>173</v>
      </c>
    </row>
    <row r="47" ht="15.75" hidden="1" customHeight="1">
      <c r="A47" s="23" t="s">
        <v>279</v>
      </c>
      <c r="B47" s="23" t="s">
        <v>7</v>
      </c>
      <c r="C47" s="23" t="s">
        <v>280</v>
      </c>
      <c r="D47" s="23" t="s">
        <v>281</v>
      </c>
      <c r="E47" s="23">
        <v>1329559.0</v>
      </c>
      <c r="F47" s="23">
        <v>94412.0</v>
      </c>
      <c r="G47" s="24" t="s">
        <v>114</v>
      </c>
      <c r="H47" s="23" t="s">
        <v>177</v>
      </c>
      <c r="I47" s="23" t="s">
        <v>32</v>
      </c>
      <c r="J47" s="25" t="s">
        <v>172</v>
      </c>
      <c r="K47" s="23" t="s">
        <v>162</v>
      </c>
      <c r="L47" s="26">
        <v>45657.0</v>
      </c>
      <c r="M47" s="27">
        <v>575.0</v>
      </c>
      <c r="N47" s="28"/>
      <c r="O47" s="28"/>
      <c r="P47" s="29"/>
      <c r="Q47" s="30"/>
      <c r="R47" s="27"/>
      <c r="S47" s="31">
        <v>0.0</v>
      </c>
      <c r="T47" s="31">
        <v>0.0</v>
      </c>
      <c r="U47" s="23"/>
      <c r="V47" s="30"/>
      <c r="W47" s="30"/>
      <c r="X47" s="23" t="s">
        <v>163</v>
      </c>
    </row>
    <row r="48" ht="15.75" hidden="1" customHeight="1">
      <c r="A48" s="23" t="s">
        <v>282</v>
      </c>
      <c r="B48" s="23" t="s">
        <v>7</v>
      </c>
      <c r="C48" s="23" t="s">
        <v>283</v>
      </c>
      <c r="D48" s="23" t="s">
        <v>284</v>
      </c>
      <c r="E48" s="23">
        <v>1239285.0</v>
      </c>
      <c r="F48" s="23">
        <v>91978.0</v>
      </c>
      <c r="G48" s="24" t="s">
        <v>114</v>
      </c>
      <c r="H48" s="23"/>
      <c r="I48" s="23" t="s">
        <v>32</v>
      </c>
      <c r="J48" s="25" t="s">
        <v>172</v>
      </c>
      <c r="K48" s="23" t="s">
        <v>172</v>
      </c>
      <c r="L48" s="26">
        <v>45448.0</v>
      </c>
      <c r="M48" s="27">
        <v>575.0</v>
      </c>
      <c r="N48" s="28"/>
      <c r="O48" s="28"/>
      <c r="P48" s="29"/>
      <c r="Q48" s="30"/>
      <c r="R48" s="27"/>
      <c r="S48" s="31">
        <v>0.0</v>
      </c>
      <c r="T48" s="31">
        <v>0.0</v>
      </c>
      <c r="U48" s="23"/>
      <c r="V48" s="30"/>
      <c r="W48" s="30"/>
      <c r="X48" s="30" t="s">
        <v>163</v>
      </c>
    </row>
    <row r="49" ht="15.75" hidden="1" customHeight="1">
      <c r="A49" s="23" t="s">
        <v>285</v>
      </c>
      <c r="B49" s="23" t="s">
        <v>7</v>
      </c>
      <c r="C49" s="23" t="s">
        <v>286</v>
      </c>
      <c r="D49" s="23" t="s">
        <v>287</v>
      </c>
      <c r="E49" s="23">
        <v>1232764.0</v>
      </c>
      <c r="F49" s="23">
        <v>91801.0</v>
      </c>
      <c r="G49" s="24" t="s">
        <v>114</v>
      </c>
      <c r="H49" s="23"/>
      <c r="I49" s="23" t="s">
        <v>49</v>
      </c>
      <c r="J49" s="25" t="s">
        <v>172</v>
      </c>
      <c r="K49" s="23" t="s">
        <v>172</v>
      </c>
      <c r="L49" s="26">
        <v>45422.0</v>
      </c>
      <c r="M49" s="27">
        <v>11700.0</v>
      </c>
      <c r="N49" s="28"/>
      <c r="O49" s="28"/>
      <c r="P49" s="29"/>
      <c r="Q49" s="30"/>
      <c r="R49" s="27"/>
      <c r="S49" s="31">
        <v>0.0</v>
      </c>
      <c r="T49" s="31">
        <v>0.0</v>
      </c>
      <c r="U49" s="23"/>
      <c r="V49" s="30"/>
      <c r="W49" s="30"/>
      <c r="X49" s="30" t="s">
        <v>163</v>
      </c>
    </row>
    <row r="50" ht="15.75" hidden="1" customHeight="1">
      <c r="A50" s="23" t="s">
        <v>288</v>
      </c>
      <c r="B50" s="23" t="s">
        <v>7</v>
      </c>
      <c r="C50" s="23" t="s">
        <v>286</v>
      </c>
      <c r="D50" s="23" t="s">
        <v>287</v>
      </c>
      <c r="E50" s="23">
        <v>1232763.0</v>
      </c>
      <c r="F50" s="23">
        <v>91803.0</v>
      </c>
      <c r="G50" s="24" t="s">
        <v>114</v>
      </c>
      <c r="H50" s="23" t="s">
        <v>42</v>
      </c>
      <c r="I50" s="23" t="s">
        <v>49</v>
      </c>
      <c r="J50" s="25" t="s">
        <v>172</v>
      </c>
      <c r="K50" s="23" t="s">
        <v>172</v>
      </c>
      <c r="L50" s="26">
        <v>45422.0</v>
      </c>
      <c r="M50" s="27">
        <v>15400.0</v>
      </c>
      <c r="N50" s="28"/>
      <c r="O50" s="28"/>
      <c r="P50" s="29"/>
      <c r="Q50" s="30"/>
      <c r="R50" s="27"/>
      <c r="S50" s="31">
        <v>0.0</v>
      </c>
      <c r="T50" s="31">
        <v>0.0</v>
      </c>
      <c r="U50" s="23"/>
      <c r="V50" s="30"/>
      <c r="W50" s="30"/>
      <c r="X50" s="23" t="s">
        <v>163</v>
      </c>
    </row>
    <row r="51" ht="15.75" hidden="1" customHeight="1">
      <c r="A51" s="23"/>
      <c r="B51" s="23" t="s">
        <v>7</v>
      </c>
      <c r="C51" s="23" t="s">
        <v>289</v>
      </c>
      <c r="D51" s="23" t="s">
        <v>290</v>
      </c>
      <c r="E51" s="23">
        <v>1124663.0</v>
      </c>
      <c r="F51" s="23">
        <v>85105.0</v>
      </c>
      <c r="G51" s="24" t="s">
        <v>114</v>
      </c>
      <c r="H51" s="23" t="s">
        <v>171</v>
      </c>
      <c r="I51" s="23" t="s">
        <v>32</v>
      </c>
      <c r="J51" s="25" t="s">
        <v>172</v>
      </c>
      <c r="K51" s="23" t="s">
        <v>162</v>
      </c>
      <c r="L51" s="26">
        <v>44705.0</v>
      </c>
      <c r="M51" s="27">
        <v>575.0</v>
      </c>
      <c r="N51" s="28"/>
      <c r="O51" s="28"/>
      <c r="P51" s="29"/>
      <c r="Q51" s="30"/>
      <c r="R51" s="27"/>
      <c r="S51" s="31">
        <v>0.0</v>
      </c>
      <c r="T51" s="31">
        <v>0.0</v>
      </c>
      <c r="U51" s="23"/>
      <c r="V51" s="30"/>
      <c r="W51" s="30"/>
      <c r="X51" s="23" t="s">
        <v>163</v>
      </c>
    </row>
    <row r="52" ht="15.75" hidden="1" customHeight="1">
      <c r="A52" s="23"/>
      <c r="B52" s="23" t="s">
        <v>7</v>
      </c>
      <c r="C52" s="23" t="s">
        <v>291</v>
      </c>
      <c r="D52" s="23" t="s">
        <v>292</v>
      </c>
      <c r="E52" s="23">
        <v>1125492.0</v>
      </c>
      <c r="F52" s="23">
        <v>85171.0</v>
      </c>
      <c r="G52" s="24" t="s">
        <v>114</v>
      </c>
      <c r="H52" s="23" t="s">
        <v>171</v>
      </c>
      <c r="I52" s="23" t="s">
        <v>32</v>
      </c>
      <c r="J52" s="25" t="s">
        <v>172</v>
      </c>
      <c r="K52" s="23" t="s">
        <v>162</v>
      </c>
      <c r="L52" s="26">
        <v>44706.0</v>
      </c>
      <c r="M52" s="27">
        <v>575.0</v>
      </c>
      <c r="N52" s="28"/>
      <c r="O52" s="28"/>
      <c r="P52" s="29"/>
      <c r="Q52" s="30"/>
      <c r="R52" s="27"/>
      <c r="S52" s="31">
        <v>0.0</v>
      </c>
      <c r="T52" s="31">
        <v>0.0</v>
      </c>
      <c r="U52" s="23"/>
      <c r="V52" s="30"/>
      <c r="W52" s="30"/>
      <c r="X52" s="23" t="s">
        <v>163</v>
      </c>
    </row>
    <row r="53" ht="15.75" hidden="1" customHeight="1">
      <c r="A53" s="23" t="s">
        <v>293</v>
      </c>
      <c r="B53" s="23" t="s">
        <v>7</v>
      </c>
      <c r="C53" s="23" t="s">
        <v>294</v>
      </c>
      <c r="D53" s="23" t="s">
        <v>295</v>
      </c>
      <c r="E53" s="23">
        <v>1223510.0</v>
      </c>
      <c r="F53" s="23">
        <v>88306.0</v>
      </c>
      <c r="G53" s="24" t="s">
        <v>114</v>
      </c>
      <c r="H53" s="23" t="s">
        <v>57</v>
      </c>
      <c r="I53" s="23" t="s">
        <v>32</v>
      </c>
      <c r="J53" s="25" t="s">
        <v>172</v>
      </c>
      <c r="K53" s="23" t="s">
        <v>172</v>
      </c>
      <c r="L53" s="26">
        <v>45359.0</v>
      </c>
      <c r="M53" s="27">
        <v>575.0</v>
      </c>
      <c r="N53" s="28"/>
      <c r="O53" s="28"/>
      <c r="P53" s="29"/>
      <c r="Q53" s="30"/>
      <c r="R53" s="27"/>
      <c r="S53" s="31">
        <v>0.0</v>
      </c>
      <c r="T53" s="31">
        <v>0.0</v>
      </c>
      <c r="U53" s="23"/>
      <c r="V53" s="30"/>
      <c r="W53" s="30"/>
      <c r="X53" s="23" t="s">
        <v>163</v>
      </c>
    </row>
    <row r="54" ht="15.75" hidden="1" customHeight="1">
      <c r="A54" s="23"/>
      <c r="B54" s="23" t="s">
        <v>7</v>
      </c>
      <c r="C54" s="23" t="s">
        <v>296</v>
      </c>
      <c r="D54" s="23" t="s">
        <v>297</v>
      </c>
      <c r="E54" s="23">
        <v>1314909.0</v>
      </c>
      <c r="F54" s="23">
        <v>93419.0</v>
      </c>
      <c r="G54" s="24" t="s">
        <v>114</v>
      </c>
      <c r="H54" s="23"/>
      <c r="I54" s="23" t="s">
        <v>32</v>
      </c>
      <c r="J54" s="25" t="s">
        <v>172</v>
      </c>
      <c r="K54" s="23" t="s">
        <v>172</v>
      </c>
      <c r="L54" s="26">
        <v>45568.0</v>
      </c>
      <c r="M54" s="27">
        <v>575.0</v>
      </c>
      <c r="N54" s="28"/>
      <c r="O54" s="28"/>
      <c r="P54" s="29"/>
      <c r="Q54" s="30"/>
      <c r="R54" s="27"/>
      <c r="S54" s="31">
        <v>0.0</v>
      </c>
      <c r="T54" s="31">
        <v>0.0</v>
      </c>
      <c r="U54" s="23"/>
      <c r="V54" s="30"/>
      <c r="W54" s="30"/>
      <c r="X54" s="23" t="s">
        <v>163</v>
      </c>
    </row>
    <row r="55" ht="15.75" customHeight="1">
      <c r="A55" s="23" t="s">
        <v>298</v>
      </c>
      <c r="B55" s="23" t="s">
        <v>7</v>
      </c>
      <c r="C55" s="23" t="s">
        <v>53</v>
      </c>
      <c r="D55" s="23" t="s">
        <v>127</v>
      </c>
      <c r="E55" s="23">
        <v>1157908.0</v>
      </c>
      <c r="F55" s="23">
        <v>86933.0</v>
      </c>
      <c r="G55" s="24" t="s">
        <v>114</v>
      </c>
      <c r="H55" s="23" t="s">
        <v>57</v>
      </c>
      <c r="I55" s="23" t="s">
        <v>32</v>
      </c>
      <c r="J55" s="25" t="s">
        <v>172</v>
      </c>
      <c r="K55" s="23" t="s">
        <v>8</v>
      </c>
      <c r="L55" s="26">
        <v>44910.0</v>
      </c>
      <c r="M55" s="27">
        <v>3200.0</v>
      </c>
      <c r="N55" s="28">
        <v>44910.0</v>
      </c>
      <c r="O55" s="28">
        <v>44911.0</v>
      </c>
      <c r="P55" s="29">
        <v>312.0</v>
      </c>
      <c r="Q55" s="30">
        <v>46038.0</v>
      </c>
      <c r="R55" s="27">
        <v>1867.45</v>
      </c>
      <c r="S55" s="31">
        <v>1867.45</v>
      </c>
      <c r="T55" s="31">
        <v>0.0</v>
      </c>
      <c r="U55" s="32">
        <v>7.00007076E8</v>
      </c>
      <c r="V55" s="30">
        <v>46101.0</v>
      </c>
      <c r="W55" s="30">
        <v>46111.0</v>
      </c>
      <c r="X55" s="23" t="s">
        <v>179</v>
      </c>
    </row>
    <row r="56" ht="15.75" hidden="1" customHeight="1">
      <c r="A56" s="23"/>
      <c r="B56" s="23" t="s">
        <v>7</v>
      </c>
      <c r="C56" s="23" t="s">
        <v>299</v>
      </c>
      <c r="D56" s="23" t="s">
        <v>300</v>
      </c>
      <c r="E56" s="23">
        <v>1140015.0</v>
      </c>
      <c r="F56" s="23">
        <v>86082.0</v>
      </c>
      <c r="G56" s="24" t="s">
        <v>114</v>
      </c>
      <c r="H56" s="23" t="s">
        <v>57</v>
      </c>
      <c r="I56" s="23" t="s">
        <v>32</v>
      </c>
      <c r="J56" s="25" t="s">
        <v>172</v>
      </c>
      <c r="K56" s="23" t="s">
        <v>162</v>
      </c>
      <c r="L56" s="26">
        <v>44811.0</v>
      </c>
      <c r="M56" s="27">
        <v>575.0</v>
      </c>
      <c r="N56" s="28"/>
      <c r="O56" s="28"/>
      <c r="P56" s="29"/>
      <c r="Q56" s="30"/>
      <c r="R56" s="27"/>
      <c r="S56" s="31">
        <v>0.0</v>
      </c>
      <c r="T56" s="31">
        <v>0.0</v>
      </c>
      <c r="U56" s="23"/>
      <c r="V56" s="30"/>
      <c r="W56" s="30"/>
      <c r="X56" s="30" t="s">
        <v>163</v>
      </c>
    </row>
    <row r="57" ht="15.75" hidden="1" customHeight="1">
      <c r="A57" s="23"/>
      <c r="B57" s="23" t="s">
        <v>7</v>
      </c>
      <c r="C57" s="23" t="s">
        <v>301</v>
      </c>
      <c r="D57" s="23" t="s">
        <v>302</v>
      </c>
      <c r="E57" s="23">
        <v>1192028.0</v>
      </c>
      <c r="F57" s="23">
        <v>88590.0</v>
      </c>
      <c r="G57" s="24" t="s">
        <v>114</v>
      </c>
      <c r="H57" s="23" t="s">
        <v>171</v>
      </c>
      <c r="I57" s="23" t="s">
        <v>32</v>
      </c>
      <c r="J57" s="25" t="s">
        <v>172</v>
      </c>
      <c r="K57" s="23" t="s">
        <v>162</v>
      </c>
      <c r="L57" s="26">
        <v>45161.0</v>
      </c>
      <c r="M57" s="27">
        <v>575.0</v>
      </c>
      <c r="N57" s="28"/>
      <c r="O57" s="28"/>
      <c r="P57" s="29"/>
      <c r="Q57" s="30"/>
      <c r="R57" s="27"/>
      <c r="S57" s="31">
        <v>0.0</v>
      </c>
      <c r="T57" s="31">
        <v>0.0</v>
      </c>
      <c r="U57" s="23"/>
      <c r="V57" s="30"/>
      <c r="W57" s="30"/>
      <c r="X57" s="30" t="s">
        <v>163</v>
      </c>
    </row>
    <row r="58" ht="15.75" hidden="1" customHeight="1">
      <c r="A58" s="23" t="s">
        <v>303</v>
      </c>
      <c r="B58" s="23" t="s">
        <v>7</v>
      </c>
      <c r="C58" s="23" t="s">
        <v>304</v>
      </c>
      <c r="D58" s="23" t="s">
        <v>305</v>
      </c>
      <c r="E58" s="23">
        <v>1223719.0</v>
      </c>
      <c r="F58" s="23">
        <v>89359.0</v>
      </c>
      <c r="G58" s="24" t="s">
        <v>114</v>
      </c>
      <c r="H58" s="23" t="s">
        <v>42</v>
      </c>
      <c r="I58" s="23" t="s">
        <v>49</v>
      </c>
      <c r="J58" s="25" t="s">
        <v>172</v>
      </c>
      <c r="K58" s="23" t="s">
        <v>172</v>
      </c>
      <c r="L58" s="26">
        <v>45365.0</v>
      </c>
      <c r="M58" s="27">
        <v>13900.0</v>
      </c>
      <c r="N58" s="28"/>
      <c r="O58" s="28"/>
      <c r="P58" s="29"/>
      <c r="Q58" s="30"/>
      <c r="R58" s="27"/>
      <c r="S58" s="31">
        <v>0.0</v>
      </c>
      <c r="T58" s="31">
        <v>0.0</v>
      </c>
      <c r="U58" s="23"/>
      <c r="V58" s="30"/>
      <c r="W58" s="30"/>
      <c r="X58" s="23" t="s">
        <v>163</v>
      </c>
    </row>
    <row r="59" ht="15.75" hidden="1" customHeight="1">
      <c r="A59" s="23" t="s">
        <v>306</v>
      </c>
      <c r="B59" s="23" t="s">
        <v>7</v>
      </c>
      <c r="C59" s="23" t="s">
        <v>304</v>
      </c>
      <c r="D59" s="23" t="s">
        <v>305</v>
      </c>
      <c r="E59" s="23">
        <v>1223718.0</v>
      </c>
      <c r="F59" s="23">
        <v>89963.0</v>
      </c>
      <c r="G59" s="24" t="s">
        <v>114</v>
      </c>
      <c r="H59" s="23" t="s">
        <v>42</v>
      </c>
      <c r="I59" s="23" t="s">
        <v>49</v>
      </c>
      <c r="J59" s="25" t="s">
        <v>172</v>
      </c>
      <c r="K59" s="23" t="s">
        <v>172</v>
      </c>
      <c r="L59" s="26">
        <v>45365.0</v>
      </c>
      <c r="M59" s="27">
        <v>13900.0</v>
      </c>
      <c r="N59" s="28"/>
      <c r="O59" s="28"/>
      <c r="P59" s="29"/>
      <c r="Q59" s="30"/>
      <c r="R59" s="27"/>
      <c r="S59" s="31">
        <v>0.0</v>
      </c>
      <c r="T59" s="31">
        <v>0.0</v>
      </c>
      <c r="U59" s="23"/>
      <c r="V59" s="30"/>
      <c r="W59" s="30"/>
      <c r="X59" s="23" t="s">
        <v>163</v>
      </c>
    </row>
    <row r="60" ht="15.75" hidden="1" customHeight="1">
      <c r="A60" s="23" t="s">
        <v>307</v>
      </c>
      <c r="B60" s="23" t="s">
        <v>7</v>
      </c>
      <c r="C60" s="23" t="s">
        <v>308</v>
      </c>
      <c r="D60" s="23" t="s">
        <v>309</v>
      </c>
      <c r="E60" s="23">
        <v>1323411.0</v>
      </c>
      <c r="F60" s="23">
        <v>94004.0</v>
      </c>
      <c r="G60" s="24" t="s">
        <v>114</v>
      </c>
      <c r="H60" s="23" t="s">
        <v>42</v>
      </c>
      <c r="I60" s="23" t="s">
        <v>49</v>
      </c>
      <c r="J60" s="25" t="s">
        <v>172</v>
      </c>
      <c r="K60" s="23" t="s">
        <v>8</v>
      </c>
      <c r="L60" s="26">
        <v>45622.0</v>
      </c>
      <c r="M60" s="27">
        <v>14100.0</v>
      </c>
      <c r="N60" s="28">
        <v>45686.0</v>
      </c>
      <c r="O60" s="28">
        <v>45844.0</v>
      </c>
      <c r="P60" s="29">
        <v>332.0</v>
      </c>
      <c r="Q60" s="30">
        <v>46182.0</v>
      </c>
      <c r="R60" s="27">
        <v>21390.66</v>
      </c>
      <c r="S60" s="31">
        <v>0.0</v>
      </c>
      <c r="T60" s="31">
        <v>-21390.66</v>
      </c>
      <c r="U60" s="23"/>
      <c r="V60" s="30"/>
      <c r="W60" s="30"/>
      <c r="X60" s="23" t="s">
        <v>173</v>
      </c>
    </row>
    <row r="61" ht="15.75" hidden="1" customHeight="1">
      <c r="A61" s="23"/>
      <c r="B61" s="23" t="s">
        <v>7</v>
      </c>
      <c r="C61" s="23" t="s">
        <v>310</v>
      </c>
      <c r="D61" s="23" t="s">
        <v>311</v>
      </c>
      <c r="E61" s="23">
        <v>1319456.0</v>
      </c>
      <c r="F61" s="23">
        <v>93726.0</v>
      </c>
      <c r="G61" s="24" t="s">
        <v>114</v>
      </c>
      <c r="H61" s="23" t="s">
        <v>42</v>
      </c>
      <c r="I61" s="23" t="s">
        <v>49</v>
      </c>
      <c r="J61" s="25" t="s">
        <v>172</v>
      </c>
      <c r="K61" s="23" t="s">
        <v>162</v>
      </c>
      <c r="L61" s="26">
        <v>45628.0</v>
      </c>
      <c r="M61" s="27">
        <v>15400.0</v>
      </c>
      <c r="N61" s="28"/>
      <c r="O61" s="28"/>
      <c r="P61" s="29"/>
      <c r="Q61" s="30"/>
      <c r="R61" s="27"/>
      <c r="S61" s="31">
        <v>0.0</v>
      </c>
      <c r="T61" s="31">
        <v>0.0</v>
      </c>
      <c r="U61" s="23"/>
      <c r="V61" s="30"/>
      <c r="W61" s="30"/>
      <c r="X61" s="23" t="s">
        <v>163</v>
      </c>
    </row>
    <row r="62" ht="15.75" hidden="1" customHeight="1">
      <c r="A62" s="23" t="s">
        <v>312</v>
      </c>
      <c r="B62" s="23" t="s">
        <v>7</v>
      </c>
      <c r="C62" s="23" t="s">
        <v>313</v>
      </c>
      <c r="D62" s="23" t="s">
        <v>314</v>
      </c>
      <c r="E62" s="23">
        <v>1147905.0</v>
      </c>
      <c r="F62" s="23">
        <v>86152.0</v>
      </c>
      <c r="G62" s="24" t="s">
        <v>114</v>
      </c>
      <c r="H62" s="23" t="s">
        <v>171</v>
      </c>
      <c r="I62" s="23" t="s">
        <v>32</v>
      </c>
      <c r="J62" s="25" t="s">
        <v>172</v>
      </c>
      <c r="K62" s="23" t="s">
        <v>162</v>
      </c>
      <c r="L62" s="26">
        <v>44929.0</v>
      </c>
      <c r="M62" s="27">
        <v>575.0</v>
      </c>
      <c r="N62" s="28"/>
      <c r="O62" s="28"/>
      <c r="P62" s="29"/>
      <c r="Q62" s="30"/>
      <c r="R62" s="27"/>
      <c r="S62" s="31">
        <v>0.0</v>
      </c>
      <c r="T62" s="31">
        <v>0.0</v>
      </c>
      <c r="U62" s="23"/>
      <c r="V62" s="30"/>
      <c r="W62" s="30"/>
      <c r="X62" s="23" t="s">
        <v>163</v>
      </c>
    </row>
    <row r="63" ht="15.75" hidden="1" customHeight="1">
      <c r="A63" s="23" t="s">
        <v>315</v>
      </c>
      <c r="B63" s="23" t="s">
        <v>7</v>
      </c>
      <c r="C63" s="23" t="s">
        <v>316</v>
      </c>
      <c r="D63" s="23" t="s">
        <v>317</v>
      </c>
      <c r="E63" s="23">
        <v>1224066.0</v>
      </c>
      <c r="F63" s="23">
        <v>91184.0</v>
      </c>
      <c r="G63" s="24" t="s">
        <v>114</v>
      </c>
      <c r="H63" s="23" t="s">
        <v>42</v>
      </c>
      <c r="I63" s="23" t="s">
        <v>32</v>
      </c>
      <c r="J63" s="25" t="s">
        <v>172</v>
      </c>
      <c r="K63" s="23" t="s">
        <v>8</v>
      </c>
      <c r="L63" s="26">
        <v>45352.0</v>
      </c>
      <c r="M63" s="27">
        <v>4200.0</v>
      </c>
      <c r="N63" s="28">
        <v>45352.0</v>
      </c>
      <c r="O63" s="28">
        <v>45353.0</v>
      </c>
      <c r="P63" s="29">
        <v>323.0</v>
      </c>
      <c r="Q63" s="30">
        <v>46142.0</v>
      </c>
      <c r="R63" s="27">
        <v>5166.39</v>
      </c>
      <c r="S63" s="31">
        <v>0.0</v>
      </c>
      <c r="T63" s="31">
        <v>-5166.39</v>
      </c>
      <c r="U63" s="23"/>
      <c r="V63" s="30"/>
      <c r="W63" s="30"/>
      <c r="X63" s="30" t="s">
        <v>173</v>
      </c>
    </row>
    <row r="64" ht="15.75" hidden="1" customHeight="1">
      <c r="A64" s="23" t="s">
        <v>318</v>
      </c>
      <c r="B64" s="23" t="s">
        <v>7</v>
      </c>
      <c r="C64" s="23" t="s">
        <v>319</v>
      </c>
      <c r="D64" s="23" t="s">
        <v>320</v>
      </c>
      <c r="E64" s="23">
        <v>1232533.0</v>
      </c>
      <c r="F64" s="23">
        <v>91809.0</v>
      </c>
      <c r="G64" s="24" t="s">
        <v>114</v>
      </c>
      <c r="H64" s="23"/>
      <c r="I64" s="23" t="s">
        <v>49</v>
      </c>
      <c r="J64" s="25" t="s">
        <v>172</v>
      </c>
      <c r="K64" s="23" t="s">
        <v>172</v>
      </c>
      <c r="L64" s="26">
        <v>45421.0</v>
      </c>
      <c r="M64" s="27">
        <v>15400.0</v>
      </c>
      <c r="N64" s="28"/>
      <c r="O64" s="28"/>
      <c r="P64" s="29"/>
      <c r="Q64" s="30"/>
      <c r="R64" s="27"/>
      <c r="S64" s="31">
        <v>0.0</v>
      </c>
      <c r="T64" s="31">
        <v>0.0</v>
      </c>
      <c r="U64" s="23"/>
      <c r="V64" s="30"/>
      <c r="W64" s="30"/>
      <c r="X64" s="30" t="s">
        <v>163</v>
      </c>
    </row>
    <row r="65" ht="15.75" hidden="1" customHeight="1">
      <c r="A65" s="23" t="s">
        <v>321</v>
      </c>
      <c r="B65" s="23" t="s">
        <v>7</v>
      </c>
      <c r="C65" s="23" t="s">
        <v>319</v>
      </c>
      <c r="D65" s="23" t="s">
        <v>320</v>
      </c>
      <c r="E65" s="23">
        <v>1232548.0</v>
      </c>
      <c r="F65" s="23">
        <v>91836.0</v>
      </c>
      <c r="G65" s="24" t="s">
        <v>114</v>
      </c>
      <c r="H65" s="23"/>
      <c r="I65" s="23" t="s">
        <v>49</v>
      </c>
      <c r="J65" s="25" t="s">
        <v>172</v>
      </c>
      <c r="K65" s="23" t="s">
        <v>172</v>
      </c>
      <c r="L65" s="26">
        <v>45422.0</v>
      </c>
      <c r="M65" s="27">
        <v>11200.0</v>
      </c>
      <c r="N65" s="28"/>
      <c r="O65" s="28"/>
      <c r="P65" s="29"/>
      <c r="Q65" s="30"/>
      <c r="R65" s="27"/>
      <c r="S65" s="31">
        <v>0.0</v>
      </c>
      <c r="T65" s="31">
        <v>0.0</v>
      </c>
      <c r="U65" s="23"/>
      <c r="V65" s="30"/>
      <c r="W65" s="30"/>
      <c r="X65" s="30" t="s">
        <v>163</v>
      </c>
    </row>
    <row r="66" ht="15.75" hidden="1" customHeight="1">
      <c r="A66" s="23" t="s">
        <v>322</v>
      </c>
      <c r="B66" s="23" t="s">
        <v>7</v>
      </c>
      <c r="C66" s="23" t="s">
        <v>323</v>
      </c>
      <c r="D66" s="23" t="s">
        <v>324</v>
      </c>
      <c r="E66" s="23">
        <v>1213407.0</v>
      </c>
      <c r="F66" s="23">
        <v>82742.0</v>
      </c>
      <c r="G66" s="24" t="s">
        <v>114</v>
      </c>
      <c r="H66" s="23" t="s">
        <v>42</v>
      </c>
      <c r="I66" s="23" t="s">
        <v>49</v>
      </c>
      <c r="J66" s="25" t="s">
        <v>172</v>
      </c>
      <c r="K66" s="23" t="s">
        <v>172</v>
      </c>
      <c r="L66" s="26">
        <v>45300.0</v>
      </c>
      <c r="M66" s="27">
        <v>5500.0</v>
      </c>
      <c r="N66" s="28"/>
      <c r="O66" s="28"/>
      <c r="P66" s="29"/>
      <c r="Q66" s="30"/>
      <c r="R66" s="27"/>
      <c r="S66" s="31">
        <v>0.0</v>
      </c>
      <c r="T66" s="31">
        <v>0.0</v>
      </c>
      <c r="U66" s="23"/>
      <c r="V66" s="30"/>
      <c r="W66" s="30"/>
      <c r="X66" s="23" t="s">
        <v>163</v>
      </c>
    </row>
    <row r="67" ht="15.75" hidden="1" customHeight="1">
      <c r="A67" s="23" t="s">
        <v>325</v>
      </c>
      <c r="B67" s="23" t="s">
        <v>7</v>
      </c>
      <c r="C67" s="23" t="s">
        <v>326</v>
      </c>
      <c r="D67" s="23" t="s">
        <v>327</v>
      </c>
      <c r="E67" s="23">
        <v>1333354.0</v>
      </c>
      <c r="F67" s="23">
        <v>94637.0</v>
      </c>
      <c r="G67" s="24" t="s">
        <v>114</v>
      </c>
      <c r="H67" s="23" t="s">
        <v>42</v>
      </c>
      <c r="I67" s="23" t="s">
        <v>32</v>
      </c>
      <c r="J67" s="25" t="s">
        <v>172</v>
      </c>
      <c r="K67" s="23" t="s">
        <v>162</v>
      </c>
      <c r="L67" s="26">
        <v>45687.0</v>
      </c>
      <c r="M67" s="27">
        <v>10275.0</v>
      </c>
      <c r="N67" s="28"/>
      <c r="O67" s="28"/>
      <c r="P67" s="29"/>
      <c r="Q67" s="30"/>
      <c r="R67" s="27"/>
      <c r="S67" s="31">
        <v>0.0</v>
      </c>
      <c r="T67" s="31">
        <v>0.0</v>
      </c>
      <c r="U67" s="23"/>
      <c r="V67" s="30"/>
      <c r="W67" s="30"/>
      <c r="X67" s="30" t="s">
        <v>163</v>
      </c>
    </row>
    <row r="68" ht="15.75" hidden="1" customHeight="1">
      <c r="A68" s="23" t="s">
        <v>328</v>
      </c>
      <c r="B68" s="23" t="s">
        <v>7</v>
      </c>
      <c r="C68" s="23" t="s">
        <v>329</v>
      </c>
      <c r="D68" s="23" t="s">
        <v>330</v>
      </c>
      <c r="E68" s="23">
        <v>1310116.0</v>
      </c>
      <c r="F68" s="23">
        <v>93264.0</v>
      </c>
      <c r="G68" s="24" t="s">
        <v>114</v>
      </c>
      <c r="H68" s="23" t="s">
        <v>42</v>
      </c>
      <c r="I68" s="23" t="s">
        <v>32</v>
      </c>
      <c r="J68" s="25" t="s">
        <v>172</v>
      </c>
      <c r="K68" s="23" t="s">
        <v>172</v>
      </c>
      <c r="L68" s="26">
        <v>45541.0</v>
      </c>
      <c r="M68" s="27">
        <v>575.0</v>
      </c>
      <c r="N68" s="28"/>
      <c r="O68" s="28"/>
      <c r="P68" s="29"/>
      <c r="Q68" s="30"/>
      <c r="R68" s="27"/>
      <c r="S68" s="31">
        <v>0.0</v>
      </c>
      <c r="T68" s="31">
        <v>0.0</v>
      </c>
      <c r="U68" s="23"/>
      <c r="V68" s="30"/>
      <c r="W68" s="30"/>
      <c r="X68" s="30" t="s">
        <v>163</v>
      </c>
    </row>
    <row r="69" ht="15.75" hidden="1" customHeight="1">
      <c r="A69" s="23" t="s">
        <v>331</v>
      </c>
      <c r="B69" s="23" t="s">
        <v>7</v>
      </c>
      <c r="C69" s="23" t="s">
        <v>332</v>
      </c>
      <c r="D69" s="23" t="s">
        <v>333</v>
      </c>
      <c r="E69" s="23">
        <v>1132984.0</v>
      </c>
      <c r="F69" s="23">
        <v>85600.0</v>
      </c>
      <c r="G69" s="24" t="s">
        <v>114</v>
      </c>
      <c r="H69" s="23" t="s">
        <v>42</v>
      </c>
      <c r="I69" s="23" t="s">
        <v>32</v>
      </c>
      <c r="J69" s="25" t="s">
        <v>172</v>
      </c>
      <c r="K69" s="23" t="s">
        <v>8</v>
      </c>
      <c r="L69" s="26">
        <v>44762.0</v>
      </c>
      <c r="M69" s="27">
        <v>6000.0</v>
      </c>
      <c r="N69" s="28">
        <v>44756.0</v>
      </c>
      <c r="O69" s="28">
        <v>44757.0</v>
      </c>
      <c r="P69" s="29">
        <v>321.0</v>
      </c>
      <c r="Q69" s="30">
        <v>46134.0</v>
      </c>
      <c r="R69" s="27">
        <v>3451.23</v>
      </c>
      <c r="S69" s="31">
        <v>0.0</v>
      </c>
      <c r="T69" s="31">
        <v>-3451.23</v>
      </c>
      <c r="U69" s="23"/>
      <c r="V69" s="30"/>
      <c r="W69" s="30"/>
      <c r="X69" s="23" t="s">
        <v>173</v>
      </c>
    </row>
    <row r="70" ht="15.75" hidden="1" customHeight="1">
      <c r="A70" s="23" t="s">
        <v>334</v>
      </c>
      <c r="B70" s="23" t="s">
        <v>7</v>
      </c>
      <c r="C70" s="23" t="s">
        <v>335</v>
      </c>
      <c r="D70" s="23" t="s">
        <v>336</v>
      </c>
      <c r="E70" s="23">
        <v>1212835.0</v>
      </c>
      <c r="F70" s="23">
        <v>90300.0</v>
      </c>
      <c r="G70" s="24" t="s">
        <v>114</v>
      </c>
      <c r="H70" s="23" t="s">
        <v>42</v>
      </c>
      <c r="I70" s="23" t="s">
        <v>32</v>
      </c>
      <c r="J70" s="25" t="s">
        <v>172</v>
      </c>
      <c r="K70" s="23" t="s">
        <v>172</v>
      </c>
      <c r="L70" s="26">
        <v>45300.0</v>
      </c>
      <c r="M70" s="27">
        <v>3100.0</v>
      </c>
      <c r="N70" s="28"/>
      <c r="O70" s="28"/>
      <c r="P70" s="29"/>
      <c r="Q70" s="30"/>
      <c r="R70" s="27"/>
      <c r="S70" s="31">
        <v>0.0</v>
      </c>
      <c r="T70" s="31">
        <v>0.0</v>
      </c>
      <c r="U70" s="23"/>
      <c r="V70" s="30"/>
      <c r="W70" s="30"/>
      <c r="X70" s="23" t="s">
        <v>163</v>
      </c>
    </row>
    <row r="71" ht="15.75" hidden="1" customHeight="1">
      <c r="A71" s="23" t="s">
        <v>337</v>
      </c>
      <c r="B71" s="23" t="s">
        <v>7</v>
      </c>
      <c r="C71" s="23" t="s">
        <v>338</v>
      </c>
      <c r="D71" s="23" t="s">
        <v>339</v>
      </c>
      <c r="E71" s="23">
        <v>1189854.0</v>
      </c>
      <c r="F71" s="23">
        <v>88746.0</v>
      </c>
      <c r="G71" s="24" t="s">
        <v>114</v>
      </c>
      <c r="H71" s="23" t="s">
        <v>42</v>
      </c>
      <c r="I71" s="23" t="s">
        <v>32</v>
      </c>
      <c r="J71" s="25" t="s">
        <v>172</v>
      </c>
      <c r="K71" s="23" t="s">
        <v>8</v>
      </c>
      <c r="L71" s="26">
        <v>45145.0</v>
      </c>
      <c r="M71" s="27">
        <v>575.0</v>
      </c>
      <c r="N71" s="28"/>
      <c r="O71" s="28"/>
      <c r="P71" s="29"/>
      <c r="Q71" s="30"/>
      <c r="R71" s="27"/>
      <c r="S71" s="31">
        <v>0.0</v>
      </c>
      <c r="T71" s="31">
        <v>0.0</v>
      </c>
      <c r="U71" s="23"/>
      <c r="V71" s="30"/>
      <c r="W71" s="30"/>
      <c r="X71" s="30" t="s">
        <v>163</v>
      </c>
    </row>
    <row r="72" ht="15.75" hidden="1" customHeight="1">
      <c r="A72" s="23"/>
      <c r="B72" s="23" t="s">
        <v>7</v>
      </c>
      <c r="C72" s="23" t="s">
        <v>340</v>
      </c>
      <c r="D72" s="23" t="s">
        <v>341</v>
      </c>
      <c r="E72" s="23">
        <v>1311249.0</v>
      </c>
      <c r="F72" s="23">
        <v>93283.0</v>
      </c>
      <c r="G72" s="24" t="s">
        <v>114</v>
      </c>
      <c r="H72" s="23" t="s">
        <v>42</v>
      </c>
      <c r="I72" s="23" t="s">
        <v>32</v>
      </c>
      <c r="J72" s="25" t="s">
        <v>172</v>
      </c>
      <c r="K72" s="23" t="s">
        <v>172</v>
      </c>
      <c r="L72" s="26">
        <v>45549.0</v>
      </c>
      <c r="M72" s="27">
        <v>4000.0</v>
      </c>
      <c r="N72" s="28"/>
      <c r="O72" s="28"/>
      <c r="P72" s="29"/>
      <c r="Q72" s="30"/>
      <c r="R72" s="27"/>
      <c r="S72" s="31">
        <v>0.0</v>
      </c>
      <c r="T72" s="31">
        <v>0.0</v>
      </c>
      <c r="U72" s="23"/>
      <c r="V72" s="30"/>
      <c r="W72" s="30"/>
      <c r="X72" s="30" t="s">
        <v>163</v>
      </c>
    </row>
    <row r="73" ht="15.75" customHeight="1">
      <c r="A73" s="23" t="s">
        <v>342</v>
      </c>
      <c r="B73" s="23" t="s">
        <v>7</v>
      </c>
      <c r="C73" s="23" t="s">
        <v>38</v>
      </c>
      <c r="D73" s="23" t="s">
        <v>123</v>
      </c>
      <c r="E73" s="23">
        <v>1187909.0</v>
      </c>
      <c r="F73" s="23">
        <v>88731.0</v>
      </c>
      <c r="G73" s="24" t="s">
        <v>114</v>
      </c>
      <c r="H73" s="23" t="s">
        <v>42</v>
      </c>
      <c r="I73" s="23" t="s">
        <v>32</v>
      </c>
      <c r="J73" s="25" t="s">
        <v>172</v>
      </c>
      <c r="K73" s="23" t="s">
        <v>8</v>
      </c>
      <c r="L73" s="26">
        <v>45120.0</v>
      </c>
      <c r="M73" s="27">
        <v>7875.0</v>
      </c>
      <c r="N73" s="28">
        <v>45120.0</v>
      </c>
      <c r="O73" s="28">
        <v>45121.0</v>
      </c>
      <c r="P73" s="29">
        <v>224.0</v>
      </c>
      <c r="Q73" s="30">
        <v>45845.0</v>
      </c>
      <c r="R73" s="27">
        <v>2628.23</v>
      </c>
      <c r="S73" s="31">
        <v>2628.23</v>
      </c>
      <c r="T73" s="31">
        <v>0.0</v>
      </c>
      <c r="U73" s="32">
        <v>7.0000053E8</v>
      </c>
      <c r="V73" s="30">
        <v>45876.0</v>
      </c>
      <c r="W73" s="30"/>
      <c r="X73" s="23" t="s">
        <v>179</v>
      </c>
    </row>
    <row r="74" ht="15.75" hidden="1" customHeight="1">
      <c r="A74" s="23" t="s">
        <v>168</v>
      </c>
      <c r="B74" s="23" t="s">
        <v>7</v>
      </c>
      <c r="C74" s="23" t="s">
        <v>38</v>
      </c>
      <c r="D74" s="23" t="s">
        <v>123</v>
      </c>
      <c r="E74" s="23">
        <v>1304791.0</v>
      </c>
      <c r="F74" s="23">
        <v>92921.0</v>
      </c>
      <c r="G74" s="24" t="s">
        <v>114</v>
      </c>
      <c r="H74" s="23" t="s">
        <v>42</v>
      </c>
      <c r="I74" s="23" t="s">
        <v>183</v>
      </c>
      <c r="J74" s="25" t="s">
        <v>172</v>
      </c>
      <c r="K74" s="23" t="s">
        <v>8</v>
      </c>
      <c r="L74" s="26">
        <v>45514.0</v>
      </c>
      <c r="M74" s="27">
        <v>4000.0</v>
      </c>
      <c r="N74" s="28">
        <v>45514.0</v>
      </c>
      <c r="O74" s="28">
        <v>45515.0</v>
      </c>
      <c r="P74" s="29">
        <v>327.0</v>
      </c>
      <c r="Q74" s="30">
        <v>46175.0</v>
      </c>
      <c r="R74" s="27">
        <v>2774.69</v>
      </c>
      <c r="S74" s="31">
        <v>0.0</v>
      </c>
      <c r="T74" s="31">
        <v>-2774.69</v>
      </c>
      <c r="U74" s="23"/>
      <c r="V74" s="30"/>
      <c r="W74" s="30"/>
      <c r="X74" s="23" t="s">
        <v>173</v>
      </c>
    </row>
    <row r="75" ht="15.75" hidden="1" customHeight="1">
      <c r="A75" s="23" t="s">
        <v>343</v>
      </c>
      <c r="B75" s="23" t="s">
        <v>7</v>
      </c>
      <c r="C75" s="23" t="s">
        <v>344</v>
      </c>
      <c r="D75" s="23" t="s">
        <v>345</v>
      </c>
      <c r="E75" s="23">
        <v>1243687.0</v>
      </c>
      <c r="F75" s="23">
        <v>92195.0</v>
      </c>
      <c r="G75" s="24" t="s">
        <v>114</v>
      </c>
      <c r="H75" s="23" t="s">
        <v>42</v>
      </c>
      <c r="I75" s="23" t="s">
        <v>49</v>
      </c>
      <c r="J75" s="25" t="s">
        <v>172</v>
      </c>
      <c r="K75" s="23" t="s">
        <v>172</v>
      </c>
      <c r="L75" s="26">
        <v>45471.0</v>
      </c>
      <c r="M75" s="27">
        <v>16700.0</v>
      </c>
      <c r="N75" s="28"/>
      <c r="O75" s="28"/>
      <c r="P75" s="29"/>
      <c r="Q75" s="30"/>
      <c r="R75" s="27"/>
      <c r="S75" s="31">
        <v>0.0</v>
      </c>
      <c r="T75" s="31">
        <v>0.0</v>
      </c>
      <c r="U75" s="23"/>
      <c r="V75" s="30"/>
      <c r="W75" s="30"/>
      <c r="X75" s="23" t="s">
        <v>163</v>
      </c>
    </row>
    <row r="76" ht="15.75" hidden="1" customHeight="1">
      <c r="A76" s="23" t="s">
        <v>346</v>
      </c>
      <c r="B76" s="23" t="s">
        <v>7</v>
      </c>
      <c r="C76" s="23" t="s">
        <v>347</v>
      </c>
      <c r="D76" s="23" t="s">
        <v>348</v>
      </c>
      <c r="E76" s="23">
        <v>1335264.0</v>
      </c>
      <c r="F76" s="23">
        <v>94772.0</v>
      </c>
      <c r="G76" s="24" t="s">
        <v>114</v>
      </c>
      <c r="H76" s="23" t="s">
        <v>177</v>
      </c>
      <c r="I76" s="23" t="s">
        <v>32</v>
      </c>
      <c r="J76" s="25" t="s">
        <v>172</v>
      </c>
      <c r="K76" s="23" t="s">
        <v>162</v>
      </c>
      <c r="L76" s="26">
        <v>45702.0</v>
      </c>
      <c r="M76" s="27">
        <v>575.0</v>
      </c>
      <c r="N76" s="28"/>
      <c r="O76" s="28"/>
      <c r="P76" s="29"/>
      <c r="Q76" s="30"/>
      <c r="R76" s="27"/>
      <c r="S76" s="31">
        <v>0.0</v>
      </c>
      <c r="T76" s="31">
        <v>0.0</v>
      </c>
      <c r="U76" s="23"/>
      <c r="V76" s="30"/>
      <c r="W76" s="30"/>
      <c r="X76" s="30" t="s">
        <v>163</v>
      </c>
    </row>
    <row r="77" ht="15.75" hidden="1" customHeight="1">
      <c r="A77" s="23" t="s">
        <v>349</v>
      </c>
      <c r="B77" s="23" t="s">
        <v>7</v>
      </c>
      <c r="C77" s="23" t="s">
        <v>350</v>
      </c>
      <c r="D77" s="23" t="s">
        <v>351</v>
      </c>
      <c r="E77" s="23">
        <v>1174668.0</v>
      </c>
      <c r="F77" s="23">
        <v>87890.0</v>
      </c>
      <c r="G77" s="24" t="s">
        <v>114</v>
      </c>
      <c r="H77" s="23" t="s">
        <v>352</v>
      </c>
      <c r="I77" s="23" t="s">
        <v>32</v>
      </c>
      <c r="J77" s="25" t="s">
        <v>172</v>
      </c>
      <c r="K77" s="23" t="s">
        <v>162</v>
      </c>
      <c r="L77" s="26">
        <v>45027.0</v>
      </c>
      <c r="M77" s="27">
        <v>575.0</v>
      </c>
      <c r="N77" s="28"/>
      <c r="O77" s="28"/>
      <c r="P77" s="29"/>
      <c r="Q77" s="30"/>
      <c r="R77" s="27"/>
      <c r="S77" s="31">
        <v>0.0</v>
      </c>
      <c r="T77" s="31">
        <v>0.0</v>
      </c>
      <c r="U77" s="23"/>
      <c r="V77" s="30"/>
      <c r="W77" s="30"/>
      <c r="X77" s="30" t="s">
        <v>163</v>
      </c>
    </row>
    <row r="78" ht="15.75" hidden="1" customHeight="1">
      <c r="A78" s="23" t="s">
        <v>353</v>
      </c>
      <c r="B78" s="23" t="s">
        <v>7</v>
      </c>
      <c r="C78" s="23" t="s">
        <v>354</v>
      </c>
      <c r="D78" s="23" t="s">
        <v>355</v>
      </c>
      <c r="E78" s="23">
        <v>1234316.0</v>
      </c>
      <c r="F78" s="23">
        <v>91863.0</v>
      </c>
      <c r="G78" s="24" t="s">
        <v>114</v>
      </c>
      <c r="H78" s="23"/>
      <c r="I78" s="23" t="s">
        <v>49</v>
      </c>
      <c r="J78" s="25" t="s">
        <v>172</v>
      </c>
      <c r="K78" s="23" t="s">
        <v>172</v>
      </c>
      <c r="L78" s="26">
        <v>45440.0</v>
      </c>
      <c r="M78" s="27">
        <v>300.0</v>
      </c>
      <c r="N78" s="28"/>
      <c r="O78" s="28"/>
      <c r="P78" s="29"/>
      <c r="Q78" s="30"/>
      <c r="R78" s="27"/>
      <c r="S78" s="31">
        <v>0.0</v>
      </c>
      <c r="T78" s="31">
        <v>0.0</v>
      </c>
      <c r="U78" s="23"/>
      <c r="V78" s="30"/>
      <c r="W78" s="30"/>
      <c r="X78" s="30" t="s">
        <v>163</v>
      </c>
    </row>
    <row r="79" ht="15.75" hidden="1" customHeight="1">
      <c r="A79" s="23"/>
      <c r="B79" s="23" t="s">
        <v>7</v>
      </c>
      <c r="C79" s="23" t="s">
        <v>356</v>
      </c>
      <c r="D79" s="23" t="s">
        <v>357</v>
      </c>
      <c r="E79" s="23">
        <v>1328013.0</v>
      </c>
      <c r="F79" s="23">
        <v>93969.0</v>
      </c>
      <c r="G79" s="24" t="s">
        <v>114</v>
      </c>
      <c r="H79" s="23" t="s">
        <v>42</v>
      </c>
      <c r="I79" s="23" t="s">
        <v>49</v>
      </c>
      <c r="J79" s="25" t="s">
        <v>172</v>
      </c>
      <c r="K79" s="23" t="s">
        <v>172</v>
      </c>
      <c r="L79" s="26">
        <v>45652.0</v>
      </c>
      <c r="M79" s="27">
        <v>15045.0</v>
      </c>
      <c r="N79" s="28"/>
      <c r="O79" s="28"/>
      <c r="P79" s="29"/>
      <c r="Q79" s="33"/>
      <c r="R79" s="27"/>
      <c r="S79" s="31">
        <v>0.0</v>
      </c>
      <c r="T79" s="31">
        <v>0.0</v>
      </c>
      <c r="U79" s="31"/>
      <c r="V79" s="30"/>
      <c r="W79" s="30"/>
      <c r="X79" s="23" t="s">
        <v>163</v>
      </c>
    </row>
    <row r="80" ht="15.75" customHeight="1">
      <c r="A80" s="23" t="s">
        <v>358</v>
      </c>
      <c r="B80" s="23" t="s">
        <v>7</v>
      </c>
      <c r="C80" s="23" t="s">
        <v>60</v>
      </c>
      <c r="D80" s="23" t="s">
        <v>359</v>
      </c>
      <c r="E80" s="23">
        <v>1334935.0</v>
      </c>
      <c r="F80" s="23">
        <v>94758.0</v>
      </c>
      <c r="G80" s="24" t="s">
        <v>114</v>
      </c>
      <c r="H80" s="23" t="s">
        <v>42</v>
      </c>
      <c r="I80" s="23" t="s">
        <v>32</v>
      </c>
      <c r="J80" s="25" t="s">
        <v>172</v>
      </c>
      <c r="K80" s="23" t="s">
        <v>8</v>
      </c>
      <c r="L80" s="26">
        <v>45695.0</v>
      </c>
      <c r="M80" s="27">
        <v>39440.45</v>
      </c>
      <c r="N80" s="28">
        <v>45696.0</v>
      </c>
      <c r="O80" s="28">
        <v>45760.0</v>
      </c>
      <c r="P80" s="29">
        <v>319.0</v>
      </c>
      <c r="Q80" s="33">
        <v>46100.0</v>
      </c>
      <c r="R80" s="27">
        <v>39440.45</v>
      </c>
      <c r="S80" s="31">
        <v>39440.45</v>
      </c>
      <c r="T80" s="31">
        <v>0.0</v>
      </c>
      <c r="U80" s="32">
        <v>7.00008136E8</v>
      </c>
      <c r="V80" s="30">
        <v>46166.0</v>
      </c>
      <c r="W80" s="30">
        <v>46177.0</v>
      </c>
      <c r="X80" s="23" t="s">
        <v>179</v>
      </c>
    </row>
    <row r="81" ht="15.75" hidden="1" customHeight="1">
      <c r="A81" s="23"/>
      <c r="B81" s="23" t="s">
        <v>7</v>
      </c>
      <c r="C81" s="23" t="s">
        <v>360</v>
      </c>
      <c r="D81" s="23" t="s">
        <v>361</v>
      </c>
      <c r="E81" s="23">
        <v>1335358.0</v>
      </c>
      <c r="F81" s="23">
        <v>94778.0</v>
      </c>
      <c r="G81" s="24" t="s">
        <v>114</v>
      </c>
      <c r="H81" s="23" t="s">
        <v>177</v>
      </c>
      <c r="I81" s="23" t="s">
        <v>32</v>
      </c>
      <c r="J81" s="25" t="s">
        <v>172</v>
      </c>
      <c r="K81" s="23" t="s">
        <v>172</v>
      </c>
      <c r="L81" s="26">
        <v>45702.0</v>
      </c>
      <c r="M81" s="27">
        <v>575.0</v>
      </c>
      <c r="N81" s="28"/>
      <c r="O81" s="28"/>
      <c r="P81" s="29"/>
      <c r="Q81" s="30"/>
      <c r="R81" s="27"/>
      <c r="S81" s="31">
        <v>0.0</v>
      </c>
      <c r="T81" s="31">
        <v>0.0</v>
      </c>
      <c r="U81" s="23"/>
      <c r="V81" s="30"/>
      <c r="W81" s="30"/>
      <c r="X81" s="23" t="s">
        <v>163</v>
      </c>
    </row>
    <row r="82" ht="15.75" hidden="1" customHeight="1">
      <c r="A82" s="23" t="s">
        <v>362</v>
      </c>
      <c r="B82" s="23" t="s">
        <v>7</v>
      </c>
      <c r="C82" s="23" t="s">
        <v>363</v>
      </c>
      <c r="D82" s="23" t="s">
        <v>364</v>
      </c>
      <c r="E82" s="23">
        <v>1318133.0</v>
      </c>
      <c r="F82" s="23">
        <v>93742.0</v>
      </c>
      <c r="G82" s="24" t="s">
        <v>114</v>
      </c>
      <c r="H82" s="23" t="s">
        <v>177</v>
      </c>
      <c r="I82" s="23" t="s">
        <v>32</v>
      </c>
      <c r="J82" s="25" t="s">
        <v>172</v>
      </c>
      <c r="K82" s="23" t="s">
        <v>162</v>
      </c>
      <c r="L82" s="26">
        <v>45590.0</v>
      </c>
      <c r="M82" s="27">
        <v>575.0</v>
      </c>
      <c r="N82" s="28"/>
      <c r="O82" s="28"/>
      <c r="P82" s="29"/>
      <c r="Q82" s="30"/>
      <c r="R82" s="27"/>
      <c r="S82" s="31">
        <v>0.0</v>
      </c>
      <c r="T82" s="31">
        <v>0.0</v>
      </c>
      <c r="U82" s="23"/>
      <c r="V82" s="30"/>
      <c r="W82" s="30"/>
      <c r="X82" s="23" t="s">
        <v>163</v>
      </c>
    </row>
    <row r="83" ht="15.75" hidden="1" customHeight="1">
      <c r="A83" s="23" t="s">
        <v>365</v>
      </c>
      <c r="B83" s="23" t="s">
        <v>7</v>
      </c>
      <c r="C83" s="23" t="s">
        <v>366</v>
      </c>
      <c r="D83" s="23" t="s">
        <v>367</v>
      </c>
      <c r="E83" s="23">
        <v>1243686.0</v>
      </c>
      <c r="F83" s="23">
        <v>92199.0</v>
      </c>
      <c r="G83" s="24" t="s">
        <v>114</v>
      </c>
      <c r="H83" s="23"/>
      <c r="I83" s="23" t="s">
        <v>49</v>
      </c>
      <c r="J83" s="25" t="s">
        <v>172</v>
      </c>
      <c r="K83" s="23" t="s">
        <v>172</v>
      </c>
      <c r="L83" s="26">
        <v>45471.0</v>
      </c>
      <c r="M83" s="27">
        <v>16700.0</v>
      </c>
      <c r="N83" s="28"/>
      <c r="O83" s="28"/>
      <c r="P83" s="29"/>
      <c r="Q83" s="30"/>
      <c r="R83" s="27"/>
      <c r="S83" s="31">
        <v>0.0</v>
      </c>
      <c r="T83" s="31">
        <v>0.0</v>
      </c>
      <c r="U83" s="23"/>
      <c r="V83" s="30"/>
      <c r="W83" s="30"/>
      <c r="X83" s="23" t="s">
        <v>163</v>
      </c>
    </row>
    <row r="84" ht="15.75" hidden="1" customHeight="1">
      <c r="A84" s="23"/>
      <c r="B84" s="23" t="s">
        <v>7</v>
      </c>
      <c r="C84" s="23" t="s">
        <v>368</v>
      </c>
      <c r="D84" s="23" t="s">
        <v>369</v>
      </c>
      <c r="E84" s="23">
        <v>1335270.0</v>
      </c>
      <c r="F84" s="23">
        <v>94786.0</v>
      </c>
      <c r="G84" s="24" t="s">
        <v>114</v>
      </c>
      <c r="H84" s="23" t="s">
        <v>177</v>
      </c>
      <c r="I84" s="23" t="s">
        <v>32</v>
      </c>
      <c r="J84" s="25" t="s">
        <v>172</v>
      </c>
      <c r="K84" s="23" t="s">
        <v>172</v>
      </c>
      <c r="L84" s="26">
        <v>45707.0</v>
      </c>
      <c r="M84" s="27">
        <v>575.0</v>
      </c>
      <c r="N84" s="28"/>
      <c r="O84" s="28"/>
      <c r="P84" s="29"/>
      <c r="Q84" s="30"/>
      <c r="R84" s="27"/>
      <c r="S84" s="31">
        <v>0.0</v>
      </c>
      <c r="T84" s="31">
        <v>0.0</v>
      </c>
      <c r="U84" s="23"/>
      <c r="V84" s="30"/>
      <c r="W84" s="30"/>
      <c r="X84" s="23" t="s">
        <v>163</v>
      </c>
    </row>
    <row r="85" ht="15.75" hidden="1" customHeight="1">
      <c r="A85" s="23" t="s">
        <v>370</v>
      </c>
      <c r="B85" s="23" t="s">
        <v>7</v>
      </c>
      <c r="C85" s="23" t="s">
        <v>371</v>
      </c>
      <c r="D85" s="23" t="s">
        <v>372</v>
      </c>
      <c r="E85" s="23">
        <v>1180607.0</v>
      </c>
      <c r="F85" s="23">
        <v>88248.0</v>
      </c>
      <c r="G85" s="24" t="s">
        <v>114</v>
      </c>
      <c r="H85" s="23" t="s">
        <v>177</v>
      </c>
      <c r="I85" s="23" t="s">
        <v>32</v>
      </c>
      <c r="J85" s="25" t="s">
        <v>172</v>
      </c>
      <c r="K85" s="23" t="s">
        <v>8</v>
      </c>
      <c r="L85" s="26">
        <v>45070.0</v>
      </c>
      <c r="M85" s="27">
        <v>575.0</v>
      </c>
      <c r="N85" s="28">
        <v>46176.0</v>
      </c>
      <c r="O85" s="28">
        <v>46176.0</v>
      </c>
      <c r="P85" s="29">
        <v>328.0</v>
      </c>
      <c r="Q85" s="30">
        <v>46176.0</v>
      </c>
      <c r="R85" s="27">
        <v>575.0</v>
      </c>
      <c r="S85" s="31">
        <v>0.0</v>
      </c>
      <c r="T85" s="31">
        <v>-575.0</v>
      </c>
      <c r="U85" s="23"/>
      <c r="V85" s="30"/>
      <c r="W85" s="30"/>
      <c r="X85" s="30" t="s">
        <v>173</v>
      </c>
    </row>
    <row r="86" ht="15.75" hidden="1" customHeight="1">
      <c r="A86" s="23"/>
      <c r="B86" s="23" t="s">
        <v>10</v>
      </c>
      <c r="C86" s="23" t="s">
        <v>373</v>
      </c>
      <c r="D86" s="23" t="s">
        <v>374</v>
      </c>
      <c r="E86" s="23">
        <v>1397879.0</v>
      </c>
      <c r="F86" s="23">
        <v>99056.0</v>
      </c>
      <c r="G86" s="24" t="s">
        <v>114</v>
      </c>
      <c r="H86" s="23" t="s">
        <v>193</v>
      </c>
      <c r="I86" s="23" t="s">
        <v>32</v>
      </c>
      <c r="J86" s="25" t="s">
        <v>172</v>
      </c>
      <c r="K86" s="23" t="s">
        <v>375</v>
      </c>
      <c r="L86" s="26">
        <v>46108.0</v>
      </c>
      <c r="M86" s="27">
        <v>750.0</v>
      </c>
      <c r="N86" s="28"/>
      <c r="O86" s="28"/>
      <c r="P86" s="29"/>
      <c r="Q86" s="30"/>
      <c r="R86" s="27"/>
      <c r="S86" s="31">
        <v>0.0</v>
      </c>
      <c r="T86" s="31">
        <v>0.0</v>
      </c>
      <c r="U86" s="23"/>
      <c r="V86" s="30"/>
      <c r="W86" s="30"/>
      <c r="X86" s="23" t="s">
        <v>163</v>
      </c>
    </row>
    <row r="87" ht="15.75" hidden="1" customHeight="1">
      <c r="A87" s="23"/>
      <c r="B87" s="23" t="s">
        <v>10</v>
      </c>
      <c r="C87" s="23" t="s">
        <v>376</v>
      </c>
      <c r="D87" s="23" t="s">
        <v>377</v>
      </c>
      <c r="E87" s="23">
        <v>1396615.0</v>
      </c>
      <c r="F87" s="23">
        <v>98657.0</v>
      </c>
      <c r="G87" s="24" t="s">
        <v>114</v>
      </c>
      <c r="H87" s="23" t="s">
        <v>193</v>
      </c>
      <c r="I87" s="23" t="s">
        <v>49</v>
      </c>
      <c r="J87" s="25" t="s">
        <v>172</v>
      </c>
      <c r="K87" s="23" t="s">
        <v>375</v>
      </c>
      <c r="L87" s="26">
        <v>46098.0</v>
      </c>
      <c r="M87" s="27">
        <v>10625.0</v>
      </c>
      <c r="N87" s="28"/>
      <c r="O87" s="28"/>
      <c r="P87" s="29"/>
      <c r="Q87" s="30"/>
      <c r="R87" s="27"/>
      <c r="S87" s="31">
        <v>0.0</v>
      </c>
      <c r="T87" s="31">
        <v>0.0</v>
      </c>
      <c r="U87" s="23"/>
      <c r="V87" s="30"/>
      <c r="W87" s="30"/>
      <c r="X87" s="23" t="s">
        <v>163</v>
      </c>
    </row>
    <row r="88" ht="15.75" hidden="1" customHeight="1">
      <c r="A88" s="23"/>
      <c r="B88" s="23" t="s">
        <v>10</v>
      </c>
      <c r="C88" s="23" t="s">
        <v>378</v>
      </c>
      <c r="D88" s="23" t="s">
        <v>379</v>
      </c>
      <c r="E88" s="23">
        <v>1374797.0</v>
      </c>
      <c r="F88" s="23">
        <v>89478.0</v>
      </c>
      <c r="G88" s="24" t="s">
        <v>114</v>
      </c>
      <c r="H88" s="23" t="s">
        <v>193</v>
      </c>
      <c r="I88" s="23" t="s">
        <v>49</v>
      </c>
      <c r="J88" s="25" t="s">
        <v>172</v>
      </c>
      <c r="K88" s="23" t="s">
        <v>375</v>
      </c>
      <c r="L88" s="26">
        <v>45958.0</v>
      </c>
      <c r="M88" s="27">
        <v>14000.0</v>
      </c>
      <c r="N88" s="28"/>
      <c r="O88" s="28"/>
      <c r="P88" s="29"/>
      <c r="Q88" s="30"/>
      <c r="R88" s="27"/>
      <c r="S88" s="31">
        <v>0.0</v>
      </c>
      <c r="T88" s="31">
        <v>0.0</v>
      </c>
      <c r="U88" s="23"/>
      <c r="V88" s="30"/>
      <c r="W88" s="30"/>
      <c r="X88" s="23" t="s">
        <v>163</v>
      </c>
    </row>
    <row r="89" ht="15.75" hidden="1" customHeight="1">
      <c r="A89" s="23"/>
      <c r="B89" s="23" t="s">
        <v>10</v>
      </c>
      <c r="C89" s="23" t="s">
        <v>380</v>
      </c>
      <c r="D89" s="23" t="s">
        <v>381</v>
      </c>
      <c r="E89" s="23">
        <v>1389071.0</v>
      </c>
      <c r="F89" s="23">
        <v>98256.0</v>
      </c>
      <c r="G89" s="24" t="s">
        <v>114</v>
      </c>
      <c r="H89" s="23" t="s">
        <v>193</v>
      </c>
      <c r="I89" s="23" t="s">
        <v>32</v>
      </c>
      <c r="J89" s="25" t="s">
        <v>172</v>
      </c>
      <c r="K89" s="23" t="s">
        <v>162</v>
      </c>
      <c r="L89" s="26">
        <v>46050.0</v>
      </c>
      <c r="M89" s="27">
        <v>750.0</v>
      </c>
      <c r="N89" s="28"/>
      <c r="O89" s="28"/>
      <c r="P89" s="29"/>
      <c r="Q89" s="30"/>
      <c r="R89" s="27"/>
      <c r="S89" s="31">
        <v>0.0</v>
      </c>
      <c r="T89" s="31">
        <v>0.0</v>
      </c>
      <c r="U89" s="23"/>
      <c r="V89" s="30"/>
      <c r="W89" s="30"/>
      <c r="X89" s="23" t="s">
        <v>163</v>
      </c>
    </row>
    <row r="90" ht="15.75" hidden="1" customHeight="1">
      <c r="A90" s="23"/>
      <c r="B90" s="23" t="s">
        <v>10</v>
      </c>
      <c r="C90" s="23" t="s">
        <v>382</v>
      </c>
      <c r="D90" s="23" t="s">
        <v>383</v>
      </c>
      <c r="E90" s="23">
        <v>966244.0</v>
      </c>
      <c r="F90" s="23">
        <v>67252.0</v>
      </c>
      <c r="G90" s="24" t="s">
        <v>114</v>
      </c>
      <c r="H90" s="23" t="s">
        <v>189</v>
      </c>
      <c r="I90" s="23" t="s">
        <v>49</v>
      </c>
      <c r="J90" s="25" t="s">
        <v>172</v>
      </c>
      <c r="K90" s="23" t="s">
        <v>162</v>
      </c>
      <c r="L90" s="26">
        <v>43556.0</v>
      </c>
      <c r="M90" s="27">
        <v>400.0</v>
      </c>
      <c r="N90" s="28"/>
      <c r="O90" s="28"/>
      <c r="P90" s="29"/>
      <c r="Q90" s="30"/>
      <c r="R90" s="27"/>
      <c r="S90" s="31">
        <v>0.0</v>
      </c>
      <c r="T90" s="31">
        <v>0.0</v>
      </c>
      <c r="U90" s="23"/>
      <c r="V90" s="30"/>
      <c r="W90" s="30"/>
      <c r="X90" s="23" t="s">
        <v>163</v>
      </c>
    </row>
    <row r="91" ht="15.75" hidden="1" customHeight="1">
      <c r="A91" s="23"/>
      <c r="B91" s="23" t="s">
        <v>10</v>
      </c>
      <c r="C91" s="23" t="s">
        <v>384</v>
      </c>
      <c r="D91" s="23" t="s">
        <v>385</v>
      </c>
      <c r="E91" s="23">
        <v>1384012.0</v>
      </c>
      <c r="F91" s="23">
        <v>98005.0</v>
      </c>
      <c r="G91" s="24" t="s">
        <v>114</v>
      </c>
      <c r="H91" s="23" t="s">
        <v>42</v>
      </c>
      <c r="I91" s="23" t="s">
        <v>49</v>
      </c>
      <c r="J91" s="25" t="s">
        <v>172</v>
      </c>
      <c r="K91" s="23" t="s">
        <v>172</v>
      </c>
      <c r="L91" s="26">
        <v>46014.0</v>
      </c>
      <c r="M91" s="27">
        <v>16750.0</v>
      </c>
      <c r="N91" s="28"/>
      <c r="O91" s="28"/>
      <c r="P91" s="29"/>
      <c r="Q91" s="30"/>
      <c r="R91" s="27"/>
      <c r="S91" s="31">
        <v>0.0</v>
      </c>
      <c r="T91" s="31">
        <v>0.0</v>
      </c>
      <c r="U91" s="23"/>
      <c r="V91" s="30"/>
      <c r="W91" s="30"/>
      <c r="X91" s="23" t="s">
        <v>163</v>
      </c>
    </row>
    <row r="92" ht="15.75" hidden="1" customHeight="1">
      <c r="A92" s="23"/>
      <c r="B92" s="23" t="s">
        <v>10</v>
      </c>
      <c r="C92" s="23" t="s">
        <v>386</v>
      </c>
      <c r="D92" s="23" t="s">
        <v>387</v>
      </c>
      <c r="E92" s="23">
        <v>982504.0</v>
      </c>
      <c r="F92" s="23">
        <v>73112.0</v>
      </c>
      <c r="G92" s="24" t="s">
        <v>114</v>
      </c>
      <c r="H92" s="23" t="s">
        <v>189</v>
      </c>
      <c r="I92" s="23" t="s">
        <v>49</v>
      </c>
      <c r="J92" s="25" t="s">
        <v>172</v>
      </c>
      <c r="K92" s="23" t="s">
        <v>375</v>
      </c>
      <c r="L92" s="26">
        <v>43682.0</v>
      </c>
      <c r="M92" s="27">
        <v>1500.0</v>
      </c>
      <c r="N92" s="28"/>
      <c r="O92" s="28"/>
      <c r="P92" s="29"/>
      <c r="Q92" s="30"/>
      <c r="R92" s="27"/>
      <c r="S92" s="31">
        <v>0.0</v>
      </c>
      <c r="T92" s="31">
        <v>0.0</v>
      </c>
      <c r="U92" s="23"/>
      <c r="V92" s="30"/>
      <c r="W92" s="30"/>
      <c r="X92" s="23" t="s">
        <v>163</v>
      </c>
    </row>
    <row r="93" ht="15.75" hidden="1" customHeight="1">
      <c r="A93" s="23"/>
      <c r="B93" s="23" t="s">
        <v>10</v>
      </c>
      <c r="C93" s="23" t="s">
        <v>388</v>
      </c>
      <c r="D93" s="23" t="s">
        <v>389</v>
      </c>
      <c r="E93" s="23">
        <v>1393069.0</v>
      </c>
      <c r="F93" s="23">
        <v>98692.0</v>
      </c>
      <c r="G93" s="24" t="s">
        <v>114</v>
      </c>
      <c r="H93" s="23"/>
      <c r="I93" s="23" t="s">
        <v>49</v>
      </c>
      <c r="J93" s="25" t="s">
        <v>172</v>
      </c>
      <c r="K93" s="23" t="s">
        <v>172</v>
      </c>
      <c r="L93" s="26">
        <v>46077.0</v>
      </c>
      <c r="M93" s="27">
        <v>20000.0</v>
      </c>
      <c r="N93" s="28"/>
      <c r="O93" s="28"/>
      <c r="P93" s="29"/>
      <c r="Q93" s="30"/>
      <c r="R93" s="27"/>
      <c r="S93" s="31">
        <v>0.0</v>
      </c>
      <c r="T93" s="31">
        <v>0.0</v>
      </c>
      <c r="U93" s="23"/>
      <c r="V93" s="30"/>
      <c r="W93" s="30"/>
      <c r="X93" s="23" t="s">
        <v>163</v>
      </c>
    </row>
    <row r="94" ht="15.75" hidden="1" customHeight="1">
      <c r="A94" s="23"/>
      <c r="B94" s="23" t="s">
        <v>10</v>
      </c>
      <c r="C94" s="23" t="s">
        <v>390</v>
      </c>
      <c r="D94" s="23" t="s">
        <v>391</v>
      </c>
      <c r="E94" s="23">
        <v>1361937.0</v>
      </c>
      <c r="F94" s="23">
        <v>96671.0</v>
      </c>
      <c r="G94" s="24" t="s">
        <v>114</v>
      </c>
      <c r="H94" s="23" t="s">
        <v>42</v>
      </c>
      <c r="I94" s="23" t="s">
        <v>49</v>
      </c>
      <c r="J94" s="25" t="s">
        <v>172</v>
      </c>
      <c r="K94" s="23" t="s">
        <v>172</v>
      </c>
      <c r="L94" s="26">
        <v>45884.0</v>
      </c>
      <c r="M94" s="27">
        <v>12175.0</v>
      </c>
      <c r="N94" s="28"/>
      <c r="O94" s="28"/>
      <c r="P94" s="29"/>
      <c r="Q94" s="30"/>
      <c r="R94" s="27"/>
      <c r="S94" s="31">
        <v>0.0</v>
      </c>
      <c r="T94" s="31">
        <v>0.0</v>
      </c>
      <c r="U94" s="23"/>
      <c r="V94" s="30"/>
      <c r="W94" s="30"/>
      <c r="X94" s="23" t="s">
        <v>163</v>
      </c>
    </row>
    <row r="95" ht="15.75" hidden="1" customHeight="1">
      <c r="A95" s="23"/>
      <c r="B95" s="23" t="s">
        <v>10</v>
      </c>
      <c r="C95" s="23" t="s">
        <v>392</v>
      </c>
      <c r="D95" s="23" t="s">
        <v>393</v>
      </c>
      <c r="E95" s="23">
        <v>1378091.0</v>
      </c>
      <c r="F95" s="23">
        <v>97786.0</v>
      </c>
      <c r="G95" s="24" t="s">
        <v>114</v>
      </c>
      <c r="H95" s="23" t="s">
        <v>50</v>
      </c>
      <c r="I95" s="23" t="s">
        <v>32</v>
      </c>
      <c r="J95" s="25" t="s">
        <v>161</v>
      </c>
      <c r="K95" s="23" t="s">
        <v>394</v>
      </c>
      <c r="L95" s="26">
        <v>45993.0</v>
      </c>
      <c r="M95" s="27">
        <v>750.0</v>
      </c>
      <c r="N95" s="28"/>
      <c r="O95" s="28"/>
      <c r="P95" s="29"/>
      <c r="Q95" s="30"/>
      <c r="R95" s="27"/>
      <c r="S95" s="31">
        <v>0.0</v>
      </c>
      <c r="T95" s="31">
        <v>0.0</v>
      </c>
      <c r="U95" s="23"/>
      <c r="V95" s="30"/>
      <c r="W95" s="30"/>
      <c r="X95" s="23" t="s">
        <v>163</v>
      </c>
    </row>
    <row r="96" ht="15.75" hidden="1" customHeight="1">
      <c r="A96" s="23"/>
      <c r="B96" s="23" t="s">
        <v>10</v>
      </c>
      <c r="C96" s="23" t="s">
        <v>184</v>
      </c>
      <c r="D96" s="23" t="s">
        <v>185</v>
      </c>
      <c r="E96" s="23">
        <v>975973.0</v>
      </c>
      <c r="F96" s="23">
        <v>72589.0</v>
      </c>
      <c r="G96" s="24" t="s">
        <v>114</v>
      </c>
      <c r="H96" s="23" t="s">
        <v>395</v>
      </c>
      <c r="I96" s="23" t="s">
        <v>396</v>
      </c>
      <c r="J96" s="25" t="s">
        <v>172</v>
      </c>
      <c r="K96" s="23" t="s">
        <v>375</v>
      </c>
      <c r="L96" s="26">
        <v>43629.0</v>
      </c>
      <c r="M96" s="27">
        <v>3800.0</v>
      </c>
      <c r="N96" s="28"/>
      <c r="O96" s="28"/>
      <c r="P96" s="29"/>
      <c r="Q96" s="30"/>
      <c r="R96" s="27"/>
      <c r="S96" s="31">
        <v>0.0</v>
      </c>
      <c r="T96" s="31">
        <v>0.0</v>
      </c>
      <c r="U96" s="23"/>
      <c r="V96" s="30"/>
      <c r="W96" s="30"/>
      <c r="X96" s="23" t="s">
        <v>163</v>
      </c>
    </row>
    <row r="97" ht="15.75" hidden="1" customHeight="1">
      <c r="A97" s="23"/>
      <c r="B97" s="23" t="s">
        <v>10</v>
      </c>
      <c r="C97" s="23" t="s">
        <v>397</v>
      </c>
      <c r="D97" s="23" t="s">
        <v>398</v>
      </c>
      <c r="E97" s="23">
        <v>1196914.0</v>
      </c>
      <c r="F97" s="23">
        <v>89231.0</v>
      </c>
      <c r="G97" s="24" t="s">
        <v>114</v>
      </c>
      <c r="H97" s="23" t="s">
        <v>167</v>
      </c>
      <c r="I97" s="23" t="s">
        <v>32</v>
      </c>
      <c r="J97" s="25" t="s">
        <v>172</v>
      </c>
      <c r="K97" s="23" t="s">
        <v>162</v>
      </c>
      <c r="L97" s="26">
        <v>45195.0</v>
      </c>
      <c r="M97" s="27">
        <v>575.0</v>
      </c>
      <c r="N97" s="28"/>
      <c r="O97" s="28"/>
      <c r="P97" s="29"/>
      <c r="Q97" s="30"/>
      <c r="R97" s="27"/>
      <c r="S97" s="31">
        <v>0.0</v>
      </c>
      <c r="T97" s="31">
        <v>0.0</v>
      </c>
      <c r="U97" s="23"/>
      <c r="V97" s="30"/>
      <c r="W97" s="30"/>
      <c r="X97" s="23" t="s">
        <v>163</v>
      </c>
    </row>
    <row r="98" ht="15.75" hidden="1" customHeight="1">
      <c r="A98" s="23" t="s">
        <v>399</v>
      </c>
      <c r="B98" s="23" t="s">
        <v>10</v>
      </c>
      <c r="C98" s="23" t="s">
        <v>400</v>
      </c>
      <c r="D98" s="23" t="s">
        <v>401</v>
      </c>
      <c r="E98" s="23">
        <v>1368511.0</v>
      </c>
      <c r="F98" s="23">
        <v>88538.0</v>
      </c>
      <c r="G98" s="24" t="s">
        <v>114</v>
      </c>
      <c r="H98" s="23" t="s">
        <v>42</v>
      </c>
      <c r="I98" s="23" t="s">
        <v>49</v>
      </c>
      <c r="J98" s="25" t="s">
        <v>172</v>
      </c>
      <c r="K98" s="23" t="s">
        <v>8</v>
      </c>
      <c r="L98" s="26">
        <v>45786.0</v>
      </c>
      <c r="M98" s="27">
        <v>4500.0</v>
      </c>
      <c r="N98" s="28">
        <v>45786.0</v>
      </c>
      <c r="O98" s="28">
        <v>45787.0</v>
      </c>
      <c r="P98" s="29">
        <v>3.0</v>
      </c>
      <c r="Q98" s="30">
        <v>46170.0</v>
      </c>
      <c r="R98" s="27">
        <v>2422.5</v>
      </c>
      <c r="S98" s="31">
        <v>0.0</v>
      </c>
      <c r="T98" s="31">
        <v>-2422.5</v>
      </c>
      <c r="U98" s="23"/>
      <c r="V98" s="30"/>
      <c r="W98" s="30"/>
      <c r="X98" s="23" t="s">
        <v>173</v>
      </c>
    </row>
    <row r="99" ht="15.75" hidden="1" customHeight="1">
      <c r="A99" s="23"/>
      <c r="B99" s="23" t="s">
        <v>10</v>
      </c>
      <c r="C99" s="23" t="s">
        <v>402</v>
      </c>
      <c r="D99" s="23" t="s">
        <v>403</v>
      </c>
      <c r="E99" s="23">
        <v>1400527.0</v>
      </c>
      <c r="F99" s="23">
        <v>99254.0</v>
      </c>
      <c r="G99" s="24" t="s">
        <v>114</v>
      </c>
      <c r="H99" s="23" t="s">
        <v>193</v>
      </c>
      <c r="I99" s="23" t="s">
        <v>49</v>
      </c>
      <c r="J99" s="25" t="s">
        <v>172</v>
      </c>
      <c r="K99" s="23" t="s">
        <v>375</v>
      </c>
      <c r="L99" s="26">
        <v>46126.0</v>
      </c>
      <c r="M99" s="27">
        <v>70000.0</v>
      </c>
      <c r="N99" s="28"/>
      <c r="O99" s="28"/>
      <c r="P99" s="29"/>
      <c r="Q99" s="30"/>
      <c r="R99" s="27"/>
      <c r="S99" s="31">
        <v>0.0</v>
      </c>
      <c r="T99" s="31">
        <v>0.0</v>
      </c>
      <c r="U99" s="23"/>
      <c r="V99" s="30"/>
      <c r="W99" s="30"/>
      <c r="X99" s="23" t="s">
        <v>163</v>
      </c>
    </row>
    <row r="100" ht="15.75" hidden="1" customHeight="1">
      <c r="A100" s="23"/>
      <c r="B100" s="23" t="s">
        <v>10</v>
      </c>
      <c r="C100" s="23" t="s">
        <v>404</v>
      </c>
      <c r="D100" s="23" t="s">
        <v>405</v>
      </c>
      <c r="E100" s="23">
        <v>1320374.0</v>
      </c>
      <c r="F100" s="23">
        <v>93864.0</v>
      </c>
      <c r="G100" s="24" t="s">
        <v>114</v>
      </c>
      <c r="H100" s="23" t="s">
        <v>42</v>
      </c>
      <c r="I100" s="23" t="s">
        <v>49</v>
      </c>
      <c r="J100" s="25" t="s">
        <v>172</v>
      </c>
      <c r="K100" s="23" t="s">
        <v>162</v>
      </c>
      <c r="L100" s="26">
        <v>45604.0</v>
      </c>
      <c r="M100" s="27">
        <v>22700.0</v>
      </c>
      <c r="N100" s="28"/>
      <c r="O100" s="28"/>
      <c r="P100" s="29"/>
      <c r="Q100" s="30"/>
      <c r="R100" s="27"/>
      <c r="S100" s="31">
        <v>0.0</v>
      </c>
      <c r="T100" s="31">
        <v>0.0</v>
      </c>
      <c r="U100" s="23"/>
      <c r="V100" s="30"/>
      <c r="W100" s="30"/>
      <c r="X100" s="23" t="s">
        <v>163</v>
      </c>
    </row>
    <row r="101" ht="15.75" hidden="1" customHeight="1">
      <c r="A101" s="23"/>
      <c r="B101" s="23" t="s">
        <v>10</v>
      </c>
      <c r="C101" s="23" t="s">
        <v>406</v>
      </c>
      <c r="D101" s="23" t="s">
        <v>407</v>
      </c>
      <c r="E101" s="23">
        <v>1380095.0</v>
      </c>
      <c r="F101" s="23">
        <v>97804.0</v>
      </c>
      <c r="G101" s="24" t="s">
        <v>114</v>
      </c>
      <c r="H101" s="23" t="s">
        <v>167</v>
      </c>
      <c r="I101" s="23" t="s">
        <v>49</v>
      </c>
      <c r="J101" s="25" t="s">
        <v>172</v>
      </c>
      <c r="K101" s="23" t="s">
        <v>172</v>
      </c>
      <c r="L101" s="26">
        <v>45981.0</v>
      </c>
      <c r="M101" s="27">
        <v>22000.0</v>
      </c>
      <c r="N101" s="28"/>
      <c r="O101" s="28"/>
      <c r="P101" s="29"/>
      <c r="Q101" s="30"/>
      <c r="R101" s="27"/>
      <c r="S101" s="31">
        <v>0.0</v>
      </c>
      <c r="T101" s="31">
        <v>0.0</v>
      </c>
      <c r="U101" s="23"/>
      <c r="V101" s="30"/>
      <c r="W101" s="30"/>
      <c r="X101" s="23" t="s">
        <v>163</v>
      </c>
    </row>
    <row r="102" ht="15.75" hidden="1" customHeight="1">
      <c r="A102" s="23"/>
      <c r="B102" s="23" t="s">
        <v>10</v>
      </c>
      <c r="C102" s="23" t="s">
        <v>408</v>
      </c>
      <c r="D102" s="23" t="s">
        <v>409</v>
      </c>
      <c r="E102" s="23">
        <v>1397857.0</v>
      </c>
      <c r="F102" s="23">
        <v>98656.0</v>
      </c>
      <c r="G102" s="24" t="s">
        <v>114</v>
      </c>
      <c r="H102" s="23" t="s">
        <v>193</v>
      </c>
      <c r="I102" s="23" t="s">
        <v>49</v>
      </c>
      <c r="J102" s="25" t="s">
        <v>172</v>
      </c>
      <c r="K102" s="23" t="s">
        <v>375</v>
      </c>
      <c r="L102" s="26">
        <v>46104.0</v>
      </c>
      <c r="M102" s="27">
        <v>10125.0</v>
      </c>
      <c r="N102" s="28"/>
      <c r="O102" s="28"/>
      <c r="P102" s="29"/>
      <c r="Q102" s="30"/>
      <c r="R102" s="27"/>
      <c r="S102" s="31">
        <v>0.0</v>
      </c>
      <c r="T102" s="31">
        <v>0.0</v>
      </c>
      <c r="U102" s="23"/>
      <c r="V102" s="30"/>
      <c r="W102" s="30"/>
      <c r="X102" s="23" t="s">
        <v>163</v>
      </c>
    </row>
    <row r="103" ht="15.75" hidden="1" customHeight="1">
      <c r="A103" s="23"/>
      <c r="B103" s="23" t="s">
        <v>10</v>
      </c>
      <c r="C103" s="23" t="s">
        <v>410</v>
      </c>
      <c r="D103" s="23" t="s">
        <v>411</v>
      </c>
      <c r="E103" s="34">
        <v>1385739.0</v>
      </c>
      <c r="F103" s="34">
        <v>98097.0</v>
      </c>
      <c r="G103" s="24" t="s">
        <v>114</v>
      </c>
      <c r="H103" s="23" t="s">
        <v>42</v>
      </c>
      <c r="I103" s="23" t="s">
        <v>49</v>
      </c>
      <c r="J103" s="25" t="s">
        <v>172</v>
      </c>
      <c r="K103" s="23" t="s">
        <v>172</v>
      </c>
      <c r="L103" s="26">
        <v>46028.0</v>
      </c>
      <c r="M103" s="35">
        <v>16875.0</v>
      </c>
      <c r="N103" s="28"/>
      <c r="O103" s="28"/>
      <c r="P103" s="29"/>
      <c r="Q103" s="30"/>
      <c r="R103" s="27"/>
      <c r="S103" s="31">
        <v>0.0</v>
      </c>
      <c r="T103" s="31">
        <v>0.0</v>
      </c>
      <c r="U103" s="23"/>
      <c r="V103" s="30"/>
      <c r="W103" s="30"/>
      <c r="X103" s="23" t="s">
        <v>163</v>
      </c>
    </row>
    <row r="104" ht="15.75" hidden="1" customHeight="1">
      <c r="A104" s="23"/>
      <c r="B104" s="23" t="s">
        <v>10</v>
      </c>
      <c r="C104" s="23" t="s">
        <v>410</v>
      </c>
      <c r="D104" s="23" t="s">
        <v>411</v>
      </c>
      <c r="E104" s="34">
        <v>1386066.0</v>
      </c>
      <c r="F104" s="34">
        <v>97869.0</v>
      </c>
      <c r="G104" s="24" t="s">
        <v>114</v>
      </c>
      <c r="H104" s="23" t="s">
        <v>42</v>
      </c>
      <c r="I104" s="23" t="s">
        <v>49</v>
      </c>
      <c r="J104" s="25" t="s">
        <v>172</v>
      </c>
      <c r="K104" s="23" t="s">
        <v>172</v>
      </c>
      <c r="L104" s="26">
        <v>45993.0</v>
      </c>
      <c r="M104" s="27">
        <v>12625.0</v>
      </c>
      <c r="N104" s="28"/>
      <c r="O104" s="28"/>
      <c r="P104" s="29"/>
      <c r="Q104" s="30"/>
      <c r="R104" s="27"/>
      <c r="S104" s="31">
        <v>0.0</v>
      </c>
      <c r="T104" s="31">
        <v>0.0</v>
      </c>
      <c r="U104" s="23"/>
      <c r="V104" s="30"/>
      <c r="W104" s="30"/>
      <c r="X104" s="23" t="s">
        <v>163</v>
      </c>
    </row>
    <row r="105" ht="15.75" hidden="1" customHeight="1">
      <c r="A105" s="23"/>
      <c r="B105" s="23" t="s">
        <v>10</v>
      </c>
      <c r="C105" s="23" t="s">
        <v>201</v>
      </c>
      <c r="D105" s="23" t="s">
        <v>202</v>
      </c>
      <c r="E105" s="34">
        <v>993479.0</v>
      </c>
      <c r="F105" s="34">
        <v>74450.0</v>
      </c>
      <c r="G105" s="24" t="s">
        <v>114</v>
      </c>
      <c r="H105" s="23" t="s">
        <v>395</v>
      </c>
      <c r="I105" s="23" t="s">
        <v>160</v>
      </c>
      <c r="J105" s="25" t="s">
        <v>172</v>
      </c>
      <c r="K105" s="23" t="s">
        <v>375</v>
      </c>
      <c r="L105" s="26">
        <v>43749.0</v>
      </c>
      <c r="M105" s="35">
        <v>2500.0</v>
      </c>
      <c r="N105" s="28"/>
      <c r="O105" s="28"/>
      <c r="P105" s="29"/>
      <c r="Q105" s="30"/>
      <c r="R105" s="27"/>
      <c r="S105" s="31">
        <v>0.0</v>
      </c>
      <c r="T105" s="31">
        <v>0.0</v>
      </c>
      <c r="U105" s="23"/>
      <c r="V105" s="30"/>
      <c r="W105" s="30"/>
      <c r="X105" s="23" t="s">
        <v>163</v>
      </c>
    </row>
    <row r="106" ht="15.75" hidden="1" customHeight="1">
      <c r="A106" s="23"/>
      <c r="B106" s="23" t="s">
        <v>10</v>
      </c>
      <c r="C106" s="23" t="s">
        <v>412</v>
      </c>
      <c r="D106" s="23" t="s">
        <v>413</v>
      </c>
      <c r="E106" s="34">
        <v>990534.0</v>
      </c>
      <c r="F106" s="34">
        <v>74164.0</v>
      </c>
      <c r="G106" s="24" t="s">
        <v>114</v>
      </c>
      <c r="H106" s="23" t="s">
        <v>414</v>
      </c>
      <c r="I106" s="23" t="s">
        <v>160</v>
      </c>
      <c r="J106" s="25" t="s">
        <v>172</v>
      </c>
      <c r="K106" s="23" t="s">
        <v>375</v>
      </c>
      <c r="L106" s="26">
        <v>43731.0</v>
      </c>
      <c r="M106" s="35">
        <v>6300.0</v>
      </c>
      <c r="N106" s="28"/>
      <c r="O106" s="28"/>
      <c r="P106" s="29"/>
      <c r="Q106" s="30"/>
      <c r="R106" s="27"/>
      <c r="S106" s="31">
        <v>0.0</v>
      </c>
      <c r="T106" s="31">
        <v>0.0</v>
      </c>
      <c r="U106" s="23"/>
      <c r="V106" s="30"/>
      <c r="W106" s="30"/>
      <c r="X106" s="23" t="s">
        <v>163</v>
      </c>
    </row>
    <row r="107" ht="15.75" hidden="1" customHeight="1">
      <c r="A107" s="23"/>
      <c r="B107" s="23" t="s">
        <v>10</v>
      </c>
      <c r="C107" s="23" t="s">
        <v>415</v>
      </c>
      <c r="D107" s="23" t="s">
        <v>416</v>
      </c>
      <c r="E107" s="34">
        <v>988598.0</v>
      </c>
      <c r="F107" s="34">
        <v>74006.0</v>
      </c>
      <c r="G107" s="24" t="s">
        <v>114</v>
      </c>
      <c r="H107" s="23" t="s">
        <v>414</v>
      </c>
      <c r="I107" s="23" t="s">
        <v>396</v>
      </c>
      <c r="J107" s="25" t="s">
        <v>172</v>
      </c>
      <c r="K107" s="23" t="s">
        <v>375</v>
      </c>
      <c r="L107" s="26">
        <v>43717.0</v>
      </c>
      <c r="M107" s="35">
        <v>3500.0</v>
      </c>
      <c r="N107" s="28"/>
      <c r="O107" s="28"/>
      <c r="P107" s="29"/>
      <c r="Q107" s="30"/>
      <c r="R107" s="27"/>
      <c r="S107" s="31">
        <v>0.0</v>
      </c>
      <c r="T107" s="31">
        <v>0.0</v>
      </c>
      <c r="U107" s="23"/>
      <c r="V107" s="30"/>
      <c r="W107" s="30"/>
      <c r="X107" s="23" t="s">
        <v>163</v>
      </c>
    </row>
    <row r="108" ht="15.75" hidden="1" customHeight="1">
      <c r="A108" s="23" t="s">
        <v>417</v>
      </c>
      <c r="B108" s="23" t="s">
        <v>10</v>
      </c>
      <c r="C108" s="23" t="s">
        <v>418</v>
      </c>
      <c r="D108" s="23" t="s">
        <v>419</v>
      </c>
      <c r="E108" s="34">
        <v>1340522.0</v>
      </c>
      <c r="F108" s="34">
        <v>95156.0</v>
      </c>
      <c r="G108" s="24" t="s">
        <v>114</v>
      </c>
      <c r="H108" s="23" t="s">
        <v>42</v>
      </c>
      <c r="I108" s="23" t="s">
        <v>49</v>
      </c>
      <c r="J108" s="25" t="s">
        <v>172</v>
      </c>
      <c r="K108" s="23" t="s">
        <v>172</v>
      </c>
      <c r="L108" s="26">
        <v>46017.0</v>
      </c>
      <c r="M108" s="35">
        <v>18175.0</v>
      </c>
      <c r="N108" s="28"/>
      <c r="O108" s="28"/>
      <c r="P108" s="29"/>
      <c r="Q108" s="30"/>
      <c r="R108" s="27"/>
      <c r="S108" s="31">
        <v>0.0</v>
      </c>
      <c r="T108" s="31">
        <v>0.0</v>
      </c>
      <c r="U108" s="23"/>
      <c r="V108" s="30"/>
      <c r="W108" s="30"/>
      <c r="X108" s="23" t="s">
        <v>163</v>
      </c>
    </row>
    <row r="109" ht="15.75" hidden="1" customHeight="1">
      <c r="A109" s="23"/>
      <c r="B109" s="23" t="s">
        <v>10</v>
      </c>
      <c r="C109" s="23" t="s">
        <v>207</v>
      </c>
      <c r="D109" s="23" t="s">
        <v>208</v>
      </c>
      <c r="E109" s="23">
        <v>1396273.0</v>
      </c>
      <c r="F109" s="23">
        <v>98915.0</v>
      </c>
      <c r="G109" s="24" t="s">
        <v>114</v>
      </c>
      <c r="H109" s="23" t="s">
        <v>42</v>
      </c>
      <c r="I109" s="23" t="s">
        <v>49</v>
      </c>
      <c r="J109" s="25" t="s">
        <v>172</v>
      </c>
      <c r="K109" s="23" t="s">
        <v>375</v>
      </c>
      <c r="L109" s="26">
        <v>46097.0</v>
      </c>
      <c r="M109" s="27">
        <v>20125.0</v>
      </c>
      <c r="N109" s="28"/>
      <c r="O109" s="28"/>
      <c r="P109" s="29"/>
      <c r="Q109" s="30"/>
      <c r="R109" s="27"/>
      <c r="S109" s="31">
        <v>0.0</v>
      </c>
      <c r="T109" s="31">
        <v>0.0</v>
      </c>
      <c r="U109" s="23"/>
      <c r="V109" s="30"/>
      <c r="W109" s="30"/>
      <c r="X109" s="23" t="s">
        <v>163</v>
      </c>
    </row>
    <row r="110" ht="15.75" hidden="1" customHeight="1">
      <c r="A110" s="23"/>
      <c r="B110" s="23" t="s">
        <v>10</v>
      </c>
      <c r="C110" s="23" t="s">
        <v>210</v>
      </c>
      <c r="D110" s="23" t="s">
        <v>212</v>
      </c>
      <c r="E110" s="23">
        <v>1317417.0</v>
      </c>
      <c r="F110" s="23">
        <v>93720.0</v>
      </c>
      <c r="G110" s="24" t="s">
        <v>114</v>
      </c>
      <c r="H110" s="23" t="s">
        <v>42</v>
      </c>
      <c r="I110" s="23" t="s">
        <v>183</v>
      </c>
      <c r="J110" s="25" t="s">
        <v>172</v>
      </c>
      <c r="K110" s="23" t="s">
        <v>375</v>
      </c>
      <c r="L110" s="26">
        <v>45587.0</v>
      </c>
      <c r="M110" s="27">
        <v>4100.0</v>
      </c>
      <c r="N110" s="28"/>
      <c r="O110" s="28"/>
      <c r="P110" s="29"/>
      <c r="Q110" s="30"/>
      <c r="R110" s="27"/>
      <c r="S110" s="31">
        <v>0.0</v>
      </c>
      <c r="T110" s="31">
        <v>0.0</v>
      </c>
      <c r="U110" s="23"/>
      <c r="V110" s="30"/>
      <c r="W110" s="30"/>
      <c r="X110" s="23" t="s">
        <v>163</v>
      </c>
    </row>
    <row r="111" ht="15.75" hidden="1" customHeight="1">
      <c r="A111" s="23"/>
      <c r="B111" s="23" t="s">
        <v>10</v>
      </c>
      <c r="C111" s="23" t="s">
        <v>420</v>
      </c>
      <c r="D111" s="23" t="s">
        <v>421</v>
      </c>
      <c r="E111" s="34">
        <v>1391343.0</v>
      </c>
      <c r="F111" s="34">
        <v>98337.0</v>
      </c>
      <c r="G111" s="24" t="s">
        <v>114</v>
      </c>
      <c r="H111" s="23" t="s">
        <v>193</v>
      </c>
      <c r="I111" s="23" t="s">
        <v>32</v>
      </c>
      <c r="J111" s="25" t="s">
        <v>172</v>
      </c>
      <c r="K111" s="23" t="s">
        <v>375</v>
      </c>
      <c r="L111" s="26">
        <v>46070.0</v>
      </c>
      <c r="M111" s="35">
        <v>750.0</v>
      </c>
      <c r="N111" s="28"/>
      <c r="O111" s="28"/>
      <c r="P111" s="29"/>
      <c r="Q111" s="30"/>
      <c r="R111" s="27"/>
      <c r="S111" s="31">
        <v>0.0</v>
      </c>
      <c r="T111" s="31">
        <v>0.0</v>
      </c>
      <c r="U111" s="23"/>
      <c r="V111" s="30"/>
      <c r="W111" s="30"/>
      <c r="X111" s="23" t="s">
        <v>163</v>
      </c>
    </row>
    <row r="112" ht="15.75" hidden="1" customHeight="1">
      <c r="A112" s="23"/>
      <c r="B112" s="23" t="s">
        <v>10</v>
      </c>
      <c r="C112" s="23" t="s">
        <v>228</v>
      </c>
      <c r="D112" s="23" t="s">
        <v>229</v>
      </c>
      <c r="E112" s="34">
        <v>1212813.0</v>
      </c>
      <c r="F112" s="34">
        <v>90337.0</v>
      </c>
      <c r="G112" s="24" t="s">
        <v>114</v>
      </c>
      <c r="H112" s="23" t="s">
        <v>57</v>
      </c>
      <c r="I112" s="23" t="s">
        <v>183</v>
      </c>
      <c r="J112" s="25" t="s">
        <v>172</v>
      </c>
      <c r="K112" s="23" t="s">
        <v>375</v>
      </c>
      <c r="L112" s="26">
        <v>45303.0</v>
      </c>
      <c r="M112" s="35">
        <v>1500.0</v>
      </c>
      <c r="N112" s="28"/>
      <c r="O112" s="28"/>
      <c r="P112" s="29"/>
      <c r="Q112" s="30"/>
      <c r="R112" s="27"/>
      <c r="S112" s="31">
        <v>0.0</v>
      </c>
      <c r="T112" s="31">
        <v>0.0</v>
      </c>
      <c r="U112" s="23"/>
      <c r="V112" s="30"/>
      <c r="W112" s="30"/>
      <c r="X112" s="23" t="s">
        <v>163</v>
      </c>
    </row>
    <row r="113" ht="15.75" hidden="1" customHeight="1">
      <c r="A113" s="23"/>
      <c r="B113" s="23" t="s">
        <v>10</v>
      </c>
      <c r="C113" s="23" t="s">
        <v>422</v>
      </c>
      <c r="D113" s="23" t="s">
        <v>423</v>
      </c>
      <c r="E113" s="34">
        <v>968880.0</v>
      </c>
      <c r="F113" s="34">
        <v>72036.0</v>
      </c>
      <c r="G113" s="24" t="s">
        <v>114</v>
      </c>
      <c r="H113" s="23" t="s">
        <v>395</v>
      </c>
      <c r="I113" s="23" t="s">
        <v>396</v>
      </c>
      <c r="J113" s="25" t="s">
        <v>172</v>
      </c>
      <c r="K113" s="23" t="s">
        <v>375</v>
      </c>
      <c r="L113" s="26">
        <v>43573.0</v>
      </c>
      <c r="M113" s="35">
        <v>3000.0</v>
      </c>
      <c r="N113" s="28"/>
      <c r="O113" s="28"/>
      <c r="P113" s="29"/>
      <c r="Q113" s="30"/>
      <c r="R113" s="27"/>
      <c r="S113" s="31">
        <v>0.0</v>
      </c>
      <c r="T113" s="31">
        <v>0.0</v>
      </c>
      <c r="U113" s="23"/>
      <c r="V113" s="30"/>
      <c r="W113" s="30"/>
      <c r="X113" s="23" t="s">
        <v>163</v>
      </c>
    </row>
    <row r="114" ht="15.75" hidden="1" customHeight="1">
      <c r="A114" s="23"/>
      <c r="B114" s="23" t="s">
        <v>10</v>
      </c>
      <c r="C114" s="23" t="s">
        <v>424</v>
      </c>
      <c r="D114" s="23" t="s">
        <v>425</v>
      </c>
      <c r="E114" s="34">
        <v>1382493.0</v>
      </c>
      <c r="F114" s="34">
        <v>97941.0</v>
      </c>
      <c r="G114" s="24" t="s">
        <v>114</v>
      </c>
      <c r="H114" s="23" t="s">
        <v>50</v>
      </c>
      <c r="I114" s="23" t="s">
        <v>32</v>
      </c>
      <c r="J114" s="25" t="s">
        <v>172</v>
      </c>
      <c r="K114" s="23" t="s">
        <v>172</v>
      </c>
      <c r="L114" s="26">
        <v>46013.0</v>
      </c>
      <c r="M114" s="35">
        <v>750.0</v>
      </c>
      <c r="N114" s="28"/>
      <c r="O114" s="28"/>
      <c r="P114" s="29"/>
      <c r="Q114" s="30"/>
      <c r="R114" s="27"/>
      <c r="S114" s="31">
        <v>0.0</v>
      </c>
      <c r="T114" s="31">
        <v>0.0</v>
      </c>
      <c r="U114" s="23"/>
      <c r="V114" s="30"/>
      <c r="W114" s="30"/>
      <c r="X114" s="23" t="s">
        <v>163</v>
      </c>
    </row>
    <row r="115" ht="15.75" hidden="1" customHeight="1">
      <c r="A115" s="23"/>
      <c r="B115" s="23" t="s">
        <v>10</v>
      </c>
      <c r="C115" s="23" t="s">
        <v>424</v>
      </c>
      <c r="D115" s="23" t="s">
        <v>425</v>
      </c>
      <c r="E115" s="23">
        <v>1308265.0</v>
      </c>
      <c r="F115" s="23">
        <v>93226.0</v>
      </c>
      <c r="G115" s="24" t="s">
        <v>114</v>
      </c>
      <c r="H115" s="23" t="s">
        <v>42</v>
      </c>
      <c r="I115" s="23" t="s">
        <v>183</v>
      </c>
      <c r="J115" s="25" t="s">
        <v>172</v>
      </c>
      <c r="K115" s="23" t="s">
        <v>375</v>
      </c>
      <c r="L115" s="26">
        <v>45540.0</v>
      </c>
      <c r="M115" s="27">
        <v>4000.0</v>
      </c>
      <c r="N115" s="28"/>
      <c r="O115" s="28"/>
      <c r="P115" s="29"/>
      <c r="Q115" s="30"/>
      <c r="R115" s="27"/>
      <c r="S115" s="31">
        <v>0.0</v>
      </c>
      <c r="T115" s="31">
        <v>0.0</v>
      </c>
      <c r="U115" s="23"/>
      <c r="V115" s="30"/>
      <c r="W115" s="30"/>
      <c r="X115" s="23" t="s">
        <v>163</v>
      </c>
    </row>
    <row r="116" ht="15.75" hidden="1" customHeight="1">
      <c r="A116" s="23"/>
      <c r="B116" s="23" t="s">
        <v>10</v>
      </c>
      <c r="C116" s="23" t="s">
        <v>426</v>
      </c>
      <c r="D116" s="23" t="s">
        <v>427</v>
      </c>
      <c r="E116" s="34">
        <v>970253.0</v>
      </c>
      <c r="F116" s="34">
        <v>72212.0</v>
      </c>
      <c r="G116" s="24" t="s">
        <v>114</v>
      </c>
      <c r="H116" s="23" t="s">
        <v>395</v>
      </c>
      <c r="I116" s="23" t="s">
        <v>396</v>
      </c>
      <c r="J116" s="25" t="s">
        <v>172</v>
      </c>
      <c r="K116" s="23" t="s">
        <v>375</v>
      </c>
      <c r="L116" s="26">
        <v>43588.0</v>
      </c>
      <c r="M116" s="35">
        <v>4500.0</v>
      </c>
      <c r="N116" s="28"/>
      <c r="O116" s="28"/>
      <c r="P116" s="29"/>
      <c r="Q116" s="30"/>
      <c r="R116" s="27"/>
      <c r="S116" s="31">
        <v>0.0</v>
      </c>
      <c r="T116" s="31">
        <v>0.0</v>
      </c>
      <c r="U116" s="23"/>
      <c r="V116" s="30"/>
      <c r="W116" s="30"/>
      <c r="X116" s="23" t="s">
        <v>163</v>
      </c>
    </row>
    <row r="117" ht="15.75" hidden="1" customHeight="1">
      <c r="A117" s="23"/>
      <c r="B117" s="23" t="s">
        <v>10</v>
      </c>
      <c r="C117" s="23" t="s">
        <v>428</v>
      </c>
      <c r="D117" s="23" t="s">
        <v>429</v>
      </c>
      <c r="E117" s="34">
        <v>1195922.0</v>
      </c>
      <c r="F117" s="34">
        <v>89334.0</v>
      </c>
      <c r="G117" s="24" t="s">
        <v>114</v>
      </c>
      <c r="H117" s="23" t="s">
        <v>189</v>
      </c>
      <c r="I117" s="23" t="s">
        <v>49</v>
      </c>
      <c r="J117" s="25" t="s">
        <v>172</v>
      </c>
      <c r="K117" s="23" t="s">
        <v>375</v>
      </c>
      <c r="L117" s="26">
        <v>45187.0</v>
      </c>
      <c r="M117" s="35">
        <v>22580.0</v>
      </c>
      <c r="N117" s="28"/>
      <c r="O117" s="28"/>
      <c r="P117" s="29"/>
      <c r="Q117" s="30"/>
      <c r="R117" s="27"/>
      <c r="S117" s="31">
        <v>0.0</v>
      </c>
      <c r="T117" s="31">
        <v>0.0</v>
      </c>
      <c r="U117" s="23"/>
      <c r="V117" s="30"/>
      <c r="W117" s="30"/>
      <c r="X117" s="23" t="s">
        <v>163</v>
      </c>
    </row>
    <row r="118" ht="15.75" hidden="1" customHeight="1">
      <c r="A118" s="23"/>
      <c r="B118" s="23" t="s">
        <v>10</v>
      </c>
      <c r="C118" s="23" t="s">
        <v>430</v>
      </c>
      <c r="D118" s="23" t="s">
        <v>431</v>
      </c>
      <c r="E118" s="34">
        <v>1387548.0</v>
      </c>
      <c r="F118" s="34">
        <v>98194.0</v>
      </c>
      <c r="G118" s="24" t="s">
        <v>114</v>
      </c>
      <c r="H118" s="23" t="s">
        <v>193</v>
      </c>
      <c r="I118" s="23" t="s">
        <v>32</v>
      </c>
      <c r="J118" s="25" t="s">
        <v>172</v>
      </c>
      <c r="K118" s="23" t="s">
        <v>172</v>
      </c>
      <c r="L118" s="26">
        <v>46036.0</v>
      </c>
      <c r="M118" s="27">
        <v>750.0</v>
      </c>
      <c r="N118" s="28"/>
      <c r="O118" s="28"/>
      <c r="P118" s="29"/>
      <c r="Q118" s="30"/>
      <c r="R118" s="27"/>
      <c r="S118" s="31">
        <v>0.0</v>
      </c>
      <c r="T118" s="31">
        <v>0.0</v>
      </c>
      <c r="U118" s="23"/>
      <c r="V118" s="30"/>
      <c r="W118" s="30"/>
      <c r="X118" s="23" t="s">
        <v>163</v>
      </c>
    </row>
    <row r="119" ht="15.75" hidden="1" customHeight="1">
      <c r="A119" s="23"/>
      <c r="B119" s="23" t="s">
        <v>10</v>
      </c>
      <c r="C119" s="23" t="s">
        <v>432</v>
      </c>
      <c r="D119" s="23" t="s">
        <v>433</v>
      </c>
      <c r="E119" s="23">
        <v>1402609.0</v>
      </c>
      <c r="F119" s="23">
        <v>99252.0</v>
      </c>
      <c r="G119" s="24" t="s">
        <v>114</v>
      </c>
      <c r="H119" s="23" t="s">
        <v>42</v>
      </c>
      <c r="I119" s="23" t="s">
        <v>49</v>
      </c>
      <c r="J119" s="25" t="s">
        <v>172</v>
      </c>
      <c r="K119" s="23" t="s">
        <v>172</v>
      </c>
      <c r="L119" s="26">
        <v>46133.0</v>
      </c>
      <c r="M119" s="27">
        <v>15625.0</v>
      </c>
      <c r="N119" s="28"/>
      <c r="O119" s="28"/>
      <c r="P119" s="29"/>
      <c r="Q119" s="30"/>
      <c r="R119" s="27"/>
      <c r="S119" s="31">
        <v>0.0</v>
      </c>
      <c r="T119" s="31">
        <v>0.0</v>
      </c>
      <c r="U119" s="23"/>
      <c r="V119" s="30"/>
      <c r="W119" s="30"/>
      <c r="X119" s="23" t="s">
        <v>163</v>
      </c>
    </row>
    <row r="120" ht="15.75" hidden="1" customHeight="1">
      <c r="A120" s="23"/>
      <c r="B120" s="23" t="s">
        <v>10</v>
      </c>
      <c r="C120" s="23" t="s">
        <v>434</v>
      </c>
      <c r="D120" s="23" t="s">
        <v>435</v>
      </c>
      <c r="E120" s="34">
        <v>1377306.0</v>
      </c>
      <c r="F120" s="34">
        <v>97724.0</v>
      </c>
      <c r="G120" s="24" t="s">
        <v>114</v>
      </c>
      <c r="H120" s="23" t="s">
        <v>42</v>
      </c>
      <c r="I120" s="23" t="s">
        <v>49</v>
      </c>
      <c r="J120" s="25" t="s">
        <v>172</v>
      </c>
      <c r="K120" s="23" t="s">
        <v>172</v>
      </c>
      <c r="L120" s="26">
        <v>45973.0</v>
      </c>
      <c r="M120" s="35">
        <v>9000.0</v>
      </c>
      <c r="N120" s="28"/>
      <c r="O120" s="28"/>
      <c r="P120" s="29"/>
      <c r="Q120" s="30"/>
      <c r="R120" s="27"/>
      <c r="S120" s="31">
        <v>0.0</v>
      </c>
      <c r="T120" s="31">
        <v>0.0</v>
      </c>
      <c r="U120" s="23"/>
      <c r="V120" s="30"/>
      <c r="W120" s="30"/>
      <c r="X120" s="23" t="s">
        <v>163</v>
      </c>
    </row>
    <row r="121" ht="15.75" hidden="1" customHeight="1">
      <c r="A121" s="23"/>
      <c r="B121" s="23" t="s">
        <v>10</v>
      </c>
      <c r="C121" s="23" t="s">
        <v>436</v>
      </c>
      <c r="D121" s="23" t="s">
        <v>437</v>
      </c>
      <c r="E121" s="23">
        <v>1385995.0</v>
      </c>
      <c r="F121" s="23">
        <v>98121.0</v>
      </c>
      <c r="G121" s="24" t="s">
        <v>114</v>
      </c>
      <c r="H121" s="23" t="s">
        <v>42</v>
      </c>
      <c r="I121" s="23" t="s">
        <v>49</v>
      </c>
      <c r="J121" s="25" t="s">
        <v>172</v>
      </c>
      <c r="K121" s="23" t="s">
        <v>172</v>
      </c>
      <c r="L121" s="26">
        <v>46030.0</v>
      </c>
      <c r="M121" s="27">
        <v>17125.0</v>
      </c>
      <c r="N121" s="28"/>
      <c r="O121" s="28"/>
      <c r="P121" s="29"/>
      <c r="Q121" s="30"/>
      <c r="R121" s="27"/>
      <c r="S121" s="31">
        <v>0.0</v>
      </c>
      <c r="T121" s="31">
        <v>0.0</v>
      </c>
      <c r="U121" s="23"/>
      <c r="V121" s="30"/>
      <c r="W121" s="30"/>
      <c r="X121" s="23" t="s">
        <v>163</v>
      </c>
    </row>
    <row r="122" ht="15.75" hidden="1" customHeight="1">
      <c r="A122" s="23"/>
      <c r="B122" s="23" t="s">
        <v>10</v>
      </c>
      <c r="C122" s="23" t="s">
        <v>436</v>
      </c>
      <c r="D122" s="23" t="s">
        <v>437</v>
      </c>
      <c r="E122" s="23">
        <v>1391745.0</v>
      </c>
      <c r="F122" s="23">
        <v>98531.0</v>
      </c>
      <c r="G122" s="24" t="s">
        <v>114</v>
      </c>
      <c r="H122" s="23" t="s">
        <v>42</v>
      </c>
      <c r="I122" s="23" t="s">
        <v>49</v>
      </c>
      <c r="J122" s="25" t="s">
        <v>172</v>
      </c>
      <c r="K122" s="23" t="s">
        <v>375</v>
      </c>
      <c r="L122" s="26">
        <v>46071.0</v>
      </c>
      <c r="M122" s="27">
        <v>14625.0</v>
      </c>
      <c r="N122" s="28"/>
      <c r="O122" s="28"/>
      <c r="P122" s="29"/>
      <c r="Q122" s="30"/>
      <c r="R122" s="27"/>
      <c r="S122" s="31">
        <v>0.0</v>
      </c>
      <c r="T122" s="31">
        <v>0.0</v>
      </c>
      <c r="U122" s="23"/>
      <c r="V122" s="30"/>
      <c r="W122" s="30"/>
      <c r="X122" s="23" t="s">
        <v>163</v>
      </c>
    </row>
    <row r="123" ht="15.75" hidden="1" customHeight="1">
      <c r="A123" s="23"/>
      <c r="B123" s="23" t="s">
        <v>10</v>
      </c>
      <c r="C123" s="23" t="s">
        <v>436</v>
      </c>
      <c r="D123" s="23" t="s">
        <v>437</v>
      </c>
      <c r="E123" s="34">
        <v>1391743.0</v>
      </c>
      <c r="F123" s="34">
        <v>98529.0</v>
      </c>
      <c r="G123" s="24" t="s">
        <v>114</v>
      </c>
      <c r="H123" s="23" t="s">
        <v>42</v>
      </c>
      <c r="I123" s="23" t="s">
        <v>49</v>
      </c>
      <c r="J123" s="25" t="s">
        <v>172</v>
      </c>
      <c r="K123" s="23" t="s">
        <v>375</v>
      </c>
      <c r="L123" s="26">
        <v>46071.0</v>
      </c>
      <c r="M123" s="35">
        <v>15125.0</v>
      </c>
      <c r="N123" s="28"/>
      <c r="O123" s="28"/>
      <c r="P123" s="29"/>
      <c r="Q123" s="30"/>
      <c r="R123" s="27"/>
      <c r="S123" s="31">
        <v>0.0</v>
      </c>
      <c r="T123" s="31">
        <v>0.0</v>
      </c>
      <c r="U123" s="23"/>
      <c r="V123" s="30"/>
      <c r="W123" s="30"/>
      <c r="X123" s="23" t="s">
        <v>163</v>
      </c>
    </row>
    <row r="124" ht="15.75" hidden="1" customHeight="1">
      <c r="A124" s="23"/>
      <c r="B124" s="23" t="s">
        <v>10</v>
      </c>
      <c r="C124" s="23" t="s">
        <v>438</v>
      </c>
      <c r="D124" s="23" t="s">
        <v>439</v>
      </c>
      <c r="E124" s="34">
        <v>1378195.0</v>
      </c>
      <c r="F124" s="34">
        <v>97776.0</v>
      </c>
      <c r="G124" s="24" t="s">
        <v>114</v>
      </c>
      <c r="H124" s="23" t="s">
        <v>189</v>
      </c>
      <c r="I124" s="23" t="s">
        <v>49</v>
      </c>
      <c r="J124" s="25" t="s">
        <v>172</v>
      </c>
      <c r="K124" s="23" t="s">
        <v>172</v>
      </c>
      <c r="L124" s="26">
        <v>45980.0</v>
      </c>
      <c r="M124" s="35">
        <v>4850.0</v>
      </c>
      <c r="N124" s="28"/>
      <c r="O124" s="28"/>
      <c r="P124" s="29"/>
      <c r="Q124" s="30"/>
      <c r="R124" s="27"/>
      <c r="S124" s="31">
        <v>0.0</v>
      </c>
      <c r="T124" s="31">
        <v>0.0</v>
      </c>
      <c r="U124" s="23"/>
      <c r="V124" s="30"/>
      <c r="W124" s="30"/>
      <c r="X124" s="23" t="s">
        <v>163</v>
      </c>
    </row>
    <row r="125" ht="15.75" hidden="1" customHeight="1">
      <c r="A125" s="23"/>
      <c r="B125" s="23" t="s">
        <v>10</v>
      </c>
      <c r="C125" s="23" t="s">
        <v>440</v>
      </c>
      <c r="D125" s="23" t="s">
        <v>441</v>
      </c>
      <c r="E125" s="34">
        <v>1082484.0</v>
      </c>
      <c r="F125" s="34">
        <v>82330.0</v>
      </c>
      <c r="G125" s="24" t="s">
        <v>114</v>
      </c>
      <c r="H125" s="23" t="s">
        <v>189</v>
      </c>
      <c r="I125" s="23" t="s">
        <v>49</v>
      </c>
      <c r="J125" s="25" t="s">
        <v>172</v>
      </c>
      <c r="K125" s="23" t="s">
        <v>162</v>
      </c>
      <c r="L125" s="26">
        <v>44396.0</v>
      </c>
      <c r="M125" s="35">
        <v>500.0</v>
      </c>
      <c r="N125" s="28"/>
      <c r="O125" s="28"/>
      <c r="P125" s="29"/>
      <c r="Q125" s="30"/>
      <c r="R125" s="27"/>
      <c r="S125" s="31">
        <v>0.0</v>
      </c>
      <c r="T125" s="31">
        <v>0.0</v>
      </c>
      <c r="U125" s="23"/>
      <c r="V125" s="30"/>
      <c r="W125" s="30"/>
      <c r="X125" s="23" t="s">
        <v>163</v>
      </c>
    </row>
    <row r="126" ht="15.75" hidden="1" customHeight="1">
      <c r="A126" s="23"/>
      <c r="B126" s="23" t="s">
        <v>10</v>
      </c>
      <c r="C126" s="23" t="s">
        <v>442</v>
      </c>
      <c r="D126" s="23" t="s">
        <v>443</v>
      </c>
      <c r="E126" s="23">
        <v>1382583.0</v>
      </c>
      <c r="F126" s="23">
        <v>97774.0</v>
      </c>
      <c r="G126" s="24" t="s">
        <v>114</v>
      </c>
      <c r="H126" s="23" t="s">
        <v>42</v>
      </c>
      <c r="I126" s="23" t="s">
        <v>49</v>
      </c>
      <c r="J126" s="25" t="s">
        <v>172</v>
      </c>
      <c r="K126" s="23" t="s">
        <v>172</v>
      </c>
      <c r="L126" s="26">
        <v>46013.0</v>
      </c>
      <c r="M126" s="27">
        <v>17250.0</v>
      </c>
      <c r="N126" s="28"/>
      <c r="O126" s="28"/>
      <c r="P126" s="29"/>
      <c r="Q126" s="30"/>
      <c r="R126" s="27"/>
      <c r="S126" s="31">
        <v>0.0</v>
      </c>
      <c r="T126" s="31">
        <v>0.0</v>
      </c>
      <c r="U126" s="23"/>
      <c r="V126" s="30"/>
      <c r="W126" s="30"/>
      <c r="X126" s="23" t="s">
        <v>163</v>
      </c>
    </row>
    <row r="127" ht="15.75" hidden="1" customHeight="1">
      <c r="A127" s="23"/>
      <c r="B127" s="23" t="s">
        <v>10</v>
      </c>
      <c r="C127" s="23" t="s">
        <v>442</v>
      </c>
      <c r="D127" s="23" t="s">
        <v>443</v>
      </c>
      <c r="E127" s="23">
        <v>1385119.0</v>
      </c>
      <c r="F127" s="23">
        <v>98072.0</v>
      </c>
      <c r="G127" s="24" t="s">
        <v>114</v>
      </c>
      <c r="H127" s="23" t="s">
        <v>42</v>
      </c>
      <c r="I127" s="23" t="s">
        <v>49</v>
      </c>
      <c r="J127" s="25" t="s">
        <v>172</v>
      </c>
      <c r="K127" s="23" t="s">
        <v>172</v>
      </c>
      <c r="L127" s="26">
        <v>46027.0</v>
      </c>
      <c r="M127" s="27">
        <v>17125.0</v>
      </c>
      <c r="N127" s="28"/>
      <c r="O127" s="28"/>
      <c r="P127" s="29"/>
      <c r="Q127" s="30"/>
      <c r="R127" s="27"/>
      <c r="S127" s="31">
        <v>0.0</v>
      </c>
      <c r="T127" s="31">
        <v>0.0</v>
      </c>
      <c r="U127" s="23"/>
      <c r="V127" s="30"/>
      <c r="W127" s="30"/>
      <c r="X127" s="23" t="s">
        <v>163</v>
      </c>
    </row>
    <row r="128" ht="15.75" hidden="1" customHeight="1">
      <c r="A128" s="23"/>
      <c r="B128" s="23" t="s">
        <v>10</v>
      </c>
      <c r="C128" s="23" t="s">
        <v>442</v>
      </c>
      <c r="D128" s="23" t="s">
        <v>443</v>
      </c>
      <c r="E128" s="34">
        <v>1343538.0</v>
      </c>
      <c r="F128" s="34">
        <v>95250.0</v>
      </c>
      <c r="G128" s="24" t="s">
        <v>114</v>
      </c>
      <c r="H128" s="23" t="s">
        <v>42</v>
      </c>
      <c r="I128" s="23" t="s">
        <v>49</v>
      </c>
      <c r="J128" s="25" t="s">
        <v>172</v>
      </c>
      <c r="K128" s="23" t="s">
        <v>172</v>
      </c>
      <c r="L128" s="26">
        <v>45749.0</v>
      </c>
      <c r="M128" s="35">
        <v>17175.0</v>
      </c>
      <c r="N128" s="28"/>
      <c r="O128" s="28"/>
      <c r="P128" s="29"/>
      <c r="Q128" s="30"/>
      <c r="R128" s="27"/>
      <c r="S128" s="31">
        <v>0.0</v>
      </c>
      <c r="T128" s="31">
        <v>0.0</v>
      </c>
      <c r="U128" s="23"/>
      <c r="V128" s="30"/>
      <c r="W128" s="30"/>
      <c r="X128" s="23" t="s">
        <v>163</v>
      </c>
    </row>
    <row r="129" ht="15.75" hidden="1" customHeight="1">
      <c r="A129" s="23"/>
      <c r="B129" s="23" t="s">
        <v>10</v>
      </c>
      <c r="C129" s="23" t="s">
        <v>444</v>
      </c>
      <c r="D129" s="23" t="s">
        <v>445</v>
      </c>
      <c r="E129" s="34">
        <v>1182666.0</v>
      </c>
      <c r="F129" s="34">
        <v>88124.0</v>
      </c>
      <c r="G129" s="24" t="s">
        <v>114</v>
      </c>
      <c r="H129" s="23" t="s">
        <v>167</v>
      </c>
      <c r="I129" s="23" t="s">
        <v>32</v>
      </c>
      <c r="J129" s="25" t="s">
        <v>172</v>
      </c>
      <c r="K129" s="23" t="s">
        <v>162</v>
      </c>
      <c r="L129" s="26">
        <v>45089.0</v>
      </c>
      <c r="M129" s="35">
        <v>575.0</v>
      </c>
      <c r="N129" s="28"/>
      <c r="O129" s="28"/>
      <c r="P129" s="29"/>
      <c r="Q129" s="30"/>
      <c r="R129" s="27"/>
      <c r="S129" s="31">
        <v>0.0</v>
      </c>
      <c r="T129" s="31">
        <v>0.0</v>
      </c>
      <c r="U129" s="23"/>
      <c r="V129" s="30"/>
      <c r="W129" s="30"/>
      <c r="X129" s="23" t="s">
        <v>163</v>
      </c>
    </row>
    <row r="130" ht="15.75" hidden="1" customHeight="1">
      <c r="A130" s="23"/>
      <c r="B130" s="23" t="s">
        <v>10</v>
      </c>
      <c r="C130" s="23" t="s">
        <v>446</v>
      </c>
      <c r="D130" s="23" t="s">
        <v>447</v>
      </c>
      <c r="E130" s="34">
        <v>1314170.0</v>
      </c>
      <c r="F130" s="34">
        <v>93482.0</v>
      </c>
      <c r="G130" s="24" t="s">
        <v>114</v>
      </c>
      <c r="H130" s="23" t="s">
        <v>42</v>
      </c>
      <c r="I130" s="23" t="s">
        <v>183</v>
      </c>
      <c r="J130" s="25" t="s">
        <v>172</v>
      </c>
      <c r="K130" s="23" t="s">
        <v>375</v>
      </c>
      <c r="L130" s="26">
        <v>45565.0</v>
      </c>
      <c r="M130" s="35">
        <v>4000.0</v>
      </c>
      <c r="N130" s="28"/>
      <c r="O130" s="28"/>
      <c r="P130" s="29"/>
      <c r="Q130" s="30"/>
      <c r="R130" s="27"/>
      <c r="S130" s="31">
        <v>0.0</v>
      </c>
      <c r="T130" s="31">
        <v>0.0</v>
      </c>
      <c r="U130" s="23"/>
      <c r="V130" s="30"/>
      <c r="W130" s="30"/>
      <c r="X130" s="23" t="s">
        <v>163</v>
      </c>
    </row>
    <row r="131" ht="15.75" hidden="1" customHeight="1">
      <c r="A131" s="23"/>
      <c r="B131" s="23" t="s">
        <v>10</v>
      </c>
      <c r="C131" s="23" t="s">
        <v>446</v>
      </c>
      <c r="D131" s="23" t="s">
        <v>447</v>
      </c>
      <c r="E131" s="34">
        <v>982743.0</v>
      </c>
      <c r="F131" s="34">
        <v>73154.0</v>
      </c>
      <c r="G131" s="24" t="s">
        <v>114</v>
      </c>
      <c r="H131" s="23" t="s">
        <v>414</v>
      </c>
      <c r="I131" s="23" t="s">
        <v>396</v>
      </c>
      <c r="J131" s="25" t="s">
        <v>172</v>
      </c>
      <c r="K131" s="23" t="s">
        <v>375</v>
      </c>
      <c r="L131" s="26">
        <v>43682.0</v>
      </c>
      <c r="M131" s="35">
        <v>5500.0</v>
      </c>
      <c r="N131" s="28"/>
      <c r="O131" s="28"/>
      <c r="P131" s="29"/>
      <c r="Q131" s="30"/>
      <c r="R131" s="27"/>
      <c r="S131" s="31">
        <v>0.0</v>
      </c>
      <c r="T131" s="31">
        <v>0.0</v>
      </c>
      <c r="U131" s="23"/>
      <c r="V131" s="30"/>
      <c r="W131" s="30"/>
      <c r="X131" s="23" t="s">
        <v>163</v>
      </c>
    </row>
    <row r="132" ht="15.75" hidden="1" customHeight="1">
      <c r="A132" s="23"/>
      <c r="B132" s="23" t="s">
        <v>10</v>
      </c>
      <c r="C132" s="23" t="s">
        <v>448</v>
      </c>
      <c r="D132" s="23" t="s">
        <v>449</v>
      </c>
      <c r="E132" s="23">
        <v>1368448.0</v>
      </c>
      <c r="F132" s="23">
        <v>64760.0</v>
      </c>
      <c r="G132" s="24" t="s">
        <v>114</v>
      </c>
      <c r="H132" s="23" t="s">
        <v>33</v>
      </c>
      <c r="I132" s="23" t="s">
        <v>49</v>
      </c>
      <c r="J132" s="25" t="s">
        <v>172</v>
      </c>
      <c r="K132" s="23" t="s">
        <v>172</v>
      </c>
      <c r="L132" s="26">
        <v>42542.0</v>
      </c>
      <c r="M132" s="27">
        <v>6000.0</v>
      </c>
      <c r="N132" s="28"/>
      <c r="O132" s="28"/>
      <c r="P132" s="29"/>
      <c r="Q132" s="30"/>
      <c r="R132" s="27"/>
      <c r="S132" s="31">
        <v>0.0</v>
      </c>
      <c r="T132" s="31">
        <v>0.0</v>
      </c>
      <c r="U132" s="23"/>
      <c r="V132" s="30"/>
      <c r="W132" s="30"/>
      <c r="X132" s="23" t="s">
        <v>163</v>
      </c>
    </row>
    <row r="133" ht="15.75" hidden="1" customHeight="1">
      <c r="A133" s="23"/>
      <c r="B133" s="23" t="s">
        <v>10</v>
      </c>
      <c r="C133" s="23" t="s">
        <v>450</v>
      </c>
      <c r="D133" s="23" t="s">
        <v>451</v>
      </c>
      <c r="E133" s="34">
        <v>1372557.0</v>
      </c>
      <c r="F133" s="34">
        <v>97448.0</v>
      </c>
      <c r="G133" s="24" t="s">
        <v>114</v>
      </c>
      <c r="H133" s="23" t="s">
        <v>42</v>
      </c>
      <c r="I133" s="23" t="s">
        <v>49</v>
      </c>
      <c r="J133" s="25" t="s">
        <v>172</v>
      </c>
      <c r="K133" s="23" t="s">
        <v>162</v>
      </c>
      <c r="L133" s="26">
        <v>45964.0</v>
      </c>
      <c r="M133" s="35">
        <v>16750.0</v>
      </c>
      <c r="N133" s="28"/>
      <c r="O133" s="28"/>
      <c r="P133" s="29"/>
      <c r="Q133" s="30"/>
      <c r="R133" s="27"/>
      <c r="S133" s="31">
        <v>0.0</v>
      </c>
      <c r="T133" s="31">
        <v>0.0</v>
      </c>
      <c r="U133" s="23"/>
      <c r="V133" s="30"/>
      <c r="W133" s="30"/>
      <c r="X133" s="23" t="s">
        <v>163</v>
      </c>
    </row>
    <row r="134" ht="15.75" hidden="1" customHeight="1">
      <c r="A134" s="23"/>
      <c r="B134" s="23" t="s">
        <v>10</v>
      </c>
      <c r="C134" s="23" t="s">
        <v>452</v>
      </c>
      <c r="D134" s="23" t="s">
        <v>453</v>
      </c>
      <c r="E134" s="23">
        <v>1310647.0</v>
      </c>
      <c r="F134" s="23">
        <v>93321.0</v>
      </c>
      <c r="G134" s="24" t="s">
        <v>114</v>
      </c>
      <c r="H134" s="23" t="s">
        <v>42</v>
      </c>
      <c r="I134" s="23" t="s">
        <v>49</v>
      </c>
      <c r="J134" s="25" t="s">
        <v>172</v>
      </c>
      <c r="K134" s="23" t="s">
        <v>375</v>
      </c>
      <c r="L134" s="26">
        <v>45552.0</v>
      </c>
      <c r="M134" s="27">
        <v>14545.0</v>
      </c>
      <c r="N134" s="28"/>
      <c r="O134" s="28"/>
      <c r="P134" s="29"/>
      <c r="Q134" s="30"/>
      <c r="R134" s="27"/>
      <c r="S134" s="31">
        <v>0.0</v>
      </c>
      <c r="T134" s="31">
        <v>0.0</v>
      </c>
      <c r="U134" s="23"/>
      <c r="V134" s="30"/>
      <c r="W134" s="30"/>
      <c r="X134" s="23" t="s">
        <v>163</v>
      </c>
    </row>
    <row r="135" ht="15.75" hidden="1" customHeight="1">
      <c r="A135" s="23"/>
      <c r="B135" s="23" t="s">
        <v>10</v>
      </c>
      <c r="C135" s="23" t="s">
        <v>454</v>
      </c>
      <c r="D135" s="23" t="s">
        <v>455</v>
      </c>
      <c r="E135" s="23">
        <v>1381044.0</v>
      </c>
      <c r="F135" s="23">
        <v>97894.0</v>
      </c>
      <c r="G135" s="24" t="s">
        <v>114</v>
      </c>
      <c r="H135" s="23" t="s">
        <v>33</v>
      </c>
      <c r="I135" s="23" t="s">
        <v>32</v>
      </c>
      <c r="J135" s="25" t="s">
        <v>172</v>
      </c>
      <c r="K135" s="23" t="s">
        <v>172</v>
      </c>
      <c r="L135" s="26">
        <v>46020.0</v>
      </c>
      <c r="M135" s="27">
        <v>750.0</v>
      </c>
      <c r="N135" s="28"/>
      <c r="O135" s="28"/>
      <c r="P135" s="29"/>
      <c r="Q135" s="30"/>
      <c r="R135" s="27"/>
      <c r="S135" s="31">
        <v>0.0</v>
      </c>
      <c r="T135" s="31">
        <v>0.0</v>
      </c>
      <c r="U135" s="23"/>
      <c r="V135" s="30"/>
      <c r="W135" s="30"/>
      <c r="X135" s="23" t="s">
        <v>163</v>
      </c>
    </row>
    <row r="136" ht="15.75" hidden="1" customHeight="1">
      <c r="A136" s="23"/>
      <c r="B136" s="23" t="s">
        <v>10</v>
      </c>
      <c r="C136" s="23" t="s">
        <v>454</v>
      </c>
      <c r="D136" s="23" t="s">
        <v>455</v>
      </c>
      <c r="E136" s="34">
        <v>1330281.0</v>
      </c>
      <c r="F136" s="34">
        <v>94326.0</v>
      </c>
      <c r="G136" s="24" t="s">
        <v>114</v>
      </c>
      <c r="H136" s="23" t="s">
        <v>33</v>
      </c>
      <c r="I136" s="23" t="s">
        <v>32</v>
      </c>
      <c r="J136" s="25" t="s">
        <v>172</v>
      </c>
      <c r="K136" s="23" t="s">
        <v>162</v>
      </c>
      <c r="L136" s="26">
        <v>45663.0</v>
      </c>
      <c r="M136" s="35">
        <v>575.0</v>
      </c>
      <c r="N136" s="28"/>
      <c r="O136" s="28"/>
      <c r="P136" s="29"/>
      <c r="Q136" s="30"/>
      <c r="R136" s="27"/>
      <c r="S136" s="31">
        <v>0.0</v>
      </c>
      <c r="T136" s="31">
        <v>0.0</v>
      </c>
      <c r="U136" s="23"/>
      <c r="V136" s="30"/>
      <c r="W136" s="30"/>
      <c r="X136" s="23" t="s">
        <v>163</v>
      </c>
    </row>
    <row r="137" ht="15.75" hidden="1" customHeight="1">
      <c r="A137" s="23"/>
      <c r="B137" s="23" t="s">
        <v>10</v>
      </c>
      <c r="C137" s="23" t="s">
        <v>456</v>
      </c>
      <c r="D137" s="23" t="s">
        <v>457</v>
      </c>
      <c r="E137" s="23">
        <v>1377737.0</v>
      </c>
      <c r="F137" s="23">
        <v>97540.0</v>
      </c>
      <c r="G137" s="24" t="s">
        <v>114</v>
      </c>
      <c r="H137" s="23" t="s">
        <v>177</v>
      </c>
      <c r="I137" s="23" t="s">
        <v>32</v>
      </c>
      <c r="J137" s="25" t="s">
        <v>172</v>
      </c>
      <c r="K137" s="23" t="s">
        <v>162</v>
      </c>
      <c r="L137" s="26">
        <v>45996.0</v>
      </c>
      <c r="M137" s="27">
        <v>750.0</v>
      </c>
      <c r="N137" s="28"/>
      <c r="O137" s="28"/>
      <c r="P137" s="29"/>
      <c r="Q137" s="30"/>
      <c r="R137" s="27"/>
      <c r="S137" s="31">
        <v>0.0</v>
      </c>
      <c r="T137" s="31">
        <v>0.0</v>
      </c>
      <c r="U137" s="23"/>
      <c r="V137" s="30"/>
      <c r="W137" s="30"/>
      <c r="X137" s="23" t="s">
        <v>163</v>
      </c>
    </row>
    <row r="138" ht="15.75" hidden="1" customHeight="1">
      <c r="A138" s="23"/>
      <c r="B138" s="23" t="s">
        <v>10</v>
      </c>
      <c r="C138" s="23" t="s">
        <v>458</v>
      </c>
      <c r="D138" s="23" t="s">
        <v>459</v>
      </c>
      <c r="E138" s="34">
        <v>1393169.0</v>
      </c>
      <c r="F138" s="34">
        <v>98749.0</v>
      </c>
      <c r="G138" s="24" t="s">
        <v>114</v>
      </c>
      <c r="H138" s="23" t="s">
        <v>177</v>
      </c>
      <c r="I138" s="23" t="s">
        <v>32</v>
      </c>
      <c r="J138" s="25" t="s">
        <v>172</v>
      </c>
      <c r="K138" s="23" t="s">
        <v>375</v>
      </c>
      <c r="L138" s="26">
        <v>46080.0</v>
      </c>
      <c r="M138" s="35">
        <v>750.0</v>
      </c>
      <c r="N138" s="28"/>
      <c r="O138" s="28"/>
      <c r="P138" s="29"/>
      <c r="Q138" s="30"/>
      <c r="R138" s="27"/>
      <c r="S138" s="31">
        <v>0.0</v>
      </c>
      <c r="T138" s="31">
        <v>0.0</v>
      </c>
      <c r="U138" s="23"/>
      <c r="V138" s="30"/>
      <c r="W138" s="30"/>
      <c r="X138" s="23" t="s">
        <v>163</v>
      </c>
    </row>
    <row r="139" ht="15.75" hidden="1" customHeight="1">
      <c r="A139" s="23"/>
      <c r="B139" s="23" t="s">
        <v>10</v>
      </c>
      <c r="C139" s="23" t="s">
        <v>460</v>
      </c>
      <c r="D139" s="23" t="s">
        <v>461</v>
      </c>
      <c r="E139" s="23">
        <v>986494.0</v>
      </c>
      <c r="F139" s="23">
        <v>73352.0</v>
      </c>
      <c r="G139" s="24" t="s">
        <v>114</v>
      </c>
      <c r="H139" s="23" t="s">
        <v>159</v>
      </c>
      <c r="I139" s="23" t="s">
        <v>396</v>
      </c>
      <c r="J139" s="25" t="s">
        <v>172</v>
      </c>
      <c r="K139" s="23" t="s">
        <v>375</v>
      </c>
      <c r="L139" s="26">
        <v>43698.0</v>
      </c>
      <c r="M139" s="27">
        <v>3300.0</v>
      </c>
      <c r="N139" s="28"/>
      <c r="O139" s="28"/>
      <c r="P139" s="29"/>
      <c r="Q139" s="33"/>
      <c r="R139" s="27"/>
      <c r="S139" s="31">
        <v>0.0</v>
      </c>
      <c r="T139" s="31">
        <v>0.0</v>
      </c>
      <c r="U139" s="31"/>
      <c r="V139" s="30"/>
      <c r="W139" s="30"/>
      <c r="X139" s="23" t="s">
        <v>163</v>
      </c>
    </row>
    <row r="140" ht="15.75" hidden="1" customHeight="1">
      <c r="A140" s="23"/>
      <c r="B140" s="23" t="s">
        <v>10</v>
      </c>
      <c r="C140" s="23" t="s">
        <v>255</v>
      </c>
      <c r="D140" s="23" t="s">
        <v>256</v>
      </c>
      <c r="E140" s="23">
        <v>1314997.0</v>
      </c>
      <c r="F140" s="23">
        <v>91046.0</v>
      </c>
      <c r="G140" s="24" t="s">
        <v>114</v>
      </c>
      <c r="H140" s="23" t="s">
        <v>42</v>
      </c>
      <c r="I140" s="23" t="s">
        <v>49</v>
      </c>
      <c r="J140" s="25" t="s">
        <v>172</v>
      </c>
      <c r="K140" s="23" t="s">
        <v>375</v>
      </c>
      <c r="L140" s="26">
        <v>45574.0</v>
      </c>
      <c r="M140" s="27">
        <v>14545.0</v>
      </c>
      <c r="N140" s="28"/>
      <c r="O140" s="28"/>
      <c r="P140" s="29"/>
      <c r="Q140" s="33"/>
      <c r="R140" s="27"/>
      <c r="S140" s="31">
        <v>0.0</v>
      </c>
      <c r="T140" s="31">
        <v>0.0</v>
      </c>
      <c r="U140" s="31"/>
      <c r="V140" s="30"/>
      <c r="W140" s="30"/>
      <c r="X140" s="23" t="s">
        <v>163</v>
      </c>
    </row>
    <row r="141" ht="15.75" hidden="1" customHeight="1">
      <c r="A141" s="23"/>
      <c r="B141" s="23" t="s">
        <v>10</v>
      </c>
      <c r="C141" s="23" t="s">
        <v>462</v>
      </c>
      <c r="D141" s="23" t="s">
        <v>463</v>
      </c>
      <c r="E141" s="23">
        <v>1184394.0</v>
      </c>
      <c r="F141" s="23">
        <v>88444.0</v>
      </c>
      <c r="G141" s="24" t="s">
        <v>114</v>
      </c>
      <c r="H141" s="23" t="s">
        <v>33</v>
      </c>
      <c r="I141" s="23" t="s">
        <v>49</v>
      </c>
      <c r="J141" s="25" t="s">
        <v>116</v>
      </c>
      <c r="K141" s="23" t="s">
        <v>464</v>
      </c>
      <c r="L141" s="26">
        <v>45104.0</v>
      </c>
      <c r="M141" s="27">
        <v>166380.0</v>
      </c>
      <c r="N141" s="28"/>
      <c r="O141" s="28"/>
      <c r="P141" s="29"/>
      <c r="Q141" s="33"/>
      <c r="R141" s="27"/>
      <c r="S141" s="31">
        <v>0.0</v>
      </c>
      <c r="T141" s="31">
        <v>0.0</v>
      </c>
      <c r="U141" s="31"/>
      <c r="V141" s="30"/>
      <c r="W141" s="30"/>
      <c r="X141" s="23" t="s">
        <v>163</v>
      </c>
    </row>
    <row r="142" ht="15.75" hidden="1" customHeight="1">
      <c r="A142" s="23"/>
      <c r="B142" s="23" t="s">
        <v>10</v>
      </c>
      <c r="C142" s="23" t="s">
        <v>465</v>
      </c>
      <c r="D142" s="23" t="s">
        <v>466</v>
      </c>
      <c r="E142" s="23">
        <v>1399794.0</v>
      </c>
      <c r="F142" s="23">
        <v>99203.0</v>
      </c>
      <c r="G142" s="24" t="s">
        <v>114</v>
      </c>
      <c r="H142" s="23" t="s">
        <v>177</v>
      </c>
      <c r="I142" s="23" t="s">
        <v>49</v>
      </c>
      <c r="J142" s="25" t="s">
        <v>172</v>
      </c>
      <c r="K142" s="23" t="s">
        <v>375</v>
      </c>
      <c r="L142" s="26">
        <v>46115.0</v>
      </c>
      <c r="M142" s="27">
        <v>6000.0</v>
      </c>
      <c r="N142" s="28"/>
      <c r="O142" s="28"/>
      <c r="P142" s="29"/>
      <c r="Q142" s="33"/>
      <c r="R142" s="27"/>
      <c r="S142" s="31">
        <v>0.0</v>
      </c>
      <c r="T142" s="31">
        <v>0.0</v>
      </c>
      <c r="U142" s="31"/>
      <c r="V142" s="30"/>
      <c r="W142" s="30"/>
      <c r="X142" s="23" t="s">
        <v>163</v>
      </c>
    </row>
    <row r="143" ht="15.75" hidden="1" customHeight="1">
      <c r="A143" s="23"/>
      <c r="B143" s="23" t="s">
        <v>10</v>
      </c>
      <c r="C143" s="23" t="s">
        <v>465</v>
      </c>
      <c r="D143" s="23" t="s">
        <v>466</v>
      </c>
      <c r="E143" s="23">
        <v>1399795.0</v>
      </c>
      <c r="F143" s="23">
        <v>99201.0</v>
      </c>
      <c r="G143" s="24" t="s">
        <v>114</v>
      </c>
      <c r="H143" s="23" t="s">
        <v>177</v>
      </c>
      <c r="I143" s="23" t="s">
        <v>49</v>
      </c>
      <c r="J143" s="25" t="s">
        <v>172</v>
      </c>
      <c r="K143" s="23"/>
      <c r="L143" s="26">
        <v>46136.0</v>
      </c>
      <c r="M143" s="27">
        <v>6000.0</v>
      </c>
      <c r="N143" s="28"/>
      <c r="O143" s="28"/>
      <c r="P143" s="29"/>
      <c r="Q143" s="33"/>
      <c r="R143" s="27"/>
      <c r="S143" s="31">
        <v>0.0</v>
      </c>
      <c r="T143" s="31">
        <v>0.0</v>
      </c>
      <c r="U143" s="31"/>
      <c r="V143" s="30"/>
      <c r="W143" s="30"/>
      <c r="X143" s="23" t="s">
        <v>163</v>
      </c>
    </row>
    <row r="144" ht="15.75" hidden="1" customHeight="1">
      <c r="A144" s="23"/>
      <c r="B144" s="23" t="s">
        <v>10</v>
      </c>
      <c r="C144" s="23" t="s">
        <v>263</v>
      </c>
      <c r="D144" s="23" t="s">
        <v>264</v>
      </c>
      <c r="E144" s="23">
        <v>1311433.0</v>
      </c>
      <c r="F144" s="23">
        <v>93137.0</v>
      </c>
      <c r="G144" s="24" t="s">
        <v>114</v>
      </c>
      <c r="H144" s="23" t="s">
        <v>177</v>
      </c>
      <c r="I144" s="23" t="s">
        <v>32</v>
      </c>
      <c r="J144" s="25" t="s">
        <v>172</v>
      </c>
      <c r="K144" s="23" t="s">
        <v>375</v>
      </c>
      <c r="L144" s="26">
        <v>45464.0</v>
      </c>
      <c r="M144" s="27">
        <v>575.0</v>
      </c>
      <c r="N144" s="28"/>
      <c r="O144" s="28"/>
      <c r="P144" s="29"/>
      <c r="Q144" s="33"/>
      <c r="R144" s="27"/>
      <c r="S144" s="31">
        <v>0.0</v>
      </c>
      <c r="T144" s="31">
        <v>0.0</v>
      </c>
      <c r="U144" s="31"/>
      <c r="V144" s="30"/>
      <c r="W144" s="30"/>
      <c r="X144" s="23" t="s">
        <v>163</v>
      </c>
    </row>
    <row r="145" ht="15.75" hidden="1" customHeight="1">
      <c r="A145" s="23"/>
      <c r="B145" s="23" t="s">
        <v>10</v>
      </c>
      <c r="C145" s="23" t="s">
        <v>467</v>
      </c>
      <c r="D145" s="23" t="s">
        <v>468</v>
      </c>
      <c r="E145" s="23">
        <v>1395607.0</v>
      </c>
      <c r="F145" s="23">
        <v>98623.0</v>
      </c>
      <c r="G145" s="24" t="s">
        <v>114</v>
      </c>
      <c r="H145" s="23" t="s">
        <v>42</v>
      </c>
      <c r="I145" s="23" t="s">
        <v>49</v>
      </c>
      <c r="J145" s="25" t="s">
        <v>172</v>
      </c>
      <c r="K145" s="23" t="s">
        <v>162</v>
      </c>
      <c r="L145" s="26">
        <v>46094.0</v>
      </c>
      <c r="M145" s="27">
        <v>11725.0</v>
      </c>
      <c r="N145" s="28"/>
      <c r="O145" s="28"/>
      <c r="P145" s="29"/>
      <c r="Q145" s="33"/>
      <c r="R145" s="27"/>
      <c r="S145" s="31">
        <v>0.0</v>
      </c>
      <c r="T145" s="31">
        <v>0.0</v>
      </c>
      <c r="U145" s="31"/>
      <c r="V145" s="30"/>
      <c r="W145" s="30"/>
      <c r="X145" s="23" t="s">
        <v>163</v>
      </c>
    </row>
    <row r="146" ht="15.75" hidden="1" customHeight="1">
      <c r="A146" s="23"/>
      <c r="B146" s="23" t="s">
        <v>10</v>
      </c>
      <c r="C146" s="23" t="s">
        <v>469</v>
      </c>
      <c r="D146" s="23" t="s">
        <v>470</v>
      </c>
      <c r="E146" s="23">
        <v>1395148.0</v>
      </c>
      <c r="F146" s="23">
        <v>98878.0</v>
      </c>
      <c r="G146" s="24" t="s">
        <v>114</v>
      </c>
      <c r="H146" s="23" t="s">
        <v>177</v>
      </c>
      <c r="I146" s="23" t="s">
        <v>32</v>
      </c>
      <c r="J146" s="25" t="s">
        <v>172</v>
      </c>
      <c r="K146" s="23" t="s">
        <v>375</v>
      </c>
      <c r="L146" s="26">
        <v>46092.0</v>
      </c>
      <c r="M146" s="27">
        <v>750.0</v>
      </c>
      <c r="N146" s="28"/>
      <c r="O146" s="28"/>
      <c r="P146" s="29"/>
      <c r="Q146" s="33"/>
      <c r="R146" s="27"/>
      <c r="S146" s="31">
        <v>0.0</v>
      </c>
      <c r="T146" s="31">
        <v>0.0</v>
      </c>
      <c r="U146" s="31"/>
      <c r="V146" s="30"/>
      <c r="W146" s="30"/>
      <c r="X146" s="23" t="s">
        <v>163</v>
      </c>
    </row>
    <row r="147" ht="15.75" hidden="1" customHeight="1">
      <c r="A147" s="23" t="s">
        <v>471</v>
      </c>
      <c r="B147" s="23" t="s">
        <v>10</v>
      </c>
      <c r="C147" s="23" t="s">
        <v>472</v>
      </c>
      <c r="D147" s="23" t="s">
        <v>473</v>
      </c>
      <c r="E147" s="23">
        <v>1370978.0</v>
      </c>
      <c r="F147" s="23">
        <v>85906.0</v>
      </c>
      <c r="G147" s="24" t="s">
        <v>114</v>
      </c>
      <c r="H147" s="23" t="s">
        <v>42</v>
      </c>
      <c r="I147" s="23" t="s">
        <v>49</v>
      </c>
      <c r="J147" s="25" t="s">
        <v>172</v>
      </c>
      <c r="K147" s="23" t="s">
        <v>8</v>
      </c>
      <c r="L147" s="26">
        <v>45954.0</v>
      </c>
      <c r="M147" s="27">
        <v>8500.0</v>
      </c>
      <c r="N147" s="28">
        <v>45132.0</v>
      </c>
      <c r="O147" s="28">
        <v>45132.0</v>
      </c>
      <c r="P147" s="29">
        <v>333.0</v>
      </c>
      <c r="Q147" s="33">
        <v>46182.0</v>
      </c>
      <c r="R147" s="27">
        <v>880.5</v>
      </c>
      <c r="S147" s="31">
        <v>0.0</v>
      </c>
      <c r="T147" s="31">
        <v>-880.5</v>
      </c>
      <c r="U147" s="31"/>
      <c r="V147" s="30"/>
      <c r="W147" s="30"/>
      <c r="X147" s="23" t="s">
        <v>173</v>
      </c>
    </row>
    <row r="148" ht="15.75" hidden="1" customHeight="1">
      <c r="A148" s="23"/>
      <c r="B148" s="23" t="s">
        <v>10</v>
      </c>
      <c r="C148" s="23" t="s">
        <v>474</v>
      </c>
      <c r="D148" s="23" t="s">
        <v>475</v>
      </c>
      <c r="E148" s="23">
        <v>1380017.0</v>
      </c>
      <c r="F148" s="23">
        <v>97816.0</v>
      </c>
      <c r="G148" s="24" t="s">
        <v>114</v>
      </c>
      <c r="H148" s="23" t="s">
        <v>33</v>
      </c>
      <c r="I148" s="23" t="s">
        <v>32</v>
      </c>
      <c r="J148" s="25" t="s">
        <v>161</v>
      </c>
      <c r="K148" s="23" t="s">
        <v>394</v>
      </c>
      <c r="L148" s="26">
        <v>45993.0</v>
      </c>
      <c r="M148" s="27">
        <v>750.0</v>
      </c>
      <c r="N148" s="28"/>
      <c r="O148" s="28"/>
      <c r="P148" s="29"/>
      <c r="Q148" s="33"/>
      <c r="R148" s="27"/>
      <c r="S148" s="31">
        <v>0.0</v>
      </c>
      <c r="T148" s="31">
        <v>0.0</v>
      </c>
      <c r="U148" s="31"/>
      <c r="V148" s="30"/>
      <c r="W148" s="30"/>
      <c r="X148" s="23" t="s">
        <v>163</v>
      </c>
    </row>
    <row r="149" ht="15.75" hidden="1" customHeight="1">
      <c r="A149" s="23"/>
      <c r="B149" s="23" t="s">
        <v>10</v>
      </c>
      <c r="C149" s="23" t="s">
        <v>476</v>
      </c>
      <c r="D149" s="23" t="s">
        <v>477</v>
      </c>
      <c r="E149" s="23">
        <v>1380019.0</v>
      </c>
      <c r="F149" s="23">
        <v>97706.0</v>
      </c>
      <c r="G149" s="24" t="s">
        <v>114</v>
      </c>
      <c r="H149" s="23" t="s">
        <v>33</v>
      </c>
      <c r="I149" s="23" t="s">
        <v>49</v>
      </c>
      <c r="J149" s="25" t="s">
        <v>172</v>
      </c>
      <c r="K149" s="23" t="s">
        <v>172</v>
      </c>
      <c r="L149" s="26">
        <v>45971.0</v>
      </c>
      <c r="M149" s="27">
        <v>750.0</v>
      </c>
      <c r="N149" s="28"/>
      <c r="O149" s="28"/>
      <c r="P149" s="29"/>
      <c r="Q149" s="33"/>
      <c r="R149" s="27"/>
      <c r="S149" s="31">
        <v>0.0</v>
      </c>
      <c r="T149" s="31">
        <v>0.0</v>
      </c>
      <c r="U149" s="31"/>
      <c r="V149" s="30"/>
      <c r="W149" s="30"/>
      <c r="X149" s="23" t="s">
        <v>163</v>
      </c>
    </row>
    <row r="150" ht="15.75" hidden="1" customHeight="1">
      <c r="A150" s="23"/>
      <c r="B150" s="23" t="s">
        <v>10</v>
      </c>
      <c r="C150" s="23" t="s">
        <v>478</v>
      </c>
      <c r="D150" s="23" t="s">
        <v>479</v>
      </c>
      <c r="E150" s="23">
        <v>1396667.0</v>
      </c>
      <c r="F150" s="23">
        <v>99012.0</v>
      </c>
      <c r="G150" s="24" t="s">
        <v>114</v>
      </c>
      <c r="H150" s="23" t="s">
        <v>177</v>
      </c>
      <c r="I150" s="23" t="s">
        <v>32</v>
      </c>
      <c r="J150" s="25" t="s">
        <v>172</v>
      </c>
      <c r="K150" s="23" t="s">
        <v>375</v>
      </c>
      <c r="L150" s="26">
        <v>46093.0</v>
      </c>
      <c r="M150" s="27">
        <v>5875.0</v>
      </c>
      <c r="N150" s="28"/>
      <c r="O150" s="28"/>
      <c r="P150" s="29"/>
      <c r="Q150" s="33"/>
      <c r="R150" s="27"/>
      <c r="S150" s="31">
        <v>0.0</v>
      </c>
      <c r="T150" s="31">
        <v>0.0</v>
      </c>
      <c r="U150" s="31"/>
      <c r="V150" s="30"/>
      <c r="W150" s="30"/>
      <c r="X150" s="23" t="s">
        <v>163</v>
      </c>
    </row>
    <row r="151" ht="15.75" hidden="1" customHeight="1">
      <c r="A151" s="23"/>
      <c r="B151" s="23" t="s">
        <v>10</v>
      </c>
      <c r="C151" s="23" t="s">
        <v>480</v>
      </c>
      <c r="D151" s="23" t="s">
        <v>481</v>
      </c>
      <c r="E151" s="23">
        <v>1071597.0</v>
      </c>
      <c r="F151" s="23">
        <v>66821.0</v>
      </c>
      <c r="G151" s="24" t="s">
        <v>114</v>
      </c>
      <c r="H151" s="23" t="s">
        <v>33</v>
      </c>
      <c r="I151" s="23" t="s">
        <v>49</v>
      </c>
      <c r="J151" s="25" t="s">
        <v>172</v>
      </c>
      <c r="K151" s="23" t="s">
        <v>375</v>
      </c>
      <c r="L151" s="26">
        <v>44306.0</v>
      </c>
      <c r="M151" s="27">
        <v>250.0</v>
      </c>
      <c r="N151" s="28"/>
      <c r="O151" s="28"/>
      <c r="P151" s="29"/>
      <c r="Q151" s="33"/>
      <c r="R151" s="27"/>
      <c r="S151" s="31">
        <v>0.0</v>
      </c>
      <c r="T151" s="31">
        <v>0.0</v>
      </c>
      <c r="U151" s="31"/>
      <c r="V151" s="30"/>
      <c r="W151" s="30"/>
      <c r="X151" s="23" t="s">
        <v>163</v>
      </c>
    </row>
    <row r="152" ht="15.75" hidden="1" customHeight="1">
      <c r="A152" s="23"/>
      <c r="B152" s="23" t="s">
        <v>10</v>
      </c>
      <c r="C152" s="23" t="s">
        <v>482</v>
      </c>
      <c r="D152" s="23" t="s">
        <v>483</v>
      </c>
      <c r="E152" s="23">
        <v>971250.0</v>
      </c>
      <c r="F152" s="23">
        <v>72295.0</v>
      </c>
      <c r="G152" s="24" t="s">
        <v>114</v>
      </c>
      <c r="H152" s="23" t="s">
        <v>159</v>
      </c>
      <c r="I152" s="23" t="s">
        <v>484</v>
      </c>
      <c r="J152" s="25" t="s">
        <v>172</v>
      </c>
      <c r="K152" s="23" t="s">
        <v>375</v>
      </c>
      <c r="L152" s="26">
        <v>43595.0</v>
      </c>
      <c r="M152" s="27">
        <v>2900.0</v>
      </c>
      <c r="N152" s="28"/>
      <c r="O152" s="28"/>
      <c r="P152" s="29"/>
      <c r="Q152" s="33"/>
      <c r="R152" s="27"/>
      <c r="S152" s="31">
        <v>0.0</v>
      </c>
      <c r="T152" s="31">
        <v>0.0</v>
      </c>
      <c r="U152" s="31"/>
      <c r="V152" s="30"/>
      <c r="W152" s="30"/>
      <c r="X152" s="23" t="s">
        <v>163</v>
      </c>
    </row>
    <row r="153" ht="15.75" hidden="1" customHeight="1">
      <c r="A153" s="23"/>
      <c r="B153" s="23" t="s">
        <v>10</v>
      </c>
      <c r="C153" s="23" t="s">
        <v>485</v>
      </c>
      <c r="D153" s="23" t="s">
        <v>486</v>
      </c>
      <c r="E153" s="23">
        <v>1380016.0</v>
      </c>
      <c r="F153" s="23">
        <v>97818.0</v>
      </c>
      <c r="G153" s="24" t="s">
        <v>114</v>
      </c>
      <c r="H153" s="23" t="s">
        <v>177</v>
      </c>
      <c r="I153" s="23" t="s">
        <v>32</v>
      </c>
      <c r="J153" s="25" t="s">
        <v>172</v>
      </c>
      <c r="K153" s="23" t="s">
        <v>172</v>
      </c>
      <c r="L153" s="26">
        <v>45985.0</v>
      </c>
      <c r="M153" s="27">
        <v>5750.0</v>
      </c>
      <c r="N153" s="28"/>
      <c r="O153" s="28"/>
      <c r="P153" s="29"/>
      <c r="Q153" s="33"/>
      <c r="R153" s="27"/>
      <c r="S153" s="31">
        <v>0.0</v>
      </c>
      <c r="T153" s="31">
        <v>0.0</v>
      </c>
      <c r="U153" s="31"/>
      <c r="V153" s="30"/>
      <c r="W153" s="30"/>
      <c r="X153" s="23" t="s">
        <v>163</v>
      </c>
    </row>
    <row r="154" ht="15.75" hidden="1" customHeight="1">
      <c r="A154" s="23"/>
      <c r="B154" s="23" t="s">
        <v>10</v>
      </c>
      <c r="C154" s="23" t="s">
        <v>276</v>
      </c>
      <c r="D154" s="23" t="s">
        <v>487</v>
      </c>
      <c r="E154" s="23">
        <v>1197092.0</v>
      </c>
      <c r="F154" s="23">
        <v>89518.0</v>
      </c>
      <c r="G154" s="24" t="s">
        <v>114</v>
      </c>
      <c r="H154" s="23" t="s">
        <v>177</v>
      </c>
      <c r="I154" s="23" t="s">
        <v>32</v>
      </c>
      <c r="J154" s="25" t="s">
        <v>116</v>
      </c>
      <c r="K154" s="23" t="s">
        <v>488</v>
      </c>
      <c r="L154" s="26">
        <v>45197.0</v>
      </c>
      <c r="M154" s="27">
        <v>575.0</v>
      </c>
      <c r="N154" s="28"/>
      <c r="O154" s="28"/>
      <c r="P154" s="29"/>
      <c r="Q154" s="33"/>
      <c r="R154" s="27"/>
      <c r="S154" s="31">
        <v>0.0</v>
      </c>
      <c r="T154" s="31">
        <v>0.0</v>
      </c>
      <c r="U154" s="31"/>
      <c r="V154" s="30"/>
      <c r="W154" s="30"/>
      <c r="X154" s="23" t="s">
        <v>163</v>
      </c>
    </row>
    <row r="155" ht="15.75" hidden="1" customHeight="1">
      <c r="A155" s="23"/>
      <c r="B155" s="23" t="s">
        <v>10</v>
      </c>
      <c r="C155" s="23" t="s">
        <v>489</v>
      </c>
      <c r="D155" s="23" t="s">
        <v>490</v>
      </c>
      <c r="E155" s="23">
        <v>1394525.0</v>
      </c>
      <c r="F155" s="23">
        <v>98793.0</v>
      </c>
      <c r="G155" s="24" t="s">
        <v>114</v>
      </c>
      <c r="H155" s="23" t="s">
        <v>177</v>
      </c>
      <c r="I155" s="23" t="s">
        <v>32</v>
      </c>
      <c r="J155" s="25" t="s">
        <v>172</v>
      </c>
      <c r="K155" s="23" t="s">
        <v>162</v>
      </c>
      <c r="L155" s="26">
        <v>46090.0</v>
      </c>
      <c r="M155" s="27">
        <v>750.0</v>
      </c>
      <c r="N155" s="28"/>
      <c r="O155" s="28"/>
      <c r="P155" s="29"/>
      <c r="Q155" s="33"/>
      <c r="R155" s="27"/>
      <c r="S155" s="31">
        <v>0.0</v>
      </c>
      <c r="T155" s="31">
        <v>0.0</v>
      </c>
      <c r="U155" s="31"/>
      <c r="V155" s="30"/>
      <c r="W155" s="30"/>
      <c r="X155" s="23" t="s">
        <v>163</v>
      </c>
    </row>
    <row r="156" ht="15.75" hidden="1" customHeight="1">
      <c r="A156" s="23"/>
      <c r="B156" s="23" t="s">
        <v>10</v>
      </c>
      <c r="C156" s="23" t="s">
        <v>491</v>
      </c>
      <c r="D156" s="23" t="s">
        <v>492</v>
      </c>
      <c r="E156" s="23">
        <v>1396410.0</v>
      </c>
      <c r="F156" s="23">
        <v>98885.0</v>
      </c>
      <c r="G156" s="24" t="s">
        <v>114</v>
      </c>
      <c r="H156" s="23" t="s">
        <v>33</v>
      </c>
      <c r="I156" s="23" t="s">
        <v>32</v>
      </c>
      <c r="J156" s="25" t="s">
        <v>172</v>
      </c>
      <c r="K156" s="23" t="s">
        <v>375</v>
      </c>
      <c r="L156" s="26">
        <v>46099.0</v>
      </c>
      <c r="M156" s="27">
        <v>750.0</v>
      </c>
      <c r="N156" s="28"/>
      <c r="O156" s="28"/>
      <c r="P156" s="29"/>
      <c r="Q156" s="33"/>
      <c r="R156" s="27"/>
      <c r="S156" s="31">
        <v>0.0</v>
      </c>
      <c r="T156" s="31">
        <v>0.0</v>
      </c>
      <c r="U156" s="31"/>
      <c r="V156" s="30"/>
      <c r="W156" s="30"/>
      <c r="X156" s="23" t="s">
        <v>163</v>
      </c>
    </row>
    <row r="157" ht="15.75" hidden="1" customHeight="1">
      <c r="A157" s="23"/>
      <c r="B157" s="23" t="s">
        <v>10</v>
      </c>
      <c r="C157" s="23" t="s">
        <v>491</v>
      </c>
      <c r="D157" s="23" t="s">
        <v>492</v>
      </c>
      <c r="E157" s="23">
        <v>1186746.0</v>
      </c>
      <c r="F157" s="23">
        <v>87776.0</v>
      </c>
      <c r="G157" s="24" t="s">
        <v>114</v>
      </c>
      <c r="H157" s="23" t="s">
        <v>33</v>
      </c>
      <c r="I157" s="23" t="s">
        <v>49</v>
      </c>
      <c r="J157" s="25" t="s">
        <v>172</v>
      </c>
      <c r="K157" s="23" t="s">
        <v>375</v>
      </c>
      <c r="L157" s="26">
        <v>45126.0</v>
      </c>
      <c r="M157" s="27">
        <v>500.0</v>
      </c>
      <c r="N157" s="28"/>
      <c r="O157" s="28"/>
      <c r="P157" s="29"/>
      <c r="Q157" s="33"/>
      <c r="R157" s="27"/>
      <c r="S157" s="31">
        <v>0.0</v>
      </c>
      <c r="T157" s="31">
        <v>0.0</v>
      </c>
      <c r="U157" s="31"/>
      <c r="V157" s="30"/>
      <c r="W157" s="30"/>
      <c r="X157" s="23" t="s">
        <v>163</v>
      </c>
    </row>
    <row r="158" ht="15.75" hidden="1" customHeight="1">
      <c r="A158" s="23"/>
      <c r="B158" s="23" t="s">
        <v>10</v>
      </c>
      <c r="C158" s="23" t="s">
        <v>493</v>
      </c>
      <c r="D158" s="23" t="s">
        <v>494</v>
      </c>
      <c r="E158" s="23">
        <v>988937.0</v>
      </c>
      <c r="F158" s="23">
        <v>74004.0</v>
      </c>
      <c r="G158" s="24" t="s">
        <v>114</v>
      </c>
      <c r="H158" s="23" t="s">
        <v>159</v>
      </c>
      <c r="I158" s="23" t="s">
        <v>160</v>
      </c>
      <c r="J158" s="25" t="s">
        <v>172</v>
      </c>
      <c r="K158" s="23" t="s">
        <v>375</v>
      </c>
      <c r="L158" s="26">
        <v>43719.0</v>
      </c>
      <c r="M158" s="27">
        <v>3175.0</v>
      </c>
      <c r="N158" s="28"/>
      <c r="O158" s="28"/>
      <c r="P158" s="29"/>
      <c r="Q158" s="33"/>
      <c r="R158" s="27"/>
      <c r="S158" s="31">
        <v>0.0</v>
      </c>
      <c r="T158" s="31">
        <v>0.0</v>
      </c>
      <c r="U158" s="31"/>
      <c r="V158" s="30"/>
      <c r="W158" s="30"/>
      <c r="X158" s="23" t="s">
        <v>163</v>
      </c>
    </row>
    <row r="159" ht="15.75" hidden="1" customHeight="1">
      <c r="A159" s="23"/>
      <c r="B159" s="23" t="s">
        <v>10</v>
      </c>
      <c r="C159" s="23" t="s">
        <v>495</v>
      </c>
      <c r="D159" s="23" t="s">
        <v>496</v>
      </c>
      <c r="E159" s="23">
        <v>1382585.0</v>
      </c>
      <c r="F159" s="23">
        <v>97913.0</v>
      </c>
      <c r="G159" s="24" t="s">
        <v>114</v>
      </c>
      <c r="H159" s="23" t="s">
        <v>42</v>
      </c>
      <c r="I159" s="23" t="s">
        <v>49</v>
      </c>
      <c r="J159" s="25" t="s">
        <v>172</v>
      </c>
      <c r="K159" s="23" t="s">
        <v>172</v>
      </c>
      <c r="L159" s="26">
        <v>46013.0</v>
      </c>
      <c r="M159" s="27">
        <v>17250.0</v>
      </c>
      <c r="N159" s="28"/>
      <c r="O159" s="28"/>
      <c r="P159" s="29"/>
      <c r="Q159" s="33"/>
      <c r="R159" s="27"/>
      <c r="S159" s="31">
        <v>0.0</v>
      </c>
      <c r="T159" s="31">
        <v>0.0</v>
      </c>
      <c r="U159" s="31"/>
      <c r="V159" s="30"/>
      <c r="W159" s="30"/>
      <c r="X159" s="23" t="s">
        <v>163</v>
      </c>
    </row>
    <row r="160" ht="15.75" hidden="1" customHeight="1">
      <c r="A160" s="23"/>
      <c r="B160" s="23" t="s">
        <v>10</v>
      </c>
      <c r="C160" s="23" t="s">
        <v>495</v>
      </c>
      <c r="D160" s="23" t="s">
        <v>496</v>
      </c>
      <c r="E160" s="23">
        <v>1367095.0</v>
      </c>
      <c r="F160" s="23">
        <v>97169.0</v>
      </c>
      <c r="G160" s="24" t="s">
        <v>114</v>
      </c>
      <c r="H160" s="23" t="s">
        <v>42</v>
      </c>
      <c r="I160" s="23" t="s">
        <v>497</v>
      </c>
      <c r="J160" s="25" t="s">
        <v>172</v>
      </c>
      <c r="K160" s="23" t="s">
        <v>162</v>
      </c>
      <c r="L160" s="26">
        <v>45922.0</v>
      </c>
      <c r="M160" s="27">
        <v>16000.0</v>
      </c>
      <c r="N160" s="28"/>
      <c r="O160" s="28"/>
      <c r="P160" s="29"/>
      <c r="Q160" s="33"/>
      <c r="R160" s="27"/>
      <c r="S160" s="31">
        <v>0.0</v>
      </c>
      <c r="T160" s="31">
        <v>0.0</v>
      </c>
      <c r="U160" s="31"/>
      <c r="V160" s="30"/>
      <c r="W160" s="30"/>
      <c r="X160" s="23" t="s">
        <v>163</v>
      </c>
    </row>
    <row r="161" ht="15.75" hidden="1" customHeight="1">
      <c r="A161" s="23"/>
      <c r="B161" s="23" t="s">
        <v>10</v>
      </c>
      <c r="C161" s="23" t="s">
        <v>498</v>
      </c>
      <c r="D161" s="23" t="s">
        <v>499</v>
      </c>
      <c r="E161" s="23">
        <v>989946.0</v>
      </c>
      <c r="F161" s="23">
        <v>74057.0</v>
      </c>
      <c r="G161" s="24" t="s">
        <v>114</v>
      </c>
      <c r="H161" s="23" t="s">
        <v>159</v>
      </c>
      <c r="I161" s="23" t="s">
        <v>396</v>
      </c>
      <c r="J161" s="25" t="s">
        <v>172</v>
      </c>
      <c r="K161" s="23" t="s">
        <v>375</v>
      </c>
      <c r="L161" s="26">
        <v>43726.0</v>
      </c>
      <c r="M161" s="27">
        <v>3300.0</v>
      </c>
      <c r="N161" s="28"/>
      <c r="O161" s="28"/>
      <c r="P161" s="29"/>
      <c r="Q161" s="33"/>
      <c r="R161" s="27"/>
      <c r="S161" s="31">
        <v>0.0</v>
      </c>
      <c r="T161" s="31">
        <v>0.0</v>
      </c>
      <c r="U161" s="31"/>
      <c r="V161" s="30"/>
      <c r="W161" s="30"/>
      <c r="X161" s="23" t="s">
        <v>163</v>
      </c>
    </row>
    <row r="162" ht="15.75" hidden="1" customHeight="1">
      <c r="A162" s="23"/>
      <c r="B162" s="23" t="s">
        <v>10</v>
      </c>
      <c r="C162" s="23" t="s">
        <v>500</v>
      </c>
      <c r="D162" s="23" t="s">
        <v>501</v>
      </c>
      <c r="E162" s="23">
        <v>1390613.0</v>
      </c>
      <c r="F162" s="23">
        <v>98418.0</v>
      </c>
      <c r="G162" s="24" t="s">
        <v>114</v>
      </c>
      <c r="H162" s="23" t="s">
        <v>57</v>
      </c>
      <c r="I162" s="23" t="s">
        <v>32</v>
      </c>
      <c r="J162" s="25" t="s">
        <v>172</v>
      </c>
      <c r="K162" s="23" t="s">
        <v>162</v>
      </c>
      <c r="L162" s="26">
        <v>46070.0</v>
      </c>
      <c r="M162" s="27">
        <v>750.0</v>
      </c>
      <c r="N162" s="28"/>
      <c r="O162" s="28"/>
      <c r="P162" s="29"/>
      <c r="Q162" s="33"/>
      <c r="R162" s="27"/>
      <c r="S162" s="31">
        <v>0.0</v>
      </c>
      <c r="T162" s="31">
        <v>0.0</v>
      </c>
      <c r="U162" s="31"/>
      <c r="V162" s="30"/>
      <c r="W162" s="30"/>
      <c r="X162" s="23" t="s">
        <v>163</v>
      </c>
    </row>
    <row r="163" ht="15.75" hidden="1" customHeight="1">
      <c r="A163" s="23"/>
      <c r="B163" s="23" t="s">
        <v>10</v>
      </c>
      <c r="C163" s="23" t="s">
        <v>502</v>
      </c>
      <c r="D163" s="23" t="s">
        <v>503</v>
      </c>
      <c r="E163" s="23">
        <v>1390608.0</v>
      </c>
      <c r="F163" s="23">
        <v>98436.0</v>
      </c>
      <c r="G163" s="24" t="s">
        <v>114</v>
      </c>
      <c r="H163" s="23" t="s">
        <v>57</v>
      </c>
      <c r="I163" s="23" t="s">
        <v>32</v>
      </c>
      <c r="J163" s="25" t="s">
        <v>172</v>
      </c>
      <c r="K163" s="23" t="s">
        <v>375</v>
      </c>
      <c r="L163" s="26">
        <v>46070.0</v>
      </c>
      <c r="M163" s="27">
        <v>4400.0</v>
      </c>
      <c r="N163" s="28"/>
      <c r="O163" s="28"/>
      <c r="P163" s="29"/>
      <c r="Q163" s="33"/>
      <c r="R163" s="27"/>
      <c r="S163" s="31">
        <v>0.0</v>
      </c>
      <c r="T163" s="31">
        <v>0.0</v>
      </c>
      <c r="U163" s="31"/>
      <c r="V163" s="30"/>
      <c r="W163" s="30"/>
      <c r="X163" s="23" t="s">
        <v>163</v>
      </c>
    </row>
    <row r="164" ht="15.75" hidden="1" customHeight="1">
      <c r="A164" s="23"/>
      <c r="B164" s="23" t="s">
        <v>10</v>
      </c>
      <c r="C164" s="23" t="s">
        <v>502</v>
      </c>
      <c r="D164" s="23" t="s">
        <v>503</v>
      </c>
      <c r="E164" s="23">
        <v>995906.0</v>
      </c>
      <c r="F164" s="23">
        <v>74512.0</v>
      </c>
      <c r="G164" s="24" t="s">
        <v>114</v>
      </c>
      <c r="H164" s="23" t="s">
        <v>504</v>
      </c>
      <c r="I164" s="23" t="s">
        <v>160</v>
      </c>
      <c r="J164" s="25" t="s">
        <v>172</v>
      </c>
      <c r="K164" s="23" t="s">
        <v>375</v>
      </c>
      <c r="L164" s="26">
        <v>43759.0</v>
      </c>
      <c r="M164" s="27">
        <v>9700.0</v>
      </c>
      <c r="N164" s="28"/>
      <c r="O164" s="28"/>
      <c r="P164" s="29"/>
      <c r="Q164" s="33"/>
      <c r="R164" s="27"/>
      <c r="S164" s="31">
        <v>0.0</v>
      </c>
      <c r="T164" s="31">
        <v>0.0</v>
      </c>
      <c r="U164" s="31"/>
      <c r="V164" s="30"/>
      <c r="W164" s="30"/>
      <c r="X164" s="23" t="s">
        <v>163</v>
      </c>
    </row>
    <row r="165" ht="15.75" hidden="1" customHeight="1">
      <c r="A165" s="23"/>
      <c r="B165" s="23" t="s">
        <v>10</v>
      </c>
      <c r="C165" s="23" t="s">
        <v>502</v>
      </c>
      <c r="D165" s="23" t="s">
        <v>503</v>
      </c>
      <c r="E165" s="23">
        <v>982127.0</v>
      </c>
      <c r="F165" s="23">
        <v>73074.0</v>
      </c>
      <c r="G165" s="24" t="s">
        <v>114</v>
      </c>
      <c r="H165" s="23" t="s">
        <v>504</v>
      </c>
      <c r="I165" s="23" t="s">
        <v>396</v>
      </c>
      <c r="J165" s="25" t="s">
        <v>161</v>
      </c>
      <c r="K165" s="23" t="s">
        <v>394</v>
      </c>
      <c r="L165" s="26">
        <v>43677.0</v>
      </c>
      <c r="M165" s="27">
        <v>6400.0</v>
      </c>
      <c r="N165" s="28"/>
      <c r="O165" s="28"/>
      <c r="P165" s="29"/>
      <c r="Q165" s="33"/>
      <c r="R165" s="27"/>
      <c r="S165" s="31">
        <v>0.0</v>
      </c>
      <c r="T165" s="31">
        <v>0.0</v>
      </c>
      <c r="U165" s="31"/>
      <c r="V165" s="30"/>
      <c r="W165" s="30"/>
      <c r="X165" s="23" t="s">
        <v>163</v>
      </c>
    </row>
    <row r="166" ht="15.75" hidden="1" customHeight="1">
      <c r="A166" s="23"/>
      <c r="B166" s="23" t="s">
        <v>10</v>
      </c>
      <c r="C166" s="23" t="s">
        <v>505</v>
      </c>
      <c r="D166" s="23" t="s">
        <v>506</v>
      </c>
      <c r="E166" s="23">
        <v>977925.0</v>
      </c>
      <c r="F166" s="23">
        <v>72784.0</v>
      </c>
      <c r="G166" s="24" t="s">
        <v>114</v>
      </c>
      <c r="H166" s="23" t="s">
        <v>504</v>
      </c>
      <c r="I166" s="23" t="s">
        <v>396</v>
      </c>
      <c r="J166" s="25" t="s">
        <v>172</v>
      </c>
      <c r="K166" s="23" t="s">
        <v>375</v>
      </c>
      <c r="L166" s="26">
        <v>43655.0</v>
      </c>
      <c r="M166" s="27">
        <v>13100.0</v>
      </c>
      <c r="N166" s="28"/>
      <c r="O166" s="28"/>
      <c r="P166" s="29"/>
      <c r="Q166" s="33"/>
      <c r="R166" s="27"/>
      <c r="S166" s="31">
        <v>0.0</v>
      </c>
      <c r="T166" s="31">
        <v>0.0</v>
      </c>
      <c r="U166" s="31"/>
      <c r="V166" s="30"/>
      <c r="W166" s="30"/>
      <c r="X166" s="23" t="s">
        <v>163</v>
      </c>
    </row>
    <row r="167" ht="15.75" hidden="1" customHeight="1">
      <c r="A167" s="23"/>
      <c r="B167" s="23" t="s">
        <v>10</v>
      </c>
      <c r="C167" s="23" t="s">
        <v>507</v>
      </c>
      <c r="D167" s="23" t="s">
        <v>508</v>
      </c>
      <c r="E167" s="23">
        <v>1282588.0</v>
      </c>
      <c r="F167" s="23">
        <v>97963.0</v>
      </c>
      <c r="G167" s="24" t="s">
        <v>114</v>
      </c>
      <c r="H167" s="23" t="s">
        <v>42</v>
      </c>
      <c r="I167" s="23" t="s">
        <v>49</v>
      </c>
      <c r="J167" s="25" t="s">
        <v>172</v>
      </c>
      <c r="K167" s="23" t="s">
        <v>172</v>
      </c>
      <c r="L167" s="26">
        <v>46015.0</v>
      </c>
      <c r="M167" s="27">
        <v>17250.0</v>
      </c>
      <c r="N167" s="28"/>
      <c r="O167" s="28"/>
      <c r="P167" s="29"/>
      <c r="Q167" s="33"/>
      <c r="R167" s="27"/>
      <c r="S167" s="31">
        <v>0.0</v>
      </c>
      <c r="T167" s="31">
        <v>0.0</v>
      </c>
      <c r="U167" s="31"/>
      <c r="V167" s="30"/>
      <c r="W167" s="30"/>
      <c r="X167" s="23" t="s">
        <v>163</v>
      </c>
    </row>
    <row r="168" ht="15.75" hidden="1" customHeight="1">
      <c r="A168" s="23"/>
      <c r="B168" s="23" t="s">
        <v>10</v>
      </c>
      <c r="C168" s="23" t="s">
        <v>507</v>
      </c>
      <c r="D168" s="23" t="s">
        <v>508</v>
      </c>
      <c r="E168" s="23">
        <v>1382588.0</v>
      </c>
      <c r="F168" s="23">
        <v>97963.0</v>
      </c>
      <c r="G168" s="24" t="s">
        <v>114</v>
      </c>
      <c r="H168" s="23" t="s">
        <v>42</v>
      </c>
      <c r="I168" s="23" t="s">
        <v>49</v>
      </c>
      <c r="J168" s="25" t="s">
        <v>172</v>
      </c>
      <c r="K168" s="23" t="s">
        <v>162</v>
      </c>
      <c r="L168" s="26">
        <v>46015.0</v>
      </c>
      <c r="M168" s="27">
        <v>17250.0</v>
      </c>
      <c r="N168" s="28"/>
      <c r="O168" s="28"/>
      <c r="P168" s="29"/>
      <c r="Q168" s="33"/>
      <c r="R168" s="27"/>
      <c r="S168" s="31">
        <v>0.0</v>
      </c>
      <c r="T168" s="31">
        <v>0.0</v>
      </c>
      <c r="U168" s="31"/>
      <c r="V168" s="30"/>
      <c r="W168" s="30"/>
      <c r="X168" s="23" t="s">
        <v>163</v>
      </c>
    </row>
    <row r="169" ht="15.75" hidden="1" customHeight="1">
      <c r="A169" s="23"/>
      <c r="B169" s="23" t="s">
        <v>10</v>
      </c>
      <c r="C169" s="23" t="s">
        <v>507</v>
      </c>
      <c r="D169" s="23" t="s">
        <v>508</v>
      </c>
      <c r="E169" s="23">
        <v>1372556.0</v>
      </c>
      <c r="F169" s="23">
        <v>97450.0</v>
      </c>
      <c r="G169" s="24" t="s">
        <v>114</v>
      </c>
      <c r="H169" s="23" t="s">
        <v>42</v>
      </c>
      <c r="I169" s="23" t="s">
        <v>49</v>
      </c>
      <c r="J169" s="25" t="s">
        <v>172</v>
      </c>
      <c r="K169" s="23" t="s">
        <v>162</v>
      </c>
      <c r="L169" s="26">
        <v>45961.0</v>
      </c>
      <c r="M169" s="27">
        <v>17250.0</v>
      </c>
      <c r="N169" s="28"/>
      <c r="O169" s="28"/>
      <c r="P169" s="29"/>
      <c r="Q169" s="33"/>
      <c r="R169" s="27"/>
      <c r="S169" s="31">
        <v>0.0</v>
      </c>
      <c r="T169" s="31">
        <v>0.0</v>
      </c>
      <c r="U169" s="31"/>
      <c r="V169" s="30"/>
      <c r="W169" s="30"/>
      <c r="X169" s="23" t="s">
        <v>163</v>
      </c>
    </row>
    <row r="170" ht="15.75" hidden="1" customHeight="1">
      <c r="A170" s="23"/>
      <c r="B170" s="23" t="s">
        <v>10</v>
      </c>
      <c r="C170" s="23" t="s">
        <v>509</v>
      </c>
      <c r="D170" s="23" t="s">
        <v>510</v>
      </c>
      <c r="E170" s="23">
        <v>1395394.0</v>
      </c>
      <c r="F170" s="23">
        <v>98850.0</v>
      </c>
      <c r="G170" s="24" t="s">
        <v>114</v>
      </c>
      <c r="H170" s="23" t="s">
        <v>57</v>
      </c>
      <c r="I170" s="23" t="s">
        <v>32</v>
      </c>
      <c r="J170" s="25" t="s">
        <v>172</v>
      </c>
      <c r="K170" s="23" t="s">
        <v>162</v>
      </c>
      <c r="L170" s="26">
        <v>46105.0</v>
      </c>
      <c r="M170" s="27">
        <v>750.0</v>
      </c>
      <c r="N170" s="28"/>
      <c r="O170" s="28"/>
      <c r="P170" s="29"/>
      <c r="Q170" s="33"/>
      <c r="R170" s="27"/>
      <c r="S170" s="31">
        <v>0.0</v>
      </c>
      <c r="T170" s="31">
        <v>0.0</v>
      </c>
      <c r="U170" s="31"/>
      <c r="V170" s="30"/>
      <c r="W170" s="30"/>
      <c r="X170" s="23" t="s">
        <v>163</v>
      </c>
    </row>
    <row r="171" ht="15.75" hidden="1" customHeight="1">
      <c r="A171" s="23"/>
      <c r="B171" s="23" t="s">
        <v>10</v>
      </c>
      <c r="C171" s="23" t="s">
        <v>511</v>
      </c>
      <c r="D171" s="23" t="s">
        <v>512</v>
      </c>
      <c r="E171" s="23">
        <v>993980.0</v>
      </c>
      <c r="F171" s="23">
        <v>74481.0</v>
      </c>
      <c r="G171" s="24" t="s">
        <v>114</v>
      </c>
      <c r="H171" s="23" t="s">
        <v>504</v>
      </c>
      <c r="I171" s="23" t="s">
        <v>160</v>
      </c>
      <c r="J171" s="25" t="s">
        <v>172</v>
      </c>
      <c r="K171" s="23" t="s">
        <v>375</v>
      </c>
      <c r="L171" s="26">
        <v>43755.0</v>
      </c>
      <c r="M171" s="27">
        <v>6200.0</v>
      </c>
      <c r="N171" s="28"/>
      <c r="O171" s="28"/>
      <c r="P171" s="29"/>
      <c r="Q171" s="33"/>
      <c r="R171" s="27"/>
      <c r="S171" s="31">
        <v>0.0</v>
      </c>
      <c r="T171" s="31">
        <v>0.0</v>
      </c>
      <c r="U171" s="31"/>
      <c r="V171" s="30"/>
      <c r="W171" s="30"/>
      <c r="X171" s="23" t="s">
        <v>163</v>
      </c>
    </row>
    <row r="172" ht="15.75" hidden="1" customHeight="1">
      <c r="A172" s="23"/>
      <c r="B172" s="23" t="s">
        <v>10</v>
      </c>
      <c r="C172" s="23" t="s">
        <v>513</v>
      </c>
      <c r="D172" s="23" t="s">
        <v>514</v>
      </c>
      <c r="E172" s="23">
        <v>981795.0</v>
      </c>
      <c r="F172" s="23">
        <v>73028.0</v>
      </c>
      <c r="G172" s="24" t="s">
        <v>114</v>
      </c>
      <c r="H172" s="23" t="s">
        <v>504</v>
      </c>
      <c r="I172" s="23" t="s">
        <v>160</v>
      </c>
      <c r="J172" s="25" t="s">
        <v>172</v>
      </c>
      <c r="K172" s="23" t="s">
        <v>375</v>
      </c>
      <c r="L172" s="26">
        <v>43671.0</v>
      </c>
      <c r="M172" s="27">
        <v>4500.0</v>
      </c>
      <c r="N172" s="28"/>
      <c r="O172" s="28"/>
      <c r="P172" s="29"/>
      <c r="Q172" s="33"/>
      <c r="R172" s="27"/>
      <c r="S172" s="31">
        <v>0.0</v>
      </c>
      <c r="T172" s="31">
        <v>0.0</v>
      </c>
      <c r="U172" s="31"/>
      <c r="V172" s="30"/>
      <c r="W172" s="30"/>
      <c r="X172" s="23" t="s">
        <v>163</v>
      </c>
    </row>
    <row r="173" ht="15.75" hidden="1" customHeight="1">
      <c r="A173" s="23"/>
      <c r="B173" s="23" t="s">
        <v>10</v>
      </c>
      <c r="C173" s="23" t="s">
        <v>513</v>
      </c>
      <c r="D173" s="23" t="s">
        <v>514</v>
      </c>
      <c r="E173" s="23">
        <v>971000.0</v>
      </c>
      <c r="F173" s="23">
        <v>72262.0</v>
      </c>
      <c r="G173" s="24" t="s">
        <v>114</v>
      </c>
      <c r="H173" s="23" t="s">
        <v>504</v>
      </c>
      <c r="I173" s="23" t="s">
        <v>396</v>
      </c>
      <c r="J173" s="25" t="s">
        <v>172</v>
      </c>
      <c r="K173" s="23" t="s">
        <v>375</v>
      </c>
      <c r="L173" s="26">
        <v>43591.0</v>
      </c>
      <c r="M173" s="27">
        <v>6500.0</v>
      </c>
      <c r="N173" s="28"/>
      <c r="O173" s="28"/>
      <c r="P173" s="29"/>
      <c r="Q173" s="33"/>
      <c r="R173" s="27"/>
      <c r="S173" s="31">
        <v>0.0</v>
      </c>
      <c r="T173" s="31">
        <v>0.0</v>
      </c>
      <c r="U173" s="31"/>
      <c r="V173" s="30"/>
      <c r="W173" s="30"/>
      <c r="X173" s="23" t="s">
        <v>163</v>
      </c>
    </row>
    <row r="174" ht="15.75" hidden="1" customHeight="1">
      <c r="A174" s="23"/>
      <c r="B174" s="23" t="s">
        <v>10</v>
      </c>
      <c r="C174" s="23" t="s">
        <v>515</v>
      </c>
      <c r="D174" s="23" t="s">
        <v>516</v>
      </c>
      <c r="E174" s="23">
        <v>1389532.0</v>
      </c>
      <c r="F174" s="23">
        <v>98218.0</v>
      </c>
      <c r="G174" s="24" t="s">
        <v>114</v>
      </c>
      <c r="H174" s="23" t="s">
        <v>171</v>
      </c>
      <c r="I174" s="23" t="s">
        <v>32</v>
      </c>
      <c r="J174" s="25" t="s">
        <v>172</v>
      </c>
      <c r="K174" s="23" t="s">
        <v>172</v>
      </c>
      <c r="L174" s="26">
        <v>46037.0</v>
      </c>
      <c r="M174" s="27">
        <v>750.0</v>
      </c>
      <c r="N174" s="28"/>
      <c r="O174" s="28"/>
      <c r="P174" s="29"/>
      <c r="Q174" s="33"/>
      <c r="R174" s="27"/>
      <c r="S174" s="31">
        <v>0.0</v>
      </c>
      <c r="T174" s="31">
        <v>0.0</v>
      </c>
      <c r="U174" s="31"/>
      <c r="V174" s="30"/>
      <c r="W174" s="30"/>
      <c r="X174" s="23" t="s">
        <v>163</v>
      </c>
    </row>
    <row r="175" ht="15.75" hidden="1" customHeight="1">
      <c r="A175" s="23"/>
      <c r="B175" s="23" t="s">
        <v>10</v>
      </c>
      <c r="C175" s="23" t="s">
        <v>517</v>
      </c>
      <c r="D175" s="23" t="s">
        <v>518</v>
      </c>
      <c r="E175" s="23">
        <v>993177.0</v>
      </c>
      <c r="F175" s="23">
        <v>74440.0</v>
      </c>
      <c r="G175" s="24" t="s">
        <v>114</v>
      </c>
      <c r="H175" s="23" t="s">
        <v>519</v>
      </c>
      <c r="I175" s="23" t="s">
        <v>396</v>
      </c>
      <c r="J175" s="25" t="s">
        <v>172</v>
      </c>
      <c r="K175" s="23" t="s">
        <v>375</v>
      </c>
      <c r="L175" s="26">
        <v>43749.0</v>
      </c>
      <c r="M175" s="27">
        <v>20500.0</v>
      </c>
      <c r="N175" s="28"/>
      <c r="O175" s="28"/>
      <c r="P175" s="29"/>
      <c r="Q175" s="33"/>
      <c r="R175" s="27"/>
      <c r="S175" s="31">
        <v>0.0</v>
      </c>
      <c r="T175" s="31">
        <v>0.0</v>
      </c>
      <c r="U175" s="31"/>
      <c r="V175" s="30"/>
      <c r="W175" s="30"/>
      <c r="X175" s="23" t="s">
        <v>163</v>
      </c>
    </row>
    <row r="176" ht="15.75" hidden="1" customHeight="1">
      <c r="A176" s="23"/>
      <c r="B176" s="23" t="s">
        <v>10</v>
      </c>
      <c r="C176" s="23" t="s">
        <v>517</v>
      </c>
      <c r="D176" s="23" t="s">
        <v>518</v>
      </c>
      <c r="E176" s="23">
        <v>991892.0</v>
      </c>
      <c r="F176" s="23">
        <v>74355.0</v>
      </c>
      <c r="G176" s="24" t="s">
        <v>114</v>
      </c>
      <c r="H176" s="23" t="s">
        <v>171</v>
      </c>
      <c r="I176" s="23" t="s">
        <v>49</v>
      </c>
      <c r="J176" s="25" t="s">
        <v>172</v>
      </c>
      <c r="K176" s="23" t="s">
        <v>375</v>
      </c>
      <c r="L176" s="26">
        <v>43745.0</v>
      </c>
      <c r="M176" s="27">
        <v>1050.0</v>
      </c>
      <c r="N176" s="28"/>
      <c r="O176" s="28"/>
      <c r="P176" s="29"/>
      <c r="Q176" s="33"/>
      <c r="R176" s="27"/>
      <c r="S176" s="31">
        <v>0.0</v>
      </c>
      <c r="T176" s="31">
        <v>0.0</v>
      </c>
      <c r="U176" s="31"/>
      <c r="V176" s="30"/>
      <c r="W176" s="30"/>
      <c r="X176" s="23" t="s">
        <v>163</v>
      </c>
    </row>
    <row r="177" ht="15.75" hidden="1" customHeight="1">
      <c r="A177" s="23"/>
      <c r="B177" s="23" t="s">
        <v>10</v>
      </c>
      <c r="C177" s="23" t="s">
        <v>517</v>
      </c>
      <c r="D177" s="23" t="s">
        <v>518</v>
      </c>
      <c r="E177" s="23">
        <v>978128.0</v>
      </c>
      <c r="F177" s="23">
        <v>72835.0</v>
      </c>
      <c r="G177" s="24" t="s">
        <v>114</v>
      </c>
      <c r="H177" s="23" t="s">
        <v>519</v>
      </c>
      <c r="I177" s="23" t="s">
        <v>520</v>
      </c>
      <c r="J177" s="25" t="s">
        <v>161</v>
      </c>
      <c r="K177" s="23" t="s">
        <v>394</v>
      </c>
      <c r="L177" s="26">
        <v>43658.0</v>
      </c>
      <c r="M177" s="27">
        <v>7200.0</v>
      </c>
      <c r="N177" s="28"/>
      <c r="O177" s="28"/>
      <c r="P177" s="29"/>
      <c r="Q177" s="33"/>
      <c r="R177" s="27"/>
      <c r="S177" s="31">
        <v>0.0</v>
      </c>
      <c r="T177" s="31">
        <v>0.0</v>
      </c>
      <c r="U177" s="31"/>
      <c r="V177" s="30"/>
      <c r="W177" s="30"/>
      <c r="X177" s="23" t="s">
        <v>163</v>
      </c>
    </row>
    <row r="178" ht="15.75" hidden="1" customHeight="1">
      <c r="A178" s="23"/>
      <c r="B178" s="23" t="s">
        <v>10</v>
      </c>
      <c r="C178" s="23" t="s">
        <v>517</v>
      </c>
      <c r="D178" s="23" t="s">
        <v>518</v>
      </c>
      <c r="E178" s="23">
        <v>974588.0</v>
      </c>
      <c r="F178" s="23">
        <v>72522.0</v>
      </c>
      <c r="G178" s="24" t="s">
        <v>114</v>
      </c>
      <c r="H178" s="23" t="s">
        <v>519</v>
      </c>
      <c r="I178" s="23" t="s">
        <v>396</v>
      </c>
      <c r="J178" s="25" t="s">
        <v>172</v>
      </c>
      <c r="K178" s="23" t="s">
        <v>375</v>
      </c>
      <c r="L178" s="26">
        <v>43622.0</v>
      </c>
      <c r="M178" s="27">
        <v>11400.0</v>
      </c>
      <c r="N178" s="28"/>
      <c r="O178" s="28"/>
      <c r="P178" s="29"/>
      <c r="Q178" s="33"/>
      <c r="R178" s="27"/>
      <c r="S178" s="31">
        <v>0.0</v>
      </c>
      <c r="T178" s="31">
        <v>0.0</v>
      </c>
      <c r="U178" s="31"/>
      <c r="V178" s="30"/>
      <c r="W178" s="30"/>
      <c r="X178" s="23" t="s">
        <v>163</v>
      </c>
    </row>
    <row r="179" ht="15.75" hidden="1" customHeight="1">
      <c r="A179" s="23"/>
      <c r="B179" s="23" t="s">
        <v>10</v>
      </c>
      <c r="C179" s="23" t="s">
        <v>521</v>
      </c>
      <c r="D179" s="23" t="s">
        <v>522</v>
      </c>
      <c r="E179" s="23">
        <v>1386487.0</v>
      </c>
      <c r="F179" s="23">
        <v>96804.0</v>
      </c>
      <c r="G179" s="24" t="s">
        <v>114</v>
      </c>
      <c r="H179" s="23" t="s">
        <v>171</v>
      </c>
      <c r="I179" s="23" t="s">
        <v>32</v>
      </c>
      <c r="J179" s="25" t="s">
        <v>172</v>
      </c>
      <c r="K179" s="23" t="s">
        <v>172</v>
      </c>
      <c r="L179" s="26">
        <v>45888.0</v>
      </c>
      <c r="M179" s="27">
        <v>750.0</v>
      </c>
      <c r="N179" s="28"/>
      <c r="O179" s="28"/>
      <c r="P179" s="29"/>
      <c r="Q179" s="33"/>
      <c r="R179" s="27"/>
      <c r="S179" s="31">
        <v>0.0</v>
      </c>
      <c r="T179" s="31">
        <v>0.0</v>
      </c>
      <c r="U179" s="31"/>
      <c r="V179" s="30"/>
      <c r="W179" s="30"/>
      <c r="X179" s="23" t="s">
        <v>163</v>
      </c>
    </row>
    <row r="180" ht="15.75" hidden="1" customHeight="1">
      <c r="A180" s="23" t="s">
        <v>523</v>
      </c>
      <c r="B180" s="23" t="s">
        <v>10</v>
      </c>
      <c r="C180" s="23" t="s">
        <v>524</v>
      </c>
      <c r="D180" s="23" t="s">
        <v>525</v>
      </c>
      <c r="E180" s="23">
        <v>1387534.0</v>
      </c>
      <c r="F180" s="23">
        <v>98242.0</v>
      </c>
      <c r="G180" s="24" t="s">
        <v>114</v>
      </c>
      <c r="H180" s="23" t="s">
        <v>57</v>
      </c>
      <c r="I180" s="23" t="s">
        <v>32</v>
      </c>
      <c r="J180" s="25" t="s">
        <v>172</v>
      </c>
      <c r="K180" s="23" t="s">
        <v>526</v>
      </c>
      <c r="L180" s="26">
        <v>46093.0</v>
      </c>
      <c r="M180" s="27">
        <v>4400.0</v>
      </c>
      <c r="N180" s="28">
        <v>46060.0</v>
      </c>
      <c r="O180" s="28">
        <v>46061.0</v>
      </c>
      <c r="P180" s="29">
        <v>8.0</v>
      </c>
      <c r="Q180" s="33">
        <v>46182.0</v>
      </c>
      <c r="R180" s="27">
        <v>5287.9</v>
      </c>
      <c r="S180" s="31">
        <v>0.0</v>
      </c>
      <c r="T180" s="31">
        <v>-5287.9</v>
      </c>
      <c r="U180" s="31"/>
      <c r="V180" s="30"/>
      <c r="W180" s="30"/>
      <c r="X180" s="23" t="s">
        <v>173</v>
      </c>
    </row>
    <row r="181" ht="15.75" hidden="1" customHeight="1">
      <c r="A181" s="23"/>
      <c r="B181" s="23" t="s">
        <v>10</v>
      </c>
      <c r="C181" s="23" t="s">
        <v>527</v>
      </c>
      <c r="D181" s="23" t="s">
        <v>528</v>
      </c>
      <c r="E181" s="23">
        <v>1393643.0</v>
      </c>
      <c r="F181" s="23">
        <v>98777.0</v>
      </c>
      <c r="G181" s="24" t="s">
        <v>114</v>
      </c>
      <c r="H181" s="23" t="s">
        <v>57</v>
      </c>
      <c r="I181" s="23" t="s">
        <v>32</v>
      </c>
      <c r="J181" s="25" t="s">
        <v>172</v>
      </c>
      <c r="K181" s="23" t="s">
        <v>375</v>
      </c>
      <c r="L181" s="26">
        <v>46087.0</v>
      </c>
      <c r="M181" s="27">
        <v>750.0</v>
      </c>
      <c r="N181" s="28"/>
      <c r="O181" s="28"/>
      <c r="P181" s="29"/>
      <c r="Q181" s="33"/>
      <c r="R181" s="27"/>
      <c r="S181" s="31">
        <v>0.0</v>
      </c>
      <c r="T181" s="31">
        <v>0.0</v>
      </c>
      <c r="U181" s="31"/>
      <c r="V181" s="30"/>
      <c r="W181" s="30"/>
      <c r="X181" s="23" t="s">
        <v>163</v>
      </c>
    </row>
    <row r="182" ht="15.75" hidden="1" customHeight="1">
      <c r="A182" s="23"/>
      <c r="B182" s="23" t="s">
        <v>10</v>
      </c>
      <c r="C182" s="23" t="s">
        <v>529</v>
      </c>
      <c r="D182" s="23" t="s">
        <v>530</v>
      </c>
      <c r="E182" s="23">
        <v>978869.0</v>
      </c>
      <c r="F182" s="23">
        <v>72933.0</v>
      </c>
      <c r="G182" s="24" t="s">
        <v>114</v>
      </c>
      <c r="H182" s="23" t="s">
        <v>519</v>
      </c>
      <c r="I182" s="23" t="s">
        <v>396</v>
      </c>
      <c r="J182" s="25" t="s">
        <v>172</v>
      </c>
      <c r="K182" s="23" t="s">
        <v>375</v>
      </c>
      <c r="L182" s="26">
        <v>43662.0</v>
      </c>
      <c r="M182" s="27">
        <v>2500.0</v>
      </c>
      <c r="N182" s="28"/>
      <c r="O182" s="28"/>
      <c r="P182" s="29"/>
      <c r="Q182" s="33"/>
      <c r="R182" s="27"/>
      <c r="S182" s="31">
        <v>0.0</v>
      </c>
      <c r="T182" s="31">
        <v>0.0</v>
      </c>
      <c r="U182" s="31"/>
      <c r="V182" s="30"/>
      <c r="W182" s="30"/>
      <c r="X182" s="23" t="s">
        <v>163</v>
      </c>
    </row>
    <row r="183" ht="15.75" hidden="1" customHeight="1">
      <c r="A183" s="23"/>
      <c r="B183" s="23" t="s">
        <v>10</v>
      </c>
      <c r="C183" s="23" t="s">
        <v>531</v>
      </c>
      <c r="D183" s="23" t="s">
        <v>532</v>
      </c>
      <c r="E183" s="23">
        <v>991354.0</v>
      </c>
      <c r="F183" s="23">
        <v>74288.0</v>
      </c>
      <c r="G183" s="24" t="s">
        <v>114</v>
      </c>
      <c r="H183" s="23" t="s">
        <v>504</v>
      </c>
      <c r="I183" s="23" t="s">
        <v>484</v>
      </c>
      <c r="J183" s="25" t="s">
        <v>161</v>
      </c>
      <c r="K183" s="23" t="s">
        <v>394</v>
      </c>
      <c r="L183" s="26">
        <v>43733.0</v>
      </c>
      <c r="M183" s="27">
        <v>8200.0</v>
      </c>
      <c r="N183" s="28"/>
      <c r="O183" s="28"/>
      <c r="P183" s="29"/>
      <c r="Q183" s="33"/>
      <c r="R183" s="27"/>
      <c r="S183" s="31">
        <v>0.0</v>
      </c>
      <c r="T183" s="31">
        <v>0.0</v>
      </c>
      <c r="U183" s="31"/>
      <c r="V183" s="30"/>
      <c r="W183" s="30"/>
      <c r="X183" s="23" t="s">
        <v>163</v>
      </c>
    </row>
    <row r="184" ht="15.75" hidden="1" customHeight="1">
      <c r="A184" s="23"/>
      <c r="B184" s="23" t="s">
        <v>10</v>
      </c>
      <c r="C184" s="23" t="s">
        <v>531</v>
      </c>
      <c r="D184" s="23" t="s">
        <v>532</v>
      </c>
      <c r="E184" s="23">
        <v>978232.0</v>
      </c>
      <c r="F184" s="23">
        <v>72871.0</v>
      </c>
      <c r="G184" s="24" t="s">
        <v>114</v>
      </c>
      <c r="H184" s="23" t="s">
        <v>504</v>
      </c>
      <c r="I184" s="23" t="s">
        <v>520</v>
      </c>
      <c r="J184" s="25" t="s">
        <v>161</v>
      </c>
      <c r="K184" s="23" t="s">
        <v>394</v>
      </c>
      <c r="L184" s="26">
        <v>43658.0</v>
      </c>
      <c r="M184" s="27">
        <v>10200.0</v>
      </c>
      <c r="N184" s="28"/>
      <c r="O184" s="28"/>
      <c r="P184" s="29"/>
      <c r="Q184" s="33"/>
      <c r="R184" s="27"/>
      <c r="S184" s="31">
        <v>0.0</v>
      </c>
      <c r="T184" s="31">
        <v>0.0</v>
      </c>
      <c r="U184" s="31"/>
      <c r="V184" s="30"/>
      <c r="W184" s="30"/>
      <c r="X184" s="23" t="s">
        <v>163</v>
      </c>
    </row>
    <row r="185" ht="15.75" hidden="1" customHeight="1">
      <c r="A185" s="23"/>
      <c r="B185" s="23" t="s">
        <v>10</v>
      </c>
      <c r="C185" s="23" t="s">
        <v>533</v>
      </c>
      <c r="D185" s="23" t="s">
        <v>534</v>
      </c>
      <c r="E185" s="23">
        <v>992099.0</v>
      </c>
      <c r="F185" s="23">
        <v>74367.0</v>
      </c>
      <c r="G185" s="24" t="s">
        <v>114</v>
      </c>
      <c r="H185" s="23" t="s">
        <v>504</v>
      </c>
      <c r="I185" s="23" t="s">
        <v>160</v>
      </c>
      <c r="J185" s="25" t="s">
        <v>172</v>
      </c>
      <c r="K185" s="23" t="s">
        <v>375</v>
      </c>
      <c r="L185" s="26">
        <v>43745.0</v>
      </c>
      <c r="M185" s="27">
        <v>9800.0</v>
      </c>
      <c r="N185" s="28"/>
      <c r="O185" s="28"/>
      <c r="P185" s="29"/>
      <c r="Q185" s="33"/>
      <c r="R185" s="27"/>
      <c r="S185" s="31">
        <v>0.0</v>
      </c>
      <c r="T185" s="31">
        <v>0.0</v>
      </c>
      <c r="U185" s="31"/>
      <c r="V185" s="30"/>
      <c r="W185" s="30"/>
      <c r="X185" s="23" t="s">
        <v>163</v>
      </c>
    </row>
    <row r="186" ht="15.75" hidden="1" customHeight="1">
      <c r="A186" s="23"/>
      <c r="B186" s="23" t="s">
        <v>10</v>
      </c>
      <c r="C186" s="23" t="s">
        <v>535</v>
      </c>
      <c r="D186" s="23" t="s">
        <v>536</v>
      </c>
      <c r="E186" s="23">
        <v>1226846.0</v>
      </c>
      <c r="F186" s="23">
        <v>90377.0</v>
      </c>
      <c r="G186" s="24" t="s">
        <v>114</v>
      </c>
      <c r="H186" s="23" t="s">
        <v>57</v>
      </c>
      <c r="I186" s="23" t="s">
        <v>32</v>
      </c>
      <c r="J186" s="25" t="s">
        <v>172</v>
      </c>
      <c r="K186" s="23" t="s">
        <v>375</v>
      </c>
      <c r="L186" s="26">
        <v>45394.0</v>
      </c>
      <c r="M186" s="27">
        <v>575.0</v>
      </c>
      <c r="N186" s="28"/>
      <c r="O186" s="28"/>
      <c r="P186" s="29"/>
      <c r="Q186" s="33"/>
      <c r="R186" s="27"/>
      <c r="S186" s="31">
        <v>0.0</v>
      </c>
      <c r="T186" s="31">
        <v>0.0</v>
      </c>
      <c r="U186" s="31"/>
      <c r="V186" s="30"/>
      <c r="W186" s="30"/>
      <c r="X186" s="23" t="s">
        <v>163</v>
      </c>
    </row>
    <row r="187" ht="15.75" hidden="1" customHeight="1">
      <c r="A187" s="23"/>
      <c r="B187" s="23" t="s">
        <v>10</v>
      </c>
      <c r="C187" s="23" t="s">
        <v>294</v>
      </c>
      <c r="D187" s="23" t="s">
        <v>295</v>
      </c>
      <c r="E187" s="23">
        <v>1391735.0</v>
      </c>
      <c r="F187" s="23">
        <v>98518.0</v>
      </c>
      <c r="G187" s="24" t="s">
        <v>114</v>
      </c>
      <c r="H187" s="23" t="s">
        <v>57</v>
      </c>
      <c r="I187" s="23" t="s">
        <v>32</v>
      </c>
      <c r="J187" s="25" t="s">
        <v>172</v>
      </c>
      <c r="K187" s="23" t="s">
        <v>375</v>
      </c>
      <c r="L187" s="26">
        <v>46085.0</v>
      </c>
      <c r="M187" s="27">
        <v>5700.0</v>
      </c>
      <c r="N187" s="28"/>
      <c r="O187" s="28"/>
      <c r="P187" s="29"/>
      <c r="Q187" s="33"/>
      <c r="R187" s="27"/>
      <c r="S187" s="31">
        <v>0.0</v>
      </c>
      <c r="T187" s="31">
        <v>0.0</v>
      </c>
      <c r="U187" s="31"/>
      <c r="V187" s="30"/>
      <c r="W187" s="30"/>
      <c r="X187" s="23" t="s">
        <v>163</v>
      </c>
    </row>
    <row r="188" ht="15.75" hidden="1" customHeight="1">
      <c r="A188" s="23"/>
      <c r="B188" s="23" t="s">
        <v>10</v>
      </c>
      <c r="C188" s="23" t="s">
        <v>294</v>
      </c>
      <c r="D188" s="23" t="s">
        <v>295</v>
      </c>
      <c r="E188" s="23">
        <v>1192391.0</v>
      </c>
      <c r="F188" s="23">
        <v>88113.0</v>
      </c>
      <c r="G188" s="24" t="s">
        <v>114</v>
      </c>
      <c r="H188" s="23" t="s">
        <v>57</v>
      </c>
      <c r="I188" s="23" t="s">
        <v>32</v>
      </c>
      <c r="J188" s="25" t="s">
        <v>116</v>
      </c>
      <c r="K188" s="23" t="s">
        <v>162</v>
      </c>
      <c r="L188" s="26">
        <v>45215.0</v>
      </c>
      <c r="M188" s="27">
        <v>575.0</v>
      </c>
      <c r="N188" s="28"/>
      <c r="O188" s="28"/>
      <c r="P188" s="29"/>
      <c r="Q188" s="33"/>
      <c r="R188" s="27"/>
      <c r="S188" s="31">
        <v>0.0</v>
      </c>
      <c r="T188" s="31">
        <v>0.0</v>
      </c>
      <c r="U188" s="31"/>
      <c r="V188" s="30"/>
      <c r="W188" s="30"/>
      <c r="X188" s="23" t="s">
        <v>163</v>
      </c>
    </row>
    <row r="189" ht="15.75" hidden="1" customHeight="1">
      <c r="A189" s="23"/>
      <c r="B189" s="23" t="s">
        <v>10</v>
      </c>
      <c r="C189" s="23" t="s">
        <v>537</v>
      </c>
      <c r="D189" s="23" t="s">
        <v>538</v>
      </c>
      <c r="E189" s="23">
        <v>1396460.0</v>
      </c>
      <c r="F189" s="23">
        <v>98945.0</v>
      </c>
      <c r="G189" s="24" t="s">
        <v>114</v>
      </c>
      <c r="H189" s="23" t="s">
        <v>57</v>
      </c>
      <c r="I189" s="23" t="s">
        <v>32</v>
      </c>
      <c r="J189" s="25" t="s">
        <v>172</v>
      </c>
      <c r="K189" s="23" t="s">
        <v>375</v>
      </c>
      <c r="L189" s="26">
        <v>46101.0</v>
      </c>
      <c r="M189" s="27">
        <v>4775.0</v>
      </c>
      <c r="N189" s="28"/>
      <c r="O189" s="28"/>
      <c r="P189" s="29"/>
      <c r="Q189" s="33"/>
      <c r="R189" s="27"/>
      <c r="S189" s="31">
        <v>0.0</v>
      </c>
      <c r="T189" s="31">
        <v>0.0</v>
      </c>
      <c r="U189" s="31"/>
      <c r="V189" s="30"/>
      <c r="W189" s="30"/>
      <c r="X189" s="23" t="s">
        <v>163</v>
      </c>
    </row>
    <row r="190" ht="15.75" hidden="1" customHeight="1">
      <c r="A190" s="23"/>
      <c r="B190" s="23" t="s">
        <v>10</v>
      </c>
      <c r="C190" s="23" t="s">
        <v>539</v>
      </c>
      <c r="D190" s="23" t="s">
        <v>540</v>
      </c>
      <c r="E190" s="23">
        <v>991104.0</v>
      </c>
      <c r="F190" s="23">
        <v>74157.0</v>
      </c>
      <c r="G190" s="24" t="s">
        <v>114</v>
      </c>
      <c r="H190" s="23" t="s">
        <v>504</v>
      </c>
      <c r="I190" s="23" t="s">
        <v>396</v>
      </c>
      <c r="J190" s="25" t="s">
        <v>172</v>
      </c>
      <c r="K190" s="23" t="s">
        <v>375</v>
      </c>
      <c r="L190" s="26">
        <v>43732.0</v>
      </c>
      <c r="M190" s="27">
        <v>22500.0</v>
      </c>
      <c r="N190" s="28"/>
      <c r="O190" s="28"/>
      <c r="P190" s="29"/>
      <c r="Q190" s="33"/>
      <c r="R190" s="27"/>
      <c r="S190" s="31">
        <v>0.0</v>
      </c>
      <c r="T190" s="31">
        <v>0.0</v>
      </c>
      <c r="U190" s="31"/>
      <c r="V190" s="30"/>
      <c r="W190" s="30"/>
      <c r="X190" s="23" t="s">
        <v>163</v>
      </c>
    </row>
    <row r="191" ht="15.75" hidden="1" customHeight="1">
      <c r="A191" s="23"/>
      <c r="B191" s="23" t="s">
        <v>10</v>
      </c>
      <c r="C191" s="23" t="s">
        <v>539</v>
      </c>
      <c r="D191" s="23" t="s">
        <v>540</v>
      </c>
      <c r="E191" s="23">
        <v>982134.0</v>
      </c>
      <c r="F191" s="23">
        <v>73077.0</v>
      </c>
      <c r="G191" s="24" t="s">
        <v>114</v>
      </c>
      <c r="H191" s="23" t="s">
        <v>504</v>
      </c>
      <c r="I191" s="23" t="s">
        <v>520</v>
      </c>
      <c r="J191" s="25" t="s">
        <v>172</v>
      </c>
      <c r="K191" s="23" t="s">
        <v>375</v>
      </c>
      <c r="L191" s="26">
        <v>43676.0</v>
      </c>
      <c r="M191" s="27">
        <v>3200.0</v>
      </c>
      <c r="N191" s="28"/>
      <c r="O191" s="28"/>
      <c r="P191" s="29"/>
      <c r="Q191" s="33"/>
      <c r="R191" s="27"/>
      <c r="S191" s="31">
        <v>0.0</v>
      </c>
      <c r="T191" s="31">
        <v>0.0</v>
      </c>
      <c r="U191" s="31"/>
      <c r="V191" s="30"/>
      <c r="W191" s="30"/>
      <c r="X191" s="23" t="s">
        <v>163</v>
      </c>
    </row>
    <row r="192" ht="15.75" hidden="1" customHeight="1">
      <c r="A192" s="23"/>
      <c r="B192" s="23" t="s">
        <v>10</v>
      </c>
      <c r="C192" s="23" t="s">
        <v>539</v>
      </c>
      <c r="D192" s="23" t="s">
        <v>540</v>
      </c>
      <c r="E192" s="23">
        <v>980696.0</v>
      </c>
      <c r="F192" s="23">
        <v>73004.0</v>
      </c>
      <c r="G192" s="24" t="s">
        <v>114</v>
      </c>
      <c r="H192" s="23" t="s">
        <v>504</v>
      </c>
      <c r="I192" s="23" t="s">
        <v>484</v>
      </c>
      <c r="J192" s="25" t="s">
        <v>172</v>
      </c>
      <c r="K192" s="23" t="s">
        <v>375</v>
      </c>
      <c r="L192" s="26">
        <v>43669.0</v>
      </c>
      <c r="M192" s="27">
        <v>3800.0</v>
      </c>
      <c r="N192" s="28"/>
      <c r="O192" s="28"/>
      <c r="P192" s="29"/>
      <c r="Q192" s="33"/>
      <c r="R192" s="27"/>
      <c r="S192" s="31">
        <v>0.0</v>
      </c>
      <c r="T192" s="31">
        <v>0.0</v>
      </c>
      <c r="U192" s="31"/>
      <c r="V192" s="30"/>
      <c r="W192" s="30"/>
      <c r="X192" s="23" t="s">
        <v>163</v>
      </c>
    </row>
    <row r="193" ht="15.75" hidden="1" customHeight="1">
      <c r="A193" s="23"/>
      <c r="B193" s="23" t="s">
        <v>10</v>
      </c>
      <c r="C193" s="23" t="s">
        <v>53</v>
      </c>
      <c r="D193" s="23" t="s">
        <v>127</v>
      </c>
      <c r="E193" s="23">
        <v>1336857.0</v>
      </c>
      <c r="F193" s="23">
        <v>94757.0</v>
      </c>
      <c r="G193" s="24" t="s">
        <v>114</v>
      </c>
      <c r="H193" s="23" t="s">
        <v>57</v>
      </c>
      <c r="I193" s="23" t="s">
        <v>32</v>
      </c>
      <c r="J193" s="25" t="s">
        <v>172</v>
      </c>
      <c r="K193" s="23" t="s">
        <v>375</v>
      </c>
      <c r="L193" s="26">
        <v>45720.0</v>
      </c>
      <c r="M193" s="27">
        <v>5500.0</v>
      </c>
      <c r="N193" s="28"/>
      <c r="O193" s="28"/>
      <c r="P193" s="29"/>
      <c r="Q193" s="33"/>
      <c r="R193" s="27"/>
      <c r="S193" s="31">
        <v>0.0</v>
      </c>
      <c r="T193" s="31">
        <v>0.0</v>
      </c>
      <c r="U193" s="31"/>
      <c r="V193" s="30"/>
      <c r="W193" s="30"/>
      <c r="X193" s="23" t="s">
        <v>163</v>
      </c>
    </row>
    <row r="194" ht="15.75" hidden="1" customHeight="1">
      <c r="A194" s="23"/>
      <c r="B194" s="23" t="s">
        <v>10</v>
      </c>
      <c r="C194" s="23" t="s">
        <v>541</v>
      </c>
      <c r="D194" s="23" t="s">
        <v>542</v>
      </c>
      <c r="E194" s="23">
        <v>986323.0</v>
      </c>
      <c r="F194" s="23">
        <v>73338.0</v>
      </c>
      <c r="G194" s="24" t="s">
        <v>114</v>
      </c>
      <c r="H194" s="23" t="s">
        <v>504</v>
      </c>
      <c r="I194" s="23" t="s">
        <v>396</v>
      </c>
      <c r="J194" s="25" t="s">
        <v>172</v>
      </c>
      <c r="K194" s="23" t="s">
        <v>375</v>
      </c>
      <c r="L194" s="26">
        <v>43693.0</v>
      </c>
      <c r="M194" s="27">
        <v>6100.0</v>
      </c>
      <c r="N194" s="28"/>
      <c r="O194" s="28"/>
      <c r="P194" s="29"/>
      <c r="Q194" s="33"/>
      <c r="R194" s="27"/>
      <c r="S194" s="31">
        <v>0.0</v>
      </c>
      <c r="T194" s="31">
        <v>0.0</v>
      </c>
      <c r="U194" s="31"/>
      <c r="V194" s="30"/>
      <c r="W194" s="30"/>
      <c r="X194" s="23" t="s">
        <v>163</v>
      </c>
    </row>
    <row r="195" ht="15.75" hidden="1" customHeight="1">
      <c r="A195" s="23" t="s">
        <v>543</v>
      </c>
      <c r="B195" s="23" t="s">
        <v>10</v>
      </c>
      <c r="C195" s="23" t="s">
        <v>544</v>
      </c>
      <c r="D195" s="23" t="s">
        <v>545</v>
      </c>
      <c r="E195" s="23">
        <v>1380907.0</v>
      </c>
      <c r="F195" s="23">
        <v>97876.0</v>
      </c>
      <c r="G195" s="24" t="s">
        <v>114</v>
      </c>
      <c r="H195" s="23" t="s">
        <v>57</v>
      </c>
      <c r="I195" s="23" t="s">
        <v>32</v>
      </c>
      <c r="J195" s="25" t="s">
        <v>172</v>
      </c>
      <c r="K195" s="23" t="s">
        <v>526</v>
      </c>
      <c r="L195" s="26">
        <v>45996.0</v>
      </c>
      <c r="M195" s="27">
        <v>750.0</v>
      </c>
      <c r="N195" s="28">
        <v>46010.0</v>
      </c>
      <c r="O195" s="28">
        <v>46021.0</v>
      </c>
      <c r="P195" s="29">
        <v>2.0</v>
      </c>
      <c r="Q195" s="33">
        <v>46155.0</v>
      </c>
      <c r="R195" s="27">
        <v>7330.1</v>
      </c>
      <c r="S195" s="31">
        <v>7330.1</v>
      </c>
      <c r="T195" s="31">
        <v>0.0</v>
      </c>
      <c r="U195" s="32">
        <v>7.00008136E8</v>
      </c>
      <c r="V195" s="30">
        <v>46166.0</v>
      </c>
      <c r="W195" s="30">
        <v>46177.0</v>
      </c>
      <c r="X195" s="23" t="s">
        <v>179</v>
      </c>
    </row>
    <row r="196" ht="15.75" hidden="1" customHeight="1">
      <c r="A196" s="23"/>
      <c r="B196" s="23" t="s">
        <v>10</v>
      </c>
      <c r="C196" s="23" t="s">
        <v>546</v>
      </c>
      <c r="D196" s="23" t="s">
        <v>547</v>
      </c>
      <c r="E196" s="23">
        <v>1397873.0</v>
      </c>
      <c r="F196" s="23">
        <v>98707.0</v>
      </c>
      <c r="G196" s="24" t="s">
        <v>114</v>
      </c>
      <c r="H196" s="23" t="s">
        <v>171</v>
      </c>
      <c r="I196" s="23" t="s">
        <v>49</v>
      </c>
      <c r="J196" s="25" t="s">
        <v>172</v>
      </c>
      <c r="K196" s="23" t="s">
        <v>375</v>
      </c>
      <c r="L196" s="26">
        <v>46107.0</v>
      </c>
      <c r="M196" s="27">
        <v>4350.0</v>
      </c>
      <c r="N196" s="28"/>
      <c r="O196" s="28"/>
      <c r="P196" s="29"/>
      <c r="Q196" s="33"/>
      <c r="R196" s="27"/>
      <c r="S196" s="31">
        <v>0.0</v>
      </c>
      <c r="T196" s="31">
        <v>0.0</v>
      </c>
      <c r="U196" s="31"/>
      <c r="V196" s="30"/>
      <c r="W196" s="30"/>
      <c r="X196" s="23" t="s">
        <v>163</v>
      </c>
    </row>
    <row r="197" ht="15.75" hidden="1" customHeight="1">
      <c r="A197" s="23"/>
      <c r="B197" s="23" t="s">
        <v>10</v>
      </c>
      <c r="C197" s="23" t="s">
        <v>308</v>
      </c>
      <c r="D197" s="23" t="s">
        <v>309</v>
      </c>
      <c r="E197" s="23">
        <v>1343536.0</v>
      </c>
      <c r="F197" s="23">
        <v>95294.0</v>
      </c>
      <c r="G197" s="24" t="s">
        <v>114</v>
      </c>
      <c r="H197" s="23" t="s">
        <v>42</v>
      </c>
      <c r="I197" s="23" t="s">
        <v>49</v>
      </c>
      <c r="J197" s="25" t="s">
        <v>172</v>
      </c>
      <c r="K197" s="23" t="s">
        <v>172</v>
      </c>
      <c r="L197" s="26">
        <v>45755.0</v>
      </c>
      <c r="M197" s="27">
        <v>11675.0</v>
      </c>
      <c r="N197" s="28"/>
      <c r="O197" s="28"/>
      <c r="P197" s="29"/>
      <c r="Q197" s="33"/>
      <c r="R197" s="27"/>
      <c r="S197" s="31">
        <v>0.0</v>
      </c>
      <c r="T197" s="31">
        <v>0.0</v>
      </c>
      <c r="U197" s="31"/>
      <c r="V197" s="30"/>
      <c r="W197" s="30"/>
      <c r="X197" s="23" t="s">
        <v>163</v>
      </c>
    </row>
    <row r="198" ht="15.75" hidden="1" customHeight="1">
      <c r="A198" s="23"/>
      <c r="B198" s="23" t="s">
        <v>10</v>
      </c>
      <c r="C198" s="23" t="s">
        <v>310</v>
      </c>
      <c r="D198" s="23" t="s">
        <v>311</v>
      </c>
      <c r="E198" s="23">
        <v>1319455.0</v>
      </c>
      <c r="F198" s="23">
        <v>93724.0</v>
      </c>
      <c r="G198" s="24" t="s">
        <v>114</v>
      </c>
      <c r="H198" s="23" t="s">
        <v>42</v>
      </c>
      <c r="I198" s="23" t="s">
        <v>49</v>
      </c>
      <c r="J198" s="25" t="s">
        <v>172</v>
      </c>
      <c r="K198" s="23" t="s">
        <v>162</v>
      </c>
      <c r="L198" s="26">
        <v>45628.0</v>
      </c>
      <c r="M198" s="27">
        <v>15400.0</v>
      </c>
      <c r="N198" s="28"/>
      <c r="O198" s="28"/>
      <c r="P198" s="29"/>
      <c r="Q198" s="33"/>
      <c r="R198" s="27"/>
      <c r="S198" s="31">
        <v>0.0</v>
      </c>
      <c r="T198" s="31">
        <v>0.0</v>
      </c>
      <c r="U198" s="31"/>
      <c r="V198" s="30"/>
      <c r="W198" s="30"/>
      <c r="X198" s="23" t="s">
        <v>163</v>
      </c>
    </row>
    <row r="199" ht="15.75" hidden="1" customHeight="1">
      <c r="A199" s="23"/>
      <c r="B199" s="23" t="s">
        <v>10</v>
      </c>
      <c r="C199" s="23" t="s">
        <v>548</v>
      </c>
      <c r="D199" s="23" t="s">
        <v>549</v>
      </c>
      <c r="E199" s="23">
        <v>1396699.0</v>
      </c>
      <c r="F199" s="23">
        <v>98986.0</v>
      </c>
      <c r="G199" s="24" t="s">
        <v>114</v>
      </c>
      <c r="H199" s="23" t="s">
        <v>57</v>
      </c>
      <c r="I199" s="23" t="s">
        <v>32</v>
      </c>
      <c r="J199" s="25" t="s">
        <v>172</v>
      </c>
      <c r="K199" s="23" t="s">
        <v>375</v>
      </c>
      <c r="L199" s="26">
        <v>46104.0</v>
      </c>
      <c r="M199" s="27">
        <v>9200.0</v>
      </c>
      <c r="N199" s="28"/>
      <c r="O199" s="28"/>
      <c r="P199" s="29"/>
      <c r="Q199" s="33"/>
      <c r="R199" s="27"/>
      <c r="S199" s="31">
        <v>0.0</v>
      </c>
      <c r="T199" s="31">
        <v>0.0</v>
      </c>
      <c r="U199" s="31"/>
      <c r="V199" s="30"/>
      <c r="W199" s="30"/>
      <c r="X199" s="23" t="s">
        <v>163</v>
      </c>
    </row>
    <row r="200" ht="15.75" hidden="1" customHeight="1">
      <c r="A200" s="23"/>
      <c r="B200" s="23" t="s">
        <v>10</v>
      </c>
      <c r="C200" s="23" t="s">
        <v>550</v>
      </c>
      <c r="D200" s="23" t="s">
        <v>551</v>
      </c>
      <c r="E200" s="23">
        <v>1390450.0</v>
      </c>
      <c r="F200" s="23">
        <v>98140.0</v>
      </c>
      <c r="G200" s="24" t="s">
        <v>114</v>
      </c>
      <c r="H200" s="23" t="s">
        <v>33</v>
      </c>
      <c r="I200" s="23" t="s">
        <v>32</v>
      </c>
      <c r="J200" s="25" t="s">
        <v>161</v>
      </c>
      <c r="K200" s="23" t="s">
        <v>394</v>
      </c>
      <c r="L200" s="26">
        <v>46058.0</v>
      </c>
      <c r="M200" s="27">
        <v>750.0</v>
      </c>
      <c r="N200" s="28"/>
      <c r="O200" s="28"/>
      <c r="P200" s="29"/>
      <c r="Q200" s="33"/>
      <c r="R200" s="27"/>
      <c r="S200" s="31">
        <v>0.0</v>
      </c>
      <c r="T200" s="31">
        <v>0.0</v>
      </c>
      <c r="U200" s="31"/>
      <c r="V200" s="30"/>
      <c r="W200" s="30"/>
      <c r="X200" s="23" t="s">
        <v>163</v>
      </c>
    </row>
    <row r="201" ht="15.75" hidden="1" customHeight="1">
      <c r="A201" s="23"/>
      <c r="B201" s="23" t="s">
        <v>10</v>
      </c>
      <c r="C201" s="23" t="s">
        <v>552</v>
      </c>
      <c r="D201" s="23" t="s">
        <v>553</v>
      </c>
      <c r="E201" s="23">
        <v>1377372.0</v>
      </c>
      <c r="F201" s="23">
        <v>97650.0</v>
      </c>
      <c r="G201" s="24" t="s">
        <v>114</v>
      </c>
      <c r="H201" s="23" t="s">
        <v>42</v>
      </c>
      <c r="I201" s="23" t="s">
        <v>49</v>
      </c>
      <c r="J201" s="25" t="s">
        <v>172</v>
      </c>
      <c r="K201" s="23" t="s">
        <v>162</v>
      </c>
      <c r="L201" s="26">
        <v>45989.0</v>
      </c>
      <c r="M201" s="27">
        <v>16250.0</v>
      </c>
      <c r="N201" s="28"/>
      <c r="O201" s="28"/>
      <c r="P201" s="29"/>
      <c r="Q201" s="33"/>
      <c r="R201" s="27"/>
      <c r="S201" s="31">
        <v>0.0</v>
      </c>
      <c r="T201" s="31">
        <v>0.0</v>
      </c>
      <c r="U201" s="31"/>
      <c r="V201" s="30"/>
      <c r="W201" s="30"/>
      <c r="X201" s="23" t="s">
        <v>163</v>
      </c>
    </row>
    <row r="202" ht="15.75" hidden="1" customHeight="1">
      <c r="A202" s="23"/>
      <c r="B202" s="23" t="s">
        <v>10</v>
      </c>
      <c r="C202" s="23" t="s">
        <v>552</v>
      </c>
      <c r="D202" s="23" t="s">
        <v>553</v>
      </c>
      <c r="E202" s="23">
        <v>1375268.0</v>
      </c>
      <c r="F202" s="23">
        <v>97616.0</v>
      </c>
      <c r="G202" s="24" t="s">
        <v>114</v>
      </c>
      <c r="H202" s="23" t="s">
        <v>42</v>
      </c>
      <c r="I202" s="23" t="s">
        <v>49</v>
      </c>
      <c r="J202" s="25" t="s">
        <v>172</v>
      </c>
      <c r="K202" s="23" t="s">
        <v>162</v>
      </c>
      <c r="L202" s="26">
        <v>45959.0</v>
      </c>
      <c r="M202" s="27">
        <v>16750.0</v>
      </c>
      <c r="N202" s="28"/>
      <c r="O202" s="28"/>
      <c r="P202" s="29"/>
      <c r="Q202" s="33"/>
      <c r="R202" s="27"/>
      <c r="S202" s="31">
        <v>0.0</v>
      </c>
      <c r="T202" s="31">
        <v>0.0</v>
      </c>
      <c r="U202" s="31"/>
      <c r="V202" s="30"/>
      <c r="W202" s="30"/>
      <c r="X202" s="23" t="s">
        <v>163</v>
      </c>
    </row>
    <row r="203" ht="15.75" hidden="1" customHeight="1">
      <c r="A203" s="23"/>
      <c r="B203" s="23" t="s">
        <v>10</v>
      </c>
      <c r="C203" s="23" t="s">
        <v>552</v>
      </c>
      <c r="D203" s="23" t="s">
        <v>553</v>
      </c>
      <c r="E203" s="23">
        <v>1374986.0</v>
      </c>
      <c r="F203" s="23">
        <v>97613.0</v>
      </c>
      <c r="G203" s="24" t="s">
        <v>114</v>
      </c>
      <c r="H203" s="23" t="s">
        <v>42</v>
      </c>
      <c r="I203" s="23" t="s">
        <v>49</v>
      </c>
      <c r="J203" s="25" t="s">
        <v>172</v>
      </c>
      <c r="K203" s="23" t="s">
        <v>162</v>
      </c>
      <c r="L203" s="26">
        <v>45989.0</v>
      </c>
      <c r="M203" s="27">
        <v>18100.0</v>
      </c>
      <c r="N203" s="28"/>
      <c r="O203" s="28"/>
      <c r="P203" s="29"/>
      <c r="Q203" s="33"/>
      <c r="R203" s="27"/>
      <c r="S203" s="31">
        <v>0.0</v>
      </c>
      <c r="T203" s="31">
        <v>0.0</v>
      </c>
      <c r="U203" s="31"/>
      <c r="V203" s="30"/>
      <c r="W203" s="30"/>
      <c r="X203" s="23" t="s">
        <v>163</v>
      </c>
    </row>
    <row r="204" ht="15.75" hidden="1" customHeight="1">
      <c r="A204" s="23"/>
      <c r="B204" s="23" t="s">
        <v>10</v>
      </c>
      <c r="C204" s="23" t="s">
        <v>552</v>
      </c>
      <c r="D204" s="23" t="s">
        <v>553</v>
      </c>
      <c r="E204" s="23">
        <v>1374985.0</v>
      </c>
      <c r="F204" s="23">
        <v>97611.0</v>
      </c>
      <c r="G204" s="24" t="s">
        <v>114</v>
      </c>
      <c r="H204" s="23" t="s">
        <v>42</v>
      </c>
      <c r="I204" s="23" t="s">
        <v>49</v>
      </c>
      <c r="J204" s="25" t="s">
        <v>172</v>
      </c>
      <c r="K204" s="23" t="s">
        <v>162</v>
      </c>
      <c r="L204" s="26">
        <v>45976.0</v>
      </c>
      <c r="M204" s="27">
        <v>13250.0</v>
      </c>
      <c r="N204" s="28"/>
      <c r="O204" s="28"/>
      <c r="P204" s="29"/>
      <c r="Q204" s="33"/>
      <c r="R204" s="27"/>
      <c r="S204" s="31">
        <v>0.0</v>
      </c>
      <c r="T204" s="31">
        <v>0.0</v>
      </c>
      <c r="U204" s="31"/>
      <c r="V204" s="30"/>
      <c r="W204" s="30"/>
      <c r="X204" s="23" t="s">
        <v>163</v>
      </c>
    </row>
    <row r="205" ht="15.75" hidden="1" customHeight="1">
      <c r="A205" s="23" t="s">
        <v>554</v>
      </c>
      <c r="B205" s="23" t="s">
        <v>10</v>
      </c>
      <c r="C205" s="23" t="s">
        <v>555</v>
      </c>
      <c r="D205" s="23" t="s">
        <v>556</v>
      </c>
      <c r="E205" s="23">
        <v>1382586.0</v>
      </c>
      <c r="F205" s="23">
        <v>97934.0</v>
      </c>
      <c r="G205" s="24" t="s">
        <v>114</v>
      </c>
      <c r="H205" s="23" t="s">
        <v>42</v>
      </c>
      <c r="I205" s="23" t="s">
        <v>49</v>
      </c>
      <c r="J205" s="25" t="s">
        <v>172</v>
      </c>
      <c r="K205" s="23" t="s">
        <v>172</v>
      </c>
      <c r="L205" s="26">
        <v>46013.0</v>
      </c>
      <c r="M205" s="27">
        <v>17250.0</v>
      </c>
      <c r="N205" s="28"/>
      <c r="O205" s="28"/>
      <c r="P205" s="29"/>
      <c r="Q205" s="33"/>
      <c r="R205" s="27"/>
      <c r="S205" s="31">
        <v>0.0</v>
      </c>
      <c r="T205" s="31">
        <v>0.0</v>
      </c>
      <c r="U205" s="31"/>
      <c r="V205" s="30"/>
      <c r="W205" s="30"/>
      <c r="X205" s="23" t="s">
        <v>163</v>
      </c>
    </row>
    <row r="206" ht="15.75" hidden="1" customHeight="1">
      <c r="A206" s="23"/>
      <c r="B206" s="23" t="s">
        <v>10</v>
      </c>
      <c r="C206" s="23" t="s">
        <v>555</v>
      </c>
      <c r="D206" s="23" t="s">
        <v>556</v>
      </c>
      <c r="E206" s="23">
        <v>1370797.0</v>
      </c>
      <c r="F206" s="23">
        <v>97388.0</v>
      </c>
      <c r="G206" s="24" t="s">
        <v>114</v>
      </c>
      <c r="H206" s="23" t="s">
        <v>42</v>
      </c>
      <c r="I206" s="23" t="s">
        <v>49</v>
      </c>
      <c r="J206" s="25" t="s">
        <v>172</v>
      </c>
      <c r="K206" s="23" t="s">
        <v>162</v>
      </c>
      <c r="L206" s="26">
        <v>45940.0</v>
      </c>
      <c r="M206" s="27">
        <v>20250.0</v>
      </c>
      <c r="N206" s="28"/>
      <c r="O206" s="28"/>
      <c r="P206" s="29"/>
      <c r="Q206" s="33"/>
      <c r="R206" s="27"/>
      <c r="S206" s="31">
        <v>0.0</v>
      </c>
      <c r="T206" s="31">
        <v>0.0</v>
      </c>
      <c r="U206" s="31"/>
      <c r="V206" s="30"/>
      <c r="W206" s="30"/>
      <c r="X206" s="23" t="s">
        <v>163</v>
      </c>
    </row>
    <row r="207" ht="15.75" hidden="1" customHeight="1">
      <c r="A207" s="23"/>
      <c r="B207" s="23" t="s">
        <v>10</v>
      </c>
      <c r="C207" s="23" t="s">
        <v>555</v>
      </c>
      <c r="D207" s="23" t="s">
        <v>556</v>
      </c>
      <c r="E207" s="23">
        <v>1370799.0</v>
      </c>
      <c r="F207" s="23">
        <v>97386.0</v>
      </c>
      <c r="G207" s="24" t="s">
        <v>114</v>
      </c>
      <c r="H207" s="23" t="s">
        <v>42</v>
      </c>
      <c r="I207" s="23" t="s">
        <v>49</v>
      </c>
      <c r="J207" s="25" t="s">
        <v>172</v>
      </c>
      <c r="K207" s="23" t="s">
        <v>162</v>
      </c>
      <c r="L207" s="26">
        <v>45937.0</v>
      </c>
      <c r="M207" s="27">
        <v>16750.0</v>
      </c>
      <c r="N207" s="28"/>
      <c r="O207" s="28"/>
      <c r="P207" s="29"/>
      <c r="Q207" s="33"/>
      <c r="R207" s="27"/>
      <c r="S207" s="31">
        <v>0.0</v>
      </c>
      <c r="T207" s="31">
        <v>0.0</v>
      </c>
      <c r="U207" s="31"/>
      <c r="V207" s="30"/>
      <c r="W207" s="30"/>
      <c r="X207" s="23" t="s">
        <v>163</v>
      </c>
    </row>
    <row r="208" ht="15.75" hidden="1" customHeight="1">
      <c r="A208" s="23"/>
      <c r="B208" s="23" t="s">
        <v>10</v>
      </c>
      <c r="C208" s="23" t="s">
        <v>555</v>
      </c>
      <c r="D208" s="23" t="s">
        <v>556</v>
      </c>
      <c r="E208" s="23">
        <v>1370798.0</v>
      </c>
      <c r="F208" s="23">
        <v>97385.0</v>
      </c>
      <c r="G208" s="24" t="s">
        <v>114</v>
      </c>
      <c r="H208" s="23" t="s">
        <v>42</v>
      </c>
      <c r="I208" s="23" t="s">
        <v>49</v>
      </c>
      <c r="J208" s="25" t="s">
        <v>172</v>
      </c>
      <c r="K208" s="23" t="s">
        <v>162</v>
      </c>
      <c r="L208" s="26">
        <v>45956.0</v>
      </c>
      <c r="M208" s="27">
        <v>16750.0</v>
      </c>
      <c r="N208" s="28"/>
      <c r="O208" s="28"/>
      <c r="P208" s="29"/>
      <c r="Q208" s="33"/>
      <c r="R208" s="27"/>
      <c r="S208" s="31">
        <v>0.0</v>
      </c>
      <c r="T208" s="31">
        <v>0.0</v>
      </c>
      <c r="U208" s="31"/>
      <c r="V208" s="30"/>
      <c r="W208" s="30"/>
      <c r="X208" s="23" t="s">
        <v>163</v>
      </c>
    </row>
    <row r="209" ht="15.75" hidden="1" customHeight="1">
      <c r="A209" s="23"/>
      <c r="B209" s="23" t="s">
        <v>10</v>
      </c>
      <c r="C209" s="23" t="s">
        <v>555</v>
      </c>
      <c r="D209" s="23" t="s">
        <v>556</v>
      </c>
      <c r="E209" s="23">
        <v>1329557.0</v>
      </c>
      <c r="F209" s="23">
        <v>94367.0</v>
      </c>
      <c r="G209" s="24" t="s">
        <v>114</v>
      </c>
      <c r="H209" s="23" t="s">
        <v>42</v>
      </c>
      <c r="I209" s="23" t="s">
        <v>49</v>
      </c>
      <c r="J209" s="25" t="s">
        <v>116</v>
      </c>
      <c r="K209" s="23" t="s">
        <v>162</v>
      </c>
      <c r="L209" s="26">
        <v>45676.0</v>
      </c>
      <c r="M209" s="27">
        <v>16100.0</v>
      </c>
      <c r="N209" s="28"/>
      <c r="O209" s="28"/>
      <c r="P209" s="29"/>
      <c r="Q209" s="33"/>
      <c r="R209" s="27"/>
      <c r="S209" s="31">
        <v>0.0</v>
      </c>
      <c r="T209" s="31">
        <v>0.0</v>
      </c>
      <c r="U209" s="31"/>
      <c r="V209" s="30"/>
      <c r="W209" s="30"/>
      <c r="X209" s="23" t="s">
        <v>163</v>
      </c>
    </row>
    <row r="210" ht="15.75" hidden="1" customHeight="1">
      <c r="A210" s="23"/>
      <c r="B210" s="23" t="s">
        <v>10</v>
      </c>
      <c r="C210" s="23" t="s">
        <v>557</v>
      </c>
      <c r="D210" s="23" t="s">
        <v>558</v>
      </c>
      <c r="E210" s="23">
        <v>1395426.0</v>
      </c>
      <c r="F210" s="23">
        <v>98654.0</v>
      </c>
      <c r="G210" s="24" t="s">
        <v>114</v>
      </c>
      <c r="H210" s="23" t="s">
        <v>171</v>
      </c>
      <c r="I210" s="23" t="s">
        <v>49</v>
      </c>
      <c r="J210" s="25" t="s">
        <v>172</v>
      </c>
      <c r="K210" s="23" t="s">
        <v>375</v>
      </c>
      <c r="L210" s="26">
        <v>46087.0</v>
      </c>
      <c r="M210" s="27">
        <v>4350.0</v>
      </c>
      <c r="N210" s="28"/>
      <c r="O210" s="28"/>
      <c r="P210" s="29"/>
      <c r="Q210" s="33"/>
      <c r="R210" s="27"/>
      <c r="S210" s="31">
        <v>0.0</v>
      </c>
      <c r="T210" s="31">
        <v>0.0</v>
      </c>
      <c r="U210" s="31"/>
      <c r="V210" s="30"/>
      <c r="W210" s="30"/>
      <c r="X210" s="23" t="s">
        <v>163</v>
      </c>
    </row>
    <row r="211" ht="15.75" hidden="1" customHeight="1">
      <c r="A211" s="23"/>
      <c r="B211" s="23" t="s">
        <v>10</v>
      </c>
      <c r="C211" s="23" t="s">
        <v>559</v>
      </c>
      <c r="D211" s="23" t="s">
        <v>560</v>
      </c>
      <c r="E211" s="23">
        <v>981798.0</v>
      </c>
      <c r="F211" s="23">
        <v>73032.0</v>
      </c>
      <c r="G211" s="24" t="s">
        <v>114</v>
      </c>
      <c r="H211" s="23" t="s">
        <v>519</v>
      </c>
      <c r="I211" s="23" t="s">
        <v>520</v>
      </c>
      <c r="J211" s="25" t="s">
        <v>161</v>
      </c>
      <c r="K211" s="23" t="s">
        <v>394</v>
      </c>
      <c r="L211" s="26">
        <v>43671.0</v>
      </c>
      <c r="M211" s="27">
        <v>2300.0</v>
      </c>
      <c r="N211" s="28"/>
      <c r="O211" s="28"/>
      <c r="P211" s="29"/>
      <c r="Q211" s="33"/>
      <c r="R211" s="27"/>
      <c r="S211" s="31">
        <v>0.0</v>
      </c>
      <c r="T211" s="31">
        <v>0.0</v>
      </c>
      <c r="U211" s="31"/>
      <c r="V211" s="30"/>
      <c r="W211" s="30"/>
      <c r="X211" s="23" t="s">
        <v>163</v>
      </c>
    </row>
    <row r="212" ht="15.75" hidden="1" customHeight="1">
      <c r="A212" s="23" t="s">
        <v>561</v>
      </c>
      <c r="B212" s="23" t="s">
        <v>10</v>
      </c>
      <c r="C212" s="23" t="s">
        <v>562</v>
      </c>
      <c r="D212" s="23" t="s">
        <v>563</v>
      </c>
      <c r="E212" s="23">
        <v>1382526.0</v>
      </c>
      <c r="F212" s="23">
        <v>97803.0</v>
      </c>
      <c r="G212" s="24" t="s">
        <v>114</v>
      </c>
      <c r="H212" s="23" t="s">
        <v>42</v>
      </c>
      <c r="I212" s="23" t="s">
        <v>32</v>
      </c>
      <c r="J212" s="25" t="s">
        <v>172</v>
      </c>
      <c r="K212" s="23" t="s">
        <v>526</v>
      </c>
      <c r="L212" s="26">
        <v>45982.0</v>
      </c>
      <c r="M212" s="27">
        <v>5800.0</v>
      </c>
      <c r="N212" s="28">
        <v>45982.0</v>
      </c>
      <c r="O212" s="28">
        <v>45983.0</v>
      </c>
      <c r="P212" s="29">
        <v>5.0</v>
      </c>
      <c r="Q212" s="33">
        <v>46176.0</v>
      </c>
      <c r="R212" s="27">
        <v>6102.2</v>
      </c>
      <c r="S212" s="31">
        <v>0.0</v>
      </c>
      <c r="T212" s="31">
        <v>-6102.2</v>
      </c>
      <c r="U212" s="31"/>
      <c r="V212" s="30"/>
      <c r="W212" s="30"/>
      <c r="X212" s="23" t="s">
        <v>173</v>
      </c>
    </row>
    <row r="213" ht="15.75" hidden="1" customHeight="1">
      <c r="A213" s="23"/>
      <c r="B213" s="23" t="s">
        <v>10</v>
      </c>
      <c r="C213" s="23" t="s">
        <v>564</v>
      </c>
      <c r="D213" s="23" t="s">
        <v>565</v>
      </c>
      <c r="E213" s="23">
        <v>1399457.0</v>
      </c>
      <c r="F213" s="23">
        <v>98432.0</v>
      </c>
      <c r="G213" s="24" t="s">
        <v>114</v>
      </c>
      <c r="H213" s="23" t="s">
        <v>42</v>
      </c>
      <c r="I213" s="23" t="s">
        <v>49</v>
      </c>
      <c r="J213" s="25" t="s">
        <v>172</v>
      </c>
      <c r="K213" s="23" t="s">
        <v>375</v>
      </c>
      <c r="L213" s="26">
        <v>46122.0</v>
      </c>
      <c r="M213" s="27">
        <v>15625.0</v>
      </c>
      <c r="N213" s="28"/>
      <c r="O213" s="28"/>
      <c r="P213" s="29"/>
      <c r="Q213" s="33"/>
      <c r="R213" s="27"/>
      <c r="S213" s="31">
        <v>0.0</v>
      </c>
      <c r="T213" s="31">
        <v>0.0</v>
      </c>
      <c r="U213" s="31"/>
      <c r="V213" s="30"/>
      <c r="W213" s="30"/>
      <c r="X213" s="23" t="s">
        <v>163</v>
      </c>
    </row>
    <row r="214" ht="15.75" hidden="1" customHeight="1">
      <c r="A214" s="23"/>
      <c r="B214" s="23" t="s">
        <v>10</v>
      </c>
      <c r="C214" s="23" t="s">
        <v>564</v>
      </c>
      <c r="D214" s="23" t="s">
        <v>565</v>
      </c>
      <c r="E214" s="23">
        <v>1399456.0</v>
      </c>
      <c r="F214" s="23">
        <v>98429.0</v>
      </c>
      <c r="G214" s="24" t="s">
        <v>114</v>
      </c>
      <c r="H214" s="23" t="s">
        <v>42</v>
      </c>
      <c r="I214" s="23" t="s">
        <v>49</v>
      </c>
      <c r="J214" s="25" t="s">
        <v>172</v>
      </c>
      <c r="K214" s="23" t="s">
        <v>375</v>
      </c>
      <c r="L214" s="26">
        <v>46122.0</v>
      </c>
      <c r="M214" s="27">
        <v>16125.0</v>
      </c>
      <c r="N214" s="28"/>
      <c r="O214" s="28"/>
      <c r="P214" s="29"/>
      <c r="Q214" s="33"/>
      <c r="R214" s="27"/>
      <c r="S214" s="31">
        <v>0.0</v>
      </c>
      <c r="T214" s="31">
        <v>0.0</v>
      </c>
      <c r="U214" s="31"/>
      <c r="V214" s="30"/>
      <c r="W214" s="30"/>
      <c r="X214" s="23" t="s">
        <v>163</v>
      </c>
    </row>
    <row r="215" ht="15.75" hidden="1" customHeight="1">
      <c r="A215" s="23" t="s">
        <v>566</v>
      </c>
      <c r="B215" s="23" t="s">
        <v>10</v>
      </c>
      <c r="C215" s="23" t="s">
        <v>567</v>
      </c>
      <c r="D215" s="23" t="s">
        <v>568</v>
      </c>
      <c r="E215" s="23">
        <v>1389901.0</v>
      </c>
      <c r="F215" s="23">
        <v>98182.0</v>
      </c>
      <c r="G215" s="24" t="s">
        <v>114</v>
      </c>
      <c r="H215" s="23" t="s">
        <v>171</v>
      </c>
      <c r="I215" s="23" t="s">
        <v>32</v>
      </c>
      <c r="J215" s="25" t="s">
        <v>172</v>
      </c>
      <c r="K215" s="23" t="s">
        <v>526</v>
      </c>
      <c r="L215" s="26">
        <v>46010.0</v>
      </c>
      <c r="M215" s="27">
        <v>5000.0</v>
      </c>
      <c r="N215" s="28">
        <v>46010.0</v>
      </c>
      <c r="O215" s="28">
        <v>46011.0</v>
      </c>
      <c r="P215" s="29">
        <v>1.0</v>
      </c>
      <c r="Q215" s="33">
        <v>46154.0</v>
      </c>
      <c r="R215" s="27">
        <v>5570.4</v>
      </c>
      <c r="S215" s="31">
        <v>5570.4</v>
      </c>
      <c r="T215" s="31">
        <v>0.0</v>
      </c>
      <c r="U215" s="32"/>
      <c r="V215" s="30"/>
      <c r="W215" s="30"/>
      <c r="X215" s="23" t="s">
        <v>179</v>
      </c>
    </row>
    <row r="216" ht="15.75" hidden="1" customHeight="1">
      <c r="A216" s="23"/>
      <c r="B216" s="23" t="s">
        <v>10</v>
      </c>
      <c r="C216" s="23" t="s">
        <v>332</v>
      </c>
      <c r="D216" s="23" t="s">
        <v>333</v>
      </c>
      <c r="E216" s="23">
        <v>1387244.0</v>
      </c>
      <c r="F216" s="23">
        <v>98189.0</v>
      </c>
      <c r="G216" s="24" t="s">
        <v>114</v>
      </c>
      <c r="H216" s="23" t="s">
        <v>171</v>
      </c>
      <c r="I216" s="23" t="s">
        <v>49</v>
      </c>
      <c r="J216" s="25" t="s">
        <v>172</v>
      </c>
      <c r="K216" s="23" t="s">
        <v>172</v>
      </c>
      <c r="L216" s="26">
        <v>46036.0</v>
      </c>
      <c r="M216" s="27">
        <v>20675.0</v>
      </c>
      <c r="N216" s="28"/>
      <c r="O216" s="28"/>
      <c r="P216" s="29"/>
      <c r="Q216" s="33"/>
      <c r="R216" s="27"/>
      <c r="S216" s="31">
        <v>0.0</v>
      </c>
      <c r="T216" s="31">
        <v>0.0</v>
      </c>
      <c r="U216" s="31"/>
      <c r="V216" s="30"/>
      <c r="W216" s="30"/>
      <c r="X216" s="23" t="s">
        <v>163</v>
      </c>
    </row>
    <row r="217" ht="15.75" hidden="1" customHeight="1">
      <c r="A217" s="23"/>
      <c r="B217" s="23" t="s">
        <v>10</v>
      </c>
      <c r="C217" s="23" t="s">
        <v>569</v>
      </c>
      <c r="D217" s="23" t="s">
        <v>570</v>
      </c>
      <c r="E217" s="23">
        <v>1319898.0</v>
      </c>
      <c r="F217" s="23">
        <v>93874.0</v>
      </c>
      <c r="G217" s="24" t="s">
        <v>114</v>
      </c>
      <c r="H217" s="23" t="s">
        <v>42</v>
      </c>
      <c r="I217" s="23" t="s">
        <v>183</v>
      </c>
      <c r="J217" s="25" t="s">
        <v>172</v>
      </c>
      <c r="K217" s="23" t="s">
        <v>375</v>
      </c>
      <c r="L217" s="26">
        <v>45603.0</v>
      </c>
      <c r="M217" s="27">
        <v>4100.0</v>
      </c>
      <c r="N217" s="28"/>
      <c r="O217" s="28"/>
      <c r="P217" s="29"/>
      <c r="Q217" s="33"/>
      <c r="R217" s="27"/>
      <c r="S217" s="31">
        <v>0.0</v>
      </c>
      <c r="T217" s="31">
        <v>0.0</v>
      </c>
      <c r="U217" s="31"/>
      <c r="V217" s="30"/>
      <c r="W217" s="30"/>
      <c r="X217" s="23" t="s">
        <v>163</v>
      </c>
    </row>
    <row r="218" ht="15.75" hidden="1" customHeight="1">
      <c r="A218" s="23" t="s">
        <v>571</v>
      </c>
      <c r="B218" s="23" t="s">
        <v>10</v>
      </c>
      <c r="C218" s="23" t="s">
        <v>572</v>
      </c>
      <c r="D218" s="23" t="s">
        <v>573</v>
      </c>
      <c r="E218" s="23">
        <v>1389090.0</v>
      </c>
      <c r="F218" s="23">
        <v>98124.0</v>
      </c>
      <c r="G218" s="24" t="s">
        <v>114</v>
      </c>
      <c r="H218" s="23" t="s">
        <v>171</v>
      </c>
      <c r="I218" s="23" t="s">
        <v>32</v>
      </c>
      <c r="J218" s="25" t="s">
        <v>172</v>
      </c>
      <c r="K218" s="23" t="s">
        <v>526</v>
      </c>
      <c r="L218" s="26">
        <v>46030.0</v>
      </c>
      <c r="M218" s="27">
        <v>7500.0</v>
      </c>
      <c r="N218" s="28">
        <v>46031.0</v>
      </c>
      <c r="O218" s="28">
        <v>46032.0</v>
      </c>
      <c r="P218" s="29">
        <v>6.0</v>
      </c>
      <c r="Q218" s="33">
        <v>46182.0</v>
      </c>
      <c r="R218" s="27">
        <v>3887.65</v>
      </c>
      <c r="S218" s="31">
        <v>0.0</v>
      </c>
      <c r="T218" s="31">
        <v>-3887.65</v>
      </c>
      <c r="U218" s="31"/>
      <c r="V218" s="30"/>
      <c r="W218" s="30"/>
      <c r="X218" s="23" t="s">
        <v>173</v>
      </c>
    </row>
    <row r="219" ht="15.75" hidden="1" customHeight="1">
      <c r="A219" s="23"/>
      <c r="B219" s="23" t="s">
        <v>10</v>
      </c>
      <c r="C219" s="23" t="s">
        <v>574</v>
      </c>
      <c r="D219" s="23" t="s">
        <v>575</v>
      </c>
      <c r="E219" s="23">
        <v>1395964.0</v>
      </c>
      <c r="F219" s="23">
        <v>98895.0</v>
      </c>
      <c r="G219" s="24" t="s">
        <v>114</v>
      </c>
      <c r="H219" s="23" t="s">
        <v>171</v>
      </c>
      <c r="I219" s="23" t="s">
        <v>32</v>
      </c>
      <c r="J219" s="25" t="s">
        <v>172</v>
      </c>
      <c r="K219" s="23" t="s">
        <v>162</v>
      </c>
      <c r="L219" s="26">
        <v>46099.0</v>
      </c>
      <c r="M219" s="27">
        <v>750.0</v>
      </c>
      <c r="N219" s="28"/>
      <c r="O219" s="28"/>
      <c r="P219" s="29"/>
      <c r="Q219" s="33"/>
      <c r="R219" s="27"/>
      <c r="S219" s="31">
        <v>0.0</v>
      </c>
      <c r="T219" s="31">
        <v>0.0</v>
      </c>
      <c r="U219" s="31"/>
      <c r="V219" s="30"/>
      <c r="W219" s="30"/>
      <c r="X219" s="23" t="s">
        <v>163</v>
      </c>
    </row>
    <row r="220" ht="15.75" hidden="1" customHeight="1">
      <c r="A220" s="23"/>
      <c r="B220" s="23" t="s">
        <v>10</v>
      </c>
      <c r="C220" s="23" t="s">
        <v>576</v>
      </c>
      <c r="D220" s="23" t="s">
        <v>577</v>
      </c>
      <c r="E220" s="23">
        <v>1400178.0</v>
      </c>
      <c r="F220" s="23">
        <v>99264.0</v>
      </c>
      <c r="G220" s="24" t="s">
        <v>114</v>
      </c>
      <c r="H220" s="23" t="s">
        <v>171</v>
      </c>
      <c r="I220" s="23" t="s">
        <v>32</v>
      </c>
      <c r="J220" s="25" t="s">
        <v>172</v>
      </c>
      <c r="K220" s="23" t="s">
        <v>162</v>
      </c>
      <c r="L220" s="26">
        <v>46125.0</v>
      </c>
      <c r="M220" s="27">
        <v>18250.0</v>
      </c>
      <c r="N220" s="28"/>
      <c r="O220" s="28"/>
      <c r="P220" s="29"/>
      <c r="Q220" s="33"/>
      <c r="R220" s="27"/>
      <c r="S220" s="31">
        <v>0.0</v>
      </c>
      <c r="T220" s="31">
        <v>0.0</v>
      </c>
      <c r="U220" s="31"/>
      <c r="V220" s="30"/>
      <c r="W220" s="30"/>
      <c r="X220" s="23" t="s">
        <v>163</v>
      </c>
    </row>
    <row r="221" ht="15.75" hidden="1" customHeight="1">
      <c r="A221" s="23" t="s">
        <v>578</v>
      </c>
      <c r="B221" s="23" t="s">
        <v>10</v>
      </c>
      <c r="C221" s="23" t="s">
        <v>576</v>
      </c>
      <c r="D221" s="23" t="s">
        <v>577</v>
      </c>
      <c r="E221" s="23">
        <v>1213339.0</v>
      </c>
      <c r="F221" s="23">
        <v>90405.0</v>
      </c>
      <c r="G221" s="24" t="s">
        <v>114</v>
      </c>
      <c r="H221" s="23" t="s">
        <v>171</v>
      </c>
      <c r="I221" s="23" t="s">
        <v>32</v>
      </c>
      <c r="J221" s="25" t="s">
        <v>172</v>
      </c>
      <c r="K221" s="23" t="s">
        <v>526</v>
      </c>
      <c r="L221" s="26">
        <v>45300.0</v>
      </c>
      <c r="M221" s="27">
        <v>2700.0</v>
      </c>
      <c r="N221" s="28">
        <v>45294.0</v>
      </c>
      <c r="O221" s="28">
        <v>45294.0</v>
      </c>
      <c r="P221" s="29">
        <v>330.0</v>
      </c>
      <c r="Q221" s="33">
        <v>46182.0</v>
      </c>
      <c r="R221" s="27">
        <v>1128.0</v>
      </c>
      <c r="S221" s="31">
        <v>0.0</v>
      </c>
      <c r="T221" s="31">
        <v>-1128.0</v>
      </c>
      <c r="U221" s="31"/>
      <c r="V221" s="30"/>
      <c r="W221" s="30"/>
      <c r="X221" s="23" t="s">
        <v>173</v>
      </c>
    </row>
    <row r="222" ht="15.75" hidden="1" customHeight="1">
      <c r="A222" s="23"/>
      <c r="B222" s="23" t="s">
        <v>10</v>
      </c>
      <c r="C222" s="23" t="s">
        <v>579</v>
      </c>
      <c r="D222" s="23" t="s">
        <v>580</v>
      </c>
      <c r="E222" s="23">
        <v>1384514.0</v>
      </c>
      <c r="F222" s="23">
        <v>98013.0</v>
      </c>
      <c r="G222" s="24" t="s">
        <v>114</v>
      </c>
      <c r="H222" s="23" t="s">
        <v>171</v>
      </c>
      <c r="I222" s="23" t="s">
        <v>49</v>
      </c>
      <c r="J222" s="25" t="s">
        <v>172</v>
      </c>
      <c r="K222" s="23" t="s">
        <v>172</v>
      </c>
      <c r="L222" s="26">
        <v>46014.0</v>
      </c>
      <c r="M222" s="27">
        <v>9600.0</v>
      </c>
      <c r="N222" s="28"/>
      <c r="O222" s="28"/>
      <c r="P222" s="29"/>
      <c r="Q222" s="33"/>
      <c r="R222" s="27"/>
      <c r="S222" s="31">
        <v>0.0</v>
      </c>
      <c r="T222" s="31">
        <v>0.0</v>
      </c>
      <c r="U222" s="31"/>
      <c r="V222" s="30"/>
      <c r="W222" s="30"/>
      <c r="X222" s="23" t="s">
        <v>163</v>
      </c>
    </row>
    <row r="223" ht="15.75" hidden="1" customHeight="1">
      <c r="A223" s="23" t="s">
        <v>581</v>
      </c>
      <c r="B223" s="23" t="s">
        <v>10</v>
      </c>
      <c r="C223" s="23" t="s">
        <v>582</v>
      </c>
      <c r="D223" s="23" t="s">
        <v>583</v>
      </c>
      <c r="E223" s="23">
        <v>1382514.0</v>
      </c>
      <c r="F223" s="23">
        <v>97842.0</v>
      </c>
      <c r="G223" s="24" t="s">
        <v>114</v>
      </c>
      <c r="H223" s="23" t="s">
        <v>42</v>
      </c>
      <c r="I223" s="23" t="s">
        <v>32</v>
      </c>
      <c r="J223" s="25" t="s">
        <v>172</v>
      </c>
      <c r="K223" s="23" t="s">
        <v>526</v>
      </c>
      <c r="L223" s="26">
        <v>45990.0</v>
      </c>
      <c r="M223" s="27">
        <v>9670.0</v>
      </c>
      <c r="N223" s="28">
        <v>45990.0</v>
      </c>
      <c r="O223" s="28">
        <v>45991.0</v>
      </c>
      <c r="P223" s="29">
        <v>4.0</v>
      </c>
      <c r="Q223" s="33">
        <v>46176.0</v>
      </c>
      <c r="R223" s="27">
        <v>3110.37</v>
      </c>
      <c r="S223" s="31">
        <v>0.0</v>
      </c>
      <c r="T223" s="31">
        <v>-3110.37</v>
      </c>
      <c r="U223" s="31"/>
      <c r="V223" s="30"/>
      <c r="W223" s="30"/>
      <c r="X223" s="23" t="s">
        <v>173</v>
      </c>
    </row>
    <row r="224" ht="15.75" hidden="1" customHeight="1">
      <c r="A224" s="23" t="s">
        <v>584</v>
      </c>
      <c r="B224" s="23" t="s">
        <v>10</v>
      </c>
      <c r="C224" s="23" t="s">
        <v>582</v>
      </c>
      <c r="D224" s="23" t="s">
        <v>585</v>
      </c>
      <c r="E224" s="23">
        <v>1390004.0</v>
      </c>
      <c r="F224" s="23">
        <v>98309.0</v>
      </c>
      <c r="G224" s="24" t="s">
        <v>114</v>
      </c>
      <c r="H224" s="23" t="s">
        <v>171</v>
      </c>
      <c r="I224" s="23" t="s">
        <v>32</v>
      </c>
      <c r="J224" s="25" t="s">
        <v>172</v>
      </c>
      <c r="K224" s="23" t="s">
        <v>526</v>
      </c>
      <c r="L224" s="26">
        <v>46045.0</v>
      </c>
      <c r="M224" s="27">
        <v>5000.0</v>
      </c>
      <c r="N224" s="28">
        <v>46045.0</v>
      </c>
      <c r="O224" s="28">
        <v>46046.0</v>
      </c>
      <c r="P224" s="29">
        <v>7.0</v>
      </c>
      <c r="Q224" s="33">
        <v>46182.0</v>
      </c>
      <c r="R224" s="27">
        <v>3148.9</v>
      </c>
      <c r="S224" s="31">
        <v>0.0</v>
      </c>
      <c r="T224" s="31">
        <v>-3148.9</v>
      </c>
      <c r="U224" s="31"/>
      <c r="V224" s="30"/>
      <c r="W224" s="30"/>
      <c r="X224" s="23" t="s">
        <v>173</v>
      </c>
    </row>
    <row r="225" ht="15.75" hidden="1" customHeight="1">
      <c r="A225" s="23" t="s">
        <v>581</v>
      </c>
      <c r="B225" s="23" t="s">
        <v>10</v>
      </c>
      <c r="C225" s="23" t="s">
        <v>582</v>
      </c>
      <c r="D225" s="23" t="s">
        <v>585</v>
      </c>
      <c r="E225" s="23">
        <v>1382512.0</v>
      </c>
      <c r="F225" s="23">
        <v>97842.0</v>
      </c>
      <c r="G225" s="24" t="s">
        <v>114</v>
      </c>
      <c r="H225" s="23" t="s">
        <v>171</v>
      </c>
      <c r="I225" s="23" t="s">
        <v>32</v>
      </c>
      <c r="J225" s="25" t="s">
        <v>172</v>
      </c>
      <c r="K225" s="23" t="s">
        <v>526</v>
      </c>
      <c r="L225" s="26">
        <v>45990.0</v>
      </c>
      <c r="M225" s="27">
        <v>5800.0</v>
      </c>
      <c r="N225" s="28">
        <v>45990.0</v>
      </c>
      <c r="O225" s="28">
        <v>45991.0</v>
      </c>
      <c r="P225" s="29">
        <v>4.0</v>
      </c>
      <c r="Q225" s="33">
        <v>46176.0</v>
      </c>
      <c r="R225" s="27">
        <v>3110.37</v>
      </c>
      <c r="S225" s="31">
        <v>0.0</v>
      </c>
      <c r="T225" s="31">
        <v>-3110.37</v>
      </c>
      <c r="U225" s="31"/>
      <c r="V225" s="30"/>
      <c r="W225" s="30"/>
      <c r="X225" s="23" t="s">
        <v>173</v>
      </c>
    </row>
    <row r="226" ht="15.75" hidden="1" customHeight="1">
      <c r="A226" s="23"/>
      <c r="B226" s="23" t="s">
        <v>10</v>
      </c>
      <c r="C226" s="23" t="s">
        <v>586</v>
      </c>
      <c r="D226" s="23" t="s">
        <v>587</v>
      </c>
      <c r="E226" s="23">
        <v>1308221.0</v>
      </c>
      <c r="F226" s="23">
        <v>93188.0</v>
      </c>
      <c r="G226" s="24" t="s">
        <v>114</v>
      </c>
      <c r="H226" s="23" t="s">
        <v>42</v>
      </c>
      <c r="I226" s="23" t="s">
        <v>183</v>
      </c>
      <c r="J226" s="25" t="s">
        <v>172</v>
      </c>
      <c r="K226" s="23" t="s">
        <v>375</v>
      </c>
      <c r="L226" s="26">
        <v>45539.0</v>
      </c>
      <c r="M226" s="27">
        <v>4000.0</v>
      </c>
      <c r="N226" s="28"/>
      <c r="O226" s="28"/>
      <c r="P226" s="29"/>
      <c r="Q226" s="33"/>
      <c r="R226" s="27"/>
      <c r="S226" s="31">
        <v>0.0</v>
      </c>
      <c r="T226" s="31">
        <v>0.0</v>
      </c>
      <c r="U226" s="31"/>
      <c r="V226" s="30"/>
      <c r="W226" s="30"/>
      <c r="X226" s="23" t="s">
        <v>163</v>
      </c>
    </row>
    <row r="227" ht="15.75" hidden="1" customHeight="1">
      <c r="A227" s="23"/>
      <c r="B227" s="23" t="s">
        <v>10</v>
      </c>
      <c r="C227" s="23" t="s">
        <v>38</v>
      </c>
      <c r="D227" s="23" t="s">
        <v>123</v>
      </c>
      <c r="E227" s="23">
        <v>1392514.0</v>
      </c>
      <c r="F227" s="23">
        <v>98591.0</v>
      </c>
      <c r="G227" s="24" t="s">
        <v>114</v>
      </c>
      <c r="H227" s="23" t="s">
        <v>171</v>
      </c>
      <c r="I227" s="23" t="s">
        <v>32</v>
      </c>
      <c r="J227" s="25" t="s">
        <v>172</v>
      </c>
      <c r="K227" s="23" t="s">
        <v>162</v>
      </c>
      <c r="L227" s="26">
        <v>46085.0</v>
      </c>
      <c r="M227" s="27">
        <v>750.0</v>
      </c>
      <c r="N227" s="28"/>
      <c r="O227" s="28"/>
      <c r="P227" s="29"/>
      <c r="Q227" s="33"/>
      <c r="R227" s="27"/>
      <c r="S227" s="31">
        <v>0.0</v>
      </c>
      <c r="T227" s="31">
        <v>0.0</v>
      </c>
      <c r="U227" s="31"/>
      <c r="V227" s="30"/>
      <c r="W227" s="30"/>
      <c r="X227" s="23" t="s">
        <v>163</v>
      </c>
    </row>
    <row r="228" ht="15.75" hidden="1" customHeight="1">
      <c r="A228" s="23"/>
      <c r="B228" s="23" t="s">
        <v>10</v>
      </c>
      <c r="C228" s="23" t="s">
        <v>588</v>
      </c>
      <c r="D228" s="23" t="s">
        <v>589</v>
      </c>
      <c r="E228" s="23">
        <v>1389898.0</v>
      </c>
      <c r="F228" s="23">
        <v>98079.0</v>
      </c>
      <c r="G228" s="24" t="s">
        <v>114</v>
      </c>
      <c r="H228" s="23" t="s">
        <v>171</v>
      </c>
      <c r="I228" s="23" t="s">
        <v>32</v>
      </c>
      <c r="J228" s="25" t="s">
        <v>172</v>
      </c>
      <c r="K228" s="23" t="s">
        <v>172</v>
      </c>
      <c r="L228" s="26">
        <v>46027.0</v>
      </c>
      <c r="M228" s="27">
        <v>7250.0</v>
      </c>
      <c r="N228" s="28"/>
      <c r="O228" s="28"/>
      <c r="P228" s="29"/>
      <c r="Q228" s="33"/>
      <c r="R228" s="27"/>
      <c r="S228" s="31">
        <v>0.0</v>
      </c>
      <c r="T228" s="31">
        <v>0.0</v>
      </c>
      <c r="U228" s="31"/>
      <c r="V228" s="30"/>
      <c r="W228" s="30"/>
      <c r="X228" s="23" t="s">
        <v>163</v>
      </c>
    </row>
    <row r="229" ht="15.75" hidden="1" customHeight="1">
      <c r="A229" s="23"/>
      <c r="B229" s="23" t="s">
        <v>10</v>
      </c>
      <c r="C229" s="23" t="s">
        <v>344</v>
      </c>
      <c r="D229" s="23" t="s">
        <v>345</v>
      </c>
      <c r="E229" s="23">
        <v>1382569.0</v>
      </c>
      <c r="F229" s="23">
        <v>95435.0</v>
      </c>
      <c r="G229" s="24" t="s">
        <v>114</v>
      </c>
      <c r="H229" s="23" t="s">
        <v>42</v>
      </c>
      <c r="I229" s="23" t="s">
        <v>49</v>
      </c>
      <c r="J229" s="25" t="s">
        <v>172</v>
      </c>
      <c r="K229" s="23" t="s">
        <v>172</v>
      </c>
      <c r="L229" s="26">
        <v>46013.0</v>
      </c>
      <c r="M229" s="27">
        <v>17250.0</v>
      </c>
      <c r="N229" s="28"/>
      <c r="O229" s="28"/>
      <c r="P229" s="29"/>
      <c r="Q229" s="33"/>
      <c r="R229" s="27"/>
      <c r="S229" s="31">
        <v>0.0</v>
      </c>
      <c r="T229" s="31">
        <v>0.0</v>
      </c>
      <c r="U229" s="31"/>
      <c r="V229" s="30"/>
      <c r="W229" s="30"/>
      <c r="X229" s="23" t="s">
        <v>163</v>
      </c>
    </row>
    <row r="230" ht="15.75" hidden="1" customHeight="1">
      <c r="A230" s="23"/>
      <c r="B230" s="23" t="s">
        <v>10</v>
      </c>
      <c r="C230" s="23" t="s">
        <v>590</v>
      </c>
      <c r="D230" s="23" t="s">
        <v>591</v>
      </c>
      <c r="E230" s="23">
        <v>1391931.0</v>
      </c>
      <c r="F230" s="23">
        <v>98476.0</v>
      </c>
      <c r="G230" s="24" t="s">
        <v>114</v>
      </c>
      <c r="H230" s="23" t="s">
        <v>42</v>
      </c>
      <c r="I230" s="23" t="s">
        <v>32</v>
      </c>
      <c r="J230" s="25" t="s">
        <v>172</v>
      </c>
      <c r="K230" s="23" t="s">
        <v>375</v>
      </c>
      <c r="L230" s="26">
        <v>46059.0</v>
      </c>
      <c r="M230" s="27">
        <v>11125.0</v>
      </c>
      <c r="N230" s="28"/>
      <c r="O230" s="28"/>
      <c r="P230" s="29"/>
      <c r="Q230" s="33"/>
      <c r="R230" s="27"/>
      <c r="S230" s="31">
        <v>0.0</v>
      </c>
      <c r="T230" s="31">
        <v>0.0</v>
      </c>
      <c r="U230" s="31"/>
      <c r="V230" s="30"/>
      <c r="W230" s="30"/>
      <c r="X230" s="23" t="s">
        <v>163</v>
      </c>
    </row>
    <row r="231" ht="15.75" hidden="1" customHeight="1">
      <c r="A231" s="23"/>
      <c r="B231" s="23" t="s">
        <v>10</v>
      </c>
      <c r="C231" s="23" t="s">
        <v>592</v>
      </c>
      <c r="D231" s="23" t="s">
        <v>593</v>
      </c>
      <c r="E231" s="23">
        <v>1383049.0</v>
      </c>
      <c r="F231" s="23">
        <v>97370.0</v>
      </c>
      <c r="G231" s="24" t="s">
        <v>114</v>
      </c>
      <c r="H231" s="23" t="s">
        <v>352</v>
      </c>
      <c r="I231" s="23" t="s">
        <v>32</v>
      </c>
      <c r="J231" s="25" t="s">
        <v>172</v>
      </c>
      <c r="K231" s="23" t="s">
        <v>172</v>
      </c>
      <c r="L231" s="26">
        <v>46014.0</v>
      </c>
      <c r="M231" s="27">
        <v>750.0</v>
      </c>
      <c r="N231" s="28"/>
      <c r="O231" s="28"/>
      <c r="P231" s="29"/>
      <c r="Q231" s="33"/>
      <c r="R231" s="27"/>
      <c r="S231" s="31">
        <v>0.0</v>
      </c>
      <c r="T231" s="31">
        <v>0.0</v>
      </c>
      <c r="U231" s="31"/>
      <c r="V231" s="30"/>
      <c r="W231" s="30"/>
      <c r="X231" s="23" t="s">
        <v>163</v>
      </c>
    </row>
    <row r="232" ht="15.75" hidden="1" customHeight="1">
      <c r="A232" s="23"/>
      <c r="B232" s="23" t="s">
        <v>10</v>
      </c>
      <c r="C232" s="23" t="s">
        <v>594</v>
      </c>
      <c r="D232" s="23" t="s">
        <v>595</v>
      </c>
      <c r="E232" s="23">
        <v>1397499.0</v>
      </c>
      <c r="F232" s="23">
        <v>98924.0</v>
      </c>
      <c r="G232" s="24" t="s">
        <v>114</v>
      </c>
      <c r="H232" s="23" t="s">
        <v>42</v>
      </c>
      <c r="I232" s="23" t="s">
        <v>49</v>
      </c>
      <c r="J232" s="25" t="s">
        <v>172</v>
      </c>
      <c r="K232" s="23" t="s">
        <v>375</v>
      </c>
      <c r="L232" s="26">
        <v>46106.0</v>
      </c>
      <c r="M232" s="27">
        <v>11625.0</v>
      </c>
      <c r="N232" s="28"/>
      <c r="O232" s="28"/>
      <c r="P232" s="29"/>
      <c r="Q232" s="33"/>
      <c r="R232" s="27"/>
      <c r="S232" s="31">
        <v>0.0</v>
      </c>
      <c r="T232" s="31">
        <v>0.0</v>
      </c>
      <c r="U232" s="31"/>
      <c r="V232" s="30"/>
      <c r="W232" s="30"/>
      <c r="X232" s="23" t="s">
        <v>163</v>
      </c>
    </row>
    <row r="233" ht="15.75" hidden="1" customHeight="1">
      <c r="A233" s="23"/>
      <c r="B233" s="23" t="s">
        <v>10</v>
      </c>
      <c r="C233" s="23" t="s">
        <v>596</v>
      </c>
      <c r="D233" s="23" t="s">
        <v>597</v>
      </c>
      <c r="E233" s="23">
        <v>1394538.0</v>
      </c>
      <c r="F233" s="23">
        <v>98750.0</v>
      </c>
      <c r="G233" s="24" t="s">
        <v>114</v>
      </c>
      <c r="H233" s="23" t="s">
        <v>42</v>
      </c>
      <c r="I233" s="23" t="s">
        <v>32</v>
      </c>
      <c r="J233" s="25" t="s">
        <v>172</v>
      </c>
      <c r="K233" s="23" t="s">
        <v>375</v>
      </c>
      <c r="L233" s="26">
        <v>46106.0</v>
      </c>
      <c r="M233" s="27">
        <v>27250.0</v>
      </c>
      <c r="N233" s="28"/>
      <c r="O233" s="28"/>
      <c r="P233" s="29"/>
      <c r="Q233" s="33"/>
      <c r="R233" s="27"/>
      <c r="S233" s="31">
        <v>0.0</v>
      </c>
      <c r="T233" s="31">
        <v>0.0</v>
      </c>
      <c r="U233" s="31"/>
      <c r="V233" s="30"/>
      <c r="W233" s="30"/>
      <c r="X233" s="23" t="s">
        <v>163</v>
      </c>
    </row>
    <row r="234" ht="15.75" hidden="1" customHeight="1">
      <c r="A234" s="23"/>
      <c r="B234" s="23" t="s">
        <v>10</v>
      </c>
      <c r="C234" s="23" t="s">
        <v>598</v>
      </c>
      <c r="D234" s="23" t="s">
        <v>599</v>
      </c>
      <c r="E234" s="23">
        <v>1393644.0</v>
      </c>
      <c r="F234" s="23">
        <v>98779.0</v>
      </c>
      <c r="G234" s="24" t="s">
        <v>114</v>
      </c>
      <c r="H234" s="23" t="s">
        <v>600</v>
      </c>
      <c r="I234" s="23" t="s">
        <v>32</v>
      </c>
      <c r="J234" s="25" t="s">
        <v>172</v>
      </c>
      <c r="K234" s="23" t="s">
        <v>375</v>
      </c>
      <c r="L234" s="26">
        <v>46080.0</v>
      </c>
      <c r="M234" s="27">
        <v>5625.0</v>
      </c>
      <c r="N234" s="28"/>
      <c r="O234" s="28"/>
      <c r="P234" s="29"/>
      <c r="Q234" s="33"/>
      <c r="R234" s="27"/>
      <c r="S234" s="31">
        <v>0.0</v>
      </c>
      <c r="T234" s="31">
        <v>0.0</v>
      </c>
      <c r="U234" s="31"/>
      <c r="V234" s="30"/>
      <c r="W234" s="30"/>
      <c r="X234" s="23" t="s">
        <v>163</v>
      </c>
    </row>
    <row r="235" ht="15.75" hidden="1" customHeight="1">
      <c r="A235" s="23"/>
      <c r="B235" s="23" t="s">
        <v>10</v>
      </c>
      <c r="C235" s="23" t="s">
        <v>601</v>
      </c>
      <c r="D235" s="23" t="s">
        <v>602</v>
      </c>
      <c r="E235" s="23">
        <v>981790.0</v>
      </c>
      <c r="F235" s="23">
        <v>73031.0</v>
      </c>
      <c r="G235" s="24" t="s">
        <v>114</v>
      </c>
      <c r="H235" s="23" t="s">
        <v>603</v>
      </c>
      <c r="I235" s="23" t="s">
        <v>520</v>
      </c>
      <c r="J235" s="25" t="s">
        <v>172</v>
      </c>
      <c r="K235" s="23" t="s">
        <v>375</v>
      </c>
      <c r="L235" s="26">
        <v>43671.0</v>
      </c>
      <c r="M235" s="27">
        <v>2600.0</v>
      </c>
      <c r="N235" s="28"/>
      <c r="O235" s="28"/>
      <c r="P235" s="29"/>
      <c r="Q235" s="33"/>
      <c r="R235" s="27"/>
      <c r="S235" s="31">
        <v>0.0</v>
      </c>
      <c r="T235" s="31">
        <v>0.0</v>
      </c>
      <c r="U235" s="31"/>
      <c r="V235" s="30"/>
      <c r="W235" s="30"/>
      <c r="X235" s="23" t="s">
        <v>163</v>
      </c>
    </row>
    <row r="236" ht="15.75" hidden="1" customHeight="1">
      <c r="A236" s="23"/>
      <c r="B236" s="23" t="s">
        <v>10</v>
      </c>
      <c r="C236" s="23" t="s">
        <v>604</v>
      </c>
      <c r="D236" s="23" t="s">
        <v>605</v>
      </c>
      <c r="E236" s="23">
        <v>1367094.0</v>
      </c>
      <c r="F236" s="23">
        <v>97179.0</v>
      </c>
      <c r="G236" s="24" t="s">
        <v>114</v>
      </c>
      <c r="H236" s="23" t="s">
        <v>42</v>
      </c>
      <c r="I236" s="23" t="s">
        <v>497</v>
      </c>
      <c r="J236" s="25" t="s">
        <v>172</v>
      </c>
      <c r="K236" s="23" t="s">
        <v>172</v>
      </c>
      <c r="L236" s="26">
        <v>45916.0</v>
      </c>
      <c r="M236" s="27">
        <v>16000.0</v>
      </c>
      <c r="N236" s="28"/>
      <c r="O236" s="28"/>
      <c r="P236" s="29"/>
      <c r="Q236" s="33"/>
      <c r="R236" s="27"/>
      <c r="S236" s="31">
        <v>0.0</v>
      </c>
      <c r="T236" s="31">
        <v>0.0</v>
      </c>
      <c r="U236" s="31"/>
      <c r="V236" s="30"/>
      <c r="W236" s="30"/>
      <c r="X236" s="23" t="s">
        <v>163</v>
      </c>
    </row>
    <row r="237" ht="15.75" hidden="1" customHeight="1">
      <c r="A237" s="23"/>
      <c r="B237" s="23" t="s">
        <v>10</v>
      </c>
      <c r="C237" s="23" t="s">
        <v>604</v>
      </c>
      <c r="D237" s="23" t="s">
        <v>605</v>
      </c>
      <c r="E237" s="23">
        <v>1324882.0</v>
      </c>
      <c r="F237" s="23">
        <v>94177.0</v>
      </c>
      <c r="G237" s="24" t="s">
        <v>114</v>
      </c>
      <c r="H237" s="23" t="s">
        <v>42</v>
      </c>
      <c r="I237" s="23" t="s">
        <v>49</v>
      </c>
      <c r="J237" s="25" t="s">
        <v>116</v>
      </c>
      <c r="K237" s="23" t="s">
        <v>464</v>
      </c>
      <c r="L237" s="26">
        <v>45635.0</v>
      </c>
      <c r="M237" s="27">
        <v>15745.0</v>
      </c>
      <c r="N237" s="28"/>
      <c r="O237" s="28"/>
      <c r="P237" s="29"/>
      <c r="Q237" s="33"/>
      <c r="R237" s="27"/>
      <c r="S237" s="31">
        <v>0.0</v>
      </c>
      <c r="T237" s="31">
        <v>0.0</v>
      </c>
      <c r="U237" s="31"/>
      <c r="V237" s="30"/>
      <c r="W237" s="30"/>
      <c r="X237" s="23" t="s">
        <v>163</v>
      </c>
    </row>
    <row r="238" ht="15.75" hidden="1" customHeight="1">
      <c r="A238" s="23"/>
      <c r="B238" s="23" t="s">
        <v>10</v>
      </c>
      <c r="C238" s="23" t="s">
        <v>604</v>
      </c>
      <c r="D238" s="23" t="s">
        <v>605</v>
      </c>
      <c r="E238" s="23">
        <v>1001726.0</v>
      </c>
      <c r="F238" s="23">
        <v>74845.0</v>
      </c>
      <c r="G238" s="24" t="s">
        <v>114</v>
      </c>
      <c r="H238" s="23" t="s">
        <v>42</v>
      </c>
      <c r="I238" s="23" t="s">
        <v>32</v>
      </c>
      <c r="J238" s="25" t="s">
        <v>172</v>
      </c>
      <c r="K238" s="23" t="s">
        <v>375</v>
      </c>
      <c r="L238" s="26">
        <v>43803.0</v>
      </c>
      <c r="M238" s="27">
        <v>500.0</v>
      </c>
      <c r="N238" s="28"/>
      <c r="O238" s="28"/>
      <c r="P238" s="29"/>
      <c r="Q238" s="33"/>
      <c r="R238" s="27"/>
      <c r="S238" s="31">
        <v>0.0</v>
      </c>
      <c r="T238" s="31">
        <v>0.0</v>
      </c>
      <c r="U238" s="31"/>
      <c r="V238" s="30"/>
      <c r="W238" s="30"/>
      <c r="X238" s="23" t="s">
        <v>163</v>
      </c>
    </row>
    <row r="239" ht="15.75" hidden="1" customHeight="1">
      <c r="A239" s="23"/>
      <c r="B239" s="23" t="s">
        <v>10</v>
      </c>
      <c r="C239" s="23" t="s">
        <v>60</v>
      </c>
      <c r="D239" s="23" t="s">
        <v>112</v>
      </c>
      <c r="E239" s="23">
        <v>1317013.0</v>
      </c>
      <c r="F239" s="23">
        <v>93698.0</v>
      </c>
      <c r="G239" s="24" t="s">
        <v>114</v>
      </c>
      <c r="H239" s="23" t="s">
        <v>42</v>
      </c>
      <c r="I239" s="23" t="s">
        <v>49</v>
      </c>
      <c r="J239" s="25" t="s">
        <v>172</v>
      </c>
      <c r="K239" s="23" t="s">
        <v>375</v>
      </c>
      <c r="L239" s="26">
        <v>45593.0</v>
      </c>
      <c r="M239" s="27">
        <v>14400.0</v>
      </c>
      <c r="N239" s="28"/>
      <c r="O239" s="28"/>
      <c r="P239" s="29"/>
      <c r="Q239" s="33"/>
      <c r="R239" s="27"/>
      <c r="S239" s="31">
        <v>0.0</v>
      </c>
      <c r="T239" s="31">
        <v>0.0</v>
      </c>
      <c r="U239" s="31"/>
      <c r="V239" s="30"/>
      <c r="W239" s="30"/>
      <c r="X239" s="23" t="s">
        <v>163</v>
      </c>
    </row>
    <row r="240" ht="15.75" hidden="1" customHeight="1">
      <c r="A240" s="23"/>
      <c r="B240" s="23" t="s">
        <v>10</v>
      </c>
      <c r="C240" s="23" t="s">
        <v>606</v>
      </c>
      <c r="D240" s="23" t="s">
        <v>607</v>
      </c>
      <c r="E240" s="23">
        <v>990458.0</v>
      </c>
      <c r="F240" s="23">
        <v>74136.0</v>
      </c>
      <c r="G240" s="24" t="s">
        <v>114</v>
      </c>
      <c r="H240" s="23" t="s">
        <v>603</v>
      </c>
      <c r="I240" s="23" t="s">
        <v>160</v>
      </c>
      <c r="J240" s="25" t="s">
        <v>172</v>
      </c>
      <c r="K240" s="23" t="s">
        <v>375</v>
      </c>
      <c r="L240" s="26">
        <v>43728.0</v>
      </c>
      <c r="M240" s="27">
        <v>2575.0</v>
      </c>
      <c r="N240" s="28"/>
      <c r="O240" s="28"/>
      <c r="P240" s="29"/>
      <c r="Q240" s="33"/>
      <c r="R240" s="27"/>
      <c r="S240" s="31">
        <v>0.0</v>
      </c>
      <c r="T240" s="31">
        <v>0.0</v>
      </c>
      <c r="U240" s="31"/>
      <c r="V240" s="30"/>
      <c r="W240" s="30"/>
      <c r="X240" s="23" t="s">
        <v>163</v>
      </c>
    </row>
    <row r="241" ht="15.75" hidden="1" customHeight="1">
      <c r="A241" s="23"/>
      <c r="B241" s="23" t="s">
        <v>10</v>
      </c>
      <c r="C241" s="23" t="s">
        <v>608</v>
      </c>
      <c r="D241" s="23" t="s">
        <v>609</v>
      </c>
      <c r="E241" s="23">
        <v>1395620.0</v>
      </c>
      <c r="F241" s="23">
        <v>98665.0</v>
      </c>
      <c r="G241" s="24" t="s">
        <v>114</v>
      </c>
      <c r="H241" s="23" t="s">
        <v>42</v>
      </c>
      <c r="I241" s="23" t="s">
        <v>49</v>
      </c>
      <c r="J241" s="25" t="s">
        <v>172</v>
      </c>
      <c r="K241" s="23" t="s">
        <v>375</v>
      </c>
      <c r="L241" s="26">
        <v>46094.0</v>
      </c>
      <c r="M241" s="27">
        <v>17625.0</v>
      </c>
      <c r="N241" s="28"/>
      <c r="O241" s="28"/>
      <c r="P241" s="29"/>
      <c r="Q241" s="33"/>
      <c r="R241" s="27"/>
      <c r="S241" s="31">
        <v>0.0</v>
      </c>
      <c r="T241" s="31">
        <v>0.0</v>
      </c>
      <c r="U241" s="31"/>
      <c r="V241" s="30"/>
      <c r="W241" s="30"/>
      <c r="X241" s="23" t="s">
        <v>163</v>
      </c>
    </row>
    <row r="242" ht="15.75" hidden="1" customHeight="1">
      <c r="A242" s="23"/>
      <c r="B242" s="23" t="s">
        <v>10</v>
      </c>
      <c r="C242" s="23" t="s">
        <v>610</v>
      </c>
      <c r="D242" s="23" t="s">
        <v>611</v>
      </c>
      <c r="E242" s="23">
        <v>1399856.0</v>
      </c>
      <c r="F242" s="23">
        <v>99230.0</v>
      </c>
      <c r="G242" s="24" t="s">
        <v>114</v>
      </c>
      <c r="H242" s="23" t="s">
        <v>600</v>
      </c>
      <c r="I242" s="23" t="s">
        <v>32</v>
      </c>
      <c r="J242" s="25" t="s">
        <v>172</v>
      </c>
      <c r="K242" s="23" t="s">
        <v>375</v>
      </c>
      <c r="L242" s="26">
        <v>46122.0</v>
      </c>
      <c r="M242" s="27">
        <v>46750.0</v>
      </c>
      <c r="N242" s="28"/>
      <c r="O242" s="28"/>
      <c r="P242" s="29"/>
      <c r="Q242" s="33"/>
      <c r="R242" s="27"/>
      <c r="S242" s="31">
        <v>0.0</v>
      </c>
      <c r="T242" s="31">
        <v>0.0</v>
      </c>
      <c r="U242" s="31"/>
      <c r="V242" s="30"/>
      <c r="W242" s="30"/>
      <c r="X242" s="23" t="s">
        <v>163</v>
      </c>
    </row>
    <row r="243" ht="15.75" hidden="1" customHeight="1">
      <c r="A243" s="23"/>
      <c r="B243" s="23" t="s">
        <v>10</v>
      </c>
      <c r="C243" s="23" t="s">
        <v>612</v>
      </c>
      <c r="D243" s="23" t="s">
        <v>613</v>
      </c>
      <c r="E243" s="23">
        <v>1336845.0</v>
      </c>
      <c r="F243" s="23">
        <v>94890.0</v>
      </c>
      <c r="G243" s="24" t="s">
        <v>114</v>
      </c>
      <c r="H243" s="23" t="s">
        <v>42</v>
      </c>
      <c r="I243" s="23" t="s">
        <v>49</v>
      </c>
      <c r="J243" s="25" t="s">
        <v>172</v>
      </c>
      <c r="K243" s="23" t="s">
        <v>375</v>
      </c>
      <c r="L243" s="26">
        <v>45714.0</v>
      </c>
      <c r="M243" s="27">
        <v>6000.0</v>
      </c>
      <c r="N243" s="28"/>
      <c r="O243" s="28"/>
      <c r="P243" s="29"/>
      <c r="Q243" s="33"/>
      <c r="R243" s="27"/>
      <c r="S243" s="31">
        <v>0.0</v>
      </c>
      <c r="T243" s="31">
        <v>0.0</v>
      </c>
      <c r="U243" s="31"/>
      <c r="V243" s="30"/>
      <c r="W243" s="30"/>
      <c r="X243" s="23" t="s">
        <v>163</v>
      </c>
    </row>
    <row r="244" ht="15.75" hidden="1" customHeight="1">
      <c r="A244" s="23"/>
      <c r="B244" s="23" t="s">
        <v>10</v>
      </c>
      <c r="C244" s="23" t="s">
        <v>614</v>
      </c>
      <c r="D244" s="23" t="s">
        <v>615</v>
      </c>
      <c r="E244" s="23">
        <v>976838.0</v>
      </c>
      <c r="F244" s="23">
        <v>72665.0</v>
      </c>
      <c r="G244" s="24" t="s">
        <v>114</v>
      </c>
      <c r="H244" s="23" t="s">
        <v>603</v>
      </c>
      <c r="I244" s="23" t="s">
        <v>396</v>
      </c>
      <c r="J244" s="25" t="s">
        <v>172</v>
      </c>
      <c r="K244" s="23" t="s">
        <v>375</v>
      </c>
      <c r="L244" s="26">
        <v>43643.0</v>
      </c>
      <c r="M244" s="27">
        <v>3300.0</v>
      </c>
      <c r="N244" s="28"/>
      <c r="O244" s="28"/>
      <c r="P244" s="29"/>
      <c r="Q244" s="33"/>
      <c r="R244" s="27"/>
      <c r="S244" s="31">
        <v>0.0</v>
      </c>
      <c r="T244" s="31">
        <v>0.0</v>
      </c>
      <c r="U244" s="31"/>
      <c r="V244" s="30"/>
      <c r="W244" s="30"/>
      <c r="X244" s="23" t="s">
        <v>163</v>
      </c>
    </row>
    <row r="245" ht="15.75" hidden="1" customHeight="1">
      <c r="A245" s="23"/>
      <c r="B245" s="23" t="s">
        <v>10</v>
      </c>
      <c r="C245" s="23" t="s">
        <v>366</v>
      </c>
      <c r="D245" s="23" t="s">
        <v>616</v>
      </c>
      <c r="E245" s="23">
        <v>1382498.0</v>
      </c>
      <c r="F245" s="23">
        <v>97940.0</v>
      </c>
      <c r="G245" s="24" t="s">
        <v>114</v>
      </c>
      <c r="H245" s="23" t="s">
        <v>177</v>
      </c>
      <c r="I245" s="23" t="s">
        <v>32</v>
      </c>
      <c r="J245" s="25" t="s">
        <v>172</v>
      </c>
      <c r="K245" s="23" t="s">
        <v>172</v>
      </c>
      <c r="L245" s="26">
        <v>46003.0</v>
      </c>
      <c r="M245" s="27">
        <v>750.0</v>
      </c>
      <c r="N245" s="28"/>
      <c r="O245" s="28"/>
      <c r="P245" s="29"/>
      <c r="Q245" s="33"/>
      <c r="R245" s="27"/>
      <c r="S245" s="31">
        <v>0.0</v>
      </c>
      <c r="T245" s="31">
        <v>0.0</v>
      </c>
      <c r="U245" s="31"/>
      <c r="V245" s="30"/>
      <c r="W245" s="30"/>
      <c r="X245" s="23" t="s">
        <v>163</v>
      </c>
    </row>
    <row r="246" ht="15.75" hidden="1" customHeight="1">
      <c r="A246" s="23"/>
      <c r="B246" s="23" t="s">
        <v>10</v>
      </c>
      <c r="C246" s="23" t="s">
        <v>366</v>
      </c>
      <c r="D246" s="23" t="s">
        <v>367</v>
      </c>
      <c r="E246" s="23">
        <v>1372555.0</v>
      </c>
      <c r="F246" s="23">
        <v>97442.0</v>
      </c>
      <c r="G246" s="24" t="s">
        <v>114</v>
      </c>
      <c r="H246" s="23" t="s">
        <v>42</v>
      </c>
      <c r="I246" s="23" t="s">
        <v>49</v>
      </c>
      <c r="J246" s="25" t="s">
        <v>172</v>
      </c>
      <c r="K246" s="23" t="s">
        <v>172</v>
      </c>
      <c r="L246" s="26">
        <v>45940.0</v>
      </c>
      <c r="M246" s="27">
        <v>16750.0</v>
      </c>
      <c r="N246" s="28"/>
      <c r="O246" s="28"/>
      <c r="P246" s="29"/>
      <c r="Q246" s="33"/>
      <c r="R246" s="27"/>
      <c r="S246" s="31">
        <v>0.0</v>
      </c>
      <c r="T246" s="31">
        <v>0.0</v>
      </c>
      <c r="U246" s="31"/>
      <c r="V246" s="30"/>
      <c r="W246" s="30"/>
      <c r="X246" s="23" t="s">
        <v>163</v>
      </c>
    </row>
    <row r="247" ht="15.75" hidden="1" customHeight="1">
      <c r="A247" s="23"/>
      <c r="B247" s="23" t="s">
        <v>10</v>
      </c>
      <c r="C247" s="23" t="s">
        <v>366</v>
      </c>
      <c r="D247" s="23" t="s">
        <v>367</v>
      </c>
      <c r="E247" s="23">
        <v>1336893.0</v>
      </c>
      <c r="F247" s="23">
        <v>94661.0</v>
      </c>
      <c r="G247" s="24" t="s">
        <v>114</v>
      </c>
      <c r="H247" s="23" t="s">
        <v>42</v>
      </c>
      <c r="I247" s="23" t="s">
        <v>49</v>
      </c>
      <c r="J247" s="25" t="s">
        <v>172</v>
      </c>
      <c r="K247" s="23" t="s">
        <v>375</v>
      </c>
      <c r="L247" s="26">
        <v>45719.0</v>
      </c>
      <c r="M247" s="27">
        <v>14900.0</v>
      </c>
      <c r="N247" s="28"/>
      <c r="O247" s="28"/>
      <c r="P247" s="29"/>
      <c r="Q247" s="33"/>
      <c r="R247" s="27"/>
      <c r="S247" s="31">
        <v>0.0</v>
      </c>
      <c r="T247" s="31">
        <v>0.0</v>
      </c>
      <c r="U247" s="31"/>
      <c r="V247" s="30"/>
      <c r="W247" s="30"/>
      <c r="X247" s="23" t="s">
        <v>163</v>
      </c>
    </row>
    <row r="248" ht="15.75" hidden="1" customHeight="1">
      <c r="A248" s="23"/>
      <c r="B248" s="23" t="s">
        <v>10</v>
      </c>
      <c r="C248" s="23" t="s">
        <v>617</v>
      </c>
      <c r="D248" s="23" t="s">
        <v>618</v>
      </c>
      <c r="E248" s="23">
        <v>993477.0</v>
      </c>
      <c r="F248" s="23">
        <v>74447.0</v>
      </c>
      <c r="G248" s="24" t="s">
        <v>114</v>
      </c>
      <c r="H248" s="23" t="s">
        <v>603</v>
      </c>
      <c r="I248" s="23" t="s">
        <v>396</v>
      </c>
      <c r="J248" s="25" t="s">
        <v>161</v>
      </c>
      <c r="K248" s="23" t="s">
        <v>394</v>
      </c>
      <c r="L248" s="26">
        <v>43749.0</v>
      </c>
      <c r="M248" s="27">
        <v>6100.0</v>
      </c>
      <c r="N248" s="28"/>
      <c r="O248" s="28"/>
      <c r="P248" s="29"/>
      <c r="Q248" s="33"/>
      <c r="R248" s="27"/>
      <c r="S248" s="31">
        <v>0.0</v>
      </c>
      <c r="T248" s="31">
        <v>0.0</v>
      </c>
      <c r="U248" s="31"/>
      <c r="V248" s="30"/>
      <c r="W248" s="30"/>
      <c r="X248" s="23" t="s">
        <v>163</v>
      </c>
    </row>
    <row r="249" ht="15.75" hidden="1" customHeight="1">
      <c r="A249" s="23"/>
      <c r="B249" s="23" t="s">
        <v>10</v>
      </c>
      <c r="C249" s="23" t="s">
        <v>617</v>
      </c>
      <c r="D249" s="23" t="s">
        <v>618</v>
      </c>
      <c r="E249" s="23">
        <v>980690.0</v>
      </c>
      <c r="F249" s="23">
        <v>72993.0</v>
      </c>
      <c r="G249" s="24" t="s">
        <v>114</v>
      </c>
      <c r="H249" s="23" t="s">
        <v>603</v>
      </c>
      <c r="I249" s="23" t="s">
        <v>520</v>
      </c>
      <c r="J249" s="25" t="s">
        <v>172</v>
      </c>
      <c r="K249" s="23" t="s">
        <v>375</v>
      </c>
      <c r="L249" s="26">
        <v>43669.0</v>
      </c>
      <c r="M249" s="27">
        <v>3100.0</v>
      </c>
      <c r="N249" s="28"/>
      <c r="O249" s="28"/>
      <c r="P249" s="29"/>
      <c r="Q249" s="33"/>
      <c r="R249" s="27"/>
      <c r="S249" s="31">
        <v>0.0</v>
      </c>
      <c r="T249" s="31">
        <v>0.0</v>
      </c>
      <c r="U249" s="31"/>
      <c r="V249" s="30"/>
      <c r="W249" s="30"/>
      <c r="X249" s="23" t="s">
        <v>163</v>
      </c>
    </row>
    <row r="250" ht="15.75" hidden="1" customHeight="1">
      <c r="A250" s="23"/>
      <c r="B250" s="23" t="s">
        <v>10</v>
      </c>
      <c r="C250" s="23" t="s">
        <v>617</v>
      </c>
      <c r="D250" s="23" t="s">
        <v>618</v>
      </c>
      <c r="E250" s="23">
        <v>980689.0</v>
      </c>
      <c r="F250" s="23">
        <v>72985.0</v>
      </c>
      <c r="G250" s="24" t="s">
        <v>114</v>
      </c>
      <c r="H250" s="23" t="s">
        <v>603</v>
      </c>
      <c r="I250" s="23" t="s">
        <v>484</v>
      </c>
      <c r="J250" s="25" t="s">
        <v>172</v>
      </c>
      <c r="K250" s="23" t="s">
        <v>375</v>
      </c>
      <c r="L250" s="26">
        <v>43669.0</v>
      </c>
      <c r="M250" s="27">
        <v>5100.0</v>
      </c>
      <c r="N250" s="28"/>
      <c r="O250" s="28"/>
      <c r="P250" s="29"/>
      <c r="Q250" s="33"/>
      <c r="R250" s="27"/>
      <c r="S250" s="31">
        <v>0.0</v>
      </c>
      <c r="T250" s="31">
        <v>0.0</v>
      </c>
      <c r="U250" s="31"/>
      <c r="V250" s="30"/>
      <c r="W250" s="30"/>
      <c r="X250" s="23" t="s">
        <v>163</v>
      </c>
    </row>
    <row r="251" ht="15.75" hidden="1" customHeight="1">
      <c r="A251" s="23"/>
      <c r="B251" s="23" t="s">
        <v>10</v>
      </c>
      <c r="C251" s="23" t="s">
        <v>619</v>
      </c>
      <c r="D251" s="23" t="s">
        <v>620</v>
      </c>
      <c r="E251" s="23">
        <v>998583.0</v>
      </c>
      <c r="F251" s="23">
        <v>74678.0</v>
      </c>
      <c r="G251" s="24" t="s">
        <v>114</v>
      </c>
      <c r="H251" s="23" t="s">
        <v>42</v>
      </c>
      <c r="I251" s="23" t="s">
        <v>49</v>
      </c>
      <c r="J251" s="25" t="s">
        <v>172</v>
      </c>
      <c r="K251" s="23" t="s">
        <v>375</v>
      </c>
      <c r="L251" s="26">
        <v>43775.0</v>
      </c>
      <c r="M251" s="27">
        <v>250.0</v>
      </c>
      <c r="N251" s="28"/>
      <c r="O251" s="28"/>
      <c r="P251" s="29"/>
      <c r="Q251" s="33"/>
      <c r="R251" s="27"/>
      <c r="S251" s="31">
        <v>0.0</v>
      </c>
      <c r="T251" s="31">
        <v>0.0</v>
      </c>
      <c r="U251" s="31"/>
      <c r="V251" s="30"/>
      <c r="W251" s="30"/>
      <c r="X251" s="23" t="s">
        <v>163</v>
      </c>
    </row>
    <row r="252" ht="15.75" hidden="1" customHeight="1">
      <c r="A252" s="23"/>
      <c r="B252" s="23" t="s">
        <v>10</v>
      </c>
      <c r="C252" s="23" t="s">
        <v>621</v>
      </c>
      <c r="D252" s="23" t="s">
        <v>622</v>
      </c>
      <c r="E252" s="23">
        <v>1391686.0</v>
      </c>
      <c r="F252" s="23">
        <v>98464.0</v>
      </c>
      <c r="G252" s="24" t="s">
        <v>114</v>
      </c>
      <c r="H252" s="23" t="s">
        <v>600</v>
      </c>
      <c r="I252" s="23" t="s">
        <v>32</v>
      </c>
      <c r="J252" s="25" t="s">
        <v>172</v>
      </c>
      <c r="K252" s="23" t="s">
        <v>375</v>
      </c>
      <c r="L252" s="26">
        <v>46078.0</v>
      </c>
      <c r="M252" s="27">
        <v>14250.0</v>
      </c>
      <c r="N252" s="28"/>
      <c r="O252" s="28"/>
      <c r="P252" s="29"/>
      <c r="Q252" s="33"/>
      <c r="R252" s="27"/>
      <c r="S252" s="31">
        <v>0.0</v>
      </c>
      <c r="T252" s="31">
        <v>0.0</v>
      </c>
      <c r="U252" s="31"/>
      <c r="V252" s="30"/>
      <c r="W252" s="30"/>
      <c r="X252" s="23" t="s">
        <v>163</v>
      </c>
    </row>
    <row r="253" ht="15.75" hidden="1" customHeight="1">
      <c r="A253" s="23"/>
      <c r="B253" s="23" t="s">
        <v>10</v>
      </c>
      <c r="C253" s="23" t="s">
        <v>623</v>
      </c>
      <c r="D253" s="23" t="s">
        <v>624</v>
      </c>
      <c r="E253" s="23">
        <v>1391683.0</v>
      </c>
      <c r="F253" s="23">
        <v>98479.0</v>
      </c>
      <c r="G253" s="24" t="s">
        <v>114</v>
      </c>
      <c r="H253" s="23" t="s">
        <v>42</v>
      </c>
      <c r="I253" s="23" t="s">
        <v>32</v>
      </c>
      <c r="J253" s="25" t="s">
        <v>172</v>
      </c>
      <c r="K253" s="23" t="s">
        <v>162</v>
      </c>
      <c r="L253" s="26">
        <v>46078.0</v>
      </c>
      <c r="M253" s="27">
        <v>14250.0</v>
      </c>
      <c r="N253" s="28"/>
      <c r="O253" s="28"/>
      <c r="P253" s="29"/>
      <c r="Q253" s="33"/>
      <c r="R253" s="27"/>
      <c r="S253" s="31">
        <v>0.0</v>
      </c>
      <c r="T253" s="31">
        <v>0.0</v>
      </c>
      <c r="U253" s="31"/>
      <c r="V253" s="30"/>
      <c r="W253" s="30"/>
      <c r="X253" s="23" t="s">
        <v>163</v>
      </c>
    </row>
    <row r="254" ht="15.75" hidden="1" customHeight="1">
      <c r="A254" s="23"/>
      <c r="B254" s="23" t="s">
        <v>10</v>
      </c>
      <c r="C254" s="23" t="s">
        <v>625</v>
      </c>
      <c r="D254" s="23" t="s">
        <v>626</v>
      </c>
      <c r="E254" s="23">
        <v>1394775.0</v>
      </c>
      <c r="F254" s="23">
        <v>98863.0</v>
      </c>
      <c r="G254" s="24" t="s">
        <v>114</v>
      </c>
      <c r="H254" s="23" t="s">
        <v>600</v>
      </c>
      <c r="I254" s="23" t="s">
        <v>32</v>
      </c>
      <c r="J254" s="25" t="s">
        <v>172</v>
      </c>
      <c r="K254" s="23" t="s">
        <v>162</v>
      </c>
      <c r="L254" s="26">
        <v>46090.0</v>
      </c>
      <c r="M254" s="27">
        <v>35750.0</v>
      </c>
      <c r="N254" s="28"/>
      <c r="O254" s="28"/>
      <c r="P254" s="29"/>
      <c r="Q254" s="33"/>
      <c r="R254" s="27"/>
      <c r="S254" s="31">
        <v>0.0</v>
      </c>
      <c r="T254" s="31">
        <v>0.0</v>
      </c>
      <c r="U254" s="31"/>
      <c r="V254" s="30"/>
      <c r="W254" s="30"/>
      <c r="X254" s="23" t="s">
        <v>163</v>
      </c>
    </row>
    <row r="255" ht="15.75" hidden="1" customHeight="1">
      <c r="A255" s="23" t="s">
        <v>627</v>
      </c>
      <c r="B255" s="23" t="s">
        <v>10</v>
      </c>
      <c r="C255" s="23" t="s">
        <v>621</v>
      </c>
      <c r="D255" s="23" t="s">
        <v>622</v>
      </c>
      <c r="E255" s="23">
        <v>1391686.0</v>
      </c>
      <c r="F255" s="23">
        <v>98464.0</v>
      </c>
      <c r="G255" s="24" t="s">
        <v>114</v>
      </c>
      <c r="H255" s="23" t="s">
        <v>600</v>
      </c>
      <c r="I255" s="23" t="s">
        <v>32</v>
      </c>
      <c r="J255" s="25" t="s">
        <v>172</v>
      </c>
      <c r="K255" s="23" t="s">
        <v>375</v>
      </c>
      <c r="L255" s="26">
        <v>46078.0</v>
      </c>
      <c r="M255" s="27">
        <v>14250.0</v>
      </c>
      <c r="N255" s="28"/>
      <c r="O255" s="28"/>
      <c r="P255" s="29"/>
      <c r="Q255" s="33"/>
      <c r="R255" s="27"/>
      <c r="S255" s="31">
        <v>0.0</v>
      </c>
      <c r="T255" s="31">
        <v>0.0</v>
      </c>
      <c r="U255" s="31"/>
      <c r="V255" s="30"/>
      <c r="W255" s="30"/>
      <c r="X255" s="23" t="s">
        <v>163</v>
      </c>
    </row>
    <row r="256" ht="15.75" hidden="1" customHeight="1">
      <c r="A256" s="23" t="s">
        <v>628</v>
      </c>
      <c r="B256" s="23" t="s">
        <v>10</v>
      </c>
      <c r="C256" s="23" t="s">
        <v>623</v>
      </c>
      <c r="D256" s="23" t="s">
        <v>624</v>
      </c>
      <c r="E256" s="23">
        <v>1391683.0</v>
      </c>
      <c r="F256" s="23">
        <v>98479.0</v>
      </c>
      <c r="G256" s="24" t="s">
        <v>114</v>
      </c>
      <c r="H256" s="23" t="s">
        <v>42</v>
      </c>
      <c r="I256" s="23" t="s">
        <v>32</v>
      </c>
      <c r="J256" s="25" t="s">
        <v>172</v>
      </c>
      <c r="K256" s="23" t="s">
        <v>162</v>
      </c>
      <c r="L256" s="26">
        <v>46078.0</v>
      </c>
      <c r="M256" s="27">
        <v>14250.0</v>
      </c>
      <c r="N256" s="28"/>
      <c r="O256" s="28"/>
      <c r="P256" s="29"/>
      <c r="Q256" s="33"/>
      <c r="R256" s="27"/>
      <c r="S256" s="31">
        <v>0.0</v>
      </c>
      <c r="T256" s="31">
        <v>0.0</v>
      </c>
      <c r="U256" s="31"/>
      <c r="V256" s="30"/>
      <c r="W256" s="30"/>
      <c r="X256" s="23" t="s">
        <v>163</v>
      </c>
    </row>
    <row r="257" ht="15.75" hidden="1" customHeight="1">
      <c r="A257" s="23" t="s">
        <v>629</v>
      </c>
      <c r="B257" s="23" t="s">
        <v>10</v>
      </c>
      <c r="C257" s="23" t="s">
        <v>625</v>
      </c>
      <c r="D257" s="23" t="s">
        <v>626</v>
      </c>
      <c r="E257" s="23">
        <v>1394775.0</v>
      </c>
      <c r="F257" s="23">
        <v>98863.0</v>
      </c>
      <c r="G257" s="24" t="s">
        <v>114</v>
      </c>
      <c r="H257" s="23" t="s">
        <v>600</v>
      </c>
      <c r="I257" s="23" t="s">
        <v>32</v>
      </c>
      <c r="J257" s="25" t="s">
        <v>172</v>
      </c>
      <c r="K257" s="23" t="s">
        <v>162</v>
      </c>
      <c r="L257" s="26">
        <v>46090.0</v>
      </c>
      <c r="M257" s="27">
        <v>35750.0</v>
      </c>
      <c r="N257" s="28"/>
      <c r="O257" s="28"/>
      <c r="P257" s="29"/>
      <c r="Q257" s="33"/>
      <c r="R257" s="27"/>
      <c r="S257" s="31">
        <v>0.0</v>
      </c>
      <c r="T257" s="31">
        <v>0.0</v>
      </c>
      <c r="U257" s="31"/>
      <c r="V257" s="30"/>
      <c r="W257" s="30"/>
      <c r="X257" s="23" t="s">
        <v>163</v>
      </c>
    </row>
    <row r="258" ht="15.75" customHeight="1">
      <c r="A258" s="36"/>
      <c r="B258" s="36"/>
      <c r="C258" s="36"/>
      <c r="D258" s="36"/>
      <c r="E258" s="36"/>
      <c r="F258" s="37"/>
      <c r="G258" s="38"/>
      <c r="H258" s="36"/>
      <c r="I258" s="36"/>
      <c r="J258" s="39"/>
      <c r="K258" s="36"/>
      <c r="L258" s="40"/>
      <c r="M258" s="40"/>
      <c r="N258" s="41"/>
      <c r="O258" s="41"/>
      <c r="P258" s="37"/>
      <c r="Q258" s="38"/>
      <c r="R258" s="36"/>
      <c r="S258" s="42"/>
      <c r="T258" s="42"/>
      <c r="U258" s="37"/>
      <c r="V258" s="43"/>
      <c r="W258" s="43"/>
      <c r="X258" s="36"/>
    </row>
    <row r="259" ht="15.75" customHeight="1">
      <c r="A259" s="36"/>
      <c r="B259" s="36"/>
      <c r="C259" s="36"/>
      <c r="D259" s="36"/>
      <c r="E259" s="36"/>
      <c r="F259" s="37"/>
      <c r="G259" s="38"/>
      <c r="H259" s="36"/>
      <c r="I259" s="36"/>
      <c r="J259" s="39"/>
      <c r="K259" s="36"/>
      <c r="L259" s="40"/>
      <c r="M259" s="40"/>
      <c r="N259" s="41"/>
      <c r="O259" s="41"/>
      <c r="P259" s="37"/>
      <c r="Q259" s="38"/>
      <c r="R259" s="36"/>
      <c r="S259" s="42"/>
      <c r="T259" s="42"/>
      <c r="U259" s="37"/>
      <c r="V259" s="43"/>
      <c r="W259" s="43"/>
      <c r="X259" s="36"/>
    </row>
    <row r="260" ht="15.75" customHeight="1">
      <c r="A260" s="36"/>
      <c r="B260" s="36"/>
      <c r="C260" s="36"/>
      <c r="D260" s="36"/>
      <c r="E260" s="36"/>
      <c r="F260" s="37"/>
      <c r="G260" s="38"/>
      <c r="H260" s="36"/>
      <c r="I260" s="36"/>
      <c r="J260" s="39"/>
      <c r="K260" s="36"/>
      <c r="L260" s="40"/>
      <c r="M260" s="40"/>
      <c r="N260" s="41"/>
      <c r="O260" s="41"/>
      <c r="P260" s="37"/>
      <c r="Q260" s="38"/>
      <c r="R260" s="36"/>
      <c r="S260" s="42"/>
      <c r="T260" s="42"/>
      <c r="U260" s="37"/>
      <c r="V260" s="43"/>
      <c r="W260" s="43"/>
      <c r="X260" s="36"/>
    </row>
    <row r="261" ht="15.75" customHeight="1">
      <c r="A261" s="36"/>
      <c r="B261" s="36"/>
      <c r="C261" s="36"/>
      <c r="D261" s="36"/>
      <c r="E261" s="36"/>
      <c r="F261" s="37"/>
      <c r="G261" s="38"/>
      <c r="H261" s="36"/>
      <c r="I261" s="36"/>
      <c r="J261" s="39"/>
      <c r="K261" s="36"/>
      <c r="L261" s="40"/>
      <c r="M261" s="40"/>
      <c r="N261" s="41"/>
      <c r="O261" s="41"/>
      <c r="P261" s="37"/>
      <c r="Q261" s="38"/>
      <c r="R261" s="36"/>
      <c r="S261" s="42"/>
      <c r="T261" s="42"/>
      <c r="U261" s="37"/>
      <c r="V261" s="43"/>
      <c r="W261" s="43"/>
      <c r="X261" s="36"/>
    </row>
    <row r="262" ht="15.75" customHeight="1">
      <c r="A262" s="36"/>
      <c r="B262" s="36"/>
      <c r="C262" s="36"/>
      <c r="D262" s="36"/>
      <c r="E262" s="36"/>
      <c r="F262" s="37"/>
      <c r="G262" s="38"/>
      <c r="H262" s="36"/>
      <c r="I262" s="36"/>
      <c r="J262" s="39"/>
      <c r="K262" s="36"/>
      <c r="L262" s="40"/>
      <c r="M262" s="40"/>
      <c r="N262" s="41"/>
      <c r="O262" s="41"/>
      <c r="P262" s="37"/>
      <c r="Q262" s="38"/>
      <c r="R262" s="36"/>
      <c r="S262" s="42"/>
      <c r="T262" s="42"/>
      <c r="U262" s="37"/>
      <c r="V262" s="43"/>
      <c r="W262" s="43"/>
      <c r="X262" s="36"/>
    </row>
    <row r="263" ht="15.75" customHeight="1">
      <c r="A263" s="36"/>
      <c r="B263" s="36"/>
      <c r="C263" s="36"/>
      <c r="D263" s="36"/>
      <c r="E263" s="36"/>
      <c r="F263" s="37"/>
      <c r="G263" s="38"/>
      <c r="H263" s="36"/>
      <c r="I263" s="36"/>
      <c r="J263" s="39"/>
      <c r="K263" s="36"/>
      <c r="L263" s="40"/>
      <c r="M263" s="40"/>
      <c r="N263" s="41"/>
      <c r="O263" s="41"/>
      <c r="P263" s="37"/>
      <c r="Q263" s="38"/>
      <c r="R263" s="36"/>
      <c r="S263" s="42"/>
      <c r="T263" s="42"/>
      <c r="U263" s="37"/>
      <c r="V263" s="43"/>
      <c r="W263" s="43"/>
      <c r="X263" s="36"/>
    </row>
    <row r="264" ht="15.75" customHeight="1">
      <c r="A264" s="36"/>
      <c r="B264" s="36"/>
      <c r="C264" s="36"/>
      <c r="D264" s="36"/>
      <c r="E264" s="36"/>
      <c r="F264" s="37"/>
      <c r="G264" s="38"/>
      <c r="H264" s="36"/>
      <c r="I264" s="36"/>
      <c r="J264" s="39"/>
      <c r="K264" s="36"/>
      <c r="L264" s="40"/>
      <c r="M264" s="40"/>
      <c r="N264" s="41"/>
      <c r="O264" s="41"/>
      <c r="P264" s="37"/>
      <c r="Q264" s="38"/>
      <c r="R264" s="36"/>
      <c r="S264" s="42"/>
      <c r="T264" s="42"/>
      <c r="U264" s="37"/>
      <c r="V264" s="43"/>
      <c r="W264" s="43"/>
      <c r="X264" s="36"/>
    </row>
    <row r="265" ht="15.75" customHeight="1">
      <c r="A265" s="36"/>
      <c r="B265" s="36"/>
      <c r="C265" s="36"/>
      <c r="D265" s="36"/>
      <c r="E265" s="36"/>
      <c r="F265" s="37"/>
      <c r="G265" s="38"/>
      <c r="H265" s="36"/>
      <c r="I265" s="36"/>
      <c r="J265" s="39"/>
      <c r="K265" s="36"/>
      <c r="L265" s="40"/>
      <c r="M265" s="40"/>
      <c r="N265" s="41"/>
      <c r="O265" s="41"/>
      <c r="P265" s="37"/>
      <c r="Q265" s="38"/>
      <c r="R265" s="36"/>
      <c r="S265" s="42"/>
      <c r="T265" s="42"/>
      <c r="U265" s="37"/>
      <c r="V265" s="43"/>
      <c r="W265" s="43"/>
      <c r="X265" s="36"/>
    </row>
    <row r="266" ht="15.75" customHeight="1">
      <c r="A266" s="36"/>
      <c r="B266" s="36"/>
      <c r="C266" s="36"/>
      <c r="D266" s="36"/>
      <c r="E266" s="36"/>
      <c r="F266" s="37"/>
      <c r="G266" s="38"/>
      <c r="H266" s="36"/>
      <c r="I266" s="36"/>
      <c r="J266" s="39"/>
      <c r="K266" s="36"/>
      <c r="L266" s="40"/>
      <c r="M266" s="40"/>
      <c r="N266" s="41"/>
      <c r="O266" s="41"/>
      <c r="P266" s="37"/>
      <c r="Q266" s="38"/>
      <c r="R266" s="36"/>
      <c r="S266" s="42"/>
      <c r="T266" s="42"/>
      <c r="U266" s="37"/>
      <c r="V266" s="43"/>
      <c r="W266" s="43"/>
      <c r="X266" s="36"/>
    </row>
    <row r="267" ht="15.75" customHeight="1">
      <c r="A267" s="36"/>
      <c r="B267" s="36"/>
      <c r="C267" s="36"/>
      <c r="D267" s="36"/>
      <c r="E267" s="36"/>
      <c r="F267" s="37"/>
      <c r="G267" s="38"/>
      <c r="H267" s="36"/>
      <c r="I267" s="36"/>
      <c r="J267" s="39"/>
      <c r="K267" s="36"/>
      <c r="L267" s="40"/>
      <c r="M267" s="40"/>
      <c r="N267" s="41"/>
      <c r="O267" s="41"/>
      <c r="P267" s="37"/>
      <c r="Q267" s="38"/>
      <c r="R267" s="36"/>
      <c r="S267" s="42"/>
      <c r="T267" s="42"/>
      <c r="U267" s="37"/>
      <c r="V267" s="43"/>
      <c r="W267" s="43"/>
      <c r="X267" s="36"/>
    </row>
    <row r="268" ht="15.75" customHeight="1">
      <c r="A268" s="36"/>
      <c r="B268" s="36"/>
      <c r="C268" s="36"/>
      <c r="D268" s="36"/>
      <c r="E268" s="36"/>
      <c r="F268" s="37"/>
      <c r="G268" s="38"/>
      <c r="H268" s="36"/>
      <c r="I268" s="36"/>
      <c r="J268" s="39"/>
      <c r="K268" s="36"/>
      <c r="L268" s="40"/>
      <c r="M268" s="40"/>
      <c r="N268" s="41"/>
      <c r="O268" s="41"/>
      <c r="P268" s="37"/>
      <c r="Q268" s="38"/>
      <c r="R268" s="36"/>
      <c r="S268" s="42"/>
      <c r="T268" s="42"/>
      <c r="U268" s="37"/>
      <c r="V268" s="43"/>
      <c r="W268" s="43"/>
      <c r="X268" s="36"/>
    </row>
    <row r="269" ht="15.75" customHeight="1">
      <c r="A269" s="36"/>
      <c r="B269" s="36"/>
      <c r="C269" s="36"/>
      <c r="D269" s="36"/>
      <c r="E269" s="36"/>
      <c r="F269" s="37"/>
      <c r="G269" s="38"/>
      <c r="H269" s="36"/>
      <c r="I269" s="36"/>
      <c r="J269" s="39"/>
      <c r="K269" s="36"/>
      <c r="L269" s="40"/>
      <c r="M269" s="40"/>
      <c r="N269" s="41"/>
      <c r="O269" s="41"/>
      <c r="P269" s="37"/>
      <c r="Q269" s="38"/>
      <c r="R269" s="36"/>
      <c r="S269" s="42"/>
      <c r="T269" s="42"/>
      <c r="U269" s="37"/>
      <c r="V269" s="43"/>
      <c r="W269" s="43"/>
      <c r="X269" s="36"/>
    </row>
    <row r="270" ht="15.75" customHeight="1">
      <c r="A270" s="36"/>
      <c r="B270" s="36"/>
      <c r="C270" s="36"/>
      <c r="D270" s="36"/>
      <c r="E270" s="36"/>
      <c r="F270" s="37"/>
      <c r="G270" s="38"/>
      <c r="H270" s="36"/>
      <c r="I270" s="36"/>
      <c r="J270" s="39"/>
      <c r="K270" s="36"/>
      <c r="L270" s="40"/>
      <c r="M270" s="40"/>
      <c r="N270" s="41"/>
      <c r="O270" s="41"/>
      <c r="P270" s="37"/>
      <c r="Q270" s="38"/>
      <c r="R270" s="36"/>
      <c r="S270" s="42"/>
      <c r="T270" s="42"/>
      <c r="U270" s="37"/>
      <c r="V270" s="43"/>
      <c r="W270" s="43"/>
      <c r="X270" s="36"/>
    </row>
    <row r="271" ht="15.75" customHeight="1">
      <c r="A271" s="36"/>
      <c r="B271" s="36"/>
      <c r="C271" s="36"/>
      <c r="D271" s="36"/>
      <c r="E271" s="36"/>
      <c r="F271" s="37"/>
      <c r="G271" s="38"/>
      <c r="H271" s="36"/>
      <c r="I271" s="36"/>
      <c r="J271" s="39"/>
      <c r="K271" s="36"/>
      <c r="L271" s="40"/>
      <c r="M271" s="40"/>
      <c r="N271" s="41"/>
      <c r="O271" s="41"/>
      <c r="P271" s="37"/>
      <c r="Q271" s="38"/>
      <c r="R271" s="36"/>
      <c r="S271" s="42"/>
      <c r="T271" s="42"/>
      <c r="U271" s="37"/>
      <c r="V271" s="43"/>
      <c r="W271" s="43"/>
      <c r="X271" s="36"/>
    </row>
    <row r="272" ht="15.75" customHeight="1">
      <c r="A272" s="36"/>
      <c r="B272" s="36"/>
      <c r="C272" s="36"/>
      <c r="D272" s="36"/>
      <c r="E272" s="36"/>
      <c r="F272" s="37"/>
      <c r="G272" s="38"/>
      <c r="H272" s="36"/>
      <c r="I272" s="36"/>
      <c r="J272" s="39"/>
      <c r="K272" s="36"/>
      <c r="L272" s="40"/>
      <c r="M272" s="40"/>
      <c r="N272" s="41"/>
      <c r="O272" s="41"/>
      <c r="P272" s="37"/>
      <c r="Q272" s="38"/>
      <c r="R272" s="36"/>
      <c r="S272" s="42"/>
      <c r="T272" s="42"/>
      <c r="U272" s="37"/>
      <c r="V272" s="43"/>
      <c r="W272" s="43"/>
      <c r="X272" s="36"/>
    </row>
    <row r="273" ht="15.75" customHeight="1">
      <c r="A273" s="36"/>
      <c r="B273" s="36"/>
      <c r="C273" s="36"/>
      <c r="D273" s="36"/>
      <c r="E273" s="36"/>
      <c r="F273" s="37"/>
      <c r="G273" s="38"/>
      <c r="H273" s="36"/>
      <c r="I273" s="36"/>
      <c r="J273" s="39"/>
      <c r="K273" s="36"/>
      <c r="L273" s="40"/>
      <c r="M273" s="40"/>
      <c r="N273" s="41"/>
      <c r="O273" s="41"/>
      <c r="P273" s="37"/>
      <c r="Q273" s="38"/>
      <c r="R273" s="36"/>
      <c r="S273" s="42"/>
      <c r="T273" s="42"/>
      <c r="U273" s="37"/>
      <c r="V273" s="43"/>
      <c r="W273" s="43"/>
      <c r="X273" s="36"/>
    </row>
    <row r="274" ht="15.75" customHeight="1">
      <c r="A274" s="36"/>
      <c r="B274" s="36"/>
      <c r="C274" s="36"/>
      <c r="D274" s="36"/>
      <c r="E274" s="36"/>
      <c r="F274" s="37"/>
      <c r="G274" s="38"/>
      <c r="H274" s="36"/>
      <c r="I274" s="36"/>
      <c r="J274" s="39"/>
      <c r="K274" s="36"/>
      <c r="L274" s="40"/>
      <c r="M274" s="40"/>
      <c r="N274" s="41"/>
      <c r="O274" s="41"/>
      <c r="P274" s="37"/>
      <c r="Q274" s="38"/>
      <c r="R274" s="36"/>
      <c r="S274" s="42"/>
      <c r="T274" s="42"/>
      <c r="U274" s="37"/>
      <c r="V274" s="43"/>
      <c r="W274" s="43"/>
      <c r="X274" s="36"/>
    </row>
    <row r="275" ht="15.75" customHeight="1">
      <c r="A275" s="36"/>
      <c r="B275" s="36"/>
      <c r="C275" s="36"/>
      <c r="D275" s="36"/>
      <c r="E275" s="36"/>
      <c r="F275" s="37"/>
      <c r="G275" s="38"/>
      <c r="H275" s="36"/>
      <c r="I275" s="36"/>
      <c r="J275" s="39"/>
      <c r="K275" s="36"/>
      <c r="L275" s="40"/>
      <c r="M275" s="40"/>
      <c r="N275" s="41"/>
      <c r="O275" s="41"/>
      <c r="P275" s="37"/>
      <c r="Q275" s="38"/>
      <c r="R275" s="36"/>
      <c r="S275" s="42"/>
      <c r="T275" s="42"/>
      <c r="U275" s="37"/>
      <c r="V275" s="43"/>
      <c r="W275" s="43"/>
      <c r="X275" s="36"/>
    </row>
    <row r="276" ht="15.75" customHeight="1">
      <c r="A276" s="36"/>
      <c r="B276" s="36"/>
      <c r="C276" s="36"/>
      <c r="D276" s="36"/>
      <c r="E276" s="36"/>
      <c r="F276" s="37"/>
      <c r="G276" s="38"/>
      <c r="H276" s="36"/>
      <c r="I276" s="36"/>
      <c r="J276" s="39"/>
      <c r="K276" s="36"/>
      <c r="L276" s="40"/>
      <c r="M276" s="40"/>
      <c r="N276" s="41"/>
      <c r="O276" s="41"/>
      <c r="P276" s="37"/>
      <c r="Q276" s="38"/>
      <c r="R276" s="36"/>
      <c r="S276" s="42"/>
      <c r="T276" s="42"/>
      <c r="U276" s="37"/>
      <c r="V276" s="43"/>
      <c r="W276" s="43"/>
      <c r="X276" s="36"/>
    </row>
    <row r="277" ht="15.75" customHeight="1">
      <c r="A277" s="36"/>
      <c r="B277" s="36"/>
      <c r="C277" s="36"/>
      <c r="D277" s="36"/>
      <c r="E277" s="36"/>
      <c r="F277" s="37"/>
      <c r="G277" s="38"/>
      <c r="H277" s="36"/>
      <c r="I277" s="36"/>
      <c r="J277" s="39"/>
      <c r="K277" s="36"/>
      <c r="L277" s="40"/>
      <c r="M277" s="40"/>
      <c r="N277" s="41"/>
      <c r="O277" s="41"/>
      <c r="P277" s="37"/>
      <c r="Q277" s="38"/>
      <c r="R277" s="36"/>
      <c r="S277" s="42"/>
      <c r="T277" s="42"/>
      <c r="U277" s="37"/>
      <c r="V277" s="43"/>
      <c r="W277" s="43"/>
      <c r="X277" s="36"/>
    </row>
    <row r="278" ht="15.75" customHeight="1">
      <c r="A278" s="36"/>
      <c r="B278" s="36"/>
      <c r="C278" s="36"/>
      <c r="D278" s="36"/>
      <c r="E278" s="36"/>
      <c r="F278" s="37"/>
      <c r="G278" s="38"/>
      <c r="H278" s="36"/>
      <c r="I278" s="36"/>
      <c r="J278" s="39"/>
      <c r="K278" s="36"/>
      <c r="L278" s="40"/>
      <c r="M278" s="40"/>
      <c r="N278" s="41"/>
      <c r="O278" s="41"/>
      <c r="P278" s="37"/>
      <c r="Q278" s="38"/>
      <c r="R278" s="36"/>
      <c r="S278" s="42"/>
      <c r="T278" s="42"/>
      <c r="U278" s="37"/>
      <c r="V278" s="43"/>
      <c r="W278" s="43"/>
      <c r="X278" s="36"/>
    </row>
    <row r="279" ht="15.75" customHeight="1">
      <c r="A279" s="36"/>
      <c r="B279" s="36"/>
      <c r="C279" s="36"/>
      <c r="D279" s="36"/>
      <c r="E279" s="36"/>
      <c r="F279" s="37"/>
      <c r="G279" s="38"/>
      <c r="H279" s="36"/>
      <c r="I279" s="36"/>
      <c r="J279" s="39"/>
      <c r="K279" s="36"/>
      <c r="L279" s="40"/>
      <c r="M279" s="40"/>
      <c r="N279" s="41"/>
      <c r="O279" s="41"/>
      <c r="P279" s="37"/>
      <c r="Q279" s="38"/>
      <c r="R279" s="36"/>
      <c r="S279" s="42"/>
      <c r="T279" s="42"/>
      <c r="U279" s="37"/>
      <c r="V279" s="43"/>
      <c r="W279" s="43"/>
      <c r="X279" s="36"/>
    </row>
    <row r="280" ht="15.75" customHeight="1">
      <c r="A280" s="36"/>
      <c r="B280" s="36"/>
      <c r="C280" s="36"/>
      <c r="D280" s="36"/>
      <c r="E280" s="36"/>
      <c r="F280" s="37"/>
      <c r="G280" s="38"/>
      <c r="H280" s="36"/>
      <c r="I280" s="36"/>
      <c r="J280" s="39"/>
      <c r="K280" s="36"/>
      <c r="L280" s="40"/>
      <c r="M280" s="40"/>
      <c r="N280" s="41"/>
      <c r="O280" s="41"/>
      <c r="P280" s="37"/>
      <c r="Q280" s="38"/>
      <c r="R280" s="36"/>
      <c r="S280" s="42"/>
      <c r="T280" s="42"/>
      <c r="U280" s="37"/>
      <c r="V280" s="43"/>
      <c r="W280" s="43"/>
      <c r="X280" s="36"/>
    </row>
    <row r="281" ht="15.75" customHeight="1">
      <c r="A281" s="36"/>
      <c r="B281" s="36"/>
      <c r="C281" s="36"/>
      <c r="D281" s="36"/>
      <c r="E281" s="36"/>
      <c r="F281" s="37"/>
      <c r="G281" s="38"/>
      <c r="H281" s="36"/>
      <c r="I281" s="36"/>
      <c r="J281" s="39"/>
      <c r="K281" s="36"/>
      <c r="L281" s="40"/>
      <c r="M281" s="40"/>
      <c r="N281" s="41"/>
      <c r="O281" s="41"/>
      <c r="P281" s="37"/>
      <c r="Q281" s="38"/>
      <c r="R281" s="36"/>
      <c r="S281" s="42"/>
      <c r="T281" s="42"/>
      <c r="U281" s="37"/>
      <c r="V281" s="43"/>
      <c r="W281" s="43"/>
      <c r="X281" s="36"/>
    </row>
    <row r="282" ht="15.75" customHeight="1">
      <c r="A282" s="36"/>
      <c r="B282" s="36"/>
      <c r="C282" s="36"/>
      <c r="D282" s="36"/>
      <c r="E282" s="36"/>
      <c r="F282" s="37"/>
      <c r="G282" s="38"/>
      <c r="H282" s="36"/>
      <c r="I282" s="36"/>
      <c r="J282" s="39"/>
      <c r="K282" s="36"/>
      <c r="L282" s="40"/>
      <c r="M282" s="40"/>
      <c r="N282" s="41"/>
      <c r="O282" s="41"/>
      <c r="P282" s="37"/>
      <c r="Q282" s="38"/>
      <c r="R282" s="36"/>
      <c r="S282" s="42"/>
      <c r="T282" s="42"/>
      <c r="U282" s="37"/>
      <c r="V282" s="43"/>
      <c r="W282" s="43"/>
      <c r="X282" s="36"/>
    </row>
    <row r="283" ht="15.75" customHeight="1">
      <c r="A283" s="36"/>
      <c r="B283" s="36"/>
      <c r="C283" s="36"/>
      <c r="D283" s="36"/>
      <c r="E283" s="36"/>
      <c r="F283" s="37"/>
      <c r="G283" s="38"/>
      <c r="H283" s="36"/>
      <c r="I283" s="36"/>
      <c r="J283" s="39"/>
      <c r="K283" s="36"/>
      <c r="L283" s="40"/>
      <c r="M283" s="40"/>
      <c r="N283" s="41"/>
      <c r="O283" s="41"/>
      <c r="P283" s="37"/>
      <c r="Q283" s="38"/>
      <c r="R283" s="36"/>
      <c r="S283" s="42"/>
      <c r="T283" s="42"/>
      <c r="U283" s="37"/>
      <c r="V283" s="43"/>
      <c r="W283" s="43"/>
      <c r="X283" s="36"/>
    </row>
    <row r="284" ht="15.75" customHeight="1">
      <c r="A284" s="36"/>
      <c r="B284" s="36"/>
      <c r="C284" s="36"/>
      <c r="D284" s="36"/>
      <c r="E284" s="36"/>
      <c r="F284" s="37"/>
      <c r="G284" s="38"/>
      <c r="H284" s="36"/>
      <c r="I284" s="36"/>
      <c r="J284" s="39"/>
      <c r="K284" s="36"/>
      <c r="L284" s="40"/>
      <c r="M284" s="40"/>
      <c r="N284" s="41"/>
      <c r="O284" s="41"/>
      <c r="P284" s="37"/>
      <c r="Q284" s="38"/>
      <c r="R284" s="36"/>
      <c r="S284" s="42"/>
      <c r="T284" s="42"/>
      <c r="U284" s="37"/>
      <c r="V284" s="43"/>
      <c r="W284" s="43"/>
      <c r="X284" s="36"/>
    </row>
    <row r="285" ht="15.75" customHeight="1">
      <c r="A285" s="36"/>
      <c r="B285" s="36"/>
      <c r="C285" s="36"/>
      <c r="D285" s="36"/>
      <c r="E285" s="36"/>
      <c r="F285" s="37"/>
      <c r="G285" s="38"/>
      <c r="H285" s="36"/>
      <c r="I285" s="36"/>
      <c r="J285" s="39"/>
      <c r="K285" s="36"/>
      <c r="L285" s="40"/>
      <c r="M285" s="40"/>
      <c r="N285" s="41"/>
      <c r="O285" s="41"/>
      <c r="P285" s="37"/>
      <c r="Q285" s="38"/>
      <c r="R285" s="36"/>
      <c r="S285" s="42"/>
      <c r="T285" s="42"/>
      <c r="U285" s="37"/>
      <c r="V285" s="43"/>
      <c r="W285" s="43"/>
      <c r="X285" s="36"/>
    </row>
    <row r="286" ht="15.75" customHeight="1">
      <c r="A286" s="36"/>
      <c r="B286" s="36"/>
      <c r="C286" s="36"/>
      <c r="D286" s="36"/>
      <c r="E286" s="36"/>
      <c r="F286" s="37"/>
      <c r="G286" s="38"/>
      <c r="H286" s="36"/>
      <c r="I286" s="36"/>
      <c r="J286" s="39"/>
      <c r="K286" s="36"/>
      <c r="L286" s="40"/>
      <c r="M286" s="40"/>
      <c r="N286" s="41"/>
      <c r="O286" s="41"/>
      <c r="P286" s="37"/>
      <c r="Q286" s="38"/>
      <c r="R286" s="36"/>
      <c r="S286" s="42"/>
      <c r="T286" s="42"/>
      <c r="U286" s="37"/>
      <c r="V286" s="43"/>
      <c r="W286" s="43"/>
      <c r="X286" s="36"/>
    </row>
    <row r="287" ht="15.75" customHeight="1">
      <c r="A287" s="36"/>
      <c r="B287" s="36"/>
      <c r="C287" s="36"/>
      <c r="D287" s="36"/>
      <c r="E287" s="36"/>
      <c r="F287" s="37"/>
      <c r="G287" s="38"/>
      <c r="H287" s="36"/>
      <c r="I287" s="36"/>
      <c r="J287" s="39"/>
      <c r="K287" s="36"/>
      <c r="L287" s="40"/>
      <c r="M287" s="40"/>
      <c r="N287" s="41"/>
      <c r="O287" s="41"/>
      <c r="P287" s="37"/>
      <c r="Q287" s="38"/>
      <c r="R287" s="36"/>
      <c r="S287" s="42"/>
      <c r="T287" s="42"/>
      <c r="U287" s="37"/>
      <c r="V287" s="43"/>
      <c r="W287" s="43"/>
      <c r="X287" s="36"/>
    </row>
    <row r="288" ht="15.75" customHeight="1">
      <c r="A288" s="36"/>
      <c r="B288" s="36"/>
      <c r="C288" s="36"/>
      <c r="D288" s="36"/>
      <c r="E288" s="36"/>
      <c r="F288" s="37"/>
      <c r="G288" s="38"/>
      <c r="H288" s="36"/>
      <c r="I288" s="36"/>
      <c r="J288" s="39"/>
      <c r="K288" s="36"/>
      <c r="L288" s="40"/>
      <c r="M288" s="40"/>
      <c r="N288" s="41"/>
      <c r="O288" s="41"/>
      <c r="P288" s="37"/>
      <c r="Q288" s="38"/>
      <c r="R288" s="36"/>
      <c r="S288" s="42"/>
      <c r="T288" s="42"/>
      <c r="U288" s="37"/>
      <c r="V288" s="43"/>
      <c r="W288" s="43"/>
      <c r="X288" s="36"/>
    </row>
    <row r="289" ht="15.75" customHeight="1">
      <c r="A289" s="36"/>
      <c r="B289" s="36"/>
      <c r="C289" s="36"/>
      <c r="D289" s="36"/>
      <c r="E289" s="36"/>
      <c r="F289" s="37"/>
      <c r="G289" s="38"/>
      <c r="H289" s="36"/>
      <c r="I289" s="36"/>
      <c r="J289" s="39"/>
      <c r="K289" s="36"/>
      <c r="L289" s="40"/>
      <c r="M289" s="40"/>
      <c r="N289" s="41"/>
      <c r="O289" s="41"/>
      <c r="P289" s="37"/>
      <c r="Q289" s="38"/>
      <c r="R289" s="36"/>
      <c r="S289" s="42"/>
      <c r="T289" s="42"/>
      <c r="U289" s="37"/>
      <c r="V289" s="43"/>
      <c r="W289" s="43"/>
      <c r="X289" s="36"/>
    </row>
    <row r="290" ht="15.75" customHeight="1">
      <c r="A290" s="36"/>
      <c r="B290" s="36"/>
      <c r="C290" s="36"/>
      <c r="D290" s="36"/>
      <c r="E290" s="36"/>
      <c r="F290" s="37"/>
      <c r="G290" s="38"/>
      <c r="H290" s="36"/>
      <c r="I290" s="36"/>
      <c r="J290" s="39"/>
      <c r="K290" s="36"/>
      <c r="L290" s="40"/>
      <c r="M290" s="40"/>
      <c r="N290" s="41"/>
      <c r="O290" s="41"/>
      <c r="P290" s="37"/>
      <c r="Q290" s="38"/>
      <c r="R290" s="36"/>
      <c r="S290" s="42"/>
      <c r="T290" s="42"/>
      <c r="U290" s="37"/>
      <c r="V290" s="43"/>
      <c r="W290" s="43"/>
      <c r="X290" s="36"/>
    </row>
    <row r="291" ht="15.75" customHeight="1">
      <c r="A291" s="36"/>
      <c r="B291" s="36"/>
      <c r="C291" s="36"/>
      <c r="D291" s="36"/>
      <c r="E291" s="36"/>
      <c r="F291" s="37"/>
      <c r="G291" s="38"/>
      <c r="H291" s="36"/>
      <c r="I291" s="36"/>
      <c r="J291" s="39"/>
      <c r="K291" s="36"/>
      <c r="L291" s="40"/>
      <c r="M291" s="40"/>
      <c r="N291" s="41"/>
      <c r="O291" s="41"/>
      <c r="P291" s="37"/>
      <c r="Q291" s="38"/>
      <c r="R291" s="36"/>
      <c r="S291" s="42"/>
      <c r="T291" s="42"/>
      <c r="U291" s="37"/>
      <c r="V291" s="43"/>
      <c r="W291" s="43"/>
      <c r="X291" s="36"/>
    </row>
    <row r="292" ht="15.75" customHeight="1">
      <c r="A292" s="36"/>
      <c r="B292" s="36"/>
      <c r="C292" s="36"/>
      <c r="D292" s="36"/>
      <c r="E292" s="36"/>
      <c r="F292" s="37"/>
      <c r="G292" s="38"/>
      <c r="H292" s="36"/>
      <c r="I292" s="36"/>
      <c r="J292" s="39"/>
      <c r="K292" s="36"/>
      <c r="L292" s="40"/>
      <c r="M292" s="40"/>
      <c r="N292" s="41"/>
      <c r="O292" s="41"/>
      <c r="P292" s="37"/>
      <c r="Q292" s="38"/>
      <c r="R292" s="36"/>
      <c r="S292" s="42"/>
      <c r="T292" s="42"/>
      <c r="U292" s="37"/>
      <c r="V292" s="43"/>
      <c r="W292" s="43"/>
      <c r="X292" s="36"/>
    </row>
    <row r="293" ht="15.75" customHeight="1">
      <c r="A293" s="36"/>
      <c r="B293" s="36"/>
      <c r="C293" s="36"/>
      <c r="D293" s="36"/>
      <c r="E293" s="36"/>
      <c r="F293" s="37"/>
      <c r="G293" s="38"/>
      <c r="H293" s="36"/>
      <c r="I293" s="36"/>
      <c r="J293" s="39"/>
      <c r="K293" s="36"/>
      <c r="L293" s="40"/>
      <c r="M293" s="40"/>
      <c r="N293" s="41"/>
      <c r="O293" s="41"/>
      <c r="P293" s="37"/>
      <c r="Q293" s="38"/>
      <c r="R293" s="36"/>
      <c r="S293" s="42"/>
      <c r="T293" s="42"/>
      <c r="U293" s="37"/>
      <c r="V293" s="43"/>
      <c r="W293" s="43"/>
      <c r="X293" s="36"/>
    </row>
    <row r="294" ht="15.75" customHeight="1">
      <c r="A294" s="36"/>
      <c r="B294" s="36"/>
      <c r="C294" s="36"/>
      <c r="D294" s="36"/>
      <c r="E294" s="36"/>
      <c r="F294" s="37"/>
      <c r="G294" s="38"/>
      <c r="H294" s="36"/>
      <c r="I294" s="36"/>
      <c r="J294" s="39"/>
      <c r="K294" s="36"/>
      <c r="L294" s="40"/>
      <c r="M294" s="40"/>
      <c r="N294" s="41"/>
      <c r="O294" s="41"/>
      <c r="P294" s="37"/>
      <c r="Q294" s="38"/>
      <c r="R294" s="36"/>
      <c r="S294" s="42"/>
      <c r="T294" s="42"/>
      <c r="U294" s="37"/>
      <c r="V294" s="43"/>
      <c r="W294" s="43"/>
      <c r="X294" s="36"/>
    </row>
    <row r="295" ht="15.75" customHeight="1">
      <c r="A295" s="36"/>
      <c r="B295" s="36"/>
      <c r="C295" s="36"/>
      <c r="D295" s="36"/>
      <c r="E295" s="36"/>
      <c r="F295" s="37"/>
      <c r="G295" s="38"/>
      <c r="H295" s="36"/>
      <c r="I295" s="36"/>
      <c r="J295" s="39"/>
      <c r="K295" s="36"/>
      <c r="L295" s="40"/>
      <c r="M295" s="40"/>
      <c r="N295" s="41"/>
      <c r="O295" s="41"/>
      <c r="P295" s="37"/>
      <c r="Q295" s="38"/>
      <c r="R295" s="36"/>
      <c r="S295" s="42"/>
      <c r="T295" s="42"/>
      <c r="U295" s="37"/>
      <c r="V295" s="43"/>
      <c r="W295" s="43"/>
      <c r="X295" s="36"/>
    </row>
    <row r="296" ht="15.75" customHeight="1">
      <c r="A296" s="36"/>
      <c r="B296" s="36"/>
      <c r="C296" s="36"/>
      <c r="D296" s="36"/>
      <c r="E296" s="36"/>
      <c r="F296" s="37"/>
      <c r="G296" s="38"/>
      <c r="H296" s="36"/>
      <c r="I296" s="36"/>
      <c r="J296" s="39"/>
      <c r="K296" s="36"/>
      <c r="L296" s="40"/>
      <c r="M296" s="40"/>
      <c r="N296" s="41"/>
      <c r="O296" s="41"/>
      <c r="P296" s="37"/>
      <c r="Q296" s="38"/>
      <c r="R296" s="36"/>
      <c r="S296" s="42"/>
      <c r="T296" s="42"/>
      <c r="U296" s="37"/>
      <c r="V296" s="43"/>
      <c r="W296" s="43"/>
      <c r="X296" s="36"/>
    </row>
    <row r="297" ht="15.75" customHeight="1">
      <c r="A297" s="36"/>
      <c r="B297" s="36"/>
      <c r="C297" s="36"/>
      <c r="D297" s="36"/>
      <c r="E297" s="36"/>
      <c r="F297" s="37"/>
      <c r="G297" s="38"/>
      <c r="H297" s="36"/>
      <c r="I297" s="36"/>
      <c r="J297" s="39"/>
      <c r="K297" s="36"/>
      <c r="L297" s="40"/>
      <c r="M297" s="40"/>
      <c r="N297" s="41"/>
      <c r="O297" s="41"/>
      <c r="P297" s="37"/>
      <c r="Q297" s="38"/>
      <c r="R297" s="36"/>
      <c r="S297" s="42"/>
      <c r="T297" s="42"/>
      <c r="U297" s="37"/>
      <c r="V297" s="43"/>
      <c r="W297" s="43"/>
      <c r="X297" s="36"/>
    </row>
    <row r="298" ht="15.75" customHeight="1">
      <c r="A298" s="36"/>
      <c r="B298" s="36"/>
      <c r="C298" s="36"/>
      <c r="D298" s="36"/>
      <c r="E298" s="36"/>
      <c r="F298" s="37"/>
      <c r="G298" s="38"/>
      <c r="H298" s="36"/>
      <c r="I298" s="36"/>
      <c r="J298" s="39"/>
      <c r="K298" s="36"/>
      <c r="L298" s="40"/>
      <c r="M298" s="40"/>
      <c r="N298" s="41"/>
      <c r="O298" s="41"/>
      <c r="P298" s="37"/>
      <c r="Q298" s="38"/>
      <c r="R298" s="36"/>
      <c r="S298" s="42"/>
      <c r="T298" s="42"/>
      <c r="U298" s="37"/>
      <c r="V298" s="43"/>
      <c r="W298" s="43"/>
      <c r="X298" s="36"/>
    </row>
    <row r="299" ht="15.75" customHeight="1">
      <c r="A299" s="36"/>
      <c r="B299" s="36"/>
      <c r="C299" s="36"/>
      <c r="D299" s="36"/>
      <c r="E299" s="36"/>
      <c r="F299" s="37"/>
      <c r="G299" s="38"/>
      <c r="H299" s="36"/>
      <c r="I299" s="36"/>
      <c r="J299" s="39"/>
      <c r="K299" s="36"/>
      <c r="L299" s="40"/>
      <c r="M299" s="40"/>
      <c r="N299" s="41"/>
      <c r="O299" s="41"/>
      <c r="P299" s="37"/>
      <c r="Q299" s="38"/>
      <c r="R299" s="36"/>
      <c r="S299" s="42"/>
      <c r="T299" s="42"/>
      <c r="U299" s="37"/>
      <c r="V299" s="43"/>
      <c r="W299" s="43"/>
      <c r="X299" s="36"/>
    </row>
    <row r="300" ht="15.75" customHeight="1">
      <c r="A300" s="36"/>
      <c r="B300" s="36"/>
      <c r="C300" s="36"/>
      <c r="D300" s="36"/>
      <c r="E300" s="36"/>
      <c r="F300" s="37"/>
      <c r="G300" s="38"/>
      <c r="H300" s="36"/>
      <c r="I300" s="36"/>
      <c r="J300" s="39"/>
      <c r="K300" s="36"/>
      <c r="L300" s="40"/>
      <c r="M300" s="40"/>
      <c r="N300" s="41"/>
      <c r="O300" s="41"/>
      <c r="P300" s="37"/>
      <c r="Q300" s="38"/>
      <c r="R300" s="36"/>
      <c r="S300" s="42"/>
      <c r="T300" s="42"/>
      <c r="U300" s="37"/>
      <c r="V300" s="43"/>
      <c r="W300" s="43"/>
      <c r="X300" s="36"/>
    </row>
    <row r="301" ht="15.75" customHeight="1">
      <c r="A301" s="36"/>
      <c r="B301" s="36"/>
      <c r="C301" s="36"/>
      <c r="D301" s="36"/>
      <c r="E301" s="36"/>
      <c r="F301" s="37"/>
      <c r="G301" s="38"/>
      <c r="H301" s="36"/>
      <c r="I301" s="36"/>
      <c r="J301" s="39"/>
      <c r="K301" s="36"/>
      <c r="L301" s="40"/>
      <c r="M301" s="40"/>
      <c r="N301" s="41"/>
      <c r="O301" s="41"/>
      <c r="P301" s="37"/>
      <c r="Q301" s="38"/>
      <c r="R301" s="36"/>
      <c r="S301" s="42"/>
      <c r="T301" s="42"/>
      <c r="U301" s="37"/>
      <c r="V301" s="43"/>
      <c r="W301" s="43"/>
      <c r="X301" s="36"/>
    </row>
    <row r="302" ht="15.75" customHeight="1">
      <c r="A302" s="36"/>
      <c r="B302" s="36"/>
      <c r="C302" s="36"/>
      <c r="D302" s="36"/>
      <c r="E302" s="36"/>
      <c r="F302" s="37"/>
      <c r="G302" s="38"/>
      <c r="H302" s="36"/>
      <c r="I302" s="36"/>
      <c r="J302" s="39"/>
      <c r="K302" s="36"/>
      <c r="L302" s="40"/>
      <c r="M302" s="40"/>
      <c r="N302" s="41"/>
      <c r="O302" s="41"/>
      <c r="P302" s="37"/>
      <c r="Q302" s="38"/>
      <c r="R302" s="36"/>
      <c r="S302" s="42"/>
      <c r="T302" s="42"/>
      <c r="U302" s="37"/>
      <c r="V302" s="43"/>
      <c r="W302" s="43"/>
      <c r="X302" s="36"/>
    </row>
    <row r="303" ht="15.75" customHeight="1">
      <c r="A303" s="36"/>
      <c r="B303" s="36"/>
      <c r="C303" s="36"/>
      <c r="D303" s="36"/>
      <c r="E303" s="36"/>
      <c r="F303" s="37"/>
      <c r="G303" s="38"/>
      <c r="H303" s="36"/>
      <c r="I303" s="36"/>
      <c r="J303" s="39"/>
      <c r="K303" s="36"/>
      <c r="L303" s="40"/>
      <c r="M303" s="40"/>
      <c r="N303" s="41"/>
      <c r="O303" s="41"/>
      <c r="P303" s="37"/>
      <c r="Q303" s="38"/>
      <c r="R303" s="36"/>
      <c r="S303" s="42"/>
      <c r="T303" s="42"/>
      <c r="U303" s="37"/>
      <c r="V303" s="43"/>
      <c r="W303" s="43"/>
      <c r="X303" s="36"/>
    </row>
    <row r="304" ht="15.75" customHeight="1">
      <c r="A304" s="36"/>
      <c r="B304" s="36"/>
      <c r="C304" s="36"/>
      <c r="D304" s="36"/>
      <c r="E304" s="36"/>
      <c r="F304" s="37"/>
      <c r="G304" s="38"/>
      <c r="H304" s="36"/>
      <c r="I304" s="36"/>
      <c r="J304" s="39"/>
      <c r="K304" s="36"/>
      <c r="L304" s="40"/>
      <c r="M304" s="40"/>
      <c r="N304" s="41"/>
      <c r="O304" s="41"/>
      <c r="P304" s="37"/>
      <c r="Q304" s="38"/>
      <c r="R304" s="36"/>
      <c r="S304" s="42"/>
      <c r="T304" s="42"/>
      <c r="U304" s="37"/>
      <c r="V304" s="43"/>
      <c r="W304" s="43"/>
      <c r="X304" s="36"/>
    </row>
    <row r="305" ht="15.75" customHeight="1">
      <c r="A305" s="36"/>
      <c r="B305" s="36"/>
      <c r="C305" s="36"/>
      <c r="D305" s="36"/>
      <c r="E305" s="36"/>
      <c r="F305" s="37"/>
      <c r="G305" s="38"/>
      <c r="H305" s="36"/>
      <c r="I305" s="36"/>
      <c r="J305" s="39"/>
      <c r="K305" s="36"/>
      <c r="L305" s="40"/>
      <c r="M305" s="40"/>
      <c r="N305" s="41"/>
      <c r="O305" s="41"/>
      <c r="P305" s="37"/>
      <c r="Q305" s="38"/>
      <c r="R305" s="36"/>
      <c r="S305" s="42"/>
      <c r="T305" s="42"/>
      <c r="U305" s="37"/>
      <c r="V305" s="43"/>
      <c r="W305" s="43"/>
      <c r="X305" s="36"/>
    </row>
    <row r="306" ht="15.75" customHeight="1">
      <c r="A306" s="36"/>
      <c r="B306" s="36"/>
      <c r="C306" s="36"/>
      <c r="D306" s="36"/>
      <c r="E306" s="36"/>
      <c r="F306" s="37"/>
      <c r="G306" s="38"/>
      <c r="H306" s="36"/>
      <c r="I306" s="36"/>
      <c r="J306" s="39"/>
      <c r="K306" s="36"/>
      <c r="L306" s="40"/>
      <c r="M306" s="40"/>
      <c r="N306" s="41"/>
      <c r="O306" s="41"/>
      <c r="P306" s="37"/>
      <c r="Q306" s="38"/>
      <c r="R306" s="36"/>
      <c r="S306" s="42"/>
      <c r="T306" s="42"/>
      <c r="U306" s="37"/>
      <c r="V306" s="43"/>
      <c r="W306" s="43"/>
      <c r="X306" s="36"/>
    </row>
    <row r="307" ht="15.75" customHeight="1">
      <c r="A307" s="36"/>
      <c r="B307" s="36"/>
      <c r="C307" s="36"/>
      <c r="D307" s="36"/>
      <c r="E307" s="36"/>
      <c r="F307" s="37"/>
      <c r="G307" s="38"/>
      <c r="H307" s="36"/>
      <c r="I307" s="36"/>
      <c r="J307" s="39"/>
      <c r="K307" s="36"/>
      <c r="L307" s="40"/>
      <c r="M307" s="40"/>
      <c r="N307" s="41"/>
      <c r="O307" s="41"/>
      <c r="P307" s="37"/>
      <c r="Q307" s="38"/>
      <c r="R307" s="36"/>
      <c r="S307" s="42"/>
      <c r="T307" s="42"/>
      <c r="U307" s="37"/>
      <c r="V307" s="43"/>
      <c r="W307" s="43"/>
      <c r="X307" s="36"/>
    </row>
    <row r="308" ht="15.75" customHeight="1">
      <c r="A308" s="36"/>
      <c r="B308" s="36"/>
      <c r="C308" s="36"/>
      <c r="D308" s="36"/>
      <c r="E308" s="36"/>
      <c r="F308" s="37"/>
      <c r="G308" s="38"/>
      <c r="H308" s="36"/>
      <c r="I308" s="36"/>
      <c r="J308" s="39"/>
      <c r="K308" s="36"/>
      <c r="L308" s="40"/>
      <c r="M308" s="40"/>
      <c r="N308" s="41"/>
      <c r="O308" s="41"/>
      <c r="P308" s="37"/>
      <c r="Q308" s="38"/>
      <c r="R308" s="36"/>
      <c r="S308" s="42"/>
      <c r="T308" s="42"/>
      <c r="U308" s="37"/>
      <c r="V308" s="43"/>
      <c r="W308" s="43"/>
      <c r="X308" s="36"/>
    </row>
    <row r="309" ht="15.75" customHeight="1">
      <c r="A309" s="36"/>
      <c r="B309" s="36"/>
      <c r="C309" s="36"/>
      <c r="D309" s="36"/>
      <c r="E309" s="36"/>
      <c r="F309" s="37"/>
      <c r="G309" s="38"/>
      <c r="H309" s="36"/>
      <c r="I309" s="36"/>
      <c r="J309" s="39"/>
      <c r="K309" s="36"/>
      <c r="L309" s="40"/>
      <c r="M309" s="40"/>
      <c r="N309" s="41"/>
      <c r="O309" s="41"/>
      <c r="P309" s="37"/>
      <c r="Q309" s="38"/>
      <c r="R309" s="36"/>
      <c r="S309" s="42"/>
      <c r="T309" s="42"/>
      <c r="U309" s="37"/>
      <c r="V309" s="43"/>
      <c r="W309" s="43"/>
      <c r="X309" s="36"/>
    </row>
    <row r="310" ht="15.75" customHeight="1">
      <c r="A310" s="36"/>
      <c r="B310" s="36"/>
      <c r="C310" s="36"/>
      <c r="D310" s="36"/>
      <c r="E310" s="36"/>
      <c r="F310" s="37"/>
      <c r="G310" s="38"/>
      <c r="H310" s="36"/>
      <c r="I310" s="36"/>
      <c r="J310" s="39"/>
      <c r="K310" s="36"/>
      <c r="L310" s="40"/>
      <c r="M310" s="40"/>
      <c r="N310" s="41"/>
      <c r="O310" s="41"/>
      <c r="P310" s="37"/>
      <c r="Q310" s="38"/>
      <c r="R310" s="36"/>
      <c r="S310" s="42"/>
      <c r="T310" s="42"/>
      <c r="U310" s="37"/>
      <c r="V310" s="43"/>
      <c r="W310" s="43"/>
      <c r="X310" s="36"/>
    </row>
    <row r="311" ht="15.75" customHeight="1">
      <c r="A311" s="36"/>
      <c r="B311" s="36"/>
      <c r="C311" s="36"/>
      <c r="D311" s="36"/>
      <c r="E311" s="36"/>
      <c r="F311" s="37"/>
      <c r="G311" s="38"/>
      <c r="H311" s="36"/>
      <c r="I311" s="36"/>
      <c r="J311" s="39"/>
      <c r="K311" s="36"/>
      <c r="L311" s="40"/>
      <c r="M311" s="40"/>
      <c r="N311" s="41"/>
      <c r="O311" s="41"/>
      <c r="P311" s="37"/>
      <c r="Q311" s="38"/>
      <c r="R311" s="36"/>
      <c r="S311" s="42"/>
      <c r="T311" s="42"/>
      <c r="U311" s="37"/>
      <c r="V311" s="43"/>
      <c r="W311" s="43"/>
      <c r="X311" s="36"/>
    </row>
    <row r="312" ht="15.75" customHeight="1">
      <c r="A312" s="36"/>
      <c r="B312" s="36"/>
      <c r="C312" s="36"/>
      <c r="D312" s="36"/>
      <c r="E312" s="36"/>
      <c r="F312" s="37"/>
      <c r="G312" s="38"/>
      <c r="H312" s="36"/>
      <c r="I312" s="36"/>
      <c r="J312" s="39"/>
      <c r="K312" s="36"/>
      <c r="L312" s="40"/>
      <c r="M312" s="40"/>
      <c r="N312" s="41"/>
      <c r="O312" s="41"/>
      <c r="P312" s="37"/>
      <c r="Q312" s="38"/>
      <c r="R312" s="36"/>
      <c r="S312" s="42"/>
      <c r="T312" s="42"/>
      <c r="U312" s="37"/>
      <c r="V312" s="43"/>
      <c r="W312" s="43"/>
      <c r="X312" s="36"/>
    </row>
    <row r="313" ht="15.75" customHeight="1">
      <c r="A313" s="36"/>
      <c r="B313" s="36"/>
      <c r="C313" s="36"/>
      <c r="D313" s="36"/>
      <c r="E313" s="36"/>
      <c r="F313" s="37"/>
      <c r="G313" s="38"/>
      <c r="H313" s="36"/>
      <c r="I313" s="36"/>
      <c r="J313" s="39"/>
      <c r="K313" s="36"/>
      <c r="L313" s="40"/>
      <c r="M313" s="40"/>
      <c r="N313" s="41"/>
      <c r="O313" s="41"/>
      <c r="P313" s="37"/>
      <c r="Q313" s="38"/>
      <c r="R313" s="36"/>
      <c r="S313" s="42"/>
      <c r="T313" s="42"/>
      <c r="U313" s="37"/>
      <c r="V313" s="43"/>
      <c r="W313" s="43"/>
      <c r="X313" s="36"/>
    </row>
    <row r="314" ht="15.75" customHeight="1">
      <c r="A314" s="36"/>
      <c r="B314" s="36"/>
      <c r="C314" s="36"/>
      <c r="D314" s="36"/>
      <c r="E314" s="36"/>
      <c r="F314" s="37"/>
      <c r="G314" s="38"/>
      <c r="H314" s="36"/>
      <c r="I314" s="36"/>
      <c r="J314" s="39"/>
      <c r="K314" s="36"/>
      <c r="L314" s="40"/>
      <c r="M314" s="40"/>
      <c r="N314" s="41"/>
      <c r="O314" s="41"/>
      <c r="P314" s="37"/>
      <c r="Q314" s="38"/>
      <c r="R314" s="36"/>
      <c r="S314" s="42"/>
      <c r="T314" s="42"/>
      <c r="U314" s="37"/>
      <c r="V314" s="43"/>
      <c r="W314" s="43"/>
      <c r="X314" s="36"/>
    </row>
    <row r="315" ht="15.75" customHeight="1">
      <c r="A315" s="36"/>
      <c r="B315" s="36"/>
      <c r="C315" s="36"/>
      <c r="D315" s="36"/>
      <c r="E315" s="36"/>
      <c r="F315" s="37"/>
      <c r="G315" s="38"/>
      <c r="H315" s="36"/>
      <c r="I315" s="36"/>
      <c r="J315" s="39"/>
      <c r="K315" s="36"/>
      <c r="L315" s="40"/>
      <c r="M315" s="40"/>
      <c r="N315" s="41"/>
      <c r="O315" s="41"/>
      <c r="P315" s="37"/>
      <c r="Q315" s="38"/>
      <c r="R315" s="36"/>
      <c r="S315" s="42"/>
      <c r="T315" s="42"/>
      <c r="U315" s="37"/>
      <c r="V315" s="43"/>
      <c r="W315" s="43"/>
      <c r="X315" s="36"/>
    </row>
    <row r="316" ht="15.75" customHeight="1">
      <c r="A316" s="36"/>
      <c r="B316" s="36"/>
      <c r="C316" s="36"/>
      <c r="D316" s="36"/>
      <c r="E316" s="36"/>
      <c r="F316" s="37"/>
      <c r="G316" s="38"/>
      <c r="H316" s="36"/>
      <c r="I316" s="36"/>
      <c r="J316" s="39"/>
      <c r="K316" s="36"/>
      <c r="L316" s="40"/>
      <c r="M316" s="40"/>
      <c r="N316" s="41"/>
      <c r="O316" s="41"/>
      <c r="P316" s="37"/>
      <c r="Q316" s="38"/>
      <c r="R316" s="36"/>
      <c r="S316" s="42"/>
      <c r="T316" s="42"/>
      <c r="U316" s="37"/>
      <c r="V316" s="43"/>
      <c r="W316" s="43"/>
      <c r="X316" s="36"/>
    </row>
    <row r="317" ht="15.75" customHeight="1">
      <c r="A317" s="36"/>
      <c r="B317" s="36"/>
      <c r="C317" s="36"/>
      <c r="D317" s="36"/>
      <c r="E317" s="36"/>
      <c r="F317" s="37"/>
      <c r="G317" s="38"/>
      <c r="H317" s="36"/>
      <c r="I317" s="36"/>
      <c r="J317" s="39"/>
      <c r="K317" s="36"/>
      <c r="L317" s="40"/>
      <c r="M317" s="40"/>
      <c r="N317" s="41"/>
      <c r="O317" s="41"/>
      <c r="P317" s="37"/>
      <c r="Q317" s="38"/>
      <c r="R317" s="36"/>
      <c r="S317" s="42"/>
      <c r="T317" s="42"/>
      <c r="U317" s="37"/>
      <c r="V317" s="43"/>
      <c r="W317" s="43"/>
      <c r="X317" s="36"/>
    </row>
    <row r="318" ht="15.75" customHeight="1">
      <c r="A318" s="36"/>
      <c r="B318" s="36"/>
      <c r="C318" s="36"/>
      <c r="D318" s="36"/>
      <c r="E318" s="36"/>
      <c r="F318" s="37"/>
      <c r="G318" s="38"/>
      <c r="H318" s="36"/>
      <c r="I318" s="36"/>
      <c r="J318" s="39"/>
      <c r="K318" s="36"/>
      <c r="L318" s="40"/>
      <c r="M318" s="40"/>
      <c r="N318" s="41"/>
      <c r="O318" s="41"/>
      <c r="P318" s="37"/>
      <c r="Q318" s="38"/>
      <c r="R318" s="36"/>
      <c r="S318" s="42"/>
      <c r="T318" s="42"/>
      <c r="U318" s="37"/>
      <c r="V318" s="43"/>
      <c r="W318" s="43"/>
      <c r="X318" s="36"/>
    </row>
    <row r="319" ht="15.75" customHeight="1">
      <c r="A319" s="36"/>
      <c r="B319" s="36"/>
      <c r="C319" s="36"/>
      <c r="D319" s="36"/>
      <c r="E319" s="36"/>
      <c r="F319" s="37"/>
      <c r="G319" s="38"/>
      <c r="H319" s="36"/>
      <c r="I319" s="36"/>
      <c r="J319" s="39"/>
      <c r="K319" s="36"/>
      <c r="L319" s="40"/>
      <c r="M319" s="40"/>
      <c r="N319" s="41"/>
      <c r="O319" s="41"/>
      <c r="P319" s="37"/>
      <c r="Q319" s="38"/>
      <c r="R319" s="36"/>
      <c r="S319" s="42"/>
      <c r="T319" s="42"/>
      <c r="U319" s="37"/>
      <c r="V319" s="43"/>
      <c r="W319" s="43"/>
      <c r="X319" s="36"/>
    </row>
    <row r="320" ht="15.75" customHeight="1">
      <c r="A320" s="36"/>
      <c r="B320" s="36"/>
      <c r="C320" s="36"/>
      <c r="D320" s="36"/>
      <c r="E320" s="36"/>
      <c r="F320" s="37"/>
      <c r="G320" s="38"/>
      <c r="H320" s="36"/>
      <c r="I320" s="36"/>
      <c r="J320" s="39"/>
      <c r="K320" s="36"/>
      <c r="L320" s="40"/>
      <c r="M320" s="40"/>
      <c r="N320" s="41"/>
      <c r="O320" s="41"/>
      <c r="P320" s="37"/>
      <c r="Q320" s="38"/>
      <c r="R320" s="36"/>
      <c r="S320" s="42"/>
      <c r="T320" s="42"/>
      <c r="U320" s="37"/>
      <c r="V320" s="43"/>
      <c r="W320" s="43"/>
      <c r="X320" s="36"/>
    </row>
    <row r="321" ht="15.75" customHeight="1">
      <c r="A321" s="36"/>
      <c r="B321" s="36"/>
      <c r="C321" s="36"/>
      <c r="D321" s="36"/>
      <c r="E321" s="36"/>
      <c r="F321" s="37"/>
      <c r="G321" s="38"/>
      <c r="H321" s="36"/>
      <c r="I321" s="36"/>
      <c r="J321" s="39"/>
      <c r="K321" s="36"/>
      <c r="L321" s="40"/>
      <c r="M321" s="40"/>
      <c r="N321" s="41"/>
      <c r="O321" s="41"/>
      <c r="P321" s="37"/>
      <c r="Q321" s="38"/>
      <c r="R321" s="36"/>
      <c r="S321" s="42"/>
      <c r="T321" s="42"/>
      <c r="U321" s="37"/>
      <c r="V321" s="43"/>
      <c r="W321" s="43"/>
      <c r="X321" s="36"/>
    </row>
    <row r="322" ht="15.75" customHeight="1">
      <c r="A322" s="36"/>
      <c r="B322" s="36"/>
      <c r="C322" s="36"/>
      <c r="D322" s="36"/>
      <c r="E322" s="36"/>
      <c r="F322" s="37"/>
      <c r="G322" s="38"/>
      <c r="H322" s="36"/>
      <c r="I322" s="36"/>
      <c r="J322" s="39"/>
      <c r="K322" s="36"/>
      <c r="L322" s="40"/>
      <c r="M322" s="40"/>
      <c r="N322" s="41"/>
      <c r="O322" s="41"/>
      <c r="P322" s="37"/>
      <c r="Q322" s="38"/>
      <c r="R322" s="36"/>
      <c r="S322" s="42"/>
      <c r="T322" s="42"/>
      <c r="U322" s="37"/>
      <c r="V322" s="43"/>
      <c r="W322" s="43"/>
      <c r="X322" s="36"/>
    </row>
    <row r="323" ht="15.75" customHeight="1">
      <c r="A323" s="36"/>
      <c r="B323" s="36"/>
      <c r="C323" s="36"/>
      <c r="D323" s="36"/>
      <c r="E323" s="36"/>
      <c r="F323" s="37"/>
      <c r="G323" s="38"/>
      <c r="H323" s="36"/>
      <c r="I323" s="36"/>
      <c r="J323" s="39"/>
      <c r="K323" s="36"/>
      <c r="L323" s="40"/>
      <c r="M323" s="40"/>
      <c r="N323" s="41"/>
      <c r="O323" s="41"/>
      <c r="P323" s="37"/>
      <c r="Q323" s="38"/>
      <c r="R323" s="36"/>
      <c r="S323" s="42"/>
      <c r="T323" s="42"/>
      <c r="U323" s="37"/>
      <c r="V323" s="43"/>
      <c r="W323" s="43"/>
      <c r="X323" s="36"/>
    </row>
    <row r="324" ht="15.75" customHeight="1">
      <c r="A324" s="36"/>
      <c r="B324" s="36"/>
      <c r="C324" s="36"/>
      <c r="D324" s="36"/>
      <c r="E324" s="36"/>
      <c r="F324" s="37"/>
      <c r="G324" s="38"/>
      <c r="H324" s="36"/>
      <c r="I324" s="36"/>
      <c r="J324" s="39"/>
      <c r="K324" s="36"/>
      <c r="L324" s="40"/>
      <c r="M324" s="40"/>
      <c r="N324" s="41"/>
      <c r="O324" s="41"/>
      <c r="P324" s="37"/>
      <c r="Q324" s="38"/>
      <c r="R324" s="36"/>
      <c r="S324" s="42"/>
      <c r="T324" s="42"/>
      <c r="U324" s="37"/>
      <c r="V324" s="43"/>
      <c r="W324" s="43"/>
      <c r="X324" s="36"/>
    </row>
    <row r="325" ht="15.75" customHeight="1">
      <c r="A325" s="36"/>
      <c r="B325" s="36"/>
      <c r="C325" s="36"/>
      <c r="D325" s="36"/>
      <c r="E325" s="36"/>
      <c r="F325" s="37"/>
      <c r="G325" s="38"/>
      <c r="H325" s="36"/>
      <c r="I325" s="36"/>
      <c r="J325" s="39"/>
      <c r="K325" s="36"/>
      <c r="L325" s="40"/>
      <c r="M325" s="40"/>
      <c r="N325" s="41"/>
      <c r="O325" s="41"/>
      <c r="P325" s="37"/>
      <c r="Q325" s="38"/>
      <c r="R325" s="36"/>
      <c r="S325" s="42"/>
      <c r="T325" s="42"/>
      <c r="U325" s="37"/>
      <c r="V325" s="43"/>
      <c r="W325" s="43"/>
      <c r="X325" s="36"/>
    </row>
    <row r="326" ht="15.75" customHeight="1">
      <c r="A326" s="36"/>
      <c r="B326" s="36"/>
      <c r="C326" s="36"/>
      <c r="D326" s="36"/>
      <c r="E326" s="36"/>
      <c r="F326" s="37"/>
      <c r="G326" s="38"/>
      <c r="H326" s="36"/>
      <c r="I326" s="36"/>
      <c r="J326" s="39"/>
      <c r="K326" s="36"/>
      <c r="L326" s="40"/>
      <c r="M326" s="40"/>
      <c r="N326" s="41"/>
      <c r="O326" s="41"/>
      <c r="P326" s="37"/>
      <c r="Q326" s="38"/>
      <c r="R326" s="36"/>
      <c r="S326" s="42"/>
      <c r="T326" s="42"/>
      <c r="U326" s="37"/>
      <c r="V326" s="43"/>
      <c r="W326" s="43"/>
      <c r="X326" s="36"/>
    </row>
    <row r="327" ht="15.75" customHeight="1">
      <c r="A327" s="36"/>
      <c r="B327" s="36"/>
      <c r="C327" s="36"/>
      <c r="D327" s="36"/>
      <c r="E327" s="36"/>
      <c r="F327" s="37"/>
      <c r="G327" s="38"/>
      <c r="H327" s="36"/>
      <c r="I327" s="36"/>
      <c r="J327" s="39"/>
      <c r="K327" s="36"/>
      <c r="L327" s="40"/>
      <c r="M327" s="40"/>
      <c r="N327" s="41"/>
      <c r="O327" s="41"/>
      <c r="P327" s="37"/>
      <c r="Q327" s="38"/>
      <c r="R327" s="36"/>
      <c r="S327" s="42"/>
      <c r="T327" s="42"/>
      <c r="U327" s="37"/>
      <c r="V327" s="43"/>
      <c r="W327" s="43"/>
      <c r="X327" s="36"/>
    </row>
    <row r="328" ht="15.75" customHeight="1">
      <c r="A328" s="36"/>
      <c r="B328" s="36"/>
      <c r="C328" s="36"/>
      <c r="D328" s="36"/>
      <c r="E328" s="36"/>
      <c r="F328" s="37"/>
      <c r="G328" s="38"/>
      <c r="H328" s="36"/>
      <c r="I328" s="36"/>
      <c r="J328" s="39"/>
      <c r="K328" s="36"/>
      <c r="L328" s="40"/>
      <c r="M328" s="40"/>
      <c r="N328" s="41"/>
      <c r="O328" s="41"/>
      <c r="P328" s="37"/>
      <c r="Q328" s="38"/>
      <c r="R328" s="36"/>
      <c r="S328" s="42"/>
      <c r="T328" s="42"/>
      <c r="U328" s="37"/>
      <c r="V328" s="43"/>
      <c r="W328" s="43"/>
      <c r="X328" s="36"/>
    </row>
    <row r="329" ht="15.75" customHeight="1">
      <c r="A329" s="36"/>
      <c r="B329" s="36"/>
      <c r="C329" s="36"/>
      <c r="D329" s="36"/>
      <c r="E329" s="36"/>
      <c r="F329" s="37"/>
      <c r="G329" s="38"/>
      <c r="H329" s="36"/>
      <c r="I329" s="36"/>
      <c r="J329" s="39"/>
      <c r="K329" s="36"/>
      <c r="L329" s="40"/>
      <c r="M329" s="40"/>
      <c r="N329" s="41"/>
      <c r="O329" s="41"/>
      <c r="P329" s="37"/>
      <c r="Q329" s="38"/>
      <c r="R329" s="36"/>
      <c r="S329" s="42"/>
      <c r="T329" s="42"/>
      <c r="U329" s="37"/>
      <c r="V329" s="43"/>
      <c r="W329" s="43"/>
      <c r="X329" s="36"/>
    </row>
    <row r="330" ht="15.75" customHeight="1">
      <c r="A330" s="36"/>
      <c r="B330" s="36"/>
      <c r="C330" s="36"/>
      <c r="D330" s="36"/>
      <c r="E330" s="36"/>
      <c r="F330" s="37"/>
      <c r="G330" s="38"/>
      <c r="H330" s="36"/>
      <c r="I330" s="36"/>
      <c r="J330" s="39"/>
      <c r="K330" s="36"/>
      <c r="L330" s="40"/>
      <c r="M330" s="40"/>
      <c r="N330" s="41"/>
      <c r="O330" s="41"/>
      <c r="P330" s="37"/>
      <c r="Q330" s="38"/>
      <c r="R330" s="36"/>
      <c r="S330" s="42"/>
      <c r="T330" s="42"/>
      <c r="U330" s="37"/>
      <c r="V330" s="43"/>
      <c r="W330" s="43"/>
      <c r="X330" s="36"/>
    </row>
    <row r="331" ht="15.75" customHeight="1">
      <c r="A331" s="36"/>
      <c r="B331" s="36"/>
      <c r="C331" s="36"/>
      <c r="D331" s="36"/>
      <c r="E331" s="36"/>
      <c r="F331" s="37"/>
      <c r="G331" s="38"/>
      <c r="H331" s="36"/>
      <c r="I331" s="36"/>
      <c r="J331" s="39"/>
      <c r="K331" s="36"/>
      <c r="L331" s="40"/>
      <c r="M331" s="40"/>
      <c r="N331" s="41"/>
      <c r="O331" s="41"/>
      <c r="P331" s="37"/>
      <c r="Q331" s="38"/>
      <c r="R331" s="36"/>
      <c r="S331" s="42"/>
      <c r="T331" s="42"/>
      <c r="U331" s="37"/>
      <c r="V331" s="43"/>
      <c r="W331" s="43"/>
      <c r="X331" s="36"/>
    </row>
    <row r="332" ht="15.75" customHeight="1">
      <c r="A332" s="36"/>
      <c r="B332" s="36"/>
      <c r="C332" s="36"/>
      <c r="D332" s="36"/>
      <c r="E332" s="36"/>
      <c r="F332" s="37"/>
      <c r="G332" s="38"/>
      <c r="H332" s="36"/>
      <c r="I332" s="36"/>
      <c r="J332" s="39"/>
      <c r="K332" s="36"/>
      <c r="L332" s="40"/>
      <c r="M332" s="40"/>
      <c r="N332" s="41"/>
      <c r="O332" s="41"/>
      <c r="P332" s="37"/>
      <c r="Q332" s="38"/>
      <c r="R332" s="36"/>
      <c r="S332" s="42"/>
      <c r="T332" s="42"/>
      <c r="U332" s="37"/>
      <c r="V332" s="43"/>
      <c r="W332" s="43"/>
      <c r="X332" s="36"/>
    </row>
    <row r="333" ht="15.75" customHeight="1">
      <c r="A333" s="36"/>
      <c r="B333" s="36"/>
      <c r="C333" s="36"/>
      <c r="D333" s="36"/>
      <c r="E333" s="36"/>
      <c r="F333" s="37"/>
      <c r="G333" s="38"/>
      <c r="H333" s="36"/>
      <c r="I333" s="36"/>
      <c r="J333" s="39"/>
      <c r="K333" s="36"/>
      <c r="L333" s="40"/>
      <c r="M333" s="40"/>
      <c r="N333" s="41"/>
      <c r="O333" s="41"/>
      <c r="P333" s="37"/>
      <c r="Q333" s="38"/>
      <c r="R333" s="36"/>
      <c r="S333" s="42"/>
      <c r="T333" s="42"/>
      <c r="U333" s="37"/>
      <c r="V333" s="43"/>
      <c r="W333" s="43"/>
      <c r="X333" s="36"/>
    </row>
    <row r="334" ht="15.75" customHeight="1">
      <c r="A334" s="36"/>
      <c r="B334" s="36"/>
      <c r="C334" s="36"/>
      <c r="D334" s="36"/>
      <c r="E334" s="36"/>
      <c r="F334" s="37"/>
      <c r="G334" s="38"/>
      <c r="H334" s="36"/>
      <c r="I334" s="36"/>
      <c r="J334" s="39"/>
      <c r="K334" s="36"/>
      <c r="L334" s="40"/>
      <c r="M334" s="40"/>
      <c r="N334" s="41"/>
      <c r="O334" s="41"/>
      <c r="P334" s="37"/>
      <c r="Q334" s="38"/>
      <c r="R334" s="36"/>
      <c r="S334" s="42"/>
      <c r="T334" s="42"/>
      <c r="U334" s="37"/>
      <c r="V334" s="43"/>
      <c r="W334" s="43"/>
      <c r="X334" s="36"/>
    </row>
    <row r="335" ht="15.75" customHeight="1">
      <c r="A335" s="36"/>
      <c r="B335" s="36"/>
      <c r="C335" s="36"/>
      <c r="D335" s="36"/>
      <c r="E335" s="36"/>
      <c r="F335" s="37"/>
      <c r="G335" s="38"/>
      <c r="H335" s="36"/>
      <c r="I335" s="36"/>
      <c r="J335" s="39"/>
      <c r="K335" s="36"/>
      <c r="L335" s="40"/>
      <c r="M335" s="40"/>
      <c r="N335" s="41"/>
      <c r="O335" s="41"/>
      <c r="P335" s="37"/>
      <c r="Q335" s="38"/>
      <c r="R335" s="36"/>
      <c r="S335" s="42"/>
      <c r="T335" s="42"/>
      <c r="U335" s="37"/>
      <c r="V335" s="43"/>
      <c r="W335" s="43"/>
      <c r="X335" s="36"/>
    </row>
    <row r="336" ht="15.75" customHeight="1">
      <c r="A336" s="36"/>
      <c r="B336" s="36"/>
      <c r="C336" s="36"/>
      <c r="D336" s="36"/>
      <c r="E336" s="36"/>
      <c r="F336" s="37"/>
      <c r="G336" s="38"/>
      <c r="H336" s="36"/>
      <c r="I336" s="36"/>
      <c r="J336" s="39"/>
      <c r="K336" s="36"/>
      <c r="L336" s="40"/>
      <c r="M336" s="40"/>
      <c r="N336" s="41"/>
      <c r="O336" s="41"/>
      <c r="P336" s="37"/>
      <c r="Q336" s="38"/>
      <c r="R336" s="36"/>
      <c r="S336" s="42"/>
      <c r="T336" s="42"/>
      <c r="U336" s="37"/>
      <c r="V336" s="43"/>
      <c r="W336" s="43"/>
      <c r="X336" s="36"/>
    </row>
    <row r="337" ht="15.75" customHeight="1">
      <c r="A337" s="36"/>
      <c r="B337" s="36"/>
      <c r="C337" s="36"/>
      <c r="D337" s="36"/>
      <c r="E337" s="36"/>
      <c r="F337" s="37"/>
      <c r="G337" s="38"/>
      <c r="H337" s="36"/>
      <c r="I337" s="36"/>
      <c r="J337" s="39"/>
      <c r="K337" s="36"/>
      <c r="L337" s="40"/>
      <c r="M337" s="40"/>
      <c r="N337" s="41"/>
      <c r="O337" s="41"/>
      <c r="P337" s="37"/>
      <c r="Q337" s="38"/>
      <c r="R337" s="36"/>
      <c r="S337" s="42"/>
      <c r="T337" s="42"/>
      <c r="U337" s="37"/>
      <c r="V337" s="43"/>
      <c r="W337" s="43"/>
      <c r="X337" s="36"/>
    </row>
    <row r="338" ht="15.75" customHeight="1">
      <c r="A338" s="36"/>
      <c r="B338" s="36"/>
      <c r="C338" s="36"/>
      <c r="D338" s="36"/>
      <c r="E338" s="36"/>
      <c r="F338" s="37"/>
      <c r="G338" s="38"/>
      <c r="H338" s="36"/>
      <c r="I338" s="36"/>
      <c r="J338" s="39"/>
      <c r="K338" s="36"/>
      <c r="L338" s="40"/>
      <c r="M338" s="40"/>
      <c r="N338" s="41"/>
      <c r="O338" s="41"/>
      <c r="P338" s="37"/>
      <c r="Q338" s="38"/>
      <c r="R338" s="36"/>
      <c r="S338" s="42"/>
      <c r="T338" s="42"/>
      <c r="U338" s="37"/>
      <c r="V338" s="43"/>
      <c r="W338" s="43"/>
      <c r="X338" s="36"/>
    </row>
    <row r="339" ht="15.75" customHeight="1">
      <c r="A339" s="36"/>
      <c r="B339" s="36"/>
      <c r="C339" s="36"/>
      <c r="D339" s="36"/>
      <c r="E339" s="36"/>
      <c r="F339" s="37"/>
      <c r="G339" s="38"/>
      <c r="H339" s="36"/>
      <c r="I339" s="36"/>
      <c r="J339" s="39"/>
      <c r="K339" s="36"/>
      <c r="L339" s="40"/>
      <c r="M339" s="40"/>
      <c r="N339" s="41"/>
      <c r="O339" s="41"/>
      <c r="P339" s="37"/>
      <c r="Q339" s="38"/>
      <c r="R339" s="36"/>
      <c r="S339" s="42"/>
      <c r="T339" s="42"/>
      <c r="U339" s="37"/>
      <c r="V339" s="43"/>
      <c r="W339" s="43"/>
      <c r="X339" s="36"/>
    </row>
    <row r="340" ht="15.75" customHeight="1">
      <c r="A340" s="36"/>
      <c r="B340" s="36"/>
      <c r="C340" s="36"/>
      <c r="D340" s="36"/>
      <c r="E340" s="36"/>
      <c r="F340" s="37"/>
      <c r="G340" s="38"/>
      <c r="H340" s="36"/>
      <c r="I340" s="36"/>
      <c r="J340" s="39"/>
      <c r="K340" s="36"/>
      <c r="L340" s="40"/>
      <c r="M340" s="40"/>
      <c r="N340" s="41"/>
      <c r="O340" s="41"/>
      <c r="P340" s="37"/>
      <c r="Q340" s="38"/>
      <c r="R340" s="36"/>
      <c r="S340" s="42"/>
      <c r="T340" s="42"/>
      <c r="U340" s="37"/>
      <c r="V340" s="43"/>
      <c r="W340" s="43"/>
      <c r="X340" s="36"/>
    </row>
    <row r="341" ht="15.75" customHeight="1">
      <c r="A341" s="36"/>
      <c r="B341" s="36"/>
      <c r="C341" s="36"/>
      <c r="D341" s="36"/>
      <c r="E341" s="36"/>
      <c r="F341" s="37"/>
      <c r="G341" s="38"/>
      <c r="H341" s="36"/>
      <c r="I341" s="36"/>
      <c r="J341" s="39"/>
      <c r="K341" s="36"/>
      <c r="L341" s="40"/>
      <c r="M341" s="40"/>
      <c r="N341" s="41"/>
      <c r="O341" s="41"/>
      <c r="P341" s="37"/>
      <c r="Q341" s="38"/>
      <c r="R341" s="36"/>
      <c r="S341" s="42"/>
      <c r="T341" s="42"/>
      <c r="U341" s="37"/>
      <c r="V341" s="43"/>
      <c r="W341" s="43"/>
      <c r="X341" s="36"/>
    </row>
    <row r="342" ht="15.75" customHeight="1">
      <c r="A342" s="36"/>
      <c r="B342" s="36"/>
      <c r="C342" s="36"/>
      <c r="D342" s="36"/>
      <c r="E342" s="36"/>
      <c r="F342" s="37"/>
      <c r="G342" s="38"/>
      <c r="H342" s="36"/>
      <c r="I342" s="36"/>
      <c r="J342" s="39"/>
      <c r="K342" s="36"/>
      <c r="L342" s="40"/>
      <c r="M342" s="40"/>
      <c r="N342" s="41"/>
      <c r="O342" s="41"/>
      <c r="P342" s="37"/>
      <c r="Q342" s="38"/>
      <c r="R342" s="36"/>
      <c r="S342" s="42"/>
      <c r="T342" s="42"/>
      <c r="U342" s="37"/>
      <c r="V342" s="43"/>
      <c r="W342" s="43"/>
      <c r="X342" s="36"/>
    </row>
    <row r="343" ht="15.75" customHeight="1">
      <c r="A343" s="36"/>
      <c r="B343" s="36"/>
      <c r="C343" s="36"/>
      <c r="D343" s="36"/>
      <c r="E343" s="36"/>
      <c r="F343" s="37"/>
      <c r="G343" s="38"/>
      <c r="H343" s="36"/>
      <c r="I343" s="36"/>
      <c r="J343" s="39"/>
      <c r="K343" s="36"/>
      <c r="L343" s="40"/>
      <c r="M343" s="40"/>
      <c r="N343" s="41"/>
      <c r="O343" s="41"/>
      <c r="P343" s="37"/>
      <c r="Q343" s="38"/>
      <c r="R343" s="36"/>
      <c r="S343" s="42"/>
      <c r="T343" s="42"/>
      <c r="U343" s="37"/>
      <c r="V343" s="43"/>
      <c r="W343" s="43"/>
      <c r="X343" s="36"/>
    </row>
    <row r="344" ht="15.75" customHeight="1">
      <c r="A344" s="36"/>
      <c r="B344" s="36"/>
      <c r="C344" s="36"/>
      <c r="D344" s="36"/>
      <c r="E344" s="36"/>
      <c r="F344" s="37"/>
      <c r="G344" s="38"/>
      <c r="H344" s="36"/>
      <c r="I344" s="36"/>
      <c r="J344" s="39"/>
      <c r="K344" s="36"/>
      <c r="L344" s="40"/>
      <c r="M344" s="40"/>
      <c r="N344" s="41"/>
      <c r="O344" s="41"/>
      <c r="P344" s="37"/>
      <c r="Q344" s="38"/>
      <c r="R344" s="36"/>
      <c r="S344" s="42"/>
      <c r="T344" s="42"/>
      <c r="U344" s="37"/>
      <c r="V344" s="43"/>
      <c r="W344" s="43"/>
      <c r="X344" s="36"/>
    </row>
    <row r="345" ht="15.75" customHeight="1">
      <c r="A345" s="36"/>
      <c r="B345" s="36"/>
      <c r="C345" s="36"/>
      <c r="D345" s="36"/>
      <c r="E345" s="36"/>
      <c r="F345" s="37"/>
      <c r="G345" s="38"/>
      <c r="H345" s="36"/>
      <c r="I345" s="36"/>
      <c r="J345" s="39"/>
      <c r="K345" s="36"/>
      <c r="L345" s="40"/>
      <c r="M345" s="40"/>
      <c r="N345" s="41"/>
      <c r="O345" s="41"/>
      <c r="P345" s="37"/>
      <c r="Q345" s="38"/>
      <c r="R345" s="36"/>
      <c r="S345" s="42"/>
      <c r="T345" s="42"/>
      <c r="U345" s="37"/>
      <c r="V345" s="43"/>
      <c r="W345" s="43"/>
      <c r="X345" s="36"/>
    </row>
    <row r="346" ht="15.75" customHeight="1">
      <c r="A346" s="36"/>
      <c r="B346" s="36"/>
      <c r="C346" s="36"/>
      <c r="D346" s="36"/>
      <c r="E346" s="36"/>
      <c r="F346" s="37"/>
      <c r="G346" s="38"/>
      <c r="H346" s="36"/>
      <c r="I346" s="36"/>
      <c r="J346" s="39"/>
      <c r="K346" s="36"/>
      <c r="L346" s="40"/>
      <c r="M346" s="40"/>
      <c r="N346" s="41"/>
      <c r="O346" s="41"/>
      <c r="P346" s="37"/>
      <c r="Q346" s="38"/>
      <c r="R346" s="36"/>
      <c r="S346" s="42"/>
      <c r="T346" s="42"/>
      <c r="U346" s="37"/>
      <c r="V346" s="43"/>
      <c r="W346" s="43"/>
      <c r="X346" s="36"/>
    </row>
    <row r="347" ht="15.75" customHeight="1">
      <c r="A347" s="36"/>
      <c r="B347" s="36"/>
      <c r="C347" s="36"/>
      <c r="D347" s="36"/>
      <c r="E347" s="36"/>
      <c r="F347" s="37"/>
      <c r="G347" s="38"/>
      <c r="H347" s="36"/>
      <c r="I347" s="36"/>
      <c r="J347" s="39"/>
      <c r="K347" s="36"/>
      <c r="L347" s="40"/>
      <c r="M347" s="40"/>
      <c r="N347" s="41"/>
      <c r="O347" s="41"/>
      <c r="P347" s="37"/>
      <c r="Q347" s="38"/>
      <c r="R347" s="36"/>
      <c r="S347" s="42"/>
      <c r="T347" s="42"/>
      <c r="U347" s="37"/>
      <c r="V347" s="43"/>
      <c r="W347" s="43"/>
      <c r="X347" s="36"/>
    </row>
    <row r="348" ht="15.75" customHeight="1">
      <c r="A348" s="36"/>
      <c r="B348" s="36"/>
      <c r="C348" s="36"/>
      <c r="D348" s="36"/>
      <c r="E348" s="36"/>
      <c r="F348" s="37"/>
      <c r="G348" s="38"/>
      <c r="H348" s="36"/>
      <c r="I348" s="36"/>
      <c r="J348" s="39"/>
      <c r="K348" s="36"/>
      <c r="L348" s="40"/>
      <c r="M348" s="40"/>
      <c r="N348" s="41"/>
      <c r="O348" s="41"/>
      <c r="P348" s="37"/>
      <c r="Q348" s="38"/>
      <c r="R348" s="36"/>
      <c r="S348" s="42"/>
      <c r="T348" s="42"/>
      <c r="U348" s="37"/>
      <c r="V348" s="43"/>
      <c r="W348" s="43"/>
      <c r="X348" s="36"/>
    </row>
    <row r="349" ht="15.75" customHeight="1">
      <c r="A349" s="36"/>
      <c r="B349" s="36"/>
      <c r="C349" s="36"/>
      <c r="D349" s="36"/>
      <c r="E349" s="36"/>
      <c r="F349" s="37"/>
      <c r="G349" s="38"/>
      <c r="H349" s="36"/>
      <c r="I349" s="36"/>
      <c r="J349" s="39"/>
      <c r="K349" s="36"/>
      <c r="L349" s="40"/>
      <c r="M349" s="40"/>
      <c r="N349" s="41"/>
      <c r="O349" s="41"/>
      <c r="P349" s="37"/>
      <c r="Q349" s="38"/>
      <c r="R349" s="36"/>
      <c r="S349" s="42"/>
      <c r="T349" s="42"/>
      <c r="U349" s="37"/>
      <c r="V349" s="43"/>
      <c r="W349" s="43"/>
      <c r="X349" s="36"/>
    </row>
    <row r="350" ht="15.75" customHeight="1">
      <c r="A350" s="36"/>
      <c r="B350" s="36"/>
      <c r="C350" s="36"/>
      <c r="D350" s="36"/>
      <c r="E350" s="36"/>
      <c r="F350" s="37"/>
      <c r="G350" s="38"/>
      <c r="H350" s="36"/>
      <c r="I350" s="36"/>
      <c r="J350" s="39"/>
      <c r="K350" s="36"/>
      <c r="L350" s="40"/>
      <c r="M350" s="40"/>
      <c r="N350" s="41"/>
      <c r="O350" s="41"/>
      <c r="P350" s="37"/>
      <c r="Q350" s="38"/>
      <c r="R350" s="36"/>
      <c r="S350" s="42"/>
      <c r="T350" s="42"/>
      <c r="U350" s="37"/>
      <c r="V350" s="43"/>
      <c r="W350" s="43"/>
      <c r="X350" s="36"/>
    </row>
    <row r="351" ht="15.75" customHeight="1">
      <c r="A351" s="36"/>
      <c r="B351" s="36"/>
      <c r="C351" s="36"/>
      <c r="D351" s="36"/>
      <c r="E351" s="36"/>
      <c r="F351" s="37"/>
      <c r="G351" s="38"/>
      <c r="H351" s="36"/>
      <c r="I351" s="36"/>
      <c r="J351" s="39"/>
      <c r="K351" s="36"/>
      <c r="L351" s="40"/>
      <c r="M351" s="40"/>
      <c r="N351" s="41"/>
      <c r="O351" s="41"/>
      <c r="P351" s="37"/>
      <c r="Q351" s="38"/>
      <c r="R351" s="36"/>
      <c r="S351" s="42"/>
      <c r="T351" s="42"/>
      <c r="U351" s="37"/>
      <c r="V351" s="43"/>
      <c r="W351" s="43"/>
      <c r="X351" s="36"/>
    </row>
    <row r="352" ht="15.75" customHeight="1">
      <c r="A352" s="36"/>
      <c r="B352" s="36"/>
      <c r="C352" s="36"/>
      <c r="D352" s="36"/>
      <c r="E352" s="36"/>
      <c r="F352" s="37"/>
      <c r="G352" s="38"/>
      <c r="H352" s="36"/>
      <c r="I352" s="36"/>
      <c r="J352" s="39"/>
      <c r="K352" s="36"/>
      <c r="L352" s="40"/>
      <c r="M352" s="40"/>
      <c r="N352" s="41"/>
      <c r="O352" s="41"/>
      <c r="P352" s="37"/>
      <c r="Q352" s="38"/>
      <c r="R352" s="36"/>
      <c r="S352" s="42"/>
      <c r="T352" s="42"/>
      <c r="U352" s="37"/>
      <c r="V352" s="43"/>
      <c r="W352" s="43"/>
      <c r="X352" s="36"/>
    </row>
    <row r="353" ht="15.75" customHeight="1">
      <c r="A353" s="36"/>
      <c r="B353" s="36"/>
      <c r="C353" s="36"/>
      <c r="D353" s="36"/>
      <c r="E353" s="36"/>
      <c r="F353" s="37"/>
      <c r="G353" s="38"/>
      <c r="H353" s="36"/>
      <c r="I353" s="36"/>
      <c r="J353" s="39"/>
      <c r="K353" s="36"/>
      <c r="L353" s="40"/>
      <c r="M353" s="40"/>
      <c r="N353" s="41"/>
      <c r="O353" s="41"/>
      <c r="P353" s="37"/>
      <c r="Q353" s="38"/>
      <c r="R353" s="36"/>
      <c r="S353" s="42"/>
      <c r="T353" s="42"/>
      <c r="U353" s="37"/>
      <c r="V353" s="43"/>
      <c r="W353" s="43"/>
      <c r="X353" s="36"/>
    </row>
    <row r="354" ht="15.75" customHeight="1">
      <c r="A354" s="36"/>
      <c r="B354" s="36"/>
      <c r="C354" s="36"/>
      <c r="D354" s="36"/>
      <c r="E354" s="36"/>
      <c r="F354" s="37"/>
      <c r="G354" s="38"/>
      <c r="H354" s="36"/>
      <c r="I354" s="36"/>
      <c r="J354" s="39"/>
      <c r="K354" s="36"/>
      <c r="L354" s="40"/>
      <c r="M354" s="40"/>
      <c r="N354" s="41"/>
      <c r="O354" s="41"/>
      <c r="P354" s="37"/>
      <c r="Q354" s="38"/>
      <c r="R354" s="36"/>
      <c r="S354" s="42"/>
      <c r="T354" s="42"/>
      <c r="U354" s="37"/>
      <c r="V354" s="43"/>
      <c r="W354" s="43"/>
      <c r="X354" s="36"/>
    </row>
    <row r="355" ht="15.75" customHeight="1">
      <c r="A355" s="36"/>
      <c r="B355" s="36"/>
      <c r="C355" s="36"/>
      <c r="D355" s="36"/>
      <c r="E355" s="36"/>
      <c r="F355" s="37"/>
      <c r="G355" s="38"/>
      <c r="H355" s="36"/>
      <c r="I355" s="36"/>
      <c r="J355" s="39"/>
      <c r="K355" s="36"/>
      <c r="L355" s="40"/>
      <c r="M355" s="40"/>
      <c r="N355" s="41"/>
      <c r="O355" s="41"/>
      <c r="P355" s="37"/>
      <c r="Q355" s="38"/>
      <c r="R355" s="36"/>
      <c r="S355" s="42"/>
      <c r="T355" s="42"/>
      <c r="U355" s="37"/>
      <c r="V355" s="43"/>
      <c r="W355" s="43"/>
      <c r="X355" s="36"/>
    </row>
    <row r="356" ht="15.75" customHeight="1">
      <c r="A356" s="36"/>
      <c r="B356" s="36"/>
      <c r="C356" s="36"/>
      <c r="D356" s="36"/>
      <c r="E356" s="36"/>
      <c r="F356" s="37"/>
      <c r="G356" s="38"/>
      <c r="H356" s="36"/>
      <c r="I356" s="36"/>
      <c r="J356" s="39"/>
      <c r="K356" s="36"/>
      <c r="L356" s="40"/>
      <c r="M356" s="40"/>
      <c r="N356" s="41"/>
      <c r="O356" s="41"/>
      <c r="P356" s="37"/>
      <c r="Q356" s="38"/>
      <c r="R356" s="36"/>
      <c r="S356" s="42"/>
      <c r="T356" s="42"/>
      <c r="U356" s="37"/>
      <c r="V356" s="43"/>
      <c r="W356" s="43"/>
      <c r="X356" s="36"/>
    </row>
    <row r="357" ht="15.75" customHeight="1">
      <c r="A357" s="36"/>
      <c r="B357" s="36"/>
      <c r="C357" s="36"/>
      <c r="D357" s="36"/>
      <c r="E357" s="36"/>
      <c r="F357" s="37"/>
      <c r="G357" s="38"/>
      <c r="H357" s="36"/>
      <c r="I357" s="36"/>
      <c r="J357" s="39"/>
      <c r="K357" s="36"/>
      <c r="L357" s="40"/>
      <c r="M357" s="40"/>
      <c r="N357" s="41"/>
      <c r="O357" s="41"/>
      <c r="P357" s="37"/>
      <c r="Q357" s="38"/>
      <c r="R357" s="36"/>
      <c r="S357" s="42"/>
      <c r="T357" s="42"/>
      <c r="U357" s="37"/>
      <c r="V357" s="43"/>
      <c r="W357" s="43"/>
      <c r="X357" s="36"/>
    </row>
    <row r="358" ht="15.75" customHeight="1">
      <c r="A358" s="36"/>
      <c r="B358" s="36"/>
      <c r="C358" s="36"/>
      <c r="D358" s="36"/>
      <c r="E358" s="36"/>
      <c r="F358" s="37"/>
      <c r="G358" s="38"/>
      <c r="H358" s="36"/>
      <c r="I358" s="36"/>
      <c r="J358" s="39"/>
      <c r="K358" s="36"/>
      <c r="L358" s="40"/>
      <c r="M358" s="40"/>
      <c r="N358" s="41"/>
      <c r="O358" s="41"/>
      <c r="P358" s="37"/>
      <c r="Q358" s="38"/>
      <c r="R358" s="36"/>
      <c r="S358" s="42"/>
      <c r="T358" s="42"/>
      <c r="U358" s="37"/>
      <c r="V358" s="43"/>
      <c r="W358" s="43"/>
      <c r="X358" s="36"/>
    </row>
    <row r="359" ht="15.75" customHeight="1">
      <c r="A359" s="36"/>
      <c r="B359" s="36"/>
      <c r="C359" s="36"/>
      <c r="D359" s="36"/>
      <c r="E359" s="36"/>
      <c r="F359" s="37"/>
      <c r="G359" s="38"/>
      <c r="H359" s="36"/>
      <c r="I359" s="36"/>
      <c r="J359" s="39"/>
      <c r="K359" s="36"/>
      <c r="L359" s="40"/>
      <c r="M359" s="40"/>
      <c r="N359" s="41"/>
      <c r="O359" s="41"/>
      <c r="P359" s="37"/>
      <c r="Q359" s="38"/>
      <c r="R359" s="36"/>
      <c r="S359" s="42"/>
      <c r="T359" s="42"/>
      <c r="U359" s="37"/>
      <c r="V359" s="43"/>
      <c r="W359" s="43"/>
      <c r="X359" s="36"/>
    </row>
    <row r="360" ht="15.75" customHeight="1">
      <c r="A360" s="36"/>
      <c r="B360" s="36"/>
      <c r="C360" s="36"/>
      <c r="D360" s="36"/>
      <c r="E360" s="36"/>
      <c r="F360" s="37"/>
      <c r="G360" s="38"/>
      <c r="H360" s="36"/>
      <c r="I360" s="36"/>
      <c r="J360" s="39"/>
      <c r="K360" s="36"/>
      <c r="L360" s="40"/>
      <c r="M360" s="40"/>
      <c r="N360" s="41"/>
      <c r="O360" s="41"/>
      <c r="P360" s="37"/>
      <c r="Q360" s="38"/>
      <c r="R360" s="36"/>
      <c r="S360" s="42"/>
      <c r="T360" s="42"/>
      <c r="U360" s="37"/>
      <c r="V360" s="43"/>
      <c r="W360" s="43"/>
      <c r="X360" s="36"/>
    </row>
    <row r="361" ht="15.75" customHeight="1">
      <c r="A361" s="36"/>
      <c r="B361" s="36"/>
      <c r="C361" s="36"/>
      <c r="D361" s="36"/>
      <c r="E361" s="36"/>
      <c r="F361" s="37"/>
      <c r="G361" s="38"/>
      <c r="H361" s="36"/>
      <c r="I361" s="36"/>
      <c r="J361" s="39"/>
      <c r="K361" s="36"/>
      <c r="L361" s="40"/>
      <c r="M361" s="40"/>
      <c r="N361" s="41"/>
      <c r="O361" s="41"/>
      <c r="P361" s="37"/>
      <c r="Q361" s="38"/>
      <c r="R361" s="36"/>
      <c r="S361" s="42"/>
      <c r="T361" s="42"/>
      <c r="U361" s="37"/>
      <c r="V361" s="43"/>
      <c r="W361" s="43"/>
      <c r="X361" s="36"/>
    </row>
    <row r="362" ht="15.75" customHeight="1">
      <c r="A362" s="36"/>
      <c r="B362" s="36"/>
      <c r="C362" s="36"/>
      <c r="D362" s="36"/>
      <c r="E362" s="36"/>
      <c r="F362" s="37"/>
      <c r="G362" s="38"/>
      <c r="H362" s="36"/>
      <c r="I362" s="36"/>
      <c r="J362" s="39"/>
      <c r="K362" s="36"/>
      <c r="L362" s="40"/>
      <c r="M362" s="40"/>
      <c r="N362" s="41"/>
      <c r="O362" s="41"/>
      <c r="P362" s="37"/>
      <c r="Q362" s="38"/>
      <c r="R362" s="36"/>
      <c r="S362" s="42"/>
      <c r="T362" s="42"/>
      <c r="U362" s="37"/>
      <c r="V362" s="43"/>
      <c r="W362" s="43"/>
      <c r="X362" s="36"/>
    </row>
    <row r="363" ht="15.75" customHeight="1">
      <c r="A363" s="36"/>
      <c r="B363" s="36"/>
      <c r="C363" s="36"/>
      <c r="D363" s="36"/>
      <c r="E363" s="36"/>
      <c r="F363" s="37"/>
      <c r="G363" s="38"/>
      <c r="H363" s="36"/>
      <c r="I363" s="36"/>
      <c r="J363" s="39"/>
      <c r="K363" s="36"/>
      <c r="L363" s="40"/>
      <c r="M363" s="40"/>
      <c r="N363" s="41"/>
      <c r="O363" s="41"/>
      <c r="P363" s="37"/>
      <c r="Q363" s="38"/>
      <c r="R363" s="36"/>
      <c r="S363" s="42"/>
      <c r="T363" s="42"/>
      <c r="U363" s="37"/>
      <c r="V363" s="43"/>
      <c r="W363" s="43"/>
      <c r="X363" s="36"/>
    </row>
    <row r="364" ht="15.75" customHeight="1">
      <c r="A364" s="36"/>
      <c r="B364" s="36"/>
      <c r="C364" s="36"/>
      <c r="D364" s="36"/>
      <c r="E364" s="36"/>
      <c r="F364" s="37"/>
      <c r="G364" s="38"/>
      <c r="H364" s="36"/>
      <c r="I364" s="36"/>
      <c r="J364" s="39"/>
      <c r="K364" s="36"/>
      <c r="L364" s="40"/>
      <c r="M364" s="40"/>
      <c r="N364" s="41"/>
      <c r="O364" s="41"/>
      <c r="P364" s="37"/>
      <c r="Q364" s="38"/>
      <c r="R364" s="36"/>
      <c r="S364" s="42"/>
      <c r="T364" s="42"/>
      <c r="U364" s="37"/>
      <c r="V364" s="43"/>
      <c r="W364" s="43"/>
      <c r="X364" s="36"/>
    </row>
    <row r="365" ht="15.75" customHeight="1">
      <c r="A365" s="36"/>
      <c r="B365" s="36"/>
      <c r="C365" s="36"/>
      <c r="D365" s="36"/>
      <c r="E365" s="36"/>
      <c r="F365" s="37"/>
      <c r="G365" s="38"/>
      <c r="H365" s="36"/>
      <c r="I365" s="36"/>
      <c r="J365" s="39"/>
      <c r="K365" s="36"/>
      <c r="L365" s="40"/>
      <c r="M365" s="40"/>
      <c r="N365" s="41"/>
      <c r="O365" s="41"/>
      <c r="P365" s="37"/>
      <c r="Q365" s="38"/>
      <c r="R365" s="36"/>
      <c r="S365" s="42"/>
      <c r="T365" s="42"/>
      <c r="U365" s="37"/>
      <c r="V365" s="43"/>
      <c r="W365" s="43"/>
      <c r="X365" s="36"/>
    </row>
    <row r="366" ht="15.75" customHeight="1">
      <c r="A366" s="36"/>
      <c r="B366" s="36"/>
      <c r="C366" s="36"/>
      <c r="D366" s="36"/>
      <c r="E366" s="36"/>
      <c r="F366" s="37"/>
      <c r="G366" s="38"/>
      <c r="H366" s="36"/>
      <c r="I366" s="36"/>
      <c r="J366" s="39"/>
      <c r="K366" s="36"/>
      <c r="L366" s="40"/>
      <c r="M366" s="40"/>
      <c r="N366" s="41"/>
      <c r="O366" s="41"/>
      <c r="P366" s="37"/>
      <c r="Q366" s="38"/>
      <c r="R366" s="36"/>
      <c r="S366" s="42"/>
      <c r="T366" s="42"/>
      <c r="U366" s="37"/>
      <c r="V366" s="43"/>
      <c r="W366" s="43"/>
      <c r="X366" s="36"/>
    </row>
    <row r="367" ht="15.75" customHeight="1">
      <c r="A367" s="36"/>
      <c r="B367" s="36"/>
      <c r="C367" s="36"/>
      <c r="D367" s="36"/>
      <c r="E367" s="36"/>
      <c r="F367" s="37"/>
      <c r="G367" s="38"/>
      <c r="H367" s="36"/>
      <c r="I367" s="36"/>
      <c r="J367" s="39"/>
      <c r="K367" s="36"/>
      <c r="L367" s="40"/>
      <c r="M367" s="40"/>
      <c r="N367" s="41"/>
      <c r="O367" s="41"/>
      <c r="P367" s="37"/>
      <c r="Q367" s="38"/>
      <c r="R367" s="36"/>
      <c r="S367" s="42"/>
      <c r="T367" s="42"/>
      <c r="U367" s="37"/>
      <c r="V367" s="43"/>
      <c r="W367" s="43"/>
      <c r="X367" s="36"/>
    </row>
    <row r="368" ht="15.75" customHeight="1">
      <c r="A368" s="36"/>
      <c r="B368" s="36"/>
      <c r="C368" s="36"/>
      <c r="D368" s="36"/>
      <c r="E368" s="36"/>
      <c r="F368" s="37"/>
      <c r="G368" s="38"/>
      <c r="H368" s="36"/>
      <c r="I368" s="36"/>
      <c r="J368" s="39"/>
      <c r="K368" s="36"/>
      <c r="L368" s="40"/>
      <c r="M368" s="40"/>
      <c r="N368" s="41"/>
      <c r="O368" s="41"/>
      <c r="P368" s="37"/>
      <c r="Q368" s="38"/>
      <c r="R368" s="36"/>
      <c r="S368" s="42"/>
      <c r="T368" s="42"/>
      <c r="U368" s="37"/>
      <c r="V368" s="43"/>
      <c r="W368" s="43"/>
      <c r="X368" s="36"/>
    </row>
    <row r="369" ht="15.75" customHeight="1">
      <c r="A369" s="36"/>
      <c r="B369" s="36"/>
      <c r="C369" s="36"/>
      <c r="D369" s="36"/>
      <c r="E369" s="36"/>
      <c r="F369" s="37"/>
      <c r="G369" s="38"/>
      <c r="H369" s="36"/>
      <c r="I369" s="36"/>
      <c r="J369" s="39"/>
      <c r="K369" s="36"/>
      <c r="L369" s="40"/>
      <c r="M369" s="40"/>
      <c r="N369" s="41"/>
      <c r="O369" s="41"/>
      <c r="P369" s="37"/>
      <c r="Q369" s="38"/>
      <c r="R369" s="36"/>
      <c r="S369" s="42"/>
      <c r="T369" s="42"/>
      <c r="U369" s="37"/>
      <c r="V369" s="43"/>
      <c r="W369" s="43"/>
      <c r="X369" s="36"/>
    </row>
    <row r="370" ht="15.75" customHeight="1">
      <c r="A370" s="36"/>
      <c r="B370" s="36"/>
      <c r="C370" s="36"/>
      <c r="D370" s="36"/>
      <c r="E370" s="36"/>
      <c r="F370" s="37"/>
      <c r="G370" s="38"/>
      <c r="H370" s="36"/>
      <c r="I370" s="36"/>
      <c r="J370" s="39"/>
      <c r="K370" s="36"/>
      <c r="L370" s="40"/>
      <c r="M370" s="40"/>
      <c r="N370" s="41"/>
      <c r="O370" s="41"/>
      <c r="P370" s="37"/>
      <c r="Q370" s="38"/>
      <c r="R370" s="36"/>
      <c r="S370" s="42"/>
      <c r="T370" s="42"/>
      <c r="U370" s="37"/>
      <c r="V370" s="43"/>
      <c r="W370" s="43"/>
      <c r="X370" s="36"/>
    </row>
    <row r="371" ht="15.75" customHeight="1">
      <c r="A371" s="36"/>
      <c r="B371" s="36"/>
      <c r="C371" s="36"/>
      <c r="D371" s="36"/>
      <c r="E371" s="36"/>
      <c r="F371" s="37"/>
      <c r="G371" s="38"/>
      <c r="H371" s="36"/>
      <c r="I371" s="36"/>
      <c r="J371" s="39"/>
      <c r="K371" s="36"/>
      <c r="L371" s="40"/>
      <c r="M371" s="40"/>
      <c r="N371" s="41"/>
      <c r="O371" s="41"/>
      <c r="P371" s="37"/>
      <c r="Q371" s="38"/>
      <c r="R371" s="36"/>
      <c r="S371" s="42"/>
      <c r="T371" s="42"/>
      <c r="U371" s="37"/>
      <c r="V371" s="43"/>
      <c r="W371" s="43"/>
      <c r="X371" s="36"/>
    </row>
    <row r="372" ht="15.75" customHeight="1">
      <c r="A372" s="36"/>
      <c r="B372" s="36"/>
      <c r="C372" s="36"/>
      <c r="D372" s="36"/>
      <c r="E372" s="36"/>
      <c r="F372" s="37"/>
      <c r="G372" s="38"/>
      <c r="H372" s="36"/>
      <c r="I372" s="36"/>
      <c r="J372" s="39"/>
      <c r="K372" s="36"/>
      <c r="L372" s="40"/>
      <c r="M372" s="40"/>
      <c r="N372" s="41"/>
      <c r="O372" s="41"/>
      <c r="P372" s="37"/>
      <c r="Q372" s="38"/>
      <c r="R372" s="36"/>
      <c r="S372" s="42"/>
      <c r="T372" s="42"/>
      <c r="U372" s="37"/>
      <c r="V372" s="43"/>
      <c r="W372" s="43"/>
      <c r="X372" s="36"/>
    </row>
    <row r="373" ht="15.75" customHeight="1">
      <c r="A373" s="36"/>
      <c r="B373" s="36"/>
      <c r="C373" s="36"/>
      <c r="D373" s="36"/>
      <c r="E373" s="36"/>
      <c r="F373" s="37"/>
      <c r="G373" s="38"/>
      <c r="H373" s="36"/>
      <c r="I373" s="36"/>
      <c r="J373" s="39"/>
      <c r="K373" s="36"/>
      <c r="L373" s="40"/>
      <c r="M373" s="40"/>
      <c r="N373" s="41"/>
      <c r="O373" s="41"/>
      <c r="P373" s="37"/>
      <c r="Q373" s="38"/>
      <c r="R373" s="36"/>
      <c r="S373" s="42"/>
      <c r="T373" s="42"/>
      <c r="U373" s="37"/>
      <c r="V373" s="43"/>
      <c r="W373" s="43"/>
      <c r="X373" s="36"/>
    </row>
    <row r="374" ht="15.75" customHeight="1">
      <c r="A374" s="36"/>
      <c r="B374" s="36"/>
      <c r="C374" s="36"/>
      <c r="D374" s="36"/>
      <c r="E374" s="36"/>
      <c r="F374" s="37"/>
      <c r="G374" s="38"/>
      <c r="H374" s="36"/>
      <c r="I374" s="36"/>
      <c r="J374" s="39"/>
      <c r="K374" s="36"/>
      <c r="L374" s="40"/>
      <c r="M374" s="40"/>
      <c r="N374" s="41"/>
      <c r="O374" s="41"/>
      <c r="P374" s="37"/>
      <c r="Q374" s="38"/>
      <c r="R374" s="36"/>
      <c r="S374" s="42"/>
      <c r="T374" s="42"/>
      <c r="U374" s="37"/>
      <c r="V374" s="43"/>
      <c r="W374" s="43"/>
      <c r="X374" s="36"/>
    </row>
    <row r="375" ht="15.75" customHeight="1">
      <c r="A375" s="36"/>
      <c r="B375" s="36"/>
      <c r="C375" s="36"/>
      <c r="D375" s="36"/>
      <c r="E375" s="36"/>
      <c r="F375" s="37"/>
      <c r="G375" s="38"/>
      <c r="H375" s="36"/>
      <c r="I375" s="36"/>
      <c r="J375" s="39"/>
      <c r="K375" s="36"/>
      <c r="L375" s="40"/>
      <c r="M375" s="40"/>
      <c r="N375" s="41"/>
      <c r="O375" s="41"/>
      <c r="P375" s="37"/>
      <c r="Q375" s="38"/>
      <c r="R375" s="36"/>
      <c r="S375" s="42"/>
      <c r="T375" s="42"/>
      <c r="U375" s="37"/>
      <c r="V375" s="43"/>
      <c r="W375" s="43"/>
      <c r="X375" s="36"/>
    </row>
    <row r="376" ht="15.75" customHeight="1">
      <c r="A376" s="36"/>
      <c r="B376" s="36"/>
      <c r="C376" s="36"/>
      <c r="D376" s="36"/>
      <c r="E376" s="36"/>
      <c r="F376" s="37"/>
      <c r="G376" s="38"/>
      <c r="H376" s="36"/>
      <c r="I376" s="36"/>
      <c r="J376" s="39"/>
      <c r="K376" s="36"/>
      <c r="L376" s="40"/>
      <c r="M376" s="40"/>
      <c r="N376" s="41"/>
      <c r="O376" s="41"/>
      <c r="P376" s="37"/>
      <c r="Q376" s="38"/>
      <c r="R376" s="36"/>
      <c r="S376" s="42"/>
      <c r="T376" s="42"/>
      <c r="U376" s="37"/>
      <c r="V376" s="43"/>
      <c r="W376" s="43"/>
      <c r="X376" s="36"/>
    </row>
    <row r="377" ht="15.75" customHeight="1">
      <c r="A377" s="36"/>
      <c r="B377" s="36"/>
      <c r="C377" s="36"/>
      <c r="D377" s="36"/>
      <c r="E377" s="36"/>
      <c r="F377" s="37"/>
      <c r="G377" s="38"/>
      <c r="H377" s="36"/>
      <c r="I377" s="36"/>
      <c r="J377" s="39"/>
      <c r="K377" s="36"/>
      <c r="L377" s="40"/>
      <c r="M377" s="40"/>
      <c r="N377" s="41"/>
      <c r="O377" s="41"/>
      <c r="P377" s="37"/>
      <c r="Q377" s="38"/>
      <c r="R377" s="36"/>
      <c r="S377" s="42"/>
      <c r="T377" s="42"/>
      <c r="U377" s="37"/>
      <c r="V377" s="43"/>
      <c r="W377" s="43"/>
      <c r="X377" s="36"/>
    </row>
    <row r="378" ht="15.75" customHeight="1">
      <c r="A378" s="36"/>
      <c r="B378" s="36"/>
      <c r="C378" s="36"/>
      <c r="D378" s="36"/>
      <c r="E378" s="36"/>
      <c r="F378" s="37"/>
      <c r="G378" s="38"/>
      <c r="H378" s="36"/>
      <c r="I378" s="36"/>
      <c r="J378" s="39"/>
      <c r="K378" s="36"/>
      <c r="L378" s="40"/>
      <c r="M378" s="40"/>
      <c r="N378" s="41"/>
      <c r="O378" s="41"/>
      <c r="P378" s="37"/>
      <c r="Q378" s="38"/>
      <c r="R378" s="36"/>
      <c r="S378" s="42"/>
      <c r="T378" s="42"/>
      <c r="U378" s="37"/>
      <c r="V378" s="43"/>
      <c r="W378" s="43"/>
      <c r="X378" s="36"/>
    </row>
    <row r="379" ht="15.75" customHeight="1">
      <c r="A379" s="36"/>
      <c r="B379" s="36"/>
      <c r="C379" s="36"/>
      <c r="D379" s="36"/>
      <c r="E379" s="36"/>
      <c r="F379" s="37"/>
      <c r="G379" s="38"/>
      <c r="H379" s="36"/>
      <c r="I379" s="36"/>
      <c r="J379" s="39"/>
      <c r="K379" s="36"/>
      <c r="L379" s="40"/>
      <c r="M379" s="40"/>
      <c r="N379" s="41"/>
      <c r="O379" s="41"/>
      <c r="P379" s="37"/>
      <c r="Q379" s="38"/>
      <c r="R379" s="36"/>
      <c r="S379" s="42"/>
      <c r="T379" s="42"/>
      <c r="U379" s="37"/>
      <c r="V379" s="43"/>
      <c r="W379" s="43"/>
      <c r="X379" s="36"/>
    </row>
    <row r="380" ht="15.75" customHeight="1">
      <c r="A380" s="36"/>
      <c r="B380" s="36"/>
      <c r="C380" s="36"/>
      <c r="D380" s="36"/>
      <c r="E380" s="36"/>
      <c r="F380" s="37"/>
      <c r="G380" s="38"/>
      <c r="H380" s="36"/>
      <c r="I380" s="36"/>
      <c r="J380" s="39"/>
      <c r="K380" s="36"/>
      <c r="L380" s="40"/>
      <c r="M380" s="40"/>
      <c r="N380" s="41"/>
      <c r="O380" s="41"/>
      <c r="P380" s="37"/>
      <c r="Q380" s="38"/>
      <c r="R380" s="36"/>
      <c r="S380" s="42"/>
      <c r="T380" s="42"/>
      <c r="U380" s="37"/>
      <c r="V380" s="43"/>
      <c r="W380" s="43"/>
      <c r="X380" s="36"/>
    </row>
    <row r="381" ht="15.75" customHeight="1">
      <c r="A381" s="36"/>
      <c r="B381" s="36"/>
      <c r="C381" s="36"/>
      <c r="D381" s="36"/>
      <c r="E381" s="36"/>
      <c r="F381" s="37"/>
      <c r="G381" s="38"/>
      <c r="H381" s="36"/>
      <c r="I381" s="36"/>
      <c r="J381" s="39"/>
      <c r="K381" s="36"/>
      <c r="L381" s="40"/>
      <c r="M381" s="40"/>
      <c r="N381" s="41"/>
      <c r="O381" s="41"/>
      <c r="P381" s="37"/>
      <c r="Q381" s="38"/>
      <c r="R381" s="36"/>
      <c r="S381" s="42"/>
      <c r="T381" s="42"/>
      <c r="U381" s="37"/>
      <c r="V381" s="43"/>
      <c r="W381" s="43"/>
      <c r="X381" s="36"/>
    </row>
    <row r="382" ht="15.75" customHeight="1">
      <c r="A382" s="36"/>
      <c r="B382" s="36"/>
      <c r="C382" s="36"/>
      <c r="D382" s="36"/>
      <c r="E382" s="36"/>
      <c r="F382" s="37"/>
      <c r="G382" s="38"/>
      <c r="H382" s="36"/>
      <c r="I382" s="36"/>
      <c r="J382" s="39"/>
      <c r="K382" s="36"/>
      <c r="L382" s="40"/>
      <c r="M382" s="40"/>
      <c r="N382" s="41"/>
      <c r="O382" s="41"/>
      <c r="P382" s="37"/>
      <c r="Q382" s="38"/>
      <c r="R382" s="36"/>
      <c r="S382" s="42"/>
      <c r="T382" s="42"/>
      <c r="U382" s="37"/>
      <c r="V382" s="43"/>
      <c r="W382" s="43"/>
      <c r="X382" s="36"/>
    </row>
    <row r="383" ht="15.75" customHeight="1">
      <c r="A383" s="36"/>
      <c r="B383" s="36"/>
      <c r="C383" s="36"/>
      <c r="D383" s="36"/>
      <c r="E383" s="36"/>
      <c r="F383" s="37"/>
      <c r="G383" s="38"/>
      <c r="H383" s="36"/>
      <c r="I383" s="36"/>
      <c r="J383" s="39"/>
      <c r="K383" s="36"/>
      <c r="L383" s="40"/>
      <c r="M383" s="40"/>
      <c r="N383" s="41"/>
      <c r="O383" s="41"/>
      <c r="P383" s="37"/>
      <c r="Q383" s="38"/>
      <c r="R383" s="36"/>
      <c r="S383" s="42"/>
      <c r="T383" s="42"/>
      <c r="U383" s="37"/>
      <c r="V383" s="43"/>
      <c r="W383" s="43"/>
      <c r="X383" s="36"/>
    </row>
    <row r="384" ht="15.75" customHeight="1">
      <c r="A384" s="36"/>
      <c r="B384" s="36"/>
      <c r="C384" s="36"/>
      <c r="D384" s="36"/>
      <c r="E384" s="36"/>
      <c r="F384" s="37"/>
      <c r="G384" s="38"/>
      <c r="H384" s="36"/>
      <c r="I384" s="36"/>
      <c r="J384" s="39"/>
      <c r="K384" s="36"/>
      <c r="L384" s="40"/>
      <c r="M384" s="40"/>
      <c r="N384" s="41"/>
      <c r="O384" s="41"/>
      <c r="P384" s="37"/>
      <c r="Q384" s="38"/>
      <c r="R384" s="36"/>
      <c r="S384" s="42"/>
      <c r="T384" s="42"/>
      <c r="U384" s="37"/>
      <c r="V384" s="43"/>
      <c r="W384" s="43"/>
      <c r="X384" s="36"/>
    </row>
    <row r="385" ht="15.75" customHeight="1">
      <c r="A385" s="36"/>
      <c r="B385" s="36"/>
      <c r="C385" s="36"/>
      <c r="D385" s="36"/>
      <c r="E385" s="36"/>
      <c r="F385" s="37"/>
      <c r="G385" s="38"/>
      <c r="H385" s="36"/>
      <c r="I385" s="36"/>
      <c r="J385" s="39"/>
      <c r="K385" s="36"/>
      <c r="L385" s="40"/>
      <c r="M385" s="40"/>
      <c r="N385" s="41"/>
      <c r="O385" s="41"/>
      <c r="P385" s="37"/>
      <c r="Q385" s="38"/>
      <c r="R385" s="36"/>
      <c r="S385" s="42"/>
      <c r="T385" s="42"/>
      <c r="U385" s="37"/>
      <c r="V385" s="43"/>
      <c r="W385" s="43"/>
      <c r="X385" s="36"/>
    </row>
    <row r="386" ht="15.75" customHeight="1">
      <c r="A386" s="36"/>
      <c r="B386" s="36"/>
      <c r="C386" s="36"/>
      <c r="D386" s="36"/>
      <c r="E386" s="36"/>
      <c r="F386" s="37"/>
      <c r="G386" s="38"/>
      <c r="H386" s="36"/>
      <c r="I386" s="36"/>
      <c r="J386" s="39"/>
      <c r="K386" s="36"/>
      <c r="L386" s="40"/>
      <c r="M386" s="40"/>
      <c r="N386" s="41"/>
      <c r="O386" s="41"/>
      <c r="P386" s="37"/>
      <c r="Q386" s="38"/>
      <c r="R386" s="36"/>
      <c r="S386" s="42"/>
      <c r="T386" s="42"/>
      <c r="U386" s="37"/>
      <c r="V386" s="43"/>
      <c r="W386" s="43"/>
      <c r="X386" s="36"/>
    </row>
    <row r="387" ht="15.75" customHeight="1">
      <c r="A387" s="36"/>
      <c r="B387" s="36"/>
      <c r="C387" s="36"/>
      <c r="D387" s="36"/>
      <c r="E387" s="36"/>
      <c r="F387" s="37"/>
      <c r="G387" s="38"/>
      <c r="H387" s="36"/>
      <c r="I387" s="36"/>
      <c r="J387" s="39"/>
      <c r="K387" s="36"/>
      <c r="L387" s="40"/>
      <c r="M387" s="40"/>
      <c r="N387" s="41"/>
      <c r="O387" s="41"/>
      <c r="P387" s="37"/>
      <c r="Q387" s="38"/>
      <c r="R387" s="36"/>
      <c r="S387" s="42"/>
      <c r="T387" s="42"/>
      <c r="U387" s="37"/>
      <c r="V387" s="43"/>
      <c r="W387" s="43"/>
      <c r="X387" s="36"/>
    </row>
    <row r="388" ht="15.75" customHeight="1">
      <c r="A388" s="36"/>
      <c r="B388" s="36"/>
      <c r="C388" s="36"/>
      <c r="D388" s="36"/>
      <c r="E388" s="36"/>
      <c r="F388" s="37"/>
      <c r="G388" s="38"/>
      <c r="H388" s="36"/>
      <c r="I388" s="36"/>
      <c r="J388" s="39"/>
      <c r="K388" s="36"/>
      <c r="L388" s="40"/>
      <c r="M388" s="40"/>
      <c r="N388" s="41"/>
      <c r="O388" s="41"/>
      <c r="P388" s="37"/>
      <c r="Q388" s="38"/>
      <c r="R388" s="36"/>
      <c r="S388" s="42"/>
      <c r="T388" s="42"/>
      <c r="U388" s="37"/>
      <c r="V388" s="43"/>
      <c r="W388" s="43"/>
      <c r="X388" s="36"/>
    </row>
    <row r="389" ht="15.75" customHeight="1">
      <c r="A389" s="36"/>
      <c r="B389" s="36"/>
      <c r="C389" s="36"/>
      <c r="D389" s="36"/>
      <c r="E389" s="36"/>
      <c r="F389" s="37"/>
      <c r="G389" s="38"/>
      <c r="H389" s="36"/>
      <c r="I389" s="36"/>
      <c r="J389" s="39"/>
      <c r="K389" s="36"/>
      <c r="L389" s="40"/>
      <c r="M389" s="40"/>
      <c r="N389" s="41"/>
      <c r="O389" s="41"/>
      <c r="P389" s="37"/>
      <c r="Q389" s="38"/>
      <c r="R389" s="36"/>
      <c r="S389" s="42"/>
      <c r="T389" s="42"/>
      <c r="U389" s="37"/>
      <c r="V389" s="43"/>
      <c r="W389" s="43"/>
      <c r="X389" s="36"/>
    </row>
    <row r="390" ht="15.75" customHeight="1">
      <c r="A390" s="36"/>
      <c r="B390" s="36"/>
      <c r="C390" s="36"/>
      <c r="D390" s="36"/>
      <c r="E390" s="36"/>
      <c r="F390" s="37"/>
      <c r="G390" s="38"/>
      <c r="H390" s="36"/>
      <c r="I390" s="36"/>
      <c r="J390" s="39"/>
      <c r="K390" s="36"/>
      <c r="L390" s="40"/>
      <c r="M390" s="40"/>
      <c r="N390" s="41"/>
      <c r="O390" s="41"/>
      <c r="P390" s="37"/>
      <c r="Q390" s="38"/>
      <c r="R390" s="36"/>
      <c r="S390" s="42"/>
      <c r="T390" s="42"/>
      <c r="U390" s="37"/>
      <c r="V390" s="43"/>
      <c r="W390" s="43"/>
      <c r="X390" s="36"/>
    </row>
    <row r="391" ht="15.75" customHeight="1">
      <c r="A391" s="36"/>
      <c r="B391" s="36"/>
      <c r="C391" s="36"/>
      <c r="D391" s="36"/>
      <c r="E391" s="36"/>
      <c r="F391" s="37"/>
      <c r="G391" s="38"/>
      <c r="H391" s="36"/>
      <c r="I391" s="36"/>
      <c r="J391" s="39"/>
      <c r="K391" s="36"/>
      <c r="L391" s="40"/>
      <c r="M391" s="40"/>
      <c r="N391" s="41"/>
      <c r="O391" s="41"/>
      <c r="P391" s="37"/>
      <c r="Q391" s="38"/>
      <c r="R391" s="36"/>
      <c r="S391" s="42"/>
      <c r="T391" s="42"/>
      <c r="U391" s="37"/>
      <c r="V391" s="43"/>
      <c r="W391" s="43"/>
      <c r="X391" s="36"/>
    </row>
    <row r="392" ht="15.75" customHeight="1">
      <c r="A392" s="36"/>
      <c r="B392" s="36"/>
      <c r="C392" s="36"/>
      <c r="D392" s="36"/>
      <c r="E392" s="36"/>
      <c r="F392" s="37"/>
      <c r="G392" s="38"/>
      <c r="H392" s="36"/>
      <c r="I392" s="36"/>
      <c r="J392" s="39"/>
      <c r="K392" s="36"/>
      <c r="L392" s="40"/>
      <c r="M392" s="40"/>
      <c r="N392" s="41"/>
      <c r="O392" s="41"/>
      <c r="P392" s="37"/>
      <c r="Q392" s="38"/>
      <c r="R392" s="36"/>
      <c r="S392" s="42"/>
      <c r="T392" s="42"/>
      <c r="U392" s="37"/>
      <c r="V392" s="43"/>
      <c r="W392" s="43"/>
      <c r="X392" s="36"/>
    </row>
    <row r="393" ht="15.75" customHeight="1">
      <c r="A393" s="36"/>
      <c r="B393" s="36"/>
      <c r="C393" s="36"/>
      <c r="D393" s="36"/>
      <c r="E393" s="36"/>
      <c r="F393" s="37"/>
      <c r="G393" s="38"/>
      <c r="H393" s="36"/>
      <c r="I393" s="36"/>
      <c r="J393" s="39"/>
      <c r="K393" s="36"/>
      <c r="L393" s="40"/>
      <c r="M393" s="40"/>
      <c r="N393" s="41"/>
      <c r="O393" s="41"/>
      <c r="P393" s="37"/>
      <c r="Q393" s="38"/>
      <c r="R393" s="36"/>
      <c r="S393" s="42"/>
      <c r="T393" s="42"/>
      <c r="U393" s="37"/>
      <c r="V393" s="43"/>
      <c r="W393" s="43"/>
      <c r="X393" s="36"/>
    </row>
    <row r="394" ht="15.75" customHeight="1">
      <c r="A394" s="36"/>
      <c r="B394" s="36"/>
      <c r="C394" s="36"/>
      <c r="D394" s="36"/>
      <c r="E394" s="36"/>
      <c r="F394" s="37"/>
      <c r="G394" s="38"/>
      <c r="H394" s="36"/>
      <c r="I394" s="36"/>
      <c r="J394" s="39"/>
      <c r="K394" s="36"/>
      <c r="L394" s="40"/>
      <c r="M394" s="40"/>
      <c r="N394" s="41"/>
      <c r="O394" s="41"/>
      <c r="P394" s="37"/>
      <c r="Q394" s="38"/>
      <c r="R394" s="36"/>
      <c r="S394" s="42"/>
      <c r="T394" s="42"/>
      <c r="U394" s="37"/>
      <c r="V394" s="43"/>
      <c r="W394" s="43"/>
      <c r="X394" s="36"/>
    </row>
    <row r="395" ht="15.75" customHeight="1">
      <c r="A395" s="36"/>
      <c r="B395" s="36"/>
      <c r="C395" s="36"/>
      <c r="D395" s="36"/>
      <c r="E395" s="36"/>
      <c r="F395" s="37"/>
      <c r="G395" s="38"/>
      <c r="H395" s="36"/>
      <c r="I395" s="36"/>
      <c r="J395" s="39"/>
      <c r="K395" s="36"/>
      <c r="L395" s="40"/>
      <c r="M395" s="40"/>
      <c r="N395" s="41"/>
      <c r="O395" s="41"/>
      <c r="P395" s="37"/>
      <c r="Q395" s="38"/>
      <c r="R395" s="36"/>
      <c r="S395" s="42"/>
      <c r="T395" s="42"/>
      <c r="U395" s="37"/>
      <c r="V395" s="43"/>
      <c r="W395" s="43"/>
      <c r="X395" s="36"/>
    </row>
    <row r="396" ht="15.75" customHeight="1">
      <c r="A396" s="36"/>
      <c r="B396" s="36"/>
      <c r="C396" s="36"/>
      <c r="D396" s="36"/>
      <c r="E396" s="36"/>
      <c r="F396" s="37"/>
      <c r="G396" s="38"/>
      <c r="H396" s="36"/>
      <c r="I396" s="36"/>
      <c r="J396" s="39"/>
      <c r="K396" s="36"/>
      <c r="L396" s="40"/>
      <c r="M396" s="40"/>
      <c r="N396" s="41"/>
      <c r="O396" s="41"/>
      <c r="P396" s="37"/>
      <c r="Q396" s="38"/>
      <c r="R396" s="36"/>
      <c r="S396" s="42"/>
      <c r="T396" s="42"/>
      <c r="U396" s="37"/>
      <c r="V396" s="43"/>
      <c r="W396" s="43"/>
      <c r="X396" s="36"/>
    </row>
    <row r="397" ht="15.75" customHeight="1">
      <c r="A397" s="36"/>
      <c r="B397" s="36"/>
      <c r="C397" s="36"/>
      <c r="D397" s="36"/>
      <c r="E397" s="36"/>
      <c r="F397" s="37"/>
      <c r="G397" s="38"/>
      <c r="H397" s="36"/>
      <c r="I397" s="36"/>
      <c r="J397" s="39"/>
      <c r="K397" s="36"/>
      <c r="L397" s="40"/>
      <c r="M397" s="40"/>
      <c r="N397" s="41"/>
      <c r="O397" s="41"/>
      <c r="P397" s="37"/>
      <c r="Q397" s="38"/>
      <c r="R397" s="36"/>
      <c r="S397" s="42"/>
      <c r="T397" s="42"/>
      <c r="U397" s="37"/>
      <c r="V397" s="43"/>
      <c r="W397" s="43"/>
      <c r="X397" s="36"/>
    </row>
    <row r="398" ht="15.75" customHeight="1">
      <c r="A398" s="36"/>
      <c r="B398" s="36"/>
      <c r="C398" s="36"/>
      <c r="D398" s="36"/>
      <c r="E398" s="36"/>
      <c r="F398" s="37"/>
      <c r="G398" s="38"/>
      <c r="H398" s="36"/>
      <c r="I398" s="36"/>
      <c r="J398" s="39"/>
      <c r="K398" s="36"/>
      <c r="L398" s="40"/>
      <c r="M398" s="40"/>
      <c r="N398" s="41"/>
      <c r="O398" s="41"/>
      <c r="P398" s="37"/>
      <c r="Q398" s="38"/>
      <c r="R398" s="36"/>
      <c r="S398" s="42"/>
      <c r="T398" s="42"/>
      <c r="U398" s="37"/>
      <c r="V398" s="43"/>
      <c r="W398" s="43"/>
      <c r="X398" s="36"/>
    </row>
    <row r="399" ht="15.75" customHeight="1">
      <c r="A399" s="36"/>
      <c r="B399" s="36"/>
      <c r="C399" s="36"/>
      <c r="D399" s="36"/>
      <c r="E399" s="36"/>
      <c r="F399" s="37"/>
      <c r="G399" s="38"/>
      <c r="H399" s="36"/>
      <c r="I399" s="36"/>
      <c r="J399" s="39"/>
      <c r="K399" s="36"/>
      <c r="L399" s="40"/>
      <c r="M399" s="40"/>
      <c r="N399" s="41"/>
      <c r="O399" s="41"/>
      <c r="P399" s="37"/>
      <c r="Q399" s="38"/>
      <c r="R399" s="36"/>
      <c r="S399" s="42"/>
      <c r="T399" s="42"/>
      <c r="U399" s="37"/>
      <c r="V399" s="43"/>
      <c r="W399" s="43"/>
      <c r="X399" s="36"/>
    </row>
    <row r="400" ht="15.75" customHeight="1">
      <c r="A400" s="36"/>
      <c r="B400" s="36"/>
      <c r="C400" s="36"/>
      <c r="D400" s="36"/>
      <c r="E400" s="36"/>
      <c r="F400" s="37"/>
      <c r="G400" s="38"/>
      <c r="H400" s="36"/>
      <c r="I400" s="36"/>
      <c r="J400" s="39"/>
      <c r="K400" s="36"/>
      <c r="L400" s="40"/>
      <c r="M400" s="40"/>
      <c r="N400" s="41"/>
      <c r="O400" s="41"/>
      <c r="P400" s="37"/>
      <c r="Q400" s="38"/>
      <c r="R400" s="36"/>
      <c r="S400" s="42"/>
      <c r="T400" s="42"/>
      <c r="U400" s="37"/>
      <c r="V400" s="43"/>
      <c r="W400" s="43"/>
      <c r="X400" s="36"/>
    </row>
    <row r="401" ht="15.75" customHeight="1">
      <c r="A401" s="36"/>
      <c r="B401" s="36"/>
      <c r="C401" s="36"/>
      <c r="D401" s="36"/>
      <c r="E401" s="36"/>
      <c r="F401" s="37"/>
      <c r="G401" s="38"/>
      <c r="H401" s="36"/>
      <c r="I401" s="36"/>
      <c r="J401" s="39"/>
      <c r="K401" s="36"/>
      <c r="L401" s="40"/>
      <c r="M401" s="40"/>
      <c r="N401" s="41"/>
      <c r="O401" s="41"/>
      <c r="P401" s="37"/>
      <c r="Q401" s="38"/>
      <c r="R401" s="36"/>
      <c r="S401" s="42"/>
      <c r="T401" s="42"/>
      <c r="U401" s="37"/>
      <c r="V401" s="43"/>
      <c r="W401" s="43"/>
      <c r="X401" s="36"/>
    </row>
    <row r="402" ht="15.75" customHeight="1">
      <c r="A402" s="36"/>
      <c r="B402" s="36"/>
      <c r="C402" s="36"/>
      <c r="D402" s="36"/>
      <c r="E402" s="36"/>
      <c r="F402" s="37"/>
      <c r="G402" s="38"/>
      <c r="H402" s="36"/>
      <c r="I402" s="36"/>
      <c r="J402" s="39"/>
      <c r="K402" s="36"/>
      <c r="L402" s="40"/>
      <c r="M402" s="40"/>
      <c r="N402" s="41"/>
      <c r="O402" s="41"/>
      <c r="P402" s="37"/>
      <c r="Q402" s="38"/>
      <c r="R402" s="36"/>
      <c r="S402" s="42"/>
      <c r="T402" s="42"/>
      <c r="U402" s="37"/>
      <c r="V402" s="43"/>
      <c r="W402" s="43"/>
      <c r="X402" s="36"/>
    </row>
    <row r="403" ht="15.75" customHeight="1">
      <c r="A403" s="36"/>
      <c r="B403" s="36"/>
      <c r="C403" s="36"/>
      <c r="D403" s="36"/>
      <c r="E403" s="36"/>
      <c r="F403" s="37"/>
      <c r="G403" s="38"/>
      <c r="H403" s="36"/>
      <c r="I403" s="36"/>
      <c r="J403" s="39"/>
      <c r="K403" s="36"/>
      <c r="L403" s="40"/>
      <c r="M403" s="40"/>
      <c r="N403" s="41"/>
      <c r="O403" s="41"/>
      <c r="P403" s="37"/>
      <c r="Q403" s="38"/>
      <c r="R403" s="36"/>
      <c r="S403" s="42"/>
      <c r="T403" s="42"/>
      <c r="U403" s="37"/>
      <c r="V403" s="43"/>
      <c r="W403" s="43"/>
      <c r="X403" s="36"/>
    </row>
    <row r="404" ht="15.75" customHeight="1">
      <c r="A404" s="36"/>
      <c r="B404" s="36"/>
      <c r="C404" s="36"/>
      <c r="D404" s="36"/>
      <c r="E404" s="36"/>
      <c r="F404" s="37"/>
      <c r="G404" s="38"/>
      <c r="H404" s="36"/>
      <c r="I404" s="36"/>
      <c r="J404" s="39"/>
      <c r="K404" s="36"/>
      <c r="L404" s="40"/>
      <c r="M404" s="40"/>
      <c r="N404" s="41"/>
      <c r="O404" s="41"/>
      <c r="P404" s="37"/>
      <c r="Q404" s="38"/>
      <c r="R404" s="36"/>
      <c r="S404" s="42"/>
      <c r="T404" s="42"/>
      <c r="U404" s="37"/>
      <c r="V404" s="43"/>
      <c r="W404" s="43"/>
      <c r="X404" s="36"/>
    </row>
    <row r="405" ht="15.75" customHeight="1">
      <c r="A405" s="36"/>
      <c r="B405" s="36"/>
      <c r="C405" s="36"/>
      <c r="D405" s="36"/>
      <c r="E405" s="36"/>
      <c r="F405" s="37"/>
      <c r="G405" s="38"/>
      <c r="H405" s="36"/>
      <c r="I405" s="36"/>
      <c r="J405" s="39"/>
      <c r="K405" s="36"/>
      <c r="L405" s="40"/>
      <c r="M405" s="40"/>
      <c r="N405" s="41"/>
      <c r="O405" s="41"/>
      <c r="P405" s="37"/>
      <c r="Q405" s="38"/>
      <c r="R405" s="36"/>
      <c r="S405" s="42"/>
      <c r="T405" s="42"/>
      <c r="U405" s="37"/>
      <c r="V405" s="43"/>
      <c r="W405" s="43"/>
      <c r="X405" s="36"/>
    </row>
    <row r="406" ht="15.75" customHeight="1">
      <c r="A406" s="36"/>
      <c r="B406" s="36"/>
      <c r="C406" s="36"/>
      <c r="D406" s="36"/>
      <c r="E406" s="36"/>
      <c r="F406" s="37"/>
      <c r="G406" s="38"/>
      <c r="H406" s="36"/>
      <c r="I406" s="36"/>
      <c r="J406" s="39"/>
      <c r="K406" s="36"/>
      <c r="L406" s="40"/>
      <c r="M406" s="40"/>
      <c r="N406" s="41"/>
      <c r="O406" s="41"/>
      <c r="P406" s="37"/>
      <c r="Q406" s="38"/>
      <c r="R406" s="36"/>
      <c r="S406" s="42"/>
      <c r="T406" s="42"/>
      <c r="U406" s="37"/>
      <c r="V406" s="43"/>
      <c r="W406" s="43"/>
      <c r="X406" s="36"/>
    </row>
    <row r="407" ht="15.75" customHeight="1">
      <c r="A407" s="36"/>
      <c r="B407" s="36"/>
      <c r="C407" s="36"/>
      <c r="D407" s="36"/>
      <c r="E407" s="36"/>
      <c r="F407" s="37"/>
      <c r="G407" s="38"/>
      <c r="H407" s="36"/>
      <c r="I407" s="36"/>
      <c r="J407" s="39"/>
      <c r="K407" s="36"/>
      <c r="L407" s="40"/>
      <c r="M407" s="40"/>
      <c r="N407" s="41"/>
      <c r="O407" s="41"/>
      <c r="P407" s="37"/>
      <c r="Q407" s="38"/>
      <c r="R407" s="36"/>
      <c r="S407" s="42"/>
      <c r="T407" s="42"/>
      <c r="U407" s="37"/>
      <c r="V407" s="43"/>
      <c r="W407" s="43"/>
      <c r="X407" s="36"/>
    </row>
    <row r="408" ht="15.75" customHeight="1">
      <c r="A408" s="36"/>
      <c r="B408" s="36"/>
      <c r="C408" s="36"/>
      <c r="D408" s="36"/>
      <c r="E408" s="36"/>
      <c r="F408" s="37"/>
      <c r="G408" s="38"/>
      <c r="H408" s="36"/>
      <c r="I408" s="36"/>
      <c r="J408" s="39"/>
      <c r="K408" s="36"/>
      <c r="L408" s="40"/>
      <c r="M408" s="40"/>
      <c r="N408" s="41"/>
      <c r="O408" s="41"/>
      <c r="P408" s="37"/>
      <c r="Q408" s="38"/>
      <c r="R408" s="36"/>
      <c r="S408" s="42"/>
      <c r="T408" s="42"/>
      <c r="U408" s="37"/>
      <c r="V408" s="43"/>
      <c r="W408" s="43"/>
      <c r="X408" s="36"/>
    </row>
    <row r="409" ht="15.75" customHeight="1">
      <c r="A409" s="36"/>
      <c r="B409" s="36"/>
      <c r="C409" s="36"/>
      <c r="D409" s="36"/>
      <c r="E409" s="36"/>
      <c r="F409" s="37"/>
      <c r="G409" s="38"/>
      <c r="H409" s="36"/>
      <c r="I409" s="36"/>
      <c r="J409" s="39"/>
      <c r="K409" s="36"/>
      <c r="L409" s="40"/>
      <c r="M409" s="40"/>
      <c r="N409" s="41"/>
      <c r="O409" s="41"/>
      <c r="P409" s="37"/>
      <c r="Q409" s="38"/>
      <c r="R409" s="36"/>
      <c r="S409" s="42"/>
      <c r="T409" s="42"/>
      <c r="U409" s="37"/>
      <c r="V409" s="43"/>
      <c r="W409" s="43"/>
      <c r="X409" s="36"/>
    </row>
    <row r="410" ht="15.75" customHeight="1">
      <c r="A410" s="36"/>
      <c r="B410" s="36"/>
      <c r="C410" s="36"/>
      <c r="D410" s="36"/>
      <c r="E410" s="36"/>
      <c r="F410" s="37"/>
      <c r="G410" s="38"/>
      <c r="H410" s="36"/>
      <c r="I410" s="36"/>
      <c r="J410" s="39"/>
      <c r="K410" s="36"/>
      <c r="L410" s="40"/>
      <c r="M410" s="40"/>
      <c r="N410" s="41"/>
      <c r="O410" s="41"/>
      <c r="P410" s="37"/>
      <c r="Q410" s="38"/>
      <c r="R410" s="36"/>
      <c r="S410" s="42"/>
      <c r="T410" s="42"/>
      <c r="U410" s="37"/>
      <c r="V410" s="43"/>
      <c r="W410" s="43"/>
      <c r="X410" s="36"/>
    </row>
    <row r="411" ht="15.75" customHeight="1">
      <c r="A411" s="36"/>
      <c r="B411" s="36"/>
      <c r="C411" s="36"/>
      <c r="D411" s="36"/>
      <c r="E411" s="36"/>
      <c r="F411" s="37"/>
      <c r="G411" s="38"/>
      <c r="H411" s="36"/>
      <c r="I411" s="36"/>
      <c r="J411" s="39"/>
      <c r="K411" s="36"/>
      <c r="L411" s="40"/>
      <c r="M411" s="40"/>
      <c r="N411" s="41"/>
      <c r="O411" s="41"/>
      <c r="P411" s="37"/>
      <c r="Q411" s="38"/>
      <c r="R411" s="36"/>
      <c r="S411" s="42"/>
      <c r="T411" s="42"/>
      <c r="U411" s="37"/>
      <c r="V411" s="43"/>
      <c r="W411" s="43"/>
      <c r="X411" s="36"/>
    </row>
    <row r="412" ht="15.75" customHeight="1">
      <c r="A412" s="36"/>
      <c r="B412" s="36"/>
      <c r="C412" s="36"/>
      <c r="D412" s="36"/>
      <c r="E412" s="36"/>
      <c r="F412" s="37"/>
      <c r="G412" s="38"/>
      <c r="H412" s="36"/>
      <c r="I412" s="36"/>
      <c r="J412" s="39"/>
      <c r="K412" s="36"/>
      <c r="L412" s="40"/>
      <c r="M412" s="40"/>
      <c r="N412" s="41"/>
      <c r="O412" s="41"/>
      <c r="P412" s="37"/>
      <c r="Q412" s="38"/>
      <c r="R412" s="36"/>
      <c r="S412" s="42"/>
      <c r="T412" s="42"/>
      <c r="U412" s="37"/>
      <c r="V412" s="43"/>
      <c r="W412" s="43"/>
      <c r="X412" s="36"/>
    </row>
    <row r="413" ht="15.75" customHeight="1">
      <c r="A413" s="36"/>
      <c r="B413" s="36"/>
      <c r="C413" s="36"/>
      <c r="D413" s="36"/>
      <c r="E413" s="36"/>
      <c r="F413" s="37"/>
      <c r="G413" s="38"/>
      <c r="H413" s="36"/>
      <c r="I413" s="36"/>
      <c r="J413" s="39"/>
      <c r="K413" s="36"/>
      <c r="L413" s="40"/>
      <c r="M413" s="40"/>
      <c r="N413" s="41"/>
      <c r="O413" s="41"/>
      <c r="P413" s="37"/>
      <c r="Q413" s="38"/>
      <c r="R413" s="36"/>
      <c r="S413" s="42"/>
      <c r="T413" s="42"/>
      <c r="U413" s="37"/>
      <c r="V413" s="43"/>
      <c r="W413" s="43"/>
      <c r="X413" s="36"/>
    </row>
    <row r="414" ht="15.75" customHeight="1">
      <c r="A414" s="36"/>
      <c r="B414" s="36"/>
      <c r="C414" s="36"/>
      <c r="D414" s="36"/>
      <c r="E414" s="36"/>
      <c r="F414" s="37"/>
      <c r="G414" s="38"/>
      <c r="H414" s="36"/>
      <c r="I414" s="36"/>
      <c r="J414" s="39"/>
      <c r="K414" s="36"/>
      <c r="L414" s="40"/>
      <c r="M414" s="40"/>
      <c r="N414" s="41"/>
      <c r="O414" s="41"/>
      <c r="P414" s="37"/>
      <c r="Q414" s="38"/>
      <c r="R414" s="36"/>
      <c r="S414" s="42"/>
      <c r="T414" s="42"/>
      <c r="U414" s="37"/>
      <c r="V414" s="43"/>
      <c r="W414" s="43"/>
      <c r="X414" s="36"/>
    </row>
    <row r="415" ht="15.75" customHeight="1">
      <c r="A415" s="36"/>
      <c r="B415" s="36"/>
      <c r="C415" s="36"/>
      <c r="D415" s="36"/>
      <c r="E415" s="36"/>
      <c r="F415" s="37"/>
      <c r="G415" s="38"/>
      <c r="H415" s="36"/>
      <c r="I415" s="36"/>
      <c r="J415" s="39"/>
      <c r="K415" s="36"/>
      <c r="L415" s="40"/>
      <c r="M415" s="40"/>
      <c r="N415" s="41"/>
      <c r="O415" s="41"/>
      <c r="P415" s="37"/>
      <c r="Q415" s="38"/>
      <c r="R415" s="36"/>
      <c r="S415" s="42"/>
      <c r="T415" s="42"/>
      <c r="U415" s="37"/>
      <c r="V415" s="43"/>
      <c r="W415" s="43"/>
      <c r="X415" s="36"/>
    </row>
    <row r="416" ht="15.75" customHeight="1">
      <c r="A416" s="36"/>
      <c r="B416" s="36"/>
      <c r="C416" s="36"/>
      <c r="D416" s="36"/>
      <c r="E416" s="36"/>
      <c r="F416" s="37"/>
      <c r="G416" s="38"/>
      <c r="H416" s="36"/>
      <c r="I416" s="36"/>
      <c r="J416" s="39"/>
      <c r="K416" s="36"/>
      <c r="L416" s="40"/>
      <c r="M416" s="40"/>
      <c r="N416" s="41"/>
      <c r="O416" s="41"/>
      <c r="P416" s="37"/>
      <c r="Q416" s="38"/>
      <c r="R416" s="36"/>
      <c r="S416" s="42"/>
      <c r="T416" s="42"/>
      <c r="U416" s="37"/>
      <c r="V416" s="43"/>
      <c r="W416" s="43"/>
      <c r="X416" s="36"/>
    </row>
    <row r="417" ht="15.75" customHeight="1">
      <c r="A417" s="36"/>
      <c r="B417" s="36"/>
      <c r="C417" s="36"/>
      <c r="D417" s="36"/>
      <c r="E417" s="36"/>
      <c r="F417" s="37"/>
      <c r="G417" s="38"/>
      <c r="H417" s="36"/>
      <c r="I417" s="36"/>
      <c r="J417" s="39"/>
      <c r="K417" s="36"/>
      <c r="L417" s="40"/>
      <c r="M417" s="40"/>
      <c r="N417" s="41"/>
      <c r="O417" s="41"/>
      <c r="P417" s="37"/>
      <c r="Q417" s="38"/>
      <c r="R417" s="36"/>
      <c r="S417" s="42"/>
      <c r="T417" s="42"/>
      <c r="U417" s="37"/>
      <c r="V417" s="43"/>
      <c r="W417" s="43"/>
      <c r="X417" s="36"/>
    </row>
    <row r="418" ht="15.75" customHeight="1">
      <c r="A418" s="36"/>
      <c r="B418" s="36"/>
      <c r="C418" s="36"/>
      <c r="D418" s="36"/>
      <c r="E418" s="36"/>
      <c r="F418" s="37"/>
      <c r="G418" s="38"/>
      <c r="H418" s="36"/>
      <c r="I418" s="36"/>
      <c r="J418" s="39"/>
      <c r="K418" s="36"/>
      <c r="L418" s="40"/>
      <c r="M418" s="40"/>
      <c r="N418" s="41"/>
      <c r="O418" s="41"/>
      <c r="P418" s="37"/>
      <c r="Q418" s="38"/>
      <c r="R418" s="36"/>
      <c r="S418" s="42"/>
      <c r="T418" s="42"/>
      <c r="U418" s="37"/>
      <c r="V418" s="43"/>
      <c r="W418" s="43"/>
      <c r="X418" s="36"/>
    </row>
    <row r="419" ht="15.75" customHeight="1">
      <c r="A419" s="36"/>
      <c r="B419" s="36"/>
      <c r="C419" s="36"/>
      <c r="D419" s="36"/>
      <c r="E419" s="36"/>
      <c r="F419" s="37"/>
      <c r="G419" s="38"/>
      <c r="H419" s="36"/>
      <c r="I419" s="36"/>
      <c r="J419" s="39"/>
      <c r="K419" s="36"/>
      <c r="L419" s="40"/>
      <c r="M419" s="40"/>
      <c r="N419" s="41"/>
      <c r="O419" s="41"/>
      <c r="P419" s="37"/>
      <c r="Q419" s="38"/>
      <c r="R419" s="36"/>
      <c r="S419" s="42"/>
      <c r="T419" s="42"/>
      <c r="U419" s="37"/>
      <c r="V419" s="43"/>
      <c r="W419" s="43"/>
      <c r="X419" s="36"/>
    </row>
    <row r="420" ht="15.75" customHeight="1">
      <c r="A420" s="36"/>
      <c r="B420" s="36"/>
      <c r="C420" s="36"/>
      <c r="D420" s="36"/>
      <c r="E420" s="36"/>
      <c r="F420" s="37"/>
      <c r="G420" s="38"/>
      <c r="H420" s="36"/>
      <c r="I420" s="36"/>
      <c r="J420" s="39"/>
      <c r="K420" s="36"/>
      <c r="L420" s="40"/>
      <c r="M420" s="40"/>
      <c r="N420" s="41"/>
      <c r="O420" s="41"/>
      <c r="P420" s="37"/>
      <c r="Q420" s="38"/>
      <c r="R420" s="36"/>
      <c r="S420" s="42"/>
      <c r="T420" s="42"/>
      <c r="U420" s="37"/>
      <c r="V420" s="43"/>
      <c r="W420" s="43"/>
      <c r="X420" s="36"/>
    </row>
    <row r="421" ht="15.75" customHeight="1">
      <c r="A421" s="36"/>
      <c r="B421" s="36"/>
      <c r="C421" s="36"/>
      <c r="D421" s="36"/>
      <c r="E421" s="36"/>
      <c r="F421" s="37"/>
      <c r="G421" s="38"/>
      <c r="H421" s="36"/>
      <c r="I421" s="36"/>
      <c r="J421" s="39"/>
      <c r="K421" s="36"/>
      <c r="L421" s="40"/>
      <c r="M421" s="40"/>
      <c r="N421" s="41"/>
      <c r="O421" s="41"/>
      <c r="P421" s="37"/>
      <c r="Q421" s="38"/>
      <c r="R421" s="36"/>
      <c r="S421" s="42"/>
      <c r="T421" s="42"/>
      <c r="U421" s="37"/>
      <c r="V421" s="43"/>
      <c r="W421" s="43"/>
      <c r="X421" s="36"/>
    </row>
    <row r="422" ht="15.75" customHeight="1">
      <c r="A422" s="36"/>
      <c r="B422" s="36"/>
      <c r="C422" s="36"/>
      <c r="D422" s="36"/>
      <c r="E422" s="36"/>
      <c r="F422" s="37"/>
      <c r="G422" s="38"/>
      <c r="H422" s="36"/>
      <c r="I422" s="36"/>
      <c r="J422" s="39"/>
      <c r="K422" s="36"/>
      <c r="L422" s="40"/>
      <c r="M422" s="40"/>
      <c r="N422" s="41"/>
      <c r="O422" s="41"/>
      <c r="P422" s="37"/>
      <c r="Q422" s="38"/>
      <c r="R422" s="36"/>
      <c r="S422" s="42"/>
      <c r="T422" s="42"/>
      <c r="U422" s="37"/>
      <c r="V422" s="43"/>
      <c r="W422" s="43"/>
      <c r="X422" s="36"/>
    </row>
    <row r="423" ht="15.75" customHeight="1">
      <c r="A423" s="36"/>
      <c r="B423" s="36"/>
      <c r="C423" s="36"/>
      <c r="D423" s="36"/>
      <c r="E423" s="36"/>
      <c r="F423" s="37"/>
      <c r="G423" s="38"/>
      <c r="H423" s="36"/>
      <c r="I423" s="36"/>
      <c r="J423" s="39"/>
      <c r="K423" s="36"/>
      <c r="L423" s="40"/>
      <c r="M423" s="40"/>
      <c r="N423" s="41"/>
      <c r="O423" s="41"/>
      <c r="P423" s="37"/>
      <c r="Q423" s="38"/>
      <c r="R423" s="36"/>
      <c r="S423" s="42"/>
      <c r="T423" s="42"/>
      <c r="U423" s="37"/>
      <c r="V423" s="43"/>
      <c r="W423" s="43"/>
      <c r="X423" s="36"/>
    </row>
    <row r="424" ht="15.75" customHeight="1">
      <c r="A424" s="36"/>
      <c r="B424" s="36"/>
      <c r="C424" s="36"/>
      <c r="D424" s="36"/>
      <c r="E424" s="36"/>
      <c r="F424" s="37"/>
      <c r="G424" s="38"/>
      <c r="H424" s="36"/>
      <c r="I424" s="36"/>
      <c r="J424" s="39"/>
      <c r="K424" s="36"/>
      <c r="L424" s="40"/>
      <c r="M424" s="40"/>
      <c r="N424" s="41"/>
      <c r="O424" s="41"/>
      <c r="P424" s="37"/>
      <c r="Q424" s="38"/>
      <c r="R424" s="36"/>
      <c r="S424" s="42"/>
      <c r="T424" s="42"/>
      <c r="U424" s="37"/>
      <c r="V424" s="43"/>
      <c r="W424" s="43"/>
      <c r="X424" s="36"/>
    </row>
    <row r="425" ht="15.75" customHeight="1">
      <c r="A425" s="36"/>
      <c r="B425" s="36"/>
      <c r="C425" s="36"/>
      <c r="D425" s="36"/>
      <c r="E425" s="36"/>
      <c r="F425" s="37"/>
      <c r="G425" s="38"/>
      <c r="H425" s="36"/>
      <c r="I425" s="36"/>
      <c r="J425" s="39"/>
      <c r="K425" s="36"/>
      <c r="L425" s="40"/>
      <c r="M425" s="40"/>
      <c r="N425" s="41"/>
      <c r="O425" s="41"/>
      <c r="P425" s="37"/>
      <c r="Q425" s="38"/>
      <c r="R425" s="36"/>
      <c r="S425" s="42"/>
      <c r="T425" s="42"/>
      <c r="U425" s="37"/>
      <c r="V425" s="43"/>
      <c r="W425" s="43"/>
      <c r="X425" s="36"/>
    </row>
    <row r="426" ht="15.75" customHeight="1">
      <c r="A426" s="36"/>
      <c r="B426" s="36"/>
      <c r="C426" s="36"/>
      <c r="D426" s="36"/>
      <c r="E426" s="36"/>
      <c r="F426" s="37"/>
      <c r="G426" s="38"/>
      <c r="H426" s="36"/>
      <c r="I426" s="36"/>
      <c r="J426" s="39"/>
      <c r="K426" s="36"/>
      <c r="L426" s="40"/>
      <c r="M426" s="40"/>
      <c r="N426" s="41"/>
      <c r="O426" s="41"/>
      <c r="P426" s="37"/>
      <c r="Q426" s="38"/>
      <c r="R426" s="36"/>
      <c r="S426" s="42"/>
      <c r="T426" s="42"/>
      <c r="U426" s="37"/>
      <c r="V426" s="43"/>
      <c r="W426" s="43"/>
      <c r="X426" s="36"/>
    </row>
    <row r="427" ht="15.75" customHeight="1">
      <c r="A427" s="36"/>
      <c r="B427" s="36"/>
      <c r="C427" s="36"/>
      <c r="D427" s="36"/>
      <c r="E427" s="36"/>
      <c r="F427" s="37"/>
      <c r="G427" s="38"/>
      <c r="H427" s="36"/>
      <c r="I427" s="36"/>
      <c r="J427" s="39"/>
      <c r="K427" s="36"/>
      <c r="L427" s="40"/>
      <c r="M427" s="40"/>
      <c r="N427" s="41"/>
      <c r="O427" s="41"/>
      <c r="P427" s="37"/>
      <c r="Q427" s="38"/>
      <c r="R427" s="36"/>
      <c r="S427" s="42"/>
      <c r="T427" s="42"/>
      <c r="U427" s="37"/>
      <c r="V427" s="43"/>
      <c r="W427" s="43"/>
      <c r="X427" s="36"/>
    </row>
    <row r="428" ht="15.75" customHeight="1">
      <c r="A428" s="36"/>
      <c r="B428" s="36"/>
      <c r="C428" s="36"/>
      <c r="D428" s="36"/>
      <c r="E428" s="36"/>
      <c r="F428" s="37"/>
      <c r="G428" s="38"/>
      <c r="H428" s="36"/>
      <c r="I428" s="36"/>
      <c r="J428" s="39"/>
      <c r="K428" s="36"/>
      <c r="L428" s="40"/>
      <c r="M428" s="40"/>
      <c r="N428" s="41"/>
      <c r="O428" s="41"/>
      <c r="P428" s="37"/>
      <c r="Q428" s="38"/>
      <c r="R428" s="36"/>
      <c r="S428" s="42"/>
      <c r="T428" s="42"/>
      <c r="U428" s="37"/>
      <c r="V428" s="43"/>
      <c r="W428" s="43"/>
      <c r="X428" s="36"/>
    </row>
    <row r="429" ht="15.75" customHeight="1">
      <c r="A429" s="36"/>
      <c r="B429" s="36"/>
      <c r="C429" s="36"/>
      <c r="D429" s="36"/>
      <c r="E429" s="36"/>
      <c r="F429" s="37"/>
      <c r="G429" s="38"/>
      <c r="H429" s="36"/>
      <c r="I429" s="36"/>
      <c r="J429" s="39"/>
      <c r="K429" s="36"/>
      <c r="L429" s="40"/>
      <c r="M429" s="40"/>
      <c r="N429" s="41"/>
      <c r="O429" s="41"/>
      <c r="P429" s="37"/>
      <c r="Q429" s="38"/>
      <c r="R429" s="36"/>
      <c r="S429" s="42"/>
      <c r="T429" s="42"/>
      <c r="U429" s="37"/>
      <c r="V429" s="43"/>
      <c r="W429" s="43"/>
      <c r="X429" s="36"/>
    </row>
    <row r="430" ht="15.75" customHeight="1">
      <c r="A430" s="36"/>
      <c r="B430" s="36"/>
      <c r="C430" s="36"/>
      <c r="D430" s="36"/>
      <c r="E430" s="36"/>
      <c r="F430" s="37"/>
      <c r="G430" s="38"/>
      <c r="H430" s="36"/>
      <c r="I430" s="36"/>
      <c r="J430" s="39"/>
      <c r="K430" s="36"/>
      <c r="L430" s="40"/>
      <c r="M430" s="40"/>
      <c r="N430" s="41"/>
      <c r="O430" s="41"/>
      <c r="P430" s="37"/>
      <c r="Q430" s="38"/>
      <c r="R430" s="36"/>
      <c r="S430" s="42"/>
      <c r="T430" s="42"/>
      <c r="U430" s="37"/>
      <c r="V430" s="43"/>
      <c r="W430" s="43"/>
      <c r="X430" s="36"/>
    </row>
    <row r="431" ht="15.75" customHeight="1">
      <c r="A431" s="36"/>
      <c r="B431" s="36"/>
      <c r="C431" s="36"/>
      <c r="D431" s="36"/>
      <c r="E431" s="36"/>
      <c r="F431" s="37"/>
      <c r="G431" s="38"/>
      <c r="H431" s="36"/>
      <c r="I431" s="36"/>
      <c r="J431" s="39"/>
      <c r="K431" s="36"/>
      <c r="L431" s="40"/>
      <c r="M431" s="40"/>
      <c r="N431" s="41"/>
      <c r="O431" s="41"/>
      <c r="P431" s="37"/>
      <c r="Q431" s="38"/>
      <c r="R431" s="36"/>
      <c r="S431" s="42"/>
      <c r="T431" s="42"/>
      <c r="U431" s="37"/>
      <c r="V431" s="43"/>
      <c r="W431" s="43"/>
      <c r="X431" s="36"/>
    </row>
    <row r="432" ht="15.75" customHeight="1">
      <c r="A432" s="36"/>
      <c r="B432" s="36"/>
      <c r="C432" s="36"/>
      <c r="D432" s="36"/>
      <c r="E432" s="36"/>
      <c r="F432" s="37"/>
      <c r="G432" s="38"/>
      <c r="H432" s="36"/>
      <c r="I432" s="36"/>
      <c r="J432" s="39"/>
      <c r="K432" s="36"/>
      <c r="L432" s="40"/>
      <c r="M432" s="40"/>
      <c r="N432" s="41"/>
      <c r="O432" s="41"/>
      <c r="P432" s="37"/>
      <c r="Q432" s="38"/>
      <c r="R432" s="36"/>
      <c r="S432" s="42"/>
      <c r="T432" s="42"/>
      <c r="U432" s="37"/>
      <c r="V432" s="43"/>
      <c r="W432" s="43"/>
      <c r="X432" s="36"/>
    </row>
    <row r="433" ht="15.75" customHeight="1">
      <c r="A433" s="36"/>
      <c r="B433" s="36"/>
      <c r="C433" s="36"/>
      <c r="D433" s="36"/>
      <c r="E433" s="36"/>
      <c r="F433" s="37"/>
      <c r="G433" s="38"/>
      <c r="H433" s="36"/>
      <c r="I433" s="36"/>
      <c r="J433" s="39"/>
      <c r="K433" s="36"/>
      <c r="L433" s="40"/>
      <c r="M433" s="40"/>
      <c r="N433" s="41"/>
      <c r="O433" s="41"/>
      <c r="P433" s="37"/>
      <c r="Q433" s="38"/>
      <c r="R433" s="36"/>
      <c r="S433" s="42"/>
      <c r="T433" s="42"/>
      <c r="U433" s="37"/>
      <c r="V433" s="43"/>
      <c r="W433" s="43"/>
      <c r="X433" s="36"/>
    </row>
    <row r="434" ht="15.75" customHeight="1">
      <c r="A434" s="36"/>
      <c r="B434" s="36"/>
      <c r="C434" s="36"/>
      <c r="D434" s="36"/>
      <c r="E434" s="36"/>
      <c r="F434" s="37"/>
      <c r="G434" s="38"/>
      <c r="H434" s="36"/>
      <c r="I434" s="36"/>
      <c r="J434" s="39"/>
      <c r="K434" s="36"/>
      <c r="L434" s="40"/>
      <c r="M434" s="40"/>
      <c r="N434" s="41"/>
      <c r="O434" s="41"/>
      <c r="P434" s="37"/>
      <c r="Q434" s="38"/>
      <c r="R434" s="36"/>
      <c r="S434" s="42"/>
      <c r="T434" s="42"/>
      <c r="U434" s="37"/>
      <c r="V434" s="43"/>
      <c r="W434" s="43"/>
      <c r="X434" s="36"/>
    </row>
    <row r="435" ht="15.75" customHeight="1">
      <c r="A435" s="36"/>
      <c r="B435" s="36"/>
      <c r="C435" s="36"/>
      <c r="D435" s="36"/>
      <c r="E435" s="36"/>
      <c r="F435" s="37"/>
      <c r="G435" s="38"/>
      <c r="H435" s="36"/>
      <c r="I435" s="36"/>
      <c r="J435" s="39"/>
      <c r="K435" s="36"/>
      <c r="L435" s="40"/>
      <c r="M435" s="40"/>
      <c r="N435" s="41"/>
      <c r="O435" s="41"/>
      <c r="P435" s="37"/>
      <c r="Q435" s="38"/>
      <c r="R435" s="36"/>
      <c r="S435" s="42"/>
      <c r="T435" s="42"/>
      <c r="U435" s="37"/>
      <c r="V435" s="43"/>
      <c r="W435" s="43"/>
      <c r="X435" s="36"/>
    </row>
    <row r="436" ht="15.75" customHeight="1">
      <c r="A436" s="36"/>
      <c r="B436" s="36"/>
      <c r="C436" s="36"/>
      <c r="D436" s="36"/>
      <c r="E436" s="36"/>
      <c r="F436" s="37"/>
      <c r="G436" s="38"/>
      <c r="H436" s="36"/>
      <c r="I436" s="36"/>
      <c r="J436" s="39"/>
      <c r="K436" s="36"/>
      <c r="L436" s="40"/>
      <c r="M436" s="40"/>
      <c r="N436" s="41"/>
      <c r="O436" s="41"/>
      <c r="P436" s="37"/>
      <c r="Q436" s="38"/>
      <c r="R436" s="36"/>
      <c r="S436" s="42"/>
      <c r="T436" s="42"/>
      <c r="U436" s="37"/>
      <c r="V436" s="43"/>
      <c r="W436" s="43"/>
      <c r="X436" s="36"/>
    </row>
    <row r="437" ht="15.75" customHeight="1">
      <c r="A437" s="36"/>
      <c r="B437" s="36"/>
      <c r="C437" s="36"/>
      <c r="D437" s="36"/>
      <c r="E437" s="36"/>
      <c r="F437" s="37"/>
      <c r="G437" s="38"/>
      <c r="H437" s="36"/>
      <c r="I437" s="36"/>
      <c r="J437" s="39"/>
      <c r="K437" s="36"/>
      <c r="L437" s="40"/>
      <c r="M437" s="40"/>
      <c r="N437" s="41"/>
      <c r="O437" s="41"/>
      <c r="P437" s="37"/>
      <c r="Q437" s="38"/>
      <c r="R437" s="36"/>
      <c r="S437" s="42"/>
      <c r="T437" s="42"/>
      <c r="U437" s="37"/>
      <c r="V437" s="43"/>
      <c r="W437" s="43"/>
      <c r="X437" s="36"/>
    </row>
    <row r="438" ht="15.75" customHeight="1">
      <c r="A438" s="36"/>
      <c r="B438" s="36"/>
      <c r="C438" s="36"/>
      <c r="D438" s="36"/>
      <c r="E438" s="36"/>
      <c r="F438" s="37"/>
      <c r="G438" s="38"/>
      <c r="H438" s="36"/>
      <c r="I438" s="36"/>
      <c r="J438" s="39"/>
      <c r="K438" s="36"/>
      <c r="L438" s="40"/>
      <c r="M438" s="40"/>
      <c r="N438" s="41"/>
      <c r="O438" s="41"/>
      <c r="P438" s="37"/>
      <c r="Q438" s="38"/>
      <c r="R438" s="36"/>
      <c r="S438" s="42"/>
      <c r="T438" s="42"/>
      <c r="U438" s="37"/>
      <c r="V438" s="43"/>
      <c r="W438" s="43"/>
      <c r="X438" s="36"/>
    </row>
    <row r="439" ht="15.75" customHeight="1">
      <c r="A439" s="36"/>
      <c r="B439" s="36"/>
      <c r="C439" s="36"/>
      <c r="D439" s="36"/>
      <c r="E439" s="36"/>
      <c r="F439" s="37"/>
      <c r="G439" s="38"/>
      <c r="H439" s="36"/>
      <c r="I439" s="36"/>
      <c r="J439" s="39"/>
      <c r="K439" s="36"/>
      <c r="L439" s="40"/>
      <c r="M439" s="40"/>
      <c r="N439" s="41"/>
      <c r="O439" s="41"/>
      <c r="P439" s="37"/>
      <c r="Q439" s="38"/>
      <c r="R439" s="36"/>
      <c r="S439" s="42"/>
      <c r="T439" s="42"/>
      <c r="U439" s="37"/>
      <c r="V439" s="43"/>
      <c r="W439" s="43"/>
      <c r="X439" s="36"/>
    </row>
    <row r="440" ht="15.75" customHeight="1">
      <c r="A440" s="36"/>
      <c r="B440" s="36"/>
      <c r="C440" s="36"/>
      <c r="D440" s="36"/>
      <c r="E440" s="36"/>
      <c r="F440" s="37"/>
      <c r="G440" s="38"/>
      <c r="H440" s="36"/>
      <c r="I440" s="36"/>
      <c r="J440" s="39"/>
      <c r="K440" s="36"/>
      <c r="L440" s="40"/>
      <c r="M440" s="40"/>
      <c r="N440" s="41"/>
      <c r="O440" s="41"/>
      <c r="P440" s="37"/>
      <c r="Q440" s="38"/>
      <c r="R440" s="36"/>
      <c r="S440" s="42"/>
      <c r="T440" s="42"/>
      <c r="U440" s="37"/>
      <c r="V440" s="43"/>
      <c r="W440" s="43"/>
      <c r="X440" s="36"/>
    </row>
    <row r="441" ht="15.75" customHeight="1">
      <c r="A441" s="36"/>
      <c r="B441" s="36"/>
      <c r="C441" s="36"/>
      <c r="D441" s="36"/>
      <c r="E441" s="36"/>
      <c r="F441" s="37"/>
      <c r="G441" s="38"/>
      <c r="H441" s="36"/>
      <c r="I441" s="36"/>
      <c r="J441" s="39"/>
      <c r="K441" s="36"/>
      <c r="L441" s="40"/>
      <c r="M441" s="40"/>
      <c r="N441" s="41"/>
      <c r="O441" s="41"/>
      <c r="P441" s="37"/>
      <c r="Q441" s="38"/>
      <c r="R441" s="36"/>
      <c r="S441" s="42"/>
      <c r="T441" s="42"/>
      <c r="U441" s="37"/>
      <c r="V441" s="43"/>
      <c r="W441" s="43"/>
      <c r="X441" s="36"/>
    </row>
    <row r="442" ht="15.75" customHeight="1">
      <c r="A442" s="36"/>
      <c r="B442" s="36"/>
      <c r="C442" s="36"/>
      <c r="D442" s="36"/>
      <c r="E442" s="36"/>
      <c r="F442" s="37"/>
      <c r="G442" s="38"/>
      <c r="H442" s="36"/>
      <c r="I442" s="36"/>
      <c r="J442" s="39"/>
      <c r="K442" s="36"/>
      <c r="L442" s="40"/>
      <c r="M442" s="40"/>
      <c r="N442" s="41"/>
      <c r="O442" s="41"/>
      <c r="P442" s="37"/>
      <c r="Q442" s="38"/>
      <c r="R442" s="36"/>
      <c r="S442" s="42"/>
      <c r="T442" s="42"/>
      <c r="U442" s="37"/>
      <c r="V442" s="43"/>
      <c r="W442" s="43"/>
      <c r="X442" s="36"/>
    </row>
    <row r="443" ht="15.75" customHeight="1">
      <c r="A443" s="36"/>
      <c r="B443" s="36"/>
      <c r="C443" s="36"/>
      <c r="D443" s="36"/>
      <c r="E443" s="36"/>
      <c r="F443" s="37"/>
      <c r="G443" s="38"/>
      <c r="H443" s="36"/>
      <c r="I443" s="36"/>
      <c r="J443" s="39"/>
      <c r="K443" s="36"/>
      <c r="L443" s="40"/>
      <c r="M443" s="40"/>
      <c r="N443" s="41"/>
      <c r="O443" s="41"/>
      <c r="P443" s="37"/>
      <c r="Q443" s="38"/>
      <c r="R443" s="36"/>
      <c r="S443" s="42"/>
      <c r="T443" s="42"/>
      <c r="U443" s="37"/>
      <c r="V443" s="43"/>
      <c r="W443" s="43"/>
      <c r="X443" s="36"/>
    </row>
    <row r="444" ht="15.75" customHeight="1">
      <c r="A444" s="36"/>
      <c r="B444" s="36"/>
      <c r="C444" s="36"/>
      <c r="D444" s="36"/>
      <c r="E444" s="36"/>
      <c r="F444" s="37"/>
      <c r="G444" s="38"/>
      <c r="H444" s="36"/>
      <c r="I444" s="36"/>
      <c r="J444" s="39"/>
      <c r="K444" s="36"/>
      <c r="L444" s="40"/>
      <c r="M444" s="40"/>
      <c r="N444" s="41"/>
      <c r="O444" s="41"/>
      <c r="P444" s="37"/>
      <c r="Q444" s="38"/>
      <c r="R444" s="36"/>
      <c r="S444" s="42"/>
      <c r="T444" s="42"/>
      <c r="U444" s="37"/>
      <c r="V444" s="43"/>
      <c r="W444" s="43"/>
      <c r="X444" s="36"/>
    </row>
    <row r="445" ht="15.75" customHeight="1">
      <c r="A445" s="36"/>
      <c r="B445" s="36"/>
      <c r="C445" s="36"/>
      <c r="D445" s="36"/>
      <c r="E445" s="36"/>
      <c r="F445" s="37"/>
      <c r="G445" s="38"/>
      <c r="H445" s="36"/>
      <c r="I445" s="36"/>
      <c r="J445" s="39"/>
      <c r="K445" s="36"/>
      <c r="L445" s="40"/>
      <c r="M445" s="40"/>
      <c r="N445" s="41"/>
      <c r="O445" s="41"/>
      <c r="P445" s="37"/>
      <c r="Q445" s="38"/>
      <c r="R445" s="36"/>
      <c r="S445" s="42"/>
      <c r="T445" s="42"/>
      <c r="U445" s="37"/>
      <c r="V445" s="43"/>
      <c r="W445" s="43"/>
      <c r="X445" s="36"/>
    </row>
    <row r="446" ht="15.75" customHeight="1">
      <c r="A446" s="36"/>
      <c r="B446" s="36"/>
      <c r="C446" s="36"/>
      <c r="D446" s="36"/>
      <c r="E446" s="36"/>
      <c r="F446" s="37"/>
      <c r="G446" s="38"/>
      <c r="H446" s="36"/>
      <c r="I446" s="36"/>
      <c r="J446" s="39"/>
      <c r="K446" s="36"/>
      <c r="L446" s="40"/>
      <c r="M446" s="40"/>
      <c r="N446" s="41"/>
      <c r="O446" s="41"/>
      <c r="P446" s="37"/>
      <c r="Q446" s="38"/>
      <c r="R446" s="36"/>
      <c r="S446" s="42"/>
      <c r="T446" s="42"/>
      <c r="U446" s="37"/>
      <c r="V446" s="43"/>
      <c r="W446" s="43"/>
      <c r="X446" s="36"/>
    </row>
    <row r="447" ht="15.75" customHeight="1">
      <c r="A447" s="36"/>
      <c r="B447" s="36"/>
      <c r="C447" s="36"/>
      <c r="D447" s="36"/>
      <c r="E447" s="36"/>
      <c r="F447" s="37"/>
      <c r="G447" s="38"/>
      <c r="H447" s="36"/>
      <c r="I447" s="36"/>
      <c r="J447" s="39"/>
      <c r="K447" s="36"/>
      <c r="L447" s="40"/>
      <c r="M447" s="40"/>
      <c r="N447" s="41"/>
      <c r="O447" s="41"/>
      <c r="P447" s="37"/>
      <c r="Q447" s="38"/>
      <c r="R447" s="36"/>
      <c r="S447" s="42"/>
      <c r="T447" s="42"/>
      <c r="U447" s="37"/>
      <c r="V447" s="43"/>
      <c r="W447" s="43"/>
      <c r="X447" s="36"/>
    </row>
    <row r="448" ht="15.75" customHeight="1">
      <c r="A448" s="36"/>
      <c r="B448" s="36"/>
      <c r="C448" s="36"/>
      <c r="D448" s="36"/>
      <c r="E448" s="36"/>
      <c r="F448" s="37"/>
      <c r="G448" s="38"/>
      <c r="H448" s="36"/>
      <c r="I448" s="36"/>
      <c r="J448" s="39"/>
      <c r="K448" s="36"/>
      <c r="L448" s="40"/>
      <c r="M448" s="40"/>
      <c r="N448" s="41"/>
      <c r="O448" s="41"/>
      <c r="P448" s="37"/>
      <c r="Q448" s="38"/>
      <c r="R448" s="36"/>
      <c r="S448" s="42"/>
      <c r="T448" s="42"/>
      <c r="U448" s="37"/>
      <c r="V448" s="43"/>
      <c r="W448" s="43"/>
      <c r="X448" s="36"/>
    </row>
    <row r="449" ht="15.75" customHeight="1">
      <c r="A449" s="36"/>
      <c r="B449" s="36"/>
      <c r="C449" s="36"/>
      <c r="D449" s="36"/>
      <c r="E449" s="36"/>
      <c r="F449" s="37"/>
      <c r="G449" s="38"/>
      <c r="H449" s="36"/>
      <c r="I449" s="36"/>
      <c r="J449" s="39"/>
      <c r="K449" s="36"/>
      <c r="L449" s="40"/>
      <c r="M449" s="40"/>
      <c r="N449" s="41"/>
      <c r="O449" s="41"/>
      <c r="P449" s="37"/>
      <c r="Q449" s="38"/>
      <c r="R449" s="36"/>
      <c r="S449" s="42"/>
      <c r="T449" s="42"/>
      <c r="U449" s="37"/>
      <c r="V449" s="43"/>
      <c r="W449" s="43"/>
      <c r="X449" s="36"/>
    </row>
    <row r="450" ht="15.75" customHeight="1">
      <c r="A450" s="36"/>
      <c r="B450" s="36"/>
      <c r="C450" s="36"/>
      <c r="D450" s="36"/>
      <c r="E450" s="36"/>
      <c r="F450" s="37"/>
      <c r="G450" s="38"/>
      <c r="H450" s="36"/>
      <c r="I450" s="36"/>
      <c r="J450" s="39"/>
      <c r="K450" s="36"/>
      <c r="L450" s="40"/>
      <c r="M450" s="40"/>
      <c r="N450" s="41"/>
      <c r="O450" s="41"/>
      <c r="P450" s="37"/>
      <c r="Q450" s="38"/>
      <c r="R450" s="36"/>
      <c r="S450" s="42"/>
      <c r="T450" s="42"/>
      <c r="U450" s="37"/>
      <c r="V450" s="43"/>
      <c r="W450" s="43"/>
      <c r="X450" s="36"/>
    </row>
    <row r="451" ht="15.75" customHeight="1">
      <c r="A451" s="36"/>
      <c r="B451" s="36"/>
      <c r="C451" s="36"/>
      <c r="D451" s="36"/>
      <c r="E451" s="36"/>
      <c r="F451" s="37"/>
      <c r="G451" s="38"/>
      <c r="H451" s="36"/>
      <c r="I451" s="36"/>
      <c r="J451" s="39"/>
      <c r="K451" s="36"/>
      <c r="L451" s="40"/>
      <c r="M451" s="40"/>
      <c r="N451" s="41"/>
      <c r="O451" s="41"/>
      <c r="P451" s="37"/>
      <c r="Q451" s="38"/>
      <c r="R451" s="36"/>
      <c r="S451" s="42"/>
      <c r="T451" s="42"/>
      <c r="U451" s="37"/>
      <c r="V451" s="43"/>
      <c r="W451" s="43"/>
      <c r="X451" s="36"/>
    </row>
    <row r="452" ht="15.75" customHeight="1">
      <c r="A452" s="36"/>
      <c r="B452" s="36"/>
      <c r="C452" s="36"/>
      <c r="D452" s="36"/>
      <c r="E452" s="36"/>
      <c r="F452" s="37"/>
      <c r="G452" s="38"/>
      <c r="H452" s="36"/>
      <c r="I452" s="36"/>
      <c r="J452" s="39"/>
      <c r="K452" s="36"/>
      <c r="L452" s="40"/>
      <c r="M452" s="40"/>
      <c r="N452" s="41"/>
      <c r="O452" s="41"/>
      <c r="P452" s="37"/>
      <c r="Q452" s="38"/>
      <c r="R452" s="36"/>
      <c r="S452" s="42"/>
      <c r="T452" s="42"/>
      <c r="U452" s="37"/>
      <c r="V452" s="43"/>
      <c r="W452" s="43"/>
      <c r="X452" s="36"/>
    </row>
    <row r="453" ht="15.75" customHeight="1">
      <c r="A453" s="36"/>
      <c r="B453" s="36"/>
      <c r="C453" s="36"/>
      <c r="D453" s="36"/>
      <c r="E453" s="36"/>
      <c r="F453" s="37"/>
      <c r="G453" s="38"/>
      <c r="H453" s="36"/>
      <c r="I453" s="36"/>
      <c r="J453" s="39"/>
      <c r="K453" s="36"/>
      <c r="L453" s="40"/>
      <c r="M453" s="40"/>
      <c r="N453" s="41"/>
      <c r="O453" s="41"/>
      <c r="P453" s="37"/>
      <c r="Q453" s="38"/>
      <c r="R453" s="36"/>
      <c r="S453" s="42"/>
      <c r="T453" s="42"/>
      <c r="U453" s="37"/>
      <c r="V453" s="43"/>
      <c r="W453" s="43"/>
      <c r="X453" s="36"/>
    </row>
    <row r="454" ht="15.75" customHeight="1">
      <c r="A454" s="36"/>
      <c r="B454" s="36"/>
      <c r="C454" s="36"/>
      <c r="D454" s="36"/>
      <c r="E454" s="36"/>
      <c r="F454" s="37"/>
      <c r="G454" s="38"/>
      <c r="H454" s="36"/>
      <c r="I454" s="36"/>
      <c r="J454" s="39"/>
      <c r="K454" s="36"/>
      <c r="L454" s="40"/>
      <c r="M454" s="40"/>
      <c r="N454" s="41"/>
      <c r="O454" s="41"/>
      <c r="P454" s="37"/>
      <c r="Q454" s="38"/>
      <c r="R454" s="36"/>
      <c r="S454" s="42"/>
      <c r="T454" s="42"/>
      <c r="U454" s="37"/>
      <c r="V454" s="43"/>
      <c r="W454" s="43"/>
      <c r="X454" s="36"/>
    </row>
    <row r="455" ht="15.75" customHeight="1">
      <c r="A455" s="36"/>
      <c r="B455" s="36"/>
      <c r="C455" s="36"/>
      <c r="D455" s="36"/>
      <c r="E455" s="36"/>
      <c r="F455" s="37"/>
      <c r="G455" s="38"/>
      <c r="H455" s="36"/>
      <c r="I455" s="36"/>
      <c r="J455" s="39"/>
      <c r="K455" s="36"/>
      <c r="L455" s="40"/>
      <c r="M455" s="40"/>
      <c r="N455" s="41"/>
      <c r="O455" s="41"/>
      <c r="P455" s="37"/>
      <c r="Q455" s="38"/>
      <c r="R455" s="36"/>
      <c r="S455" s="42"/>
      <c r="T455" s="42"/>
      <c r="U455" s="37"/>
      <c r="V455" s="43"/>
      <c r="W455" s="43"/>
      <c r="X455" s="36"/>
    </row>
    <row r="456" ht="15.75" customHeight="1">
      <c r="A456" s="36"/>
      <c r="B456" s="36"/>
      <c r="C456" s="36"/>
      <c r="D456" s="36"/>
      <c r="E456" s="36"/>
      <c r="F456" s="37"/>
      <c r="G456" s="38"/>
      <c r="H456" s="36"/>
      <c r="I456" s="36"/>
      <c r="J456" s="39"/>
      <c r="K456" s="36"/>
      <c r="L456" s="40"/>
      <c r="M456" s="40"/>
      <c r="N456" s="41"/>
      <c r="O456" s="41"/>
      <c r="P456" s="37"/>
      <c r="Q456" s="38"/>
      <c r="R456" s="36"/>
      <c r="S456" s="42"/>
      <c r="T456" s="42"/>
      <c r="U456" s="37"/>
      <c r="V456" s="43"/>
      <c r="W456" s="43"/>
      <c r="X456" s="36"/>
    </row>
    <row r="457" ht="15.75" customHeight="1">
      <c r="A457" s="36"/>
      <c r="B457" s="36"/>
      <c r="C457" s="36"/>
      <c r="D457" s="36"/>
      <c r="E457" s="36"/>
      <c r="F457" s="37"/>
      <c r="G457" s="38"/>
      <c r="H457" s="36"/>
      <c r="I457" s="36"/>
      <c r="J457" s="39"/>
      <c r="K457" s="36"/>
      <c r="L457" s="40"/>
      <c r="M457" s="40"/>
      <c r="N457" s="41"/>
      <c r="O457" s="41"/>
      <c r="P457" s="37"/>
      <c r="Q457" s="38"/>
      <c r="R457" s="36"/>
      <c r="S457" s="42"/>
      <c r="T457" s="42"/>
      <c r="U457" s="37"/>
      <c r="V457" s="43"/>
      <c r="W457" s="43"/>
      <c r="X457" s="36"/>
    </row>
    <row r="458" ht="15.75" customHeight="1">
      <c r="A458" s="36"/>
      <c r="B458" s="36"/>
      <c r="C458" s="36"/>
      <c r="D458" s="36"/>
      <c r="E458" s="36"/>
      <c r="F458" s="37"/>
      <c r="G458" s="38"/>
      <c r="H458" s="36"/>
      <c r="I458" s="36"/>
      <c r="J458" s="39"/>
      <c r="K458" s="36"/>
      <c r="L458" s="40"/>
      <c r="M458" s="40"/>
      <c r="N458" s="41"/>
      <c r="O458" s="41"/>
      <c r="P458" s="37"/>
      <c r="Q458" s="38"/>
      <c r="R458" s="36"/>
      <c r="S458" s="42"/>
      <c r="T458" s="42"/>
      <c r="U458" s="37"/>
      <c r="V458" s="43"/>
      <c r="W458" s="43"/>
      <c r="X458" s="36"/>
    </row>
    <row r="459" ht="15.75" customHeight="1">
      <c r="A459" s="36"/>
      <c r="B459" s="36"/>
      <c r="C459" s="36"/>
      <c r="D459" s="36"/>
      <c r="E459" s="36"/>
      <c r="F459" s="37"/>
      <c r="G459" s="38"/>
      <c r="H459" s="36"/>
      <c r="I459" s="36"/>
      <c r="J459" s="39"/>
      <c r="K459" s="36"/>
      <c r="L459" s="40"/>
      <c r="M459" s="40"/>
      <c r="N459" s="41"/>
      <c r="O459" s="41"/>
      <c r="P459" s="37"/>
      <c r="Q459" s="38"/>
      <c r="R459" s="36"/>
      <c r="S459" s="42"/>
      <c r="T459" s="42"/>
      <c r="U459" s="37"/>
      <c r="V459" s="43"/>
      <c r="W459" s="43"/>
      <c r="X459" s="36"/>
    </row>
    <row r="460" ht="15.75" customHeight="1">
      <c r="A460" s="36"/>
      <c r="B460" s="36"/>
      <c r="C460" s="36"/>
      <c r="D460" s="36"/>
      <c r="E460" s="36"/>
      <c r="F460" s="37"/>
      <c r="G460" s="38"/>
      <c r="H460" s="36"/>
      <c r="I460" s="36"/>
      <c r="J460" s="39"/>
      <c r="K460" s="36"/>
      <c r="L460" s="40"/>
      <c r="M460" s="40"/>
      <c r="N460" s="41"/>
      <c r="O460" s="41"/>
      <c r="P460" s="37"/>
      <c r="Q460" s="38"/>
      <c r="R460" s="36"/>
      <c r="S460" s="42"/>
      <c r="T460" s="42"/>
      <c r="U460" s="37"/>
      <c r="V460" s="43"/>
      <c r="W460" s="43"/>
      <c r="X460" s="36"/>
    </row>
    <row r="461" ht="15.75" customHeight="1">
      <c r="A461" s="36"/>
      <c r="B461" s="36"/>
      <c r="C461" s="36"/>
      <c r="D461" s="36"/>
      <c r="E461" s="36"/>
      <c r="F461" s="37"/>
      <c r="G461" s="38"/>
      <c r="H461" s="36"/>
      <c r="I461" s="36"/>
      <c r="J461" s="39"/>
      <c r="K461" s="36"/>
      <c r="L461" s="40"/>
      <c r="M461" s="40"/>
      <c r="N461" s="41"/>
      <c r="O461" s="41"/>
      <c r="P461" s="37"/>
      <c r="Q461" s="38"/>
      <c r="R461" s="36"/>
      <c r="S461" s="42"/>
      <c r="T461" s="42"/>
      <c r="U461" s="37"/>
      <c r="V461" s="43"/>
      <c r="W461" s="43"/>
      <c r="X461" s="36"/>
    </row>
    <row r="462" ht="15.75" customHeight="1">
      <c r="A462" s="36"/>
      <c r="B462" s="36"/>
      <c r="C462" s="36"/>
      <c r="D462" s="36"/>
      <c r="E462" s="36"/>
      <c r="F462" s="37"/>
      <c r="G462" s="38"/>
      <c r="H462" s="36"/>
      <c r="I462" s="36"/>
      <c r="J462" s="39"/>
      <c r="K462" s="36"/>
      <c r="L462" s="40"/>
      <c r="M462" s="40"/>
      <c r="N462" s="41"/>
      <c r="O462" s="41"/>
      <c r="P462" s="37"/>
      <c r="Q462" s="38"/>
      <c r="R462" s="36"/>
      <c r="S462" s="42"/>
      <c r="T462" s="42"/>
      <c r="U462" s="37"/>
      <c r="V462" s="43"/>
      <c r="W462" s="43"/>
      <c r="X462" s="36"/>
    </row>
    <row r="463" ht="15.75" customHeight="1">
      <c r="A463" s="36"/>
      <c r="B463" s="36"/>
      <c r="C463" s="36"/>
      <c r="D463" s="36"/>
      <c r="E463" s="36"/>
      <c r="F463" s="37"/>
      <c r="G463" s="38"/>
      <c r="H463" s="36"/>
      <c r="I463" s="36"/>
      <c r="J463" s="39"/>
      <c r="K463" s="36"/>
      <c r="L463" s="40"/>
      <c r="M463" s="40"/>
      <c r="N463" s="41"/>
      <c r="O463" s="41"/>
      <c r="P463" s="37"/>
      <c r="Q463" s="38"/>
      <c r="R463" s="36"/>
      <c r="S463" s="42"/>
      <c r="T463" s="42"/>
      <c r="U463" s="37"/>
      <c r="V463" s="43"/>
      <c r="W463" s="43"/>
      <c r="X463" s="36"/>
    </row>
    <row r="464" ht="15.75" customHeight="1">
      <c r="A464" s="36"/>
      <c r="B464" s="36"/>
      <c r="C464" s="36"/>
      <c r="D464" s="36"/>
      <c r="E464" s="36"/>
      <c r="F464" s="37"/>
      <c r="G464" s="38"/>
      <c r="H464" s="36"/>
      <c r="I464" s="36"/>
      <c r="J464" s="39"/>
      <c r="K464" s="36"/>
      <c r="L464" s="40"/>
      <c r="M464" s="40"/>
      <c r="N464" s="41"/>
      <c r="O464" s="41"/>
      <c r="P464" s="37"/>
      <c r="Q464" s="38"/>
      <c r="R464" s="36"/>
      <c r="S464" s="42"/>
      <c r="T464" s="42"/>
      <c r="U464" s="37"/>
      <c r="V464" s="43"/>
      <c r="W464" s="43"/>
      <c r="X464" s="36"/>
    </row>
    <row r="465" ht="15.75" customHeight="1">
      <c r="A465" s="36"/>
      <c r="B465" s="36"/>
      <c r="C465" s="36"/>
      <c r="D465" s="36"/>
      <c r="E465" s="36"/>
      <c r="F465" s="37"/>
      <c r="G465" s="38"/>
      <c r="H465" s="36"/>
      <c r="I465" s="36"/>
      <c r="J465" s="39"/>
      <c r="K465" s="36"/>
      <c r="L465" s="40"/>
      <c r="M465" s="40"/>
      <c r="N465" s="41"/>
      <c r="O465" s="41"/>
      <c r="P465" s="37"/>
      <c r="Q465" s="38"/>
      <c r="R465" s="36"/>
      <c r="S465" s="42"/>
      <c r="T465" s="42"/>
      <c r="U465" s="37"/>
      <c r="V465" s="43"/>
      <c r="W465" s="43"/>
      <c r="X465" s="36"/>
    </row>
    <row r="466" ht="15.75" customHeight="1">
      <c r="A466" s="36"/>
      <c r="B466" s="36"/>
      <c r="C466" s="36"/>
      <c r="D466" s="36"/>
      <c r="E466" s="36"/>
      <c r="F466" s="37"/>
      <c r="G466" s="38"/>
      <c r="H466" s="36"/>
      <c r="I466" s="36"/>
      <c r="J466" s="39"/>
      <c r="K466" s="36"/>
      <c r="L466" s="40"/>
      <c r="M466" s="40"/>
      <c r="N466" s="41"/>
      <c r="O466" s="41"/>
      <c r="P466" s="37"/>
      <c r="Q466" s="38"/>
      <c r="R466" s="36"/>
      <c r="S466" s="42"/>
      <c r="T466" s="42"/>
      <c r="U466" s="37"/>
      <c r="V466" s="43"/>
      <c r="W466" s="43"/>
      <c r="X466" s="36"/>
    </row>
    <row r="467" ht="15.75" customHeight="1">
      <c r="A467" s="36"/>
      <c r="B467" s="36"/>
      <c r="C467" s="36"/>
      <c r="D467" s="36"/>
      <c r="E467" s="36"/>
      <c r="F467" s="37"/>
      <c r="G467" s="38"/>
      <c r="H467" s="36"/>
      <c r="I467" s="36"/>
      <c r="J467" s="39"/>
      <c r="K467" s="36"/>
      <c r="L467" s="40"/>
      <c r="M467" s="40"/>
      <c r="N467" s="41"/>
      <c r="O467" s="41"/>
      <c r="P467" s="37"/>
      <c r="Q467" s="38"/>
      <c r="R467" s="36"/>
      <c r="S467" s="42"/>
      <c r="T467" s="42"/>
      <c r="U467" s="37"/>
      <c r="V467" s="43"/>
      <c r="W467" s="43"/>
      <c r="X467" s="36"/>
    </row>
    <row r="468" ht="15.75" customHeight="1">
      <c r="A468" s="36"/>
      <c r="B468" s="36"/>
      <c r="C468" s="36"/>
      <c r="D468" s="36"/>
      <c r="E468" s="36"/>
      <c r="F468" s="37"/>
      <c r="G468" s="38"/>
      <c r="H468" s="36"/>
      <c r="I468" s="36"/>
      <c r="J468" s="39"/>
      <c r="K468" s="36"/>
      <c r="L468" s="40"/>
      <c r="M468" s="40"/>
      <c r="N468" s="41"/>
      <c r="O468" s="41"/>
      <c r="P468" s="37"/>
      <c r="Q468" s="38"/>
      <c r="R468" s="36"/>
      <c r="S468" s="42"/>
      <c r="T468" s="42"/>
      <c r="U468" s="37"/>
      <c r="V468" s="43"/>
      <c r="W468" s="43"/>
      <c r="X468" s="36"/>
    </row>
    <row r="469" ht="15.75" customHeight="1">
      <c r="A469" s="36"/>
      <c r="B469" s="36"/>
      <c r="C469" s="36"/>
      <c r="D469" s="36"/>
      <c r="E469" s="36"/>
      <c r="F469" s="37"/>
      <c r="G469" s="38"/>
      <c r="H469" s="36"/>
      <c r="I469" s="36"/>
      <c r="J469" s="39"/>
      <c r="K469" s="36"/>
      <c r="L469" s="40"/>
      <c r="M469" s="40"/>
      <c r="N469" s="41"/>
      <c r="O469" s="41"/>
      <c r="P469" s="37"/>
      <c r="Q469" s="38"/>
      <c r="R469" s="36"/>
      <c r="S469" s="42"/>
      <c r="T469" s="42"/>
      <c r="U469" s="37"/>
      <c r="V469" s="43"/>
      <c r="W469" s="43"/>
      <c r="X469" s="36"/>
    </row>
    <row r="470" ht="15.75" customHeight="1">
      <c r="A470" s="36"/>
      <c r="B470" s="36"/>
      <c r="C470" s="36"/>
      <c r="D470" s="36"/>
      <c r="E470" s="36"/>
      <c r="F470" s="37"/>
      <c r="G470" s="38"/>
      <c r="H470" s="36"/>
      <c r="I470" s="36"/>
      <c r="J470" s="39"/>
      <c r="K470" s="36"/>
      <c r="L470" s="40"/>
      <c r="M470" s="40"/>
      <c r="N470" s="41"/>
      <c r="O470" s="41"/>
      <c r="P470" s="37"/>
      <c r="Q470" s="38"/>
      <c r="R470" s="36"/>
      <c r="S470" s="42"/>
      <c r="T470" s="42"/>
      <c r="U470" s="37"/>
      <c r="V470" s="43"/>
      <c r="W470" s="43"/>
      <c r="X470" s="36"/>
    </row>
    <row r="471" ht="15.75" customHeight="1">
      <c r="A471" s="36"/>
      <c r="B471" s="36"/>
      <c r="C471" s="36"/>
      <c r="D471" s="36"/>
      <c r="E471" s="36"/>
      <c r="F471" s="37"/>
      <c r="G471" s="38"/>
      <c r="H471" s="36"/>
      <c r="I471" s="36"/>
      <c r="J471" s="39"/>
      <c r="K471" s="36"/>
      <c r="L471" s="40"/>
      <c r="M471" s="40"/>
      <c r="N471" s="41"/>
      <c r="O471" s="41"/>
      <c r="P471" s="37"/>
      <c r="Q471" s="38"/>
      <c r="R471" s="36"/>
      <c r="S471" s="42"/>
      <c r="T471" s="42"/>
      <c r="U471" s="37"/>
      <c r="V471" s="43"/>
      <c r="W471" s="43"/>
      <c r="X471" s="36"/>
    </row>
    <row r="472" ht="15.75" customHeight="1">
      <c r="A472" s="36"/>
      <c r="B472" s="36"/>
      <c r="C472" s="36"/>
      <c r="D472" s="36"/>
      <c r="E472" s="36"/>
      <c r="F472" s="37"/>
      <c r="G472" s="38"/>
      <c r="H472" s="36"/>
      <c r="I472" s="36"/>
      <c r="J472" s="39"/>
      <c r="K472" s="36"/>
      <c r="L472" s="40"/>
      <c r="M472" s="40"/>
      <c r="N472" s="41"/>
      <c r="O472" s="41"/>
      <c r="P472" s="37"/>
      <c r="Q472" s="38"/>
      <c r="R472" s="36"/>
      <c r="S472" s="42"/>
      <c r="T472" s="42"/>
      <c r="U472" s="37"/>
      <c r="V472" s="43"/>
      <c r="W472" s="43"/>
      <c r="X472" s="36"/>
    </row>
    <row r="473" ht="15.75" customHeight="1">
      <c r="A473" s="36"/>
      <c r="B473" s="36"/>
      <c r="C473" s="36"/>
      <c r="D473" s="36"/>
      <c r="E473" s="36"/>
      <c r="F473" s="37"/>
      <c r="G473" s="38"/>
      <c r="H473" s="36"/>
      <c r="I473" s="36"/>
      <c r="J473" s="39"/>
      <c r="K473" s="36"/>
      <c r="L473" s="40"/>
      <c r="M473" s="40"/>
      <c r="N473" s="41"/>
      <c r="O473" s="41"/>
      <c r="P473" s="37"/>
      <c r="Q473" s="38"/>
      <c r="R473" s="36"/>
      <c r="S473" s="42"/>
      <c r="T473" s="42"/>
      <c r="U473" s="37"/>
      <c r="V473" s="43"/>
      <c r="W473" s="43"/>
      <c r="X473" s="36"/>
    </row>
    <row r="474" ht="15.75" customHeight="1">
      <c r="A474" s="36"/>
      <c r="B474" s="36"/>
      <c r="C474" s="36"/>
      <c r="D474" s="36"/>
      <c r="E474" s="36"/>
      <c r="F474" s="37"/>
      <c r="G474" s="38"/>
      <c r="H474" s="36"/>
      <c r="I474" s="36"/>
      <c r="J474" s="39"/>
      <c r="K474" s="36"/>
      <c r="L474" s="40"/>
      <c r="M474" s="40"/>
      <c r="N474" s="41"/>
      <c r="O474" s="41"/>
      <c r="P474" s="37"/>
      <c r="Q474" s="38"/>
      <c r="R474" s="36"/>
      <c r="S474" s="42"/>
      <c r="T474" s="42"/>
      <c r="U474" s="37"/>
      <c r="V474" s="43"/>
      <c r="W474" s="43"/>
      <c r="X474" s="36"/>
    </row>
    <row r="475" ht="15.75" customHeight="1">
      <c r="A475" s="36"/>
      <c r="B475" s="36"/>
      <c r="C475" s="36"/>
      <c r="D475" s="36"/>
      <c r="E475" s="36"/>
      <c r="F475" s="37"/>
      <c r="G475" s="38"/>
      <c r="H475" s="36"/>
      <c r="I475" s="36"/>
      <c r="J475" s="39"/>
      <c r="K475" s="36"/>
      <c r="L475" s="40"/>
      <c r="M475" s="40"/>
      <c r="N475" s="41"/>
      <c r="O475" s="41"/>
      <c r="P475" s="37"/>
      <c r="Q475" s="38"/>
      <c r="R475" s="36"/>
      <c r="S475" s="42"/>
      <c r="T475" s="42"/>
      <c r="U475" s="37"/>
      <c r="V475" s="43"/>
      <c r="W475" s="43"/>
      <c r="X475" s="36"/>
    </row>
    <row r="476" ht="15.75" customHeight="1">
      <c r="A476" s="36"/>
      <c r="B476" s="36"/>
      <c r="C476" s="36"/>
      <c r="D476" s="36"/>
      <c r="E476" s="36"/>
      <c r="F476" s="37"/>
      <c r="G476" s="38"/>
      <c r="H476" s="36"/>
      <c r="I476" s="36"/>
      <c r="J476" s="39"/>
      <c r="K476" s="36"/>
      <c r="L476" s="40"/>
      <c r="M476" s="40"/>
      <c r="N476" s="41"/>
      <c r="O476" s="41"/>
      <c r="P476" s="37"/>
      <c r="Q476" s="38"/>
      <c r="R476" s="36"/>
      <c r="S476" s="42"/>
      <c r="T476" s="42"/>
      <c r="U476" s="37"/>
      <c r="V476" s="43"/>
      <c r="W476" s="43"/>
      <c r="X476" s="36"/>
    </row>
    <row r="477" ht="15.75" customHeight="1">
      <c r="A477" s="36"/>
      <c r="B477" s="36"/>
      <c r="C477" s="36"/>
      <c r="D477" s="36"/>
      <c r="E477" s="36"/>
      <c r="F477" s="37"/>
      <c r="G477" s="38"/>
      <c r="H477" s="36"/>
      <c r="I477" s="36"/>
      <c r="J477" s="39"/>
      <c r="K477" s="36"/>
      <c r="L477" s="40"/>
      <c r="M477" s="40"/>
      <c r="N477" s="41"/>
      <c r="O477" s="41"/>
      <c r="P477" s="37"/>
      <c r="Q477" s="38"/>
      <c r="R477" s="36"/>
      <c r="S477" s="42"/>
      <c r="T477" s="42"/>
      <c r="U477" s="37"/>
      <c r="V477" s="43"/>
      <c r="W477" s="43"/>
      <c r="X477" s="36"/>
    </row>
    <row r="478" ht="15.75" customHeight="1">
      <c r="A478" s="36"/>
      <c r="B478" s="36"/>
      <c r="C478" s="36"/>
      <c r="D478" s="36"/>
      <c r="E478" s="36"/>
      <c r="F478" s="37"/>
      <c r="G478" s="38"/>
      <c r="H478" s="36"/>
      <c r="I478" s="36"/>
      <c r="J478" s="39"/>
      <c r="K478" s="36"/>
      <c r="L478" s="40"/>
      <c r="M478" s="40"/>
      <c r="N478" s="41"/>
      <c r="O478" s="41"/>
      <c r="P478" s="37"/>
      <c r="Q478" s="38"/>
      <c r="R478" s="36"/>
      <c r="S478" s="42"/>
      <c r="T478" s="42"/>
      <c r="U478" s="37"/>
      <c r="V478" s="43"/>
      <c r="W478" s="43"/>
      <c r="X478" s="36"/>
    </row>
    <row r="479" ht="15.75" customHeight="1">
      <c r="A479" s="36"/>
      <c r="B479" s="36"/>
      <c r="C479" s="36"/>
      <c r="D479" s="36"/>
      <c r="E479" s="36"/>
      <c r="F479" s="37"/>
      <c r="G479" s="38"/>
      <c r="H479" s="36"/>
      <c r="I479" s="36"/>
      <c r="J479" s="39"/>
      <c r="K479" s="36"/>
      <c r="L479" s="40"/>
      <c r="M479" s="40"/>
      <c r="N479" s="41"/>
      <c r="O479" s="41"/>
      <c r="P479" s="37"/>
      <c r="Q479" s="38"/>
      <c r="R479" s="36"/>
      <c r="S479" s="42"/>
      <c r="T479" s="42"/>
      <c r="U479" s="37"/>
      <c r="V479" s="43"/>
      <c r="W479" s="43"/>
      <c r="X479" s="36"/>
    </row>
    <row r="480" ht="15.75" customHeight="1">
      <c r="A480" s="36"/>
      <c r="B480" s="36"/>
      <c r="C480" s="36"/>
      <c r="D480" s="36"/>
      <c r="E480" s="36"/>
      <c r="F480" s="37"/>
      <c r="G480" s="38"/>
      <c r="H480" s="36"/>
      <c r="I480" s="36"/>
      <c r="J480" s="39"/>
      <c r="K480" s="36"/>
      <c r="L480" s="40"/>
      <c r="M480" s="40"/>
      <c r="N480" s="41"/>
      <c r="O480" s="41"/>
      <c r="P480" s="37"/>
      <c r="Q480" s="38"/>
      <c r="R480" s="36"/>
      <c r="S480" s="42"/>
      <c r="T480" s="42"/>
      <c r="U480" s="37"/>
      <c r="V480" s="43"/>
      <c r="W480" s="43"/>
      <c r="X480" s="36"/>
    </row>
    <row r="481" ht="15.75" customHeight="1">
      <c r="A481" s="36"/>
      <c r="B481" s="36"/>
      <c r="C481" s="36"/>
      <c r="D481" s="36"/>
      <c r="E481" s="36"/>
      <c r="F481" s="37"/>
      <c r="G481" s="38"/>
      <c r="H481" s="36"/>
      <c r="I481" s="36"/>
      <c r="J481" s="39"/>
      <c r="K481" s="36"/>
      <c r="L481" s="40"/>
      <c r="M481" s="40"/>
      <c r="N481" s="41"/>
      <c r="O481" s="41"/>
      <c r="P481" s="37"/>
      <c r="Q481" s="38"/>
      <c r="R481" s="36"/>
      <c r="S481" s="42"/>
      <c r="T481" s="42"/>
      <c r="U481" s="37"/>
      <c r="V481" s="43"/>
      <c r="W481" s="43"/>
      <c r="X481" s="36"/>
    </row>
    <row r="482" ht="15.75" customHeight="1">
      <c r="A482" s="36"/>
      <c r="B482" s="36"/>
      <c r="C482" s="36"/>
      <c r="D482" s="36"/>
      <c r="E482" s="36"/>
      <c r="F482" s="37"/>
      <c r="G482" s="38"/>
      <c r="H482" s="36"/>
      <c r="I482" s="36"/>
      <c r="J482" s="39"/>
      <c r="K482" s="36"/>
      <c r="L482" s="40"/>
      <c r="M482" s="40"/>
      <c r="N482" s="41"/>
      <c r="O482" s="41"/>
      <c r="P482" s="37"/>
      <c r="Q482" s="38"/>
      <c r="R482" s="36"/>
      <c r="S482" s="42"/>
      <c r="T482" s="42"/>
      <c r="U482" s="37"/>
      <c r="V482" s="43"/>
      <c r="W482" s="43"/>
      <c r="X482" s="36"/>
    </row>
    <row r="483" ht="15.75" customHeight="1">
      <c r="A483" s="36"/>
      <c r="B483" s="36"/>
      <c r="C483" s="36"/>
      <c r="D483" s="36"/>
      <c r="E483" s="36"/>
      <c r="F483" s="37"/>
      <c r="G483" s="38"/>
      <c r="H483" s="36"/>
      <c r="I483" s="36"/>
      <c r="J483" s="39"/>
      <c r="K483" s="36"/>
      <c r="L483" s="40"/>
      <c r="M483" s="40"/>
      <c r="N483" s="41"/>
      <c r="O483" s="41"/>
      <c r="P483" s="37"/>
      <c r="Q483" s="38"/>
      <c r="R483" s="36"/>
      <c r="S483" s="42"/>
      <c r="T483" s="42"/>
      <c r="U483" s="37"/>
      <c r="V483" s="43"/>
      <c r="W483" s="43"/>
      <c r="X483" s="36"/>
    </row>
    <row r="484" ht="15.75" customHeight="1">
      <c r="A484" s="36"/>
      <c r="B484" s="36"/>
      <c r="C484" s="36"/>
      <c r="D484" s="36"/>
      <c r="E484" s="36"/>
      <c r="F484" s="37"/>
      <c r="G484" s="38"/>
      <c r="H484" s="36"/>
      <c r="I484" s="36"/>
      <c r="J484" s="39"/>
      <c r="K484" s="36"/>
      <c r="L484" s="40"/>
      <c r="M484" s="40"/>
      <c r="N484" s="41"/>
      <c r="O484" s="41"/>
      <c r="P484" s="37"/>
      <c r="Q484" s="38"/>
      <c r="R484" s="36"/>
      <c r="S484" s="42"/>
      <c r="T484" s="42"/>
      <c r="U484" s="37"/>
      <c r="V484" s="43"/>
      <c r="W484" s="43"/>
      <c r="X484" s="36"/>
    </row>
    <row r="485" ht="15.75" customHeight="1">
      <c r="A485" s="36"/>
      <c r="B485" s="36"/>
      <c r="C485" s="36"/>
      <c r="D485" s="36"/>
      <c r="E485" s="36"/>
      <c r="F485" s="37"/>
      <c r="G485" s="38"/>
      <c r="H485" s="36"/>
      <c r="I485" s="36"/>
      <c r="J485" s="39"/>
      <c r="K485" s="36"/>
      <c r="L485" s="40"/>
      <c r="M485" s="40"/>
      <c r="N485" s="41"/>
      <c r="O485" s="41"/>
      <c r="P485" s="37"/>
      <c r="Q485" s="38"/>
      <c r="R485" s="36"/>
      <c r="S485" s="42"/>
      <c r="T485" s="42"/>
      <c r="U485" s="37"/>
      <c r="V485" s="43"/>
      <c r="W485" s="43"/>
      <c r="X485" s="36"/>
    </row>
    <row r="486" ht="15.75" customHeight="1">
      <c r="A486" s="36"/>
      <c r="B486" s="36"/>
      <c r="C486" s="36"/>
      <c r="D486" s="36"/>
      <c r="E486" s="36"/>
      <c r="F486" s="37"/>
      <c r="G486" s="38"/>
      <c r="H486" s="36"/>
      <c r="I486" s="36"/>
      <c r="J486" s="39"/>
      <c r="K486" s="36"/>
      <c r="L486" s="40"/>
      <c r="M486" s="40"/>
      <c r="N486" s="41"/>
      <c r="O486" s="41"/>
      <c r="P486" s="37"/>
      <c r="Q486" s="38"/>
      <c r="R486" s="36"/>
      <c r="S486" s="42"/>
      <c r="T486" s="42"/>
      <c r="U486" s="37"/>
      <c r="V486" s="43"/>
      <c r="W486" s="43"/>
      <c r="X486" s="36"/>
    </row>
    <row r="487" ht="15.75" customHeight="1">
      <c r="A487" s="36"/>
      <c r="B487" s="36"/>
      <c r="C487" s="36"/>
      <c r="D487" s="36"/>
      <c r="E487" s="36"/>
      <c r="F487" s="37"/>
      <c r="G487" s="38"/>
      <c r="H487" s="36"/>
      <c r="I487" s="36"/>
      <c r="J487" s="39"/>
      <c r="K487" s="36"/>
      <c r="L487" s="40"/>
      <c r="M487" s="40"/>
      <c r="N487" s="41"/>
      <c r="O487" s="41"/>
      <c r="P487" s="37"/>
      <c r="Q487" s="38"/>
      <c r="R487" s="36"/>
      <c r="S487" s="42"/>
      <c r="T487" s="42"/>
      <c r="U487" s="37"/>
      <c r="V487" s="43"/>
      <c r="W487" s="43"/>
      <c r="X487" s="36"/>
    </row>
    <row r="488" ht="15.75" customHeight="1">
      <c r="A488" s="36"/>
      <c r="B488" s="36"/>
      <c r="C488" s="36"/>
      <c r="D488" s="36"/>
      <c r="E488" s="36"/>
      <c r="F488" s="37"/>
      <c r="G488" s="38"/>
      <c r="H488" s="36"/>
      <c r="I488" s="36"/>
      <c r="J488" s="39"/>
      <c r="K488" s="36"/>
      <c r="L488" s="40"/>
      <c r="M488" s="40"/>
      <c r="N488" s="41"/>
      <c r="O488" s="41"/>
      <c r="P488" s="37"/>
      <c r="Q488" s="38"/>
      <c r="R488" s="36"/>
      <c r="S488" s="42"/>
      <c r="T488" s="42"/>
      <c r="U488" s="37"/>
      <c r="V488" s="43"/>
      <c r="W488" s="43"/>
      <c r="X488" s="36"/>
    </row>
    <row r="489" ht="15.75" customHeight="1">
      <c r="A489" s="36"/>
      <c r="B489" s="36"/>
      <c r="C489" s="36"/>
      <c r="D489" s="36"/>
      <c r="E489" s="36"/>
      <c r="F489" s="37"/>
      <c r="G489" s="38"/>
      <c r="H489" s="36"/>
      <c r="I489" s="36"/>
      <c r="J489" s="39"/>
      <c r="K489" s="36"/>
      <c r="L489" s="40"/>
      <c r="M489" s="40"/>
      <c r="N489" s="41"/>
      <c r="O489" s="41"/>
      <c r="P489" s="37"/>
      <c r="Q489" s="38"/>
      <c r="R489" s="36"/>
      <c r="S489" s="42"/>
      <c r="T489" s="42"/>
      <c r="U489" s="37"/>
      <c r="V489" s="43"/>
      <c r="W489" s="43"/>
      <c r="X489" s="36"/>
    </row>
    <row r="490" ht="15.75" customHeight="1">
      <c r="A490" s="36"/>
      <c r="B490" s="36"/>
      <c r="C490" s="36"/>
      <c r="D490" s="36"/>
      <c r="E490" s="36"/>
      <c r="F490" s="37"/>
      <c r="G490" s="38"/>
      <c r="H490" s="36"/>
      <c r="I490" s="36"/>
      <c r="J490" s="39"/>
      <c r="K490" s="36"/>
      <c r="L490" s="40"/>
      <c r="M490" s="40"/>
      <c r="N490" s="41"/>
      <c r="O490" s="41"/>
      <c r="P490" s="37"/>
      <c r="Q490" s="38"/>
      <c r="R490" s="36"/>
      <c r="S490" s="42"/>
      <c r="T490" s="42"/>
      <c r="U490" s="37"/>
      <c r="V490" s="43"/>
      <c r="W490" s="43"/>
      <c r="X490" s="36"/>
    </row>
    <row r="491" ht="15.75" customHeight="1">
      <c r="A491" s="36"/>
      <c r="B491" s="36"/>
      <c r="C491" s="36"/>
      <c r="D491" s="36"/>
      <c r="E491" s="36"/>
      <c r="F491" s="37"/>
      <c r="G491" s="38"/>
      <c r="H491" s="36"/>
      <c r="I491" s="36"/>
      <c r="J491" s="39"/>
      <c r="K491" s="36"/>
      <c r="L491" s="40"/>
      <c r="M491" s="40"/>
      <c r="N491" s="41"/>
      <c r="O491" s="41"/>
      <c r="P491" s="37"/>
      <c r="Q491" s="38"/>
      <c r="R491" s="36"/>
      <c r="S491" s="42"/>
      <c r="T491" s="42"/>
      <c r="U491" s="37"/>
      <c r="V491" s="43"/>
      <c r="W491" s="43"/>
      <c r="X491" s="36"/>
    </row>
    <row r="492" ht="15.75" customHeight="1">
      <c r="A492" s="36"/>
      <c r="B492" s="36"/>
      <c r="C492" s="36"/>
      <c r="D492" s="36"/>
      <c r="E492" s="36"/>
      <c r="F492" s="37"/>
      <c r="G492" s="38"/>
      <c r="H492" s="36"/>
      <c r="I492" s="36"/>
      <c r="J492" s="39"/>
      <c r="K492" s="36"/>
      <c r="L492" s="40"/>
      <c r="M492" s="40"/>
      <c r="N492" s="41"/>
      <c r="O492" s="41"/>
      <c r="P492" s="37"/>
      <c r="Q492" s="38"/>
      <c r="R492" s="36"/>
      <c r="S492" s="42"/>
      <c r="T492" s="42"/>
      <c r="U492" s="37"/>
      <c r="V492" s="43"/>
      <c r="W492" s="43"/>
      <c r="X492" s="36"/>
    </row>
    <row r="493" ht="15.75" customHeight="1">
      <c r="A493" s="36"/>
      <c r="B493" s="36"/>
      <c r="C493" s="36"/>
      <c r="D493" s="36"/>
      <c r="E493" s="36"/>
      <c r="F493" s="37"/>
      <c r="G493" s="38"/>
      <c r="H493" s="36"/>
      <c r="I493" s="36"/>
      <c r="J493" s="39"/>
      <c r="K493" s="36"/>
      <c r="L493" s="40"/>
      <c r="M493" s="40"/>
      <c r="N493" s="41"/>
      <c r="O493" s="41"/>
      <c r="P493" s="37"/>
      <c r="Q493" s="38"/>
      <c r="R493" s="36"/>
      <c r="S493" s="42"/>
      <c r="T493" s="42"/>
      <c r="U493" s="37"/>
      <c r="V493" s="43"/>
      <c r="W493" s="43"/>
      <c r="X493" s="36"/>
    </row>
    <row r="494" ht="15.75" customHeight="1">
      <c r="A494" s="36"/>
      <c r="B494" s="36"/>
      <c r="C494" s="36"/>
      <c r="D494" s="36"/>
      <c r="E494" s="36"/>
      <c r="F494" s="37"/>
      <c r="G494" s="38"/>
      <c r="H494" s="36"/>
      <c r="I494" s="36"/>
      <c r="J494" s="39"/>
      <c r="K494" s="36"/>
      <c r="L494" s="40"/>
      <c r="M494" s="40"/>
      <c r="N494" s="41"/>
      <c r="O494" s="41"/>
      <c r="P494" s="37"/>
      <c r="Q494" s="38"/>
      <c r="R494" s="36"/>
      <c r="S494" s="42"/>
      <c r="T494" s="42"/>
      <c r="U494" s="37"/>
      <c r="V494" s="43"/>
      <c r="W494" s="43"/>
      <c r="X494" s="36"/>
    </row>
    <row r="495" ht="15.75" customHeight="1">
      <c r="A495" s="36"/>
      <c r="B495" s="36"/>
      <c r="C495" s="36"/>
      <c r="D495" s="36"/>
      <c r="E495" s="36"/>
      <c r="F495" s="37"/>
      <c r="G495" s="38"/>
      <c r="H495" s="36"/>
      <c r="I495" s="36"/>
      <c r="J495" s="39"/>
      <c r="K495" s="36"/>
      <c r="L495" s="40"/>
      <c r="M495" s="40"/>
      <c r="N495" s="41"/>
      <c r="O495" s="41"/>
      <c r="P495" s="37"/>
      <c r="Q495" s="38"/>
      <c r="R495" s="36"/>
      <c r="S495" s="42"/>
      <c r="T495" s="42"/>
      <c r="U495" s="37"/>
      <c r="V495" s="43"/>
      <c r="W495" s="43"/>
      <c r="X495" s="36"/>
    </row>
    <row r="496" ht="15.75" customHeight="1">
      <c r="A496" s="36"/>
      <c r="B496" s="36"/>
      <c r="C496" s="36"/>
      <c r="D496" s="36"/>
      <c r="E496" s="36"/>
      <c r="F496" s="37"/>
      <c r="G496" s="38"/>
      <c r="H496" s="36"/>
      <c r="I496" s="36"/>
      <c r="J496" s="39"/>
      <c r="K496" s="36"/>
      <c r="L496" s="40"/>
      <c r="M496" s="40"/>
      <c r="N496" s="41"/>
      <c r="O496" s="41"/>
      <c r="P496" s="37"/>
      <c r="Q496" s="38"/>
      <c r="R496" s="36"/>
      <c r="S496" s="42"/>
      <c r="T496" s="42"/>
      <c r="U496" s="37"/>
      <c r="V496" s="43"/>
      <c r="W496" s="43"/>
      <c r="X496" s="36"/>
    </row>
    <row r="497" ht="15.75" customHeight="1">
      <c r="A497" s="36"/>
      <c r="B497" s="36"/>
      <c r="C497" s="36"/>
      <c r="D497" s="36"/>
      <c r="E497" s="36"/>
      <c r="F497" s="37"/>
      <c r="G497" s="38"/>
      <c r="H497" s="36"/>
      <c r="I497" s="36"/>
      <c r="J497" s="39"/>
      <c r="K497" s="36"/>
      <c r="L497" s="40"/>
      <c r="M497" s="40"/>
      <c r="N497" s="41"/>
      <c r="O497" s="41"/>
      <c r="P497" s="37"/>
      <c r="Q497" s="38"/>
      <c r="R497" s="36"/>
      <c r="S497" s="42"/>
      <c r="T497" s="42"/>
      <c r="U497" s="37"/>
      <c r="V497" s="43"/>
      <c r="W497" s="43"/>
      <c r="X497" s="36"/>
    </row>
    <row r="498" ht="15.75" customHeight="1">
      <c r="A498" s="36"/>
      <c r="B498" s="36"/>
      <c r="C498" s="36"/>
      <c r="D498" s="36"/>
      <c r="E498" s="36"/>
      <c r="F498" s="37"/>
      <c r="G498" s="38"/>
      <c r="H498" s="36"/>
      <c r="I498" s="36"/>
      <c r="J498" s="39"/>
      <c r="K498" s="36"/>
      <c r="L498" s="40"/>
      <c r="M498" s="40"/>
      <c r="N498" s="41"/>
      <c r="O498" s="41"/>
      <c r="P498" s="37"/>
      <c r="Q498" s="38"/>
      <c r="R498" s="36"/>
      <c r="S498" s="42"/>
      <c r="T498" s="42"/>
      <c r="U498" s="37"/>
      <c r="V498" s="43"/>
      <c r="W498" s="43"/>
      <c r="X498" s="36"/>
    </row>
    <row r="499" ht="15.75" customHeight="1">
      <c r="A499" s="36"/>
      <c r="B499" s="36"/>
      <c r="C499" s="36"/>
      <c r="D499" s="36"/>
      <c r="E499" s="36"/>
      <c r="F499" s="37"/>
      <c r="G499" s="38"/>
      <c r="H499" s="36"/>
      <c r="I499" s="36"/>
      <c r="J499" s="39"/>
      <c r="K499" s="36"/>
      <c r="L499" s="40"/>
      <c r="M499" s="40"/>
      <c r="N499" s="41"/>
      <c r="O499" s="41"/>
      <c r="P499" s="37"/>
      <c r="Q499" s="38"/>
      <c r="R499" s="36"/>
      <c r="S499" s="42"/>
      <c r="T499" s="42"/>
      <c r="U499" s="37"/>
      <c r="V499" s="43"/>
      <c r="W499" s="43"/>
      <c r="X499" s="36"/>
    </row>
    <row r="500" ht="15.75" customHeight="1">
      <c r="A500" s="36"/>
      <c r="B500" s="36"/>
      <c r="C500" s="36"/>
      <c r="D500" s="36"/>
      <c r="E500" s="36"/>
      <c r="F500" s="37"/>
      <c r="G500" s="38"/>
      <c r="H500" s="36"/>
      <c r="I500" s="36"/>
      <c r="J500" s="39"/>
      <c r="K500" s="36"/>
      <c r="L500" s="40"/>
      <c r="M500" s="40"/>
      <c r="N500" s="41"/>
      <c r="O500" s="41"/>
      <c r="P500" s="37"/>
      <c r="Q500" s="38"/>
      <c r="R500" s="36"/>
      <c r="S500" s="42"/>
      <c r="T500" s="42"/>
      <c r="U500" s="37"/>
      <c r="V500" s="43"/>
      <c r="W500" s="43"/>
      <c r="X500" s="36"/>
    </row>
    <row r="501" ht="15.75" customHeight="1">
      <c r="A501" s="36"/>
      <c r="B501" s="36"/>
      <c r="C501" s="36"/>
      <c r="D501" s="36"/>
      <c r="E501" s="36"/>
      <c r="F501" s="37"/>
      <c r="G501" s="38"/>
      <c r="H501" s="36"/>
      <c r="I501" s="36"/>
      <c r="J501" s="39"/>
      <c r="K501" s="36"/>
      <c r="L501" s="40"/>
      <c r="M501" s="40"/>
      <c r="N501" s="41"/>
      <c r="O501" s="41"/>
      <c r="P501" s="37"/>
      <c r="Q501" s="38"/>
      <c r="R501" s="36"/>
      <c r="S501" s="42"/>
      <c r="T501" s="42"/>
      <c r="U501" s="37"/>
      <c r="V501" s="43"/>
      <c r="W501" s="43"/>
      <c r="X501" s="36"/>
    </row>
    <row r="502" ht="15.75" customHeight="1">
      <c r="A502" s="36"/>
      <c r="B502" s="36"/>
      <c r="C502" s="36"/>
      <c r="D502" s="36"/>
      <c r="E502" s="36"/>
      <c r="F502" s="37"/>
      <c r="G502" s="38"/>
      <c r="H502" s="36"/>
      <c r="I502" s="36"/>
      <c r="J502" s="39"/>
      <c r="K502" s="36"/>
      <c r="L502" s="40"/>
      <c r="M502" s="40"/>
      <c r="N502" s="41"/>
      <c r="O502" s="41"/>
      <c r="P502" s="37"/>
      <c r="Q502" s="38"/>
      <c r="R502" s="36"/>
      <c r="S502" s="42"/>
      <c r="T502" s="42"/>
      <c r="U502" s="37"/>
      <c r="V502" s="43"/>
      <c r="W502" s="43"/>
      <c r="X502" s="36"/>
    </row>
    <row r="503" ht="15.75" customHeight="1">
      <c r="A503" s="36"/>
      <c r="B503" s="36"/>
      <c r="C503" s="36"/>
      <c r="D503" s="36"/>
      <c r="E503" s="36"/>
      <c r="F503" s="37"/>
      <c r="G503" s="38"/>
      <c r="H503" s="36"/>
      <c r="I503" s="36"/>
      <c r="J503" s="39"/>
      <c r="K503" s="36"/>
      <c r="L503" s="40"/>
      <c r="M503" s="40"/>
      <c r="N503" s="41"/>
      <c r="O503" s="41"/>
      <c r="P503" s="37"/>
      <c r="Q503" s="38"/>
      <c r="R503" s="36"/>
      <c r="S503" s="42"/>
      <c r="T503" s="42"/>
      <c r="U503" s="37"/>
      <c r="V503" s="43"/>
      <c r="W503" s="43"/>
      <c r="X503" s="36"/>
    </row>
    <row r="504" ht="15.75" customHeight="1">
      <c r="A504" s="36"/>
      <c r="B504" s="36"/>
      <c r="C504" s="36"/>
      <c r="D504" s="36"/>
      <c r="E504" s="36"/>
      <c r="F504" s="37"/>
      <c r="G504" s="38"/>
      <c r="H504" s="36"/>
      <c r="I504" s="36"/>
      <c r="J504" s="39"/>
      <c r="K504" s="36"/>
      <c r="L504" s="40"/>
      <c r="M504" s="40"/>
      <c r="N504" s="41"/>
      <c r="O504" s="41"/>
      <c r="P504" s="37"/>
      <c r="Q504" s="38"/>
      <c r="R504" s="36"/>
      <c r="S504" s="42"/>
      <c r="T504" s="42"/>
      <c r="U504" s="37"/>
      <c r="V504" s="43"/>
      <c r="W504" s="43"/>
      <c r="X504" s="36"/>
    </row>
    <row r="505" ht="15.75" customHeight="1">
      <c r="A505" s="36"/>
      <c r="B505" s="36"/>
      <c r="C505" s="36"/>
      <c r="D505" s="36"/>
      <c r="E505" s="36"/>
      <c r="F505" s="37"/>
      <c r="G505" s="38"/>
      <c r="H505" s="36"/>
      <c r="I505" s="36"/>
      <c r="J505" s="39"/>
      <c r="K505" s="36"/>
      <c r="L505" s="40"/>
      <c r="M505" s="40"/>
      <c r="N505" s="41"/>
      <c r="O505" s="41"/>
      <c r="P505" s="37"/>
      <c r="Q505" s="38"/>
      <c r="R505" s="36"/>
      <c r="S505" s="42"/>
      <c r="T505" s="42"/>
      <c r="U505" s="37"/>
      <c r="V505" s="43"/>
      <c r="W505" s="43"/>
      <c r="X505" s="36"/>
    </row>
    <row r="506" ht="15.75" customHeight="1">
      <c r="A506" s="36"/>
      <c r="B506" s="36"/>
      <c r="C506" s="36"/>
      <c r="D506" s="36"/>
      <c r="E506" s="36"/>
      <c r="F506" s="37"/>
      <c r="G506" s="38"/>
      <c r="H506" s="36"/>
      <c r="I506" s="36"/>
      <c r="J506" s="39"/>
      <c r="K506" s="36"/>
      <c r="L506" s="40"/>
      <c r="M506" s="40"/>
      <c r="N506" s="41"/>
      <c r="O506" s="41"/>
      <c r="P506" s="37"/>
      <c r="Q506" s="38"/>
      <c r="R506" s="36"/>
      <c r="S506" s="42"/>
      <c r="T506" s="42"/>
      <c r="U506" s="37"/>
      <c r="V506" s="43"/>
      <c r="W506" s="43"/>
      <c r="X506" s="36"/>
    </row>
    <row r="507" ht="15.75" customHeight="1">
      <c r="A507" s="36"/>
      <c r="B507" s="36"/>
      <c r="C507" s="36"/>
      <c r="D507" s="36"/>
      <c r="E507" s="36"/>
      <c r="F507" s="37"/>
      <c r="G507" s="38"/>
      <c r="H507" s="36"/>
      <c r="I507" s="36"/>
      <c r="J507" s="39"/>
      <c r="K507" s="36"/>
      <c r="L507" s="40"/>
      <c r="M507" s="40"/>
      <c r="N507" s="41"/>
      <c r="O507" s="41"/>
      <c r="P507" s="37"/>
      <c r="Q507" s="38"/>
      <c r="R507" s="36"/>
      <c r="S507" s="42"/>
      <c r="T507" s="42"/>
      <c r="U507" s="37"/>
      <c r="V507" s="43"/>
      <c r="W507" s="43"/>
      <c r="X507" s="36"/>
    </row>
    <row r="508" ht="15.75" customHeight="1">
      <c r="A508" s="36"/>
      <c r="B508" s="36"/>
      <c r="C508" s="36"/>
      <c r="D508" s="36"/>
      <c r="E508" s="36"/>
      <c r="F508" s="37"/>
      <c r="G508" s="38"/>
      <c r="H508" s="36"/>
      <c r="I508" s="36"/>
      <c r="J508" s="39"/>
      <c r="K508" s="36"/>
      <c r="L508" s="40"/>
      <c r="M508" s="40"/>
      <c r="N508" s="41"/>
      <c r="O508" s="41"/>
      <c r="P508" s="37"/>
      <c r="Q508" s="38"/>
      <c r="R508" s="36"/>
      <c r="S508" s="42"/>
      <c r="T508" s="42"/>
      <c r="U508" s="37"/>
      <c r="V508" s="43"/>
      <c r="W508" s="43"/>
      <c r="X508" s="36"/>
    </row>
    <row r="509" ht="15.75" customHeight="1">
      <c r="A509" s="36"/>
      <c r="B509" s="36"/>
      <c r="C509" s="36"/>
      <c r="D509" s="36"/>
      <c r="E509" s="36"/>
      <c r="F509" s="37"/>
      <c r="G509" s="38"/>
      <c r="H509" s="36"/>
      <c r="I509" s="36"/>
      <c r="J509" s="39"/>
      <c r="K509" s="36"/>
      <c r="L509" s="40"/>
      <c r="M509" s="40"/>
      <c r="N509" s="41"/>
      <c r="O509" s="41"/>
      <c r="P509" s="37"/>
      <c r="Q509" s="38"/>
      <c r="R509" s="36"/>
      <c r="S509" s="42"/>
      <c r="T509" s="42"/>
      <c r="U509" s="37"/>
      <c r="V509" s="43"/>
      <c r="W509" s="43"/>
      <c r="X509" s="36"/>
    </row>
    <row r="510" ht="15.75" customHeight="1">
      <c r="A510" s="36"/>
      <c r="B510" s="36"/>
      <c r="C510" s="36"/>
      <c r="D510" s="36"/>
      <c r="E510" s="36"/>
      <c r="F510" s="37"/>
      <c r="G510" s="38"/>
      <c r="H510" s="36"/>
      <c r="I510" s="36"/>
      <c r="J510" s="39"/>
      <c r="K510" s="36"/>
      <c r="L510" s="40"/>
      <c r="M510" s="40"/>
      <c r="N510" s="41"/>
      <c r="O510" s="41"/>
      <c r="P510" s="37"/>
      <c r="Q510" s="38"/>
      <c r="R510" s="36"/>
      <c r="S510" s="42"/>
      <c r="T510" s="42"/>
      <c r="U510" s="37"/>
      <c r="V510" s="43"/>
      <c r="W510" s="43"/>
      <c r="X510" s="36"/>
    </row>
    <row r="511" ht="15.75" customHeight="1">
      <c r="A511" s="36"/>
      <c r="B511" s="36"/>
      <c r="C511" s="36"/>
      <c r="D511" s="36"/>
      <c r="E511" s="36"/>
      <c r="F511" s="37"/>
      <c r="G511" s="38"/>
      <c r="H511" s="36"/>
      <c r="I511" s="36"/>
      <c r="J511" s="39"/>
      <c r="K511" s="36"/>
      <c r="L511" s="40"/>
      <c r="M511" s="40"/>
      <c r="N511" s="41"/>
      <c r="O511" s="41"/>
      <c r="P511" s="37"/>
      <c r="Q511" s="38"/>
      <c r="R511" s="36"/>
      <c r="S511" s="42"/>
      <c r="T511" s="42"/>
      <c r="U511" s="37"/>
      <c r="V511" s="43"/>
      <c r="W511" s="43"/>
      <c r="X511" s="36"/>
    </row>
    <row r="512" ht="15.75" customHeight="1">
      <c r="A512" s="36"/>
      <c r="B512" s="36"/>
      <c r="C512" s="36"/>
      <c r="D512" s="36"/>
      <c r="E512" s="36"/>
      <c r="F512" s="37"/>
      <c r="G512" s="38"/>
      <c r="H512" s="36"/>
      <c r="I512" s="36"/>
      <c r="J512" s="39"/>
      <c r="K512" s="36"/>
      <c r="L512" s="40"/>
      <c r="M512" s="40"/>
      <c r="N512" s="41"/>
      <c r="O512" s="41"/>
      <c r="P512" s="37"/>
      <c r="Q512" s="38"/>
      <c r="R512" s="36"/>
      <c r="S512" s="42"/>
      <c r="T512" s="42"/>
      <c r="U512" s="37"/>
      <c r="V512" s="43"/>
      <c r="W512" s="43"/>
      <c r="X512" s="36"/>
    </row>
    <row r="513" ht="15.75" customHeight="1">
      <c r="A513" s="36"/>
      <c r="B513" s="36"/>
      <c r="C513" s="36"/>
      <c r="D513" s="36"/>
      <c r="E513" s="36"/>
      <c r="F513" s="37"/>
      <c r="G513" s="38"/>
      <c r="H513" s="36"/>
      <c r="I513" s="36"/>
      <c r="J513" s="39"/>
      <c r="K513" s="36"/>
      <c r="L513" s="40"/>
      <c r="M513" s="40"/>
      <c r="N513" s="41"/>
      <c r="O513" s="41"/>
      <c r="P513" s="37"/>
      <c r="Q513" s="38"/>
      <c r="R513" s="36"/>
      <c r="S513" s="42"/>
      <c r="T513" s="42"/>
      <c r="U513" s="37"/>
      <c r="V513" s="43"/>
      <c r="W513" s="43"/>
      <c r="X513" s="36"/>
    </row>
    <row r="514" ht="15.75" customHeight="1">
      <c r="A514" s="36"/>
      <c r="B514" s="36"/>
      <c r="C514" s="36"/>
      <c r="D514" s="36"/>
      <c r="E514" s="36"/>
      <c r="F514" s="37"/>
      <c r="G514" s="38"/>
      <c r="H514" s="36"/>
      <c r="I514" s="36"/>
      <c r="J514" s="39"/>
      <c r="K514" s="36"/>
      <c r="L514" s="40"/>
      <c r="M514" s="40"/>
      <c r="N514" s="41"/>
      <c r="O514" s="41"/>
      <c r="P514" s="37"/>
      <c r="Q514" s="38"/>
      <c r="R514" s="36"/>
      <c r="S514" s="42"/>
      <c r="T514" s="42"/>
      <c r="U514" s="37"/>
      <c r="V514" s="43"/>
      <c r="W514" s="43"/>
      <c r="X514" s="36"/>
    </row>
    <row r="515" ht="15.75" customHeight="1">
      <c r="A515" s="36"/>
      <c r="B515" s="36"/>
      <c r="C515" s="36"/>
      <c r="D515" s="36"/>
      <c r="E515" s="36"/>
      <c r="F515" s="37"/>
      <c r="G515" s="38"/>
      <c r="H515" s="36"/>
      <c r="I515" s="36"/>
      <c r="J515" s="39"/>
      <c r="K515" s="36"/>
      <c r="L515" s="40"/>
      <c r="M515" s="40"/>
      <c r="N515" s="41"/>
      <c r="O515" s="41"/>
      <c r="P515" s="37"/>
      <c r="Q515" s="38"/>
      <c r="R515" s="36"/>
      <c r="S515" s="42"/>
      <c r="T515" s="42"/>
      <c r="U515" s="37"/>
      <c r="V515" s="43"/>
      <c r="W515" s="43"/>
      <c r="X515" s="36"/>
    </row>
    <row r="516" ht="15.75" customHeight="1">
      <c r="A516" s="36"/>
      <c r="B516" s="36"/>
      <c r="C516" s="36"/>
      <c r="D516" s="36"/>
      <c r="E516" s="36"/>
      <c r="F516" s="37"/>
      <c r="G516" s="38"/>
      <c r="H516" s="36"/>
      <c r="I516" s="36"/>
      <c r="J516" s="39"/>
      <c r="K516" s="36"/>
      <c r="L516" s="40"/>
      <c r="M516" s="40"/>
      <c r="N516" s="41"/>
      <c r="O516" s="41"/>
      <c r="P516" s="37"/>
      <c r="Q516" s="38"/>
      <c r="R516" s="36"/>
      <c r="S516" s="42"/>
      <c r="T516" s="42"/>
      <c r="U516" s="37"/>
      <c r="V516" s="43"/>
      <c r="W516" s="43"/>
      <c r="X516" s="36"/>
    </row>
    <row r="517" ht="15.75" customHeight="1">
      <c r="A517" s="36"/>
      <c r="B517" s="36"/>
      <c r="C517" s="36"/>
      <c r="D517" s="36"/>
      <c r="E517" s="36"/>
      <c r="F517" s="37"/>
      <c r="G517" s="38"/>
      <c r="H517" s="36"/>
      <c r="I517" s="36"/>
      <c r="J517" s="39"/>
      <c r="K517" s="36"/>
      <c r="L517" s="40"/>
      <c r="M517" s="40"/>
      <c r="N517" s="41"/>
      <c r="O517" s="41"/>
      <c r="P517" s="37"/>
      <c r="Q517" s="38"/>
      <c r="R517" s="36"/>
      <c r="S517" s="42"/>
      <c r="T517" s="42"/>
      <c r="U517" s="37"/>
      <c r="V517" s="43"/>
      <c r="W517" s="43"/>
      <c r="X517" s="36"/>
    </row>
    <row r="518" ht="15.75" customHeight="1">
      <c r="A518" s="36"/>
      <c r="B518" s="36"/>
      <c r="C518" s="36"/>
      <c r="D518" s="36"/>
      <c r="E518" s="36"/>
      <c r="F518" s="37"/>
      <c r="G518" s="38"/>
      <c r="H518" s="36"/>
      <c r="I518" s="36"/>
      <c r="J518" s="39"/>
      <c r="K518" s="36"/>
      <c r="L518" s="40"/>
      <c r="M518" s="40"/>
      <c r="N518" s="41"/>
      <c r="O518" s="41"/>
      <c r="P518" s="37"/>
      <c r="Q518" s="38"/>
      <c r="R518" s="36"/>
      <c r="S518" s="42"/>
      <c r="T518" s="42"/>
      <c r="U518" s="37"/>
      <c r="V518" s="43"/>
      <c r="W518" s="43"/>
      <c r="X518" s="36"/>
    </row>
    <row r="519" ht="15.75" customHeight="1">
      <c r="A519" s="36"/>
      <c r="B519" s="36"/>
      <c r="C519" s="36"/>
      <c r="D519" s="36"/>
      <c r="E519" s="36"/>
      <c r="F519" s="37"/>
      <c r="G519" s="38"/>
      <c r="H519" s="36"/>
      <c r="I519" s="36"/>
      <c r="J519" s="39"/>
      <c r="K519" s="36"/>
      <c r="L519" s="40"/>
      <c r="M519" s="40"/>
      <c r="N519" s="41"/>
      <c r="O519" s="41"/>
      <c r="P519" s="37"/>
      <c r="Q519" s="38"/>
      <c r="R519" s="36"/>
      <c r="S519" s="42"/>
      <c r="T519" s="42"/>
      <c r="U519" s="37"/>
      <c r="V519" s="43"/>
      <c r="W519" s="43"/>
      <c r="X519" s="36"/>
    </row>
    <row r="520" ht="15.75" customHeight="1">
      <c r="A520" s="36"/>
      <c r="B520" s="36"/>
      <c r="C520" s="36"/>
      <c r="D520" s="36"/>
      <c r="E520" s="36"/>
      <c r="F520" s="37"/>
      <c r="G520" s="38"/>
      <c r="H520" s="36"/>
      <c r="I520" s="36"/>
      <c r="J520" s="39"/>
      <c r="K520" s="36"/>
      <c r="L520" s="40"/>
      <c r="M520" s="40"/>
      <c r="N520" s="41"/>
      <c r="O520" s="41"/>
      <c r="P520" s="37"/>
      <c r="Q520" s="38"/>
      <c r="R520" s="36"/>
      <c r="S520" s="42"/>
      <c r="T520" s="42"/>
      <c r="U520" s="37"/>
      <c r="V520" s="43"/>
      <c r="W520" s="43"/>
      <c r="X520" s="36"/>
    </row>
    <row r="521" ht="15.75" customHeight="1">
      <c r="A521" s="36"/>
      <c r="B521" s="36"/>
      <c r="C521" s="36"/>
      <c r="D521" s="36"/>
      <c r="E521" s="36"/>
      <c r="F521" s="37"/>
      <c r="G521" s="38"/>
      <c r="H521" s="36"/>
      <c r="I521" s="36"/>
      <c r="J521" s="39"/>
      <c r="K521" s="36"/>
      <c r="L521" s="40"/>
      <c r="M521" s="40"/>
      <c r="N521" s="41"/>
      <c r="O521" s="41"/>
      <c r="P521" s="37"/>
      <c r="Q521" s="38"/>
      <c r="R521" s="36"/>
      <c r="S521" s="42"/>
      <c r="T521" s="42"/>
      <c r="U521" s="37"/>
      <c r="V521" s="43"/>
      <c r="W521" s="43"/>
      <c r="X521" s="36"/>
    </row>
    <row r="522" ht="15.75" customHeight="1">
      <c r="A522" s="36"/>
      <c r="B522" s="36"/>
      <c r="C522" s="36"/>
      <c r="D522" s="36"/>
      <c r="E522" s="36"/>
      <c r="F522" s="37"/>
      <c r="G522" s="38"/>
      <c r="H522" s="36"/>
      <c r="I522" s="36"/>
      <c r="J522" s="39"/>
      <c r="K522" s="36"/>
      <c r="L522" s="40"/>
      <c r="M522" s="40"/>
      <c r="N522" s="41"/>
      <c r="O522" s="41"/>
      <c r="P522" s="37"/>
      <c r="Q522" s="38"/>
      <c r="R522" s="36"/>
      <c r="S522" s="42"/>
      <c r="T522" s="42"/>
      <c r="U522" s="37"/>
      <c r="V522" s="43"/>
      <c r="W522" s="43"/>
      <c r="X522" s="36"/>
    </row>
    <row r="523" ht="15.75" customHeight="1">
      <c r="A523" s="36"/>
      <c r="B523" s="36"/>
      <c r="C523" s="36"/>
      <c r="D523" s="36"/>
      <c r="E523" s="36"/>
      <c r="F523" s="37"/>
      <c r="G523" s="38"/>
      <c r="H523" s="36"/>
      <c r="I523" s="36"/>
      <c r="J523" s="39"/>
      <c r="K523" s="36"/>
      <c r="L523" s="40"/>
      <c r="M523" s="40"/>
      <c r="N523" s="41"/>
      <c r="O523" s="41"/>
      <c r="P523" s="37"/>
      <c r="Q523" s="38"/>
      <c r="R523" s="36"/>
      <c r="S523" s="42"/>
      <c r="T523" s="42"/>
      <c r="U523" s="37"/>
      <c r="V523" s="43"/>
      <c r="W523" s="43"/>
      <c r="X523" s="36"/>
    </row>
    <row r="524" ht="15.75" customHeight="1">
      <c r="A524" s="36"/>
      <c r="B524" s="36"/>
      <c r="C524" s="36"/>
      <c r="D524" s="36"/>
      <c r="E524" s="36"/>
      <c r="F524" s="37"/>
      <c r="G524" s="38"/>
      <c r="H524" s="36"/>
      <c r="I524" s="36"/>
      <c r="J524" s="39"/>
      <c r="K524" s="36"/>
      <c r="L524" s="40"/>
      <c r="M524" s="40"/>
      <c r="N524" s="41"/>
      <c r="O524" s="41"/>
      <c r="P524" s="37"/>
      <c r="Q524" s="38"/>
      <c r="R524" s="36"/>
      <c r="S524" s="42"/>
      <c r="T524" s="42"/>
      <c r="U524" s="37"/>
      <c r="V524" s="43"/>
      <c r="W524" s="43"/>
      <c r="X524" s="36"/>
    </row>
    <row r="525" ht="15.75" customHeight="1">
      <c r="A525" s="36"/>
      <c r="B525" s="36"/>
      <c r="C525" s="36"/>
      <c r="D525" s="36"/>
      <c r="E525" s="36"/>
      <c r="F525" s="37"/>
      <c r="G525" s="38"/>
      <c r="H525" s="36"/>
      <c r="I525" s="36"/>
      <c r="J525" s="39"/>
      <c r="K525" s="36"/>
      <c r="L525" s="40"/>
      <c r="M525" s="40"/>
      <c r="N525" s="41"/>
      <c r="O525" s="41"/>
      <c r="P525" s="37"/>
      <c r="Q525" s="38"/>
      <c r="R525" s="36"/>
      <c r="S525" s="42"/>
      <c r="T525" s="42"/>
      <c r="U525" s="37"/>
      <c r="V525" s="43"/>
      <c r="W525" s="43"/>
      <c r="X525" s="36"/>
    </row>
    <row r="526" ht="15.75" customHeight="1">
      <c r="A526" s="36"/>
      <c r="B526" s="36"/>
      <c r="C526" s="36"/>
      <c r="D526" s="36"/>
      <c r="E526" s="36"/>
      <c r="F526" s="37"/>
      <c r="G526" s="38"/>
      <c r="H526" s="36"/>
      <c r="I526" s="36"/>
      <c r="J526" s="39"/>
      <c r="K526" s="36"/>
      <c r="L526" s="40"/>
      <c r="M526" s="40"/>
      <c r="N526" s="41"/>
      <c r="O526" s="41"/>
      <c r="P526" s="37"/>
      <c r="Q526" s="38"/>
      <c r="R526" s="36"/>
      <c r="S526" s="42"/>
      <c r="T526" s="42"/>
      <c r="U526" s="37"/>
      <c r="V526" s="43"/>
      <c r="W526" s="43"/>
      <c r="X526" s="36"/>
    </row>
    <row r="527" ht="15.75" customHeight="1">
      <c r="A527" s="36"/>
      <c r="B527" s="36"/>
      <c r="C527" s="36"/>
      <c r="D527" s="36"/>
      <c r="E527" s="36"/>
      <c r="F527" s="37"/>
      <c r="G527" s="38"/>
      <c r="H527" s="36"/>
      <c r="I527" s="36"/>
      <c r="J527" s="39"/>
      <c r="K527" s="36"/>
      <c r="L527" s="40"/>
      <c r="M527" s="40"/>
      <c r="N527" s="41"/>
      <c r="O527" s="41"/>
      <c r="P527" s="37"/>
      <c r="Q527" s="38"/>
      <c r="R527" s="36"/>
      <c r="S527" s="42"/>
      <c r="T527" s="42"/>
      <c r="U527" s="37"/>
      <c r="V527" s="43"/>
      <c r="W527" s="43"/>
      <c r="X527" s="36"/>
    </row>
    <row r="528" ht="15.75" customHeight="1">
      <c r="A528" s="36"/>
      <c r="B528" s="36"/>
      <c r="C528" s="36"/>
      <c r="D528" s="36"/>
      <c r="E528" s="36"/>
      <c r="F528" s="37"/>
      <c r="G528" s="38"/>
      <c r="H528" s="36"/>
      <c r="I528" s="36"/>
      <c r="J528" s="39"/>
      <c r="K528" s="36"/>
      <c r="L528" s="40"/>
      <c r="M528" s="40"/>
      <c r="N528" s="41"/>
      <c r="O528" s="41"/>
      <c r="P528" s="37"/>
      <c r="Q528" s="38"/>
      <c r="R528" s="36"/>
      <c r="S528" s="42"/>
      <c r="T528" s="42"/>
      <c r="U528" s="37"/>
      <c r="V528" s="43"/>
      <c r="W528" s="43"/>
      <c r="X528" s="36"/>
    </row>
    <row r="529" ht="15.75" customHeight="1">
      <c r="A529" s="36"/>
      <c r="B529" s="36"/>
      <c r="C529" s="36"/>
      <c r="D529" s="36"/>
      <c r="E529" s="36"/>
      <c r="F529" s="37"/>
      <c r="G529" s="38"/>
      <c r="H529" s="36"/>
      <c r="I529" s="36"/>
      <c r="J529" s="39"/>
      <c r="K529" s="36"/>
      <c r="L529" s="40"/>
      <c r="M529" s="40"/>
      <c r="N529" s="41"/>
      <c r="O529" s="41"/>
      <c r="P529" s="37"/>
      <c r="Q529" s="38"/>
      <c r="R529" s="36"/>
      <c r="S529" s="42"/>
      <c r="T529" s="42"/>
      <c r="U529" s="37"/>
      <c r="V529" s="43"/>
      <c r="W529" s="43"/>
      <c r="X529" s="36"/>
    </row>
    <row r="530" ht="15.75" customHeight="1">
      <c r="A530" s="36"/>
      <c r="B530" s="36"/>
      <c r="C530" s="36"/>
      <c r="D530" s="36"/>
      <c r="E530" s="36"/>
      <c r="F530" s="37"/>
      <c r="G530" s="38"/>
      <c r="H530" s="36"/>
      <c r="I530" s="36"/>
      <c r="J530" s="39"/>
      <c r="K530" s="36"/>
      <c r="L530" s="40"/>
      <c r="M530" s="40"/>
      <c r="N530" s="41"/>
      <c r="O530" s="41"/>
      <c r="P530" s="37"/>
      <c r="Q530" s="38"/>
      <c r="R530" s="36"/>
      <c r="S530" s="42"/>
      <c r="T530" s="42"/>
      <c r="U530" s="37"/>
      <c r="V530" s="43"/>
      <c r="W530" s="43"/>
      <c r="X530" s="36"/>
    </row>
    <row r="531" ht="15.75" customHeight="1">
      <c r="A531" s="36"/>
      <c r="B531" s="36"/>
      <c r="C531" s="36"/>
      <c r="D531" s="36"/>
      <c r="E531" s="36"/>
      <c r="F531" s="37"/>
      <c r="G531" s="38"/>
      <c r="H531" s="36"/>
      <c r="I531" s="36"/>
      <c r="J531" s="39"/>
      <c r="K531" s="36"/>
      <c r="L531" s="40"/>
      <c r="M531" s="40"/>
      <c r="N531" s="41"/>
      <c r="O531" s="41"/>
      <c r="P531" s="37"/>
      <c r="Q531" s="38"/>
      <c r="R531" s="36"/>
      <c r="S531" s="42"/>
      <c r="T531" s="42"/>
      <c r="U531" s="37"/>
      <c r="V531" s="43"/>
      <c r="W531" s="43"/>
      <c r="X531" s="36"/>
    </row>
    <row r="532" ht="15.75" customHeight="1">
      <c r="A532" s="36"/>
      <c r="B532" s="36"/>
      <c r="C532" s="36"/>
      <c r="D532" s="36"/>
      <c r="E532" s="36"/>
      <c r="F532" s="37"/>
      <c r="G532" s="38"/>
      <c r="H532" s="36"/>
      <c r="I532" s="36"/>
      <c r="J532" s="39"/>
      <c r="K532" s="36"/>
      <c r="L532" s="40"/>
      <c r="M532" s="40"/>
      <c r="N532" s="41"/>
      <c r="O532" s="41"/>
      <c r="P532" s="37"/>
      <c r="Q532" s="38"/>
      <c r="R532" s="36"/>
      <c r="S532" s="42"/>
      <c r="T532" s="42"/>
      <c r="U532" s="37"/>
      <c r="V532" s="43"/>
      <c r="W532" s="43"/>
      <c r="X532" s="36"/>
    </row>
    <row r="533" ht="15.75" customHeight="1">
      <c r="A533" s="36"/>
      <c r="B533" s="36"/>
      <c r="C533" s="36"/>
      <c r="D533" s="36"/>
      <c r="E533" s="36"/>
      <c r="F533" s="37"/>
      <c r="G533" s="38"/>
      <c r="H533" s="36"/>
      <c r="I533" s="36"/>
      <c r="J533" s="39"/>
      <c r="K533" s="36"/>
      <c r="L533" s="40"/>
      <c r="M533" s="40"/>
      <c r="N533" s="41"/>
      <c r="O533" s="41"/>
      <c r="P533" s="37"/>
      <c r="Q533" s="38"/>
      <c r="R533" s="36"/>
      <c r="S533" s="42"/>
      <c r="T533" s="42"/>
      <c r="U533" s="37"/>
      <c r="V533" s="43"/>
      <c r="W533" s="43"/>
      <c r="X533" s="36"/>
    </row>
    <row r="534" ht="15.75" customHeight="1">
      <c r="A534" s="36"/>
      <c r="B534" s="36"/>
      <c r="C534" s="36"/>
      <c r="D534" s="36"/>
      <c r="E534" s="36"/>
      <c r="F534" s="37"/>
      <c r="G534" s="38"/>
      <c r="H534" s="36"/>
      <c r="I534" s="36"/>
      <c r="J534" s="39"/>
      <c r="K534" s="36"/>
      <c r="L534" s="40"/>
      <c r="M534" s="40"/>
      <c r="N534" s="41"/>
      <c r="O534" s="41"/>
      <c r="P534" s="37"/>
      <c r="Q534" s="38"/>
      <c r="R534" s="36"/>
      <c r="S534" s="42"/>
      <c r="T534" s="42"/>
      <c r="U534" s="37"/>
      <c r="V534" s="43"/>
      <c r="W534" s="43"/>
      <c r="X534" s="36"/>
    </row>
    <row r="535" ht="15.75" customHeight="1">
      <c r="A535" s="36"/>
      <c r="B535" s="36"/>
      <c r="C535" s="36"/>
      <c r="D535" s="36"/>
      <c r="E535" s="36"/>
      <c r="F535" s="37"/>
      <c r="G535" s="38"/>
      <c r="H535" s="36"/>
      <c r="I535" s="36"/>
      <c r="J535" s="39"/>
      <c r="K535" s="36"/>
      <c r="L535" s="40"/>
      <c r="M535" s="40"/>
      <c r="N535" s="41"/>
      <c r="O535" s="41"/>
      <c r="P535" s="37"/>
      <c r="Q535" s="38"/>
      <c r="R535" s="36"/>
      <c r="S535" s="42"/>
      <c r="T535" s="42"/>
      <c r="U535" s="37"/>
      <c r="V535" s="43"/>
      <c r="W535" s="43"/>
      <c r="X535" s="36"/>
    </row>
    <row r="536" ht="15.75" customHeight="1">
      <c r="A536" s="36"/>
      <c r="B536" s="36"/>
      <c r="C536" s="36"/>
      <c r="D536" s="36"/>
      <c r="E536" s="36"/>
      <c r="F536" s="37"/>
      <c r="G536" s="38"/>
      <c r="H536" s="36"/>
      <c r="I536" s="36"/>
      <c r="J536" s="39"/>
      <c r="K536" s="36"/>
      <c r="L536" s="40"/>
      <c r="M536" s="40"/>
      <c r="N536" s="41"/>
      <c r="O536" s="41"/>
      <c r="P536" s="37"/>
      <c r="Q536" s="38"/>
      <c r="R536" s="36"/>
      <c r="S536" s="42"/>
      <c r="T536" s="42"/>
      <c r="U536" s="37"/>
      <c r="V536" s="43"/>
      <c r="W536" s="43"/>
      <c r="X536" s="36"/>
    </row>
    <row r="537" ht="15.75" customHeight="1">
      <c r="A537" s="36"/>
      <c r="B537" s="36"/>
      <c r="C537" s="36"/>
      <c r="D537" s="36"/>
      <c r="E537" s="36"/>
      <c r="F537" s="37"/>
      <c r="G537" s="38"/>
      <c r="H537" s="36"/>
      <c r="I537" s="36"/>
      <c r="J537" s="39"/>
      <c r="K537" s="36"/>
      <c r="L537" s="40"/>
      <c r="M537" s="40"/>
      <c r="N537" s="41"/>
      <c r="O537" s="41"/>
      <c r="P537" s="37"/>
      <c r="Q537" s="38"/>
      <c r="R537" s="36"/>
      <c r="S537" s="42"/>
      <c r="T537" s="42"/>
      <c r="U537" s="37"/>
      <c r="V537" s="43"/>
      <c r="W537" s="43"/>
      <c r="X537" s="36"/>
    </row>
    <row r="538" ht="15.75" customHeight="1">
      <c r="A538" s="36"/>
      <c r="B538" s="36"/>
      <c r="C538" s="36"/>
      <c r="D538" s="36"/>
      <c r="E538" s="36"/>
      <c r="F538" s="37"/>
      <c r="G538" s="38"/>
      <c r="H538" s="36"/>
      <c r="I538" s="36"/>
      <c r="J538" s="39"/>
      <c r="K538" s="36"/>
      <c r="L538" s="40"/>
      <c r="M538" s="40"/>
      <c r="N538" s="41"/>
      <c r="O538" s="41"/>
      <c r="P538" s="37"/>
      <c r="Q538" s="38"/>
      <c r="R538" s="36"/>
      <c r="S538" s="42"/>
      <c r="T538" s="42"/>
      <c r="U538" s="37"/>
      <c r="V538" s="43"/>
      <c r="W538" s="43"/>
      <c r="X538" s="36"/>
    </row>
    <row r="539" ht="15.75" customHeight="1">
      <c r="A539" s="36"/>
      <c r="B539" s="36"/>
      <c r="C539" s="36"/>
      <c r="D539" s="36"/>
      <c r="E539" s="36"/>
      <c r="F539" s="37"/>
      <c r="G539" s="38"/>
      <c r="H539" s="36"/>
      <c r="I539" s="36"/>
      <c r="J539" s="39"/>
      <c r="K539" s="36"/>
      <c r="L539" s="40"/>
      <c r="M539" s="40"/>
      <c r="N539" s="41"/>
      <c r="O539" s="41"/>
      <c r="P539" s="37"/>
      <c r="Q539" s="38"/>
      <c r="R539" s="36"/>
      <c r="S539" s="42"/>
      <c r="T539" s="42"/>
      <c r="U539" s="37"/>
      <c r="V539" s="43"/>
      <c r="W539" s="43"/>
      <c r="X539" s="36"/>
    </row>
    <row r="540" ht="15.75" customHeight="1">
      <c r="A540" s="36"/>
      <c r="B540" s="36"/>
      <c r="C540" s="36"/>
      <c r="D540" s="36"/>
      <c r="E540" s="36"/>
      <c r="F540" s="37"/>
      <c r="G540" s="38"/>
      <c r="H540" s="36"/>
      <c r="I540" s="36"/>
      <c r="J540" s="39"/>
      <c r="K540" s="36"/>
      <c r="L540" s="40"/>
      <c r="M540" s="40"/>
      <c r="N540" s="41"/>
      <c r="O540" s="41"/>
      <c r="P540" s="37"/>
      <c r="Q540" s="38"/>
      <c r="R540" s="36"/>
      <c r="S540" s="42"/>
      <c r="T540" s="42"/>
      <c r="U540" s="37"/>
      <c r="V540" s="43"/>
      <c r="W540" s="43"/>
      <c r="X540" s="36"/>
    </row>
    <row r="541" ht="15.75" customHeight="1">
      <c r="A541" s="36"/>
      <c r="B541" s="36"/>
      <c r="C541" s="36"/>
      <c r="D541" s="36"/>
      <c r="E541" s="36"/>
      <c r="F541" s="37"/>
      <c r="G541" s="38"/>
      <c r="H541" s="36"/>
      <c r="I541" s="36"/>
      <c r="J541" s="39"/>
      <c r="K541" s="36"/>
      <c r="L541" s="40"/>
      <c r="M541" s="40"/>
      <c r="N541" s="41"/>
      <c r="O541" s="41"/>
      <c r="P541" s="37"/>
      <c r="Q541" s="38"/>
      <c r="R541" s="36"/>
      <c r="S541" s="42"/>
      <c r="T541" s="42"/>
      <c r="U541" s="37"/>
      <c r="V541" s="43"/>
      <c r="W541" s="43"/>
      <c r="X541" s="36"/>
    </row>
    <row r="542" ht="15.75" customHeight="1">
      <c r="A542" s="36"/>
      <c r="B542" s="36"/>
      <c r="C542" s="36"/>
      <c r="D542" s="36"/>
      <c r="E542" s="36"/>
      <c r="F542" s="37"/>
      <c r="G542" s="38"/>
      <c r="H542" s="36"/>
      <c r="I542" s="36"/>
      <c r="J542" s="39"/>
      <c r="K542" s="36"/>
      <c r="L542" s="40"/>
      <c r="M542" s="40"/>
      <c r="N542" s="41"/>
      <c r="O542" s="41"/>
      <c r="P542" s="37"/>
      <c r="Q542" s="38"/>
      <c r="R542" s="36"/>
      <c r="S542" s="42"/>
      <c r="T542" s="42"/>
      <c r="U542" s="37"/>
      <c r="V542" s="43"/>
      <c r="W542" s="43"/>
      <c r="X542" s="36"/>
    </row>
    <row r="543" ht="15.75" customHeight="1">
      <c r="A543" s="36"/>
      <c r="B543" s="36"/>
      <c r="C543" s="36"/>
      <c r="D543" s="36"/>
      <c r="E543" s="36"/>
      <c r="F543" s="37"/>
      <c r="G543" s="38"/>
      <c r="H543" s="36"/>
      <c r="I543" s="36"/>
      <c r="J543" s="39"/>
      <c r="K543" s="36"/>
      <c r="L543" s="40"/>
      <c r="M543" s="40"/>
      <c r="N543" s="41"/>
      <c r="O543" s="41"/>
      <c r="P543" s="37"/>
      <c r="Q543" s="38"/>
      <c r="R543" s="36"/>
      <c r="S543" s="42"/>
      <c r="T543" s="42"/>
      <c r="U543" s="37"/>
      <c r="V543" s="43"/>
      <c r="W543" s="43"/>
      <c r="X543" s="36"/>
    </row>
    <row r="544" ht="15.75" customHeight="1">
      <c r="A544" s="36"/>
      <c r="B544" s="36"/>
      <c r="C544" s="36"/>
      <c r="D544" s="36"/>
      <c r="E544" s="36"/>
      <c r="F544" s="37"/>
      <c r="G544" s="38"/>
      <c r="H544" s="36"/>
      <c r="I544" s="36"/>
      <c r="J544" s="39"/>
      <c r="K544" s="36"/>
      <c r="L544" s="40"/>
      <c r="M544" s="40"/>
      <c r="N544" s="41"/>
      <c r="O544" s="41"/>
      <c r="P544" s="37"/>
      <c r="Q544" s="38"/>
      <c r="R544" s="36"/>
      <c r="S544" s="42"/>
      <c r="T544" s="42"/>
      <c r="U544" s="37"/>
      <c r="V544" s="43"/>
      <c r="W544" s="43"/>
      <c r="X544" s="36"/>
    </row>
    <row r="545" ht="15.75" customHeight="1">
      <c r="A545" s="36"/>
      <c r="B545" s="36"/>
      <c r="C545" s="36"/>
      <c r="D545" s="36"/>
      <c r="E545" s="36"/>
      <c r="F545" s="37"/>
      <c r="G545" s="38"/>
      <c r="H545" s="36"/>
      <c r="I545" s="36"/>
      <c r="J545" s="39"/>
      <c r="K545" s="36"/>
      <c r="L545" s="40"/>
      <c r="M545" s="40"/>
      <c r="N545" s="41"/>
      <c r="O545" s="41"/>
      <c r="P545" s="37"/>
      <c r="Q545" s="38"/>
      <c r="R545" s="36"/>
      <c r="S545" s="42"/>
      <c r="T545" s="42"/>
      <c r="U545" s="37"/>
      <c r="V545" s="43"/>
      <c r="W545" s="43"/>
      <c r="X545" s="36"/>
    </row>
    <row r="546" ht="15.75" customHeight="1">
      <c r="A546" s="36"/>
      <c r="B546" s="36"/>
      <c r="C546" s="36"/>
      <c r="D546" s="36"/>
      <c r="E546" s="36"/>
      <c r="F546" s="37"/>
      <c r="G546" s="38"/>
      <c r="H546" s="36"/>
      <c r="I546" s="36"/>
      <c r="J546" s="39"/>
      <c r="K546" s="36"/>
      <c r="L546" s="40"/>
      <c r="M546" s="40"/>
      <c r="N546" s="41"/>
      <c r="O546" s="41"/>
      <c r="P546" s="37"/>
      <c r="Q546" s="38"/>
      <c r="R546" s="36"/>
      <c r="S546" s="42"/>
      <c r="T546" s="42"/>
      <c r="U546" s="37"/>
      <c r="V546" s="43"/>
      <c r="W546" s="43"/>
      <c r="X546" s="36"/>
    </row>
    <row r="547" ht="15.75" customHeight="1">
      <c r="A547" s="36"/>
      <c r="B547" s="36"/>
      <c r="C547" s="36"/>
      <c r="D547" s="36"/>
      <c r="E547" s="36"/>
      <c r="F547" s="37"/>
      <c r="G547" s="38"/>
      <c r="H547" s="36"/>
      <c r="I547" s="36"/>
      <c r="J547" s="39"/>
      <c r="K547" s="36"/>
      <c r="L547" s="40"/>
      <c r="M547" s="40"/>
      <c r="N547" s="41"/>
      <c r="O547" s="41"/>
      <c r="P547" s="37"/>
      <c r="Q547" s="38"/>
      <c r="R547" s="36"/>
      <c r="S547" s="42"/>
      <c r="T547" s="42"/>
      <c r="U547" s="37"/>
      <c r="V547" s="43"/>
      <c r="W547" s="43"/>
      <c r="X547" s="36"/>
    </row>
    <row r="548" ht="15.75" customHeight="1">
      <c r="A548" s="36"/>
      <c r="B548" s="36"/>
      <c r="C548" s="36"/>
      <c r="D548" s="36"/>
      <c r="E548" s="36"/>
      <c r="F548" s="37"/>
      <c r="G548" s="38"/>
      <c r="H548" s="36"/>
      <c r="I548" s="36"/>
      <c r="J548" s="39"/>
      <c r="K548" s="36"/>
      <c r="L548" s="40"/>
      <c r="M548" s="40"/>
      <c r="N548" s="41"/>
      <c r="O548" s="41"/>
      <c r="P548" s="37"/>
      <c r="Q548" s="38"/>
      <c r="R548" s="36"/>
      <c r="S548" s="42"/>
      <c r="T548" s="42"/>
      <c r="U548" s="37"/>
      <c r="V548" s="43"/>
      <c r="W548" s="43"/>
      <c r="X548" s="36"/>
    </row>
    <row r="549" ht="15.75" customHeight="1">
      <c r="A549" s="36"/>
      <c r="B549" s="36"/>
      <c r="C549" s="36"/>
      <c r="D549" s="36"/>
      <c r="E549" s="36"/>
      <c r="F549" s="37"/>
      <c r="G549" s="38"/>
      <c r="H549" s="36"/>
      <c r="I549" s="36"/>
      <c r="J549" s="39"/>
      <c r="K549" s="36"/>
      <c r="L549" s="40"/>
      <c r="M549" s="40"/>
      <c r="N549" s="41"/>
      <c r="O549" s="41"/>
      <c r="P549" s="37"/>
      <c r="Q549" s="38"/>
      <c r="R549" s="36"/>
      <c r="S549" s="42"/>
      <c r="T549" s="42"/>
      <c r="U549" s="37"/>
      <c r="V549" s="43"/>
      <c r="W549" s="43"/>
      <c r="X549" s="36"/>
    </row>
    <row r="550" ht="15.75" customHeight="1">
      <c r="A550" s="36"/>
      <c r="B550" s="36"/>
      <c r="C550" s="36"/>
      <c r="D550" s="36"/>
      <c r="E550" s="36"/>
      <c r="F550" s="37"/>
      <c r="G550" s="38"/>
      <c r="H550" s="36"/>
      <c r="I550" s="36"/>
      <c r="J550" s="39"/>
      <c r="K550" s="36"/>
      <c r="L550" s="40"/>
      <c r="M550" s="40"/>
      <c r="N550" s="41"/>
      <c r="O550" s="41"/>
      <c r="P550" s="37"/>
      <c r="Q550" s="38"/>
      <c r="R550" s="36"/>
      <c r="S550" s="42"/>
      <c r="T550" s="42"/>
      <c r="U550" s="37"/>
      <c r="V550" s="43"/>
      <c r="W550" s="43"/>
      <c r="X550" s="36"/>
    </row>
    <row r="551" ht="15.75" customHeight="1">
      <c r="A551" s="36"/>
      <c r="B551" s="36"/>
      <c r="C551" s="36"/>
      <c r="D551" s="36"/>
      <c r="E551" s="36"/>
      <c r="F551" s="37"/>
      <c r="G551" s="38"/>
      <c r="H551" s="36"/>
      <c r="I551" s="36"/>
      <c r="J551" s="39"/>
      <c r="K551" s="36"/>
      <c r="L551" s="40"/>
      <c r="M551" s="40"/>
      <c r="N551" s="41"/>
      <c r="O551" s="41"/>
      <c r="P551" s="37"/>
      <c r="Q551" s="38"/>
      <c r="R551" s="36"/>
      <c r="S551" s="42"/>
      <c r="T551" s="42"/>
      <c r="U551" s="37"/>
      <c r="V551" s="43"/>
      <c r="W551" s="43"/>
      <c r="X551" s="36"/>
    </row>
    <row r="552" ht="15.75" customHeight="1">
      <c r="A552" s="36"/>
      <c r="B552" s="36"/>
      <c r="C552" s="36"/>
      <c r="D552" s="36"/>
      <c r="E552" s="36"/>
      <c r="F552" s="37"/>
      <c r="G552" s="38"/>
      <c r="H552" s="36"/>
      <c r="I552" s="36"/>
      <c r="J552" s="39"/>
      <c r="K552" s="36"/>
      <c r="L552" s="40"/>
      <c r="M552" s="40"/>
      <c r="N552" s="41"/>
      <c r="O552" s="41"/>
      <c r="P552" s="37"/>
      <c r="Q552" s="38"/>
      <c r="R552" s="36"/>
      <c r="S552" s="42"/>
      <c r="T552" s="42"/>
      <c r="U552" s="37"/>
      <c r="V552" s="43"/>
      <c r="W552" s="43"/>
      <c r="X552" s="36"/>
    </row>
    <row r="553" ht="15.75" customHeight="1">
      <c r="A553" s="36"/>
      <c r="B553" s="36"/>
      <c r="C553" s="36"/>
      <c r="D553" s="36"/>
      <c r="E553" s="36"/>
      <c r="F553" s="37"/>
      <c r="G553" s="38"/>
      <c r="H553" s="36"/>
      <c r="I553" s="36"/>
      <c r="J553" s="39"/>
      <c r="K553" s="36"/>
      <c r="L553" s="40"/>
      <c r="M553" s="40"/>
      <c r="N553" s="41"/>
      <c r="O553" s="41"/>
      <c r="P553" s="37"/>
      <c r="Q553" s="38"/>
      <c r="R553" s="36"/>
      <c r="S553" s="42"/>
      <c r="T553" s="42"/>
      <c r="U553" s="37"/>
      <c r="V553" s="43"/>
      <c r="W553" s="43"/>
      <c r="X553" s="36"/>
    </row>
    <row r="554" ht="15.75" customHeight="1">
      <c r="A554" s="36"/>
      <c r="B554" s="36"/>
      <c r="C554" s="36"/>
      <c r="D554" s="36"/>
      <c r="E554" s="36"/>
      <c r="F554" s="37"/>
      <c r="G554" s="38"/>
      <c r="H554" s="36"/>
      <c r="I554" s="36"/>
      <c r="J554" s="39"/>
      <c r="K554" s="36"/>
      <c r="L554" s="40"/>
      <c r="M554" s="40"/>
      <c r="N554" s="41"/>
      <c r="O554" s="41"/>
      <c r="P554" s="37"/>
      <c r="Q554" s="38"/>
      <c r="R554" s="36"/>
      <c r="S554" s="42"/>
      <c r="T554" s="42"/>
      <c r="U554" s="37"/>
      <c r="V554" s="43"/>
      <c r="W554" s="43"/>
      <c r="X554" s="36"/>
    </row>
    <row r="555" ht="15.75" customHeight="1">
      <c r="A555" s="36"/>
      <c r="B555" s="36"/>
      <c r="C555" s="36"/>
      <c r="D555" s="36"/>
      <c r="E555" s="36"/>
      <c r="F555" s="37"/>
      <c r="G555" s="38"/>
      <c r="H555" s="36"/>
      <c r="I555" s="36"/>
      <c r="J555" s="39"/>
      <c r="K555" s="36"/>
      <c r="L555" s="40"/>
      <c r="M555" s="40"/>
      <c r="N555" s="41"/>
      <c r="O555" s="41"/>
      <c r="P555" s="37"/>
      <c r="Q555" s="38"/>
      <c r="R555" s="36"/>
      <c r="S555" s="42"/>
      <c r="T555" s="42"/>
      <c r="U555" s="37"/>
      <c r="V555" s="43"/>
      <c r="W555" s="43"/>
      <c r="X555" s="36"/>
    </row>
    <row r="556" ht="15.75" customHeight="1">
      <c r="A556" s="36"/>
      <c r="B556" s="36"/>
      <c r="C556" s="36"/>
      <c r="D556" s="36"/>
      <c r="E556" s="36"/>
      <c r="F556" s="37"/>
      <c r="G556" s="38"/>
      <c r="H556" s="36"/>
      <c r="I556" s="36"/>
      <c r="J556" s="39"/>
      <c r="K556" s="36"/>
      <c r="L556" s="40"/>
      <c r="M556" s="40"/>
      <c r="N556" s="41"/>
      <c r="O556" s="41"/>
      <c r="P556" s="37"/>
      <c r="Q556" s="38"/>
      <c r="R556" s="36"/>
      <c r="S556" s="42"/>
      <c r="T556" s="42"/>
      <c r="U556" s="37"/>
      <c r="V556" s="43"/>
      <c r="W556" s="43"/>
      <c r="X556" s="36"/>
    </row>
    <row r="557" ht="15.75" customHeight="1">
      <c r="A557" s="36"/>
      <c r="B557" s="36"/>
      <c r="C557" s="36"/>
      <c r="D557" s="36"/>
      <c r="E557" s="36"/>
      <c r="F557" s="37"/>
      <c r="G557" s="38"/>
      <c r="H557" s="36"/>
      <c r="I557" s="36"/>
      <c r="J557" s="39"/>
      <c r="K557" s="36"/>
      <c r="L557" s="40"/>
      <c r="M557" s="40"/>
      <c r="N557" s="41"/>
      <c r="O557" s="41"/>
      <c r="P557" s="37"/>
      <c r="Q557" s="38"/>
      <c r="R557" s="36"/>
      <c r="S557" s="42"/>
      <c r="T557" s="42"/>
      <c r="U557" s="37"/>
      <c r="V557" s="43"/>
      <c r="W557" s="43"/>
      <c r="X557" s="36"/>
    </row>
    <row r="558" ht="15.75" customHeight="1">
      <c r="A558" s="36"/>
      <c r="B558" s="36"/>
      <c r="C558" s="36"/>
      <c r="D558" s="36"/>
      <c r="E558" s="36"/>
      <c r="F558" s="37"/>
      <c r="G558" s="38"/>
      <c r="H558" s="36"/>
      <c r="I558" s="36"/>
      <c r="J558" s="39"/>
      <c r="K558" s="36"/>
      <c r="L558" s="40"/>
      <c r="M558" s="40"/>
      <c r="N558" s="41"/>
      <c r="O558" s="41"/>
      <c r="P558" s="37"/>
      <c r="Q558" s="38"/>
      <c r="R558" s="36"/>
      <c r="S558" s="42"/>
      <c r="T558" s="42"/>
      <c r="U558" s="37"/>
      <c r="V558" s="43"/>
      <c r="W558" s="43"/>
      <c r="X558" s="36"/>
    </row>
    <row r="559" ht="15.75" customHeight="1">
      <c r="A559" s="36"/>
      <c r="B559" s="36"/>
      <c r="C559" s="36"/>
      <c r="D559" s="36"/>
      <c r="E559" s="36"/>
      <c r="F559" s="37"/>
      <c r="G559" s="38"/>
      <c r="H559" s="36"/>
      <c r="I559" s="36"/>
      <c r="J559" s="39"/>
      <c r="K559" s="36"/>
      <c r="L559" s="40"/>
      <c r="M559" s="40"/>
      <c r="N559" s="41"/>
      <c r="O559" s="41"/>
      <c r="P559" s="37"/>
      <c r="Q559" s="38"/>
      <c r="R559" s="36"/>
      <c r="S559" s="42"/>
      <c r="T559" s="42"/>
      <c r="U559" s="37"/>
      <c r="V559" s="43"/>
      <c r="W559" s="43"/>
      <c r="X559" s="36"/>
    </row>
    <row r="560" ht="15.75" customHeight="1">
      <c r="A560" s="36"/>
      <c r="B560" s="36"/>
      <c r="C560" s="36"/>
      <c r="D560" s="36"/>
      <c r="E560" s="36"/>
      <c r="F560" s="37"/>
      <c r="G560" s="38"/>
      <c r="H560" s="36"/>
      <c r="I560" s="36"/>
      <c r="J560" s="39"/>
      <c r="K560" s="36"/>
      <c r="L560" s="40"/>
      <c r="M560" s="40"/>
      <c r="N560" s="41"/>
      <c r="O560" s="41"/>
      <c r="P560" s="37"/>
      <c r="Q560" s="38"/>
      <c r="R560" s="36"/>
      <c r="S560" s="42"/>
      <c r="T560" s="42"/>
      <c r="U560" s="37"/>
      <c r="V560" s="43"/>
      <c r="W560" s="43"/>
      <c r="X560" s="36"/>
    </row>
    <row r="561" ht="15.75" customHeight="1">
      <c r="A561" s="36"/>
      <c r="B561" s="36"/>
      <c r="C561" s="36"/>
      <c r="D561" s="36"/>
      <c r="E561" s="36"/>
      <c r="F561" s="37"/>
      <c r="G561" s="38"/>
      <c r="H561" s="36"/>
      <c r="I561" s="36"/>
      <c r="J561" s="39"/>
      <c r="K561" s="36"/>
      <c r="L561" s="40"/>
      <c r="M561" s="40"/>
      <c r="N561" s="41"/>
      <c r="O561" s="41"/>
      <c r="P561" s="37"/>
      <c r="Q561" s="38"/>
      <c r="R561" s="36"/>
      <c r="S561" s="42"/>
      <c r="T561" s="42"/>
      <c r="U561" s="37"/>
      <c r="V561" s="43"/>
      <c r="W561" s="43"/>
      <c r="X561" s="36"/>
    </row>
    <row r="562" ht="15.75" customHeight="1">
      <c r="A562" s="36"/>
      <c r="B562" s="36"/>
      <c r="C562" s="36"/>
      <c r="D562" s="36"/>
      <c r="E562" s="36"/>
      <c r="F562" s="37"/>
      <c r="G562" s="38"/>
      <c r="H562" s="36"/>
      <c r="I562" s="36"/>
      <c r="J562" s="39"/>
      <c r="K562" s="36"/>
      <c r="L562" s="40"/>
      <c r="M562" s="40"/>
      <c r="N562" s="41"/>
      <c r="O562" s="41"/>
      <c r="P562" s="37"/>
      <c r="Q562" s="38"/>
      <c r="R562" s="36"/>
      <c r="S562" s="42"/>
      <c r="T562" s="42"/>
      <c r="U562" s="37"/>
      <c r="V562" s="43"/>
      <c r="W562" s="43"/>
      <c r="X562" s="36"/>
    </row>
    <row r="563" ht="15.75" customHeight="1">
      <c r="A563" s="36"/>
      <c r="B563" s="36"/>
      <c r="C563" s="36"/>
      <c r="D563" s="36"/>
      <c r="E563" s="36"/>
      <c r="F563" s="37"/>
      <c r="G563" s="38"/>
      <c r="H563" s="36"/>
      <c r="I563" s="36"/>
      <c r="J563" s="39"/>
      <c r="K563" s="36"/>
      <c r="L563" s="40"/>
      <c r="M563" s="40"/>
      <c r="N563" s="41"/>
      <c r="O563" s="41"/>
      <c r="P563" s="37"/>
      <c r="Q563" s="38"/>
      <c r="R563" s="36"/>
      <c r="S563" s="42"/>
      <c r="T563" s="42"/>
      <c r="U563" s="37"/>
      <c r="V563" s="43"/>
      <c r="W563" s="43"/>
      <c r="X563" s="36"/>
    </row>
    <row r="564" ht="15.75" customHeight="1">
      <c r="A564" s="36"/>
      <c r="B564" s="36"/>
      <c r="C564" s="36"/>
      <c r="D564" s="36"/>
      <c r="E564" s="36"/>
      <c r="F564" s="37"/>
      <c r="G564" s="38"/>
      <c r="H564" s="36"/>
      <c r="I564" s="36"/>
      <c r="J564" s="39"/>
      <c r="K564" s="36"/>
      <c r="L564" s="40"/>
      <c r="M564" s="40"/>
      <c r="N564" s="41"/>
      <c r="O564" s="41"/>
      <c r="P564" s="37"/>
      <c r="Q564" s="38"/>
      <c r="R564" s="36"/>
      <c r="S564" s="42"/>
      <c r="T564" s="42"/>
      <c r="U564" s="37"/>
      <c r="V564" s="43"/>
      <c r="W564" s="43"/>
      <c r="X564" s="36"/>
    </row>
    <row r="565" ht="15.75" customHeight="1">
      <c r="A565" s="36"/>
      <c r="B565" s="36"/>
      <c r="C565" s="36"/>
      <c r="D565" s="36"/>
      <c r="E565" s="36"/>
      <c r="F565" s="37"/>
      <c r="G565" s="38"/>
      <c r="H565" s="36"/>
      <c r="I565" s="36"/>
      <c r="J565" s="39"/>
      <c r="K565" s="36"/>
      <c r="L565" s="40"/>
      <c r="M565" s="40"/>
      <c r="N565" s="41"/>
      <c r="O565" s="41"/>
      <c r="P565" s="37"/>
      <c r="Q565" s="38"/>
      <c r="R565" s="36"/>
      <c r="S565" s="42"/>
      <c r="T565" s="42"/>
      <c r="U565" s="37"/>
      <c r="V565" s="43"/>
      <c r="W565" s="43"/>
      <c r="X565" s="36"/>
    </row>
    <row r="566" ht="15.75" customHeight="1">
      <c r="A566" s="36"/>
      <c r="B566" s="36"/>
      <c r="C566" s="36"/>
      <c r="D566" s="36"/>
      <c r="E566" s="36"/>
      <c r="F566" s="37"/>
      <c r="G566" s="38"/>
      <c r="H566" s="36"/>
      <c r="I566" s="36"/>
      <c r="J566" s="39"/>
      <c r="K566" s="36"/>
      <c r="L566" s="40"/>
      <c r="M566" s="40"/>
      <c r="N566" s="41"/>
      <c r="O566" s="41"/>
      <c r="P566" s="37"/>
      <c r="Q566" s="38"/>
      <c r="R566" s="36"/>
      <c r="S566" s="42"/>
      <c r="T566" s="42"/>
      <c r="U566" s="37"/>
      <c r="V566" s="43"/>
      <c r="W566" s="43"/>
      <c r="X566" s="36"/>
    </row>
    <row r="567" ht="15.75" customHeight="1">
      <c r="A567" s="36"/>
      <c r="B567" s="36"/>
      <c r="C567" s="36"/>
      <c r="D567" s="36"/>
      <c r="E567" s="36"/>
      <c r="F567" s="37"/>
      <c r="G567" s="38"/>
      <c r="H567" s="36"/>
      <c r="I567" s="36"/>
      <c r="J567" s="39"/>
      <c r="K567" s="36"/>
      <c r="L567" s="40"/>
      <c r="M567" s="40"/>
      <c r="N567" s="41"/>
      <c r="O567" s="41"/>
      <c r="P567" s="37"/>
      <c r="Q567" s="38"/>
      <c r="R567" s="36"/>
      <c r="S567" s="42"/>
      <c r="T567" s="42"/>
      <c r="U567" s="37"/>
      <c r="V567" s="43"/>
      <c r="W567" s="43"/>
      <c r="X567" s="36"/>
    </row>
    <row r="568" ht="15.75" customHeight="1">
      <c r="A568" s="36"/>
      <c r="B568" s="36"/>
      <c r="C568" s="36"/>
      <c r="D568" s="36"/>
      <c r="E568" s="36"/>
      <c r="F568" s="37"/>
      <c r="G568" s="38"/>
      <c r="H568" s="36"/>
      <c r="I568" s="36"/>
      <c r="J568" s="39"/>
      <c r="K568" s="36"/>
      <c r="L568" s="40"/>
      <c r="M568" s="40"/>
      <c r="N568" s="41"/>
      <c r="O568" s="41"/>
      <c r="P568" s="37"/>
      <c r="Q568" s="38"/>
      <c r="R568" s="36"/>
      <c r="S568" s="42"/>
      <c r="T568" s="42"/>
      <c r="U568" s="37"/>
      <c r="V568" s="43"/>
      <c r="W568" s="43"/>
      <c r="X568" s="36"/>
    </row>
    <row r="569" ht="15.75" customHeight="1">
      <c r="A569" s="36"/>
      <c r="B569" s="36"/>
      <c r="C569" s="36"/>
      <c r="D569" s="36"/>
      <c r="E569" s="36"/>
      <c r="F569" s="37"/>
      <c r="G569" s="38"/>
      <c r="H569" s="36"/>
      <c r="I569" s="36"/>
      <c r="J569" s="39"/>
      <c r="K569" s="36"/>
      <c r="L569" s="40"/>
      <c r="M569" s="40"/>
      <c r="N569" s="41"/>
      <c r="O569" s="41"/>
      <c r="P569" s="37"/>
      <c r="Q569" s="38"/>
      <c r="R569" s="36"/>
      <c r="S569" s="42"/>
      <c r="T569" s="42"/>
      <c r="U569" s="37"/>
      <c r="V569" s="43"/>
      <c r="W569" s="43"/>
      <c r="X569" s="36"/>
    </row>
    <row r="570" ht="15.75" customHeight="1">
      <c r="A570" s="36"/>
      <c r="B570" s="36"/>
      <c r="C570" s="36"/>
      <c r="D570" s="36"/>
      <c r="E570" s="36"/>
      <c r="F570" s="37"/>
      <c r="G570" s="38"/>
      <c r="H570" s="36"/>
      <c r="I570" s="36"/>
      <c r="J570" s="39"/>
      <c r="K570" s="36"/>
      <c r="L570" s="40"/>
      <c r="M570" s="40"/>
      <c r="N570" s="41"/>
      <c r="O570" s="41"/>
      <c r="P570" s="37"/>
      <c r="Q570" s="38"/>
      <c r="R570" s="36"/>
      <c r="S570" s="42"/>
      <c r="T570" s="42"/>
      <c r="U570" s="37"/>
      <c r="V570" s="43"/>
      <c r="W570" s="43"/>
      <c r="X570" s="36"/>
    </row>
    <row r="571" ht="15.75" customHeight="1">
      <c r="A571" s="36"/>
      <c r="B571" s="36"/>
      <c r="C571" s="36"/>
      <c r="D571" s="36"/>
      <c r="E571" s="36"/>
      <c r="F571" s="37"/>
      <c r="G571" s="38"/>
      <c r="H571" s="36"/>
      <c r="I571" s="36"/>
      <c r="J571" s="39"/>
      <c r="K571" s="36"/>
      <c r="L571" s="40"/>
      <c r="M571" s="40"/>
      <c r="N571" s="41"/>
      <c r="O571" s="41"/>
      <c r="P571" s="37"/>
      <c r="Q571" s="38"/>
      <c r="R571" s="36"/>
      <c r="S571" s="42"/>
      <c r="T571" s="42"/>
      <c r="U571" s="37"/>
      <c r="V571" s="43"/>
      <c r="W571" s="43"/>
      <c r="X571" s="36"/>
    </row>
    <row r="572" ht="15.75" customHeight="1">
      <c r="A572" s="36"/>
      <c r="B572" s="36"/>
      <c r="C572" s="36"/>
      <c r="D572" s="36"/>
      <c r="E572" s="36"/>
      <c r="F572" s="37"/>
      <c r="G572" s="38"/>
      <c r="H572" s="36"/>
      <c r="I572" s="36"/>
      <c r="J572" s="39"/>
      <c r="K572" s="36"/>
      <c r="L572" s="40"/>
      <c r="M572" s="40"/>
      <c r="N572" s="41"/>
      <c r="O572" s="41"/>
      <c r="P572" s="37"/>
      <c r="Q572" s="38"/>
      <c r="R572" s="36"/>
      <c r="S572" s="42"/>
      <c r="T572" s="42"/>
      <c r="U572" s="37"/>
      <c r="V572" s="43"/>
      <c r="W572" s="43"/>
      <c r="X572" s="36"/>
    </row>
    <row r="573" ht="15.75" customHeight="1">
      <c r="A573" s="36"/>
      <c r="B573" s="36"/>
      <c r="C573" s="36"/>
      <c r="D573" s="36"/>
      <c r="E573" s="36"/>
      <c r="F573" s="37"/>
      <c r="G573" s="38"/>
      <c r="H573" s="36"/>
      <c r="I573" s="36"/>
      <c r="J573" s="39"/>
      <c r="K573" s="36"/>
      <c r="L573" s="40"/>
      <c r="M573" s="40"/>
      <c r="N573" s="41"/>
      <c r="O573" s="41"/>
      <c r="P573" s="37"/>
      <c r="Q573" s="38"/>
      <c r="R573" s="36"/>
      <c r="S573" s="42"/>
      <c r="T573" s="42"/>
      <c r="U573" s="37"/>
      <c r="V573" s="43"/>
      <c r="W573" s="43"/>
      <c r="X573" s="36"/>
    </row>
    <row r="574" ht="15.75" customHeight="1">
      <c r="A574" s="36"/>
      <c r="B574" s="36"/>
      <c r="C574" s="36"/>
      <c r="D574" s="36"/>
      <c r="E574" s="36"/>
      <c r="F574" s="37"/>
      <c r="G574" s="38"/>
      <c r="H574" s="36"/>
      <c r="I574" s="36"/>
      <c r="J574" s="39"/>
      <c r="K574" s="36"/>
      <c r="L574" s="40"/>
      <c r="M574" s="40"/>
      <c r="N574" s="41"/>
      <c r="O574" s="41"/>
      <c r="P574" s="37"/>
      <c r="Q574" s="38"/>
      <c r="R574" s="36"/>
      <c r="S574" s="42"/>
      <c r="T574" s="42"/>
      <c r="U574" s="37"/>
      <c r="V574" s="43"/>
      <c r="W574" s="43"/>
      <c r="X574" s="36"/>
    </row>
    <row r="575" ht="15.75" customHeight="1">
      <c r="A575" s="36"/>
      <c r="B575" s="36"/>
      <c r="C575" s="36"/>
      <c r="D575" s="36"/>
      <c r="E575" s="36"/>
      <c r="F575" s="37"/>
      <c r="G575" s="38"/>
      <c r="H575" s="36"/>
      <c r="I575" s="36"/>
      <c r="J575" s="39"/>
      <c r="K575" s="36"/>
      <c r="L575" s="40"/>
      <c r="M575" s="40"/>
      <c r="N575" s="41"/>
      <c r="O575" s="41"/>
      <c r="P575" s="37"/>
      <c r="Q575" s="38"/>
      <c r="R575" s="36"/>
      <c r="S575" s="42"/>
      <c r="T575" s="42"/>
      <c r="U575" s="37"/>
      <c r="V575" s="43"/>
      <c r="W575" s="43"/>
      <c r="X575" s="36"/>
    </row>
    <row r="576" ht="15.75" customHeight="1">
      <c r="A576" s="36"/>
      <c r="B576" s="36"/>
      <c r="C576" s="36"/>
      <c r="D576" s="36"/>
      <c r="E576" s="36"/>
      <c r="F576" s="37"/>
      <c r="G576" s="38"/>
      <c r="H576" s="36"/>
      <c r="I576" s="36"/>
      <c r="J576" s="39"/>
      <c r="K576" s="36"/>
      <c r="L576" s="40"/>
      <c r="M576" s="40"/>
      <c r="N576" s="41"/>
      <c r="O576" s="41"/>
      <c r="P576" s="37"/>
      <c r="Q576" s="38"/>
      <c r="R576" s="36"/>
      <c r="S576" s="42"/>
      <c r="T576" s="42"/>
      <c r="U576" s="37"/>
      <c r="V576" s="43"/>
      <c r="W576" s="43"/>
      <c r="X576" s="36"/>
    </row>
    <row r="577" ht="15.75" customHeight="1">
      <c r="A577" s="36"/>
      <c r="B577" s="36"/>
      <c r="C577" s="36"/>
      <c r="D577" s="36"/>
      <c r="E577" s="36"/>
      <c r="F577" s="37"/>
      <c r="G577" s="38"/>
      <c r="H577" s="36"/>
      <c r="I577" s="36"/>
      <c r="J577" s="39"/>
      <c r="K577" s="36"/>
      <c r="L577" s="40"/>
      <c r="M577" s="40"/>
      <c r="N577" s="41"/>
      <c r="O577" s="41"/>
      <c r="P577" s="37"/>
      <c r="Q577" s="38"/>
      <c r="R577" s="36"/>
      <c r="S577" s="42"/>
      <c r="T577" s="42"/>
      <c r="U577" s="37"/>
      <c r="V577" s="43"/>
      <c r="W577" s="43"/>
      <c r="X577" s="36"/>
    </row>
    <row r="578" ht="15.75" customHeight="1">
      <c r="A578" s="36"/>
      <c r="B578" s="36"/>
      <c r="C578" s="36"/>
      <c r="D578" s="36"/>
      <c r="E578" s="36"/>
      <c r="F578" s="37"/>
      <c r="G578" s="38"/>
      <c r="H578" s="36"/>
      <c r="I578" s="36"/>
      <c r="J578" s="39"/>
      <c r="K578" s="36"/>
      <c r="L578" s="40"/>
      <c r="M578" s="40"/>
      <c r="N578" s="41"/>
      <c r="O578" s="41"/>
      <c r="P578" s="37"/>
      <c r="Q578" s="38"/>
      <c r="R578" s="36"/>
      <c r="S578" s="42"/>
      <c r="T578" s="42"/>
      <c r="U578" s="37"/>
      <c r="V578" s="43"/>
      <c r="W578" s="43"/>
      <c r="X578" s="36"/>
    </row>
    <row r="579" ht="15.75" customHeight="1">
      <c r="A579" s="36"/>
      <c r="B579" s="36"/>
      <c r="C579" s="36"/>
      <c r="D579" s="36"/>
      <c r="E579" s="36"/>
      <c r="F579" s="37"/>
      <c r="G579" s="38"/>
      <c r="H579" s="36"/>
      <c r="I579" s="36"/>
      <c r="J579" s="39"/>
      <c r="K579" s="36"/>
      <c r="L579" s="40"/>
      <c r="M579" s="40"/>
      <c r="N579" s="41"/>
      <c r="O579" s="41"/>
      <c r="P579" s="37"/>
      <c r="Q579" s="38"/>
      <c r="R579" s="36"/>
      <c r="S579" s="42"/>
      <c r="T579" s="42"/>
      <c r="U579" s="37"/>
      <c r="V579" s="43"/>
      <c r="W579" s="43"/>
      <c r="X579" s="36"/>
    </row>
    <row r="580" ht="15.75" customHeight="1">
      <c r="A580" s="36"/>
      <c r="B580" s="36"/>
      <c r="C580" s="36"/>
      <c r="D580" s="36"/>
      <c r="E580" s="36"/>
      <c r="F580" s="37"/>
      <c r="G580" s="38"/>
      <c r="H580" s="36"/>
      <c r="I580" s="36"/>
      <c r="J580" s="39"/>
      <c r="K580" s="36"/>
      <c r="L580" s="40"/>
      <c r="M580" s="40"/>
      <c r="N580" s="41"/>
      <c r="O580" s="41"/>
      <c r="P580" s="37"/>
      <c r="Q580" s="38"/>
      <c r="R580" s="36"/>
      <c r="S580" s="42"/>
      <c r="T580" s="42"/>
      <c r="U580" s="37"/>
      <c r="V580" s="43"/>
      <c r="W580" s="43"/>
      <c r="X580" s="36"/>
    </row>
    <row r="581" ht="15.75" customHeight="1">
      <c r="A581" s="36"/>
      <c r="B581" s="36"/>
      <c r="C581" s="36"/>
      <c r="D581" s="36"/>
      <c r="E581" s="36"/>
      <c r="F581" s="37"/>
      <c r="G581" s="38"/>
      <c r="H581" s="36"/>
      <c r="I581" s="36"/>
      <c r="J581" s="39"/>
      <c r="K581" s="36"/>
      <c r="L581" s="40"/>
      <c r="M581" s="40"/>
      <c r="N581" s="41"/>
      <c r="O581" s="41"/>
      <c r="P581" s="37"/>
      <c r="Q581" s="38"/>
      <c r="R581" s="36"/>
      <c r="S581" s="42"/>
      <c r="T581" s="42"/>
      <c r="U581" s="37"/>
      <c r="V581" s="43"/>
      <c r="W581" s="43"/>
      <c r="X581" s="36"/>
    </row>
    <row r="582" ht="15.75" customHeight="1">
      <c r="A582" s="36"/>
      <c r="B582" s="36"/>
      <c r="C582" s="36"/>
      <c r="D582" s="36"/>
      <c r="E582" s="36"/>
      <c r="F582" s="37"/>
      <c r="G582" s="38"/>
      <c r="H582" s="36"/>
      <c r="I582" s="36"/>
      <c r="J582" s="39"/>
      <c r="K582" s="36"/>
      <c r="L582" s="40"/>
      <c r="M582" s="40"/>
      <c r="N582" s="41"/>
      <c r="O582" s="41"/>
      <c r="P582" s="37"/>
      <c r="Q582" s="38"/>
      <c r="R582" s="36"/>
      <c r="S582" s="42"/>
      <c r="T582" s="42"/>
      <c r="U582" s="37"/>
      <c r="V582" s="43"/>
      <c r="W582" s="43"/>
      <c r="X582" s="36"/>
    </row>
    <row r="583" ht="15.75" customHeight="1">
      <c r="A583" s="36"/>
      <c r="B583" s="36"/>
      <c r="C583" s="36"/>
      <c r="D583" s="36"/>
      <c r="E583" s="36"/>
      <c r="F583" s="37"/>
      <c r="G583" s="38"/>
      <c r="H583" s="36"/>
      <c r="I583" s="36"/>
      <c r="J583" s="39"/>
      <c r="K583" s="36"/>
      <c r="L583" s="40"/>
      <c r="M583" s="40"/>
      <c r="N583" s="41"/>
      <c r="O583" s="41"/>
      <c r="P583" s="37"/>
      <c r="Q583" s="38"/>
      <c r="R583" s="36"/>
      <c r="S583" s="42"/>
      <c r="T583" s="42"/>
      <c r="U583" s="37"/>
      <c r="V583" s="43"/>
      <c r="W583" s="43"/>
      <c r="X583" s="36"/>
    </row>
    <row r="584" ht="15.75" customHeight="1">
      <c r="A584" s="36"/>
      <c r="B584" s="36"/>
      <c r="C584" s="36"/>
      <c r="D584" s="36"/>
      <c r="E584" s="36"/>
      <c r="F584" s="37"/>
      <c r="G584" s="38"/>
      <c r="H584" s="36"/>
      <c r="I584" s="36"/>
      <c r="J584" s="39"/>
      <c r="K584" s="36"/>
      <c r="L584" s="40"/>
      <c r="M584" s="40"/>
      <c r="N584" s="41"/>
      <c r="O584" s="41"/>
      <c r="P584" s="37"/>
      <c r="Q584" s="38"/>
      <c r="R584" s="36"/>
      <c r="S584" s="42"/>
      <c r="T584" s="42"/>
      <c r="U584" s="37"/>
      <c r="V584" s="43"/>
      <c r="W584" s="43"/>
      <c r="X584" s="36"/>
    </row>
    <row r="585" ht="15.75" customHeight="1">
      <c r="A585" s="36"/>
      <c r="B585" s="36"/>
      <c r="C585" s="36"/>
      <c r="D585" s="36"/>
      <c r="E585" s="36"/>
      <c r="F585" s="37"/>
      <c r="G585" s="38"/>
      <c r="H585" s="36"/>
      <c r="I585" s="36"/>
      <c r="J585" s="39"/>
      <c r="K585" s="36"/>
      <c r="L585" s="40"/>
      <c r="M585" s="40"/>
      <c r="N585" s="41"/>
      <c r="O585" s="41"/>
      <c r="P585" s="37"/>
      <c r="Q585" s="38"/>
      <c r="R585" s="36"/>
      <c r="S585" s="42"/>
      <c r="T585" s="42"/>
      <c r="U585" s="37"/>
      <c r="V585" s="43"/>
      <c r="W585" s="43"/>
      <c r="X585" s="36"/>
    </row>
    <row r="586" ht="15.75" customHeight="1">
      <c r="A586" s="36"/>
      <c r="B586" s="36"/>
      <c r="C586" s="36"/>
      <c r="D586" s="36"/>
      <c r="E586" s="36"/>
      <c r="F586" s="37"/>
      <c r="G586" s="38"/>
      <c r="H586" s="36"/>
      <c r="I586" s="36"/>
      <c r="J586" s="39"/>
      <c r="K586" s="36"/>
      <c r="L586" s="40"/>
      <c r="M586" s="40"/>
      <c r="N586" s="41"/>
      <c r="O586" s="41"/>
      <c r="P586" s="37"/>
      <c r="Q586" s="38"/>
      <c r="R586" s="36"/>
      <c r="S586" s="42"/>
      <c r="T586" s="42"/>
      <c r="U586" s="37"/>
      <c r="V586" s="43"/>
      <c r="W586" s="43"/>
      <c r="X586" s="36"/>
    </row>
    <row r="587" ht="15.75" customHeight="1">
      <c r="A587" s="36"/>
      <c r="B587" s="36"/>
      <c r="C587" s="36"/>
      <c r="D587" s="36"/>
      <c r="E587" s="36"/>
      <c r="F587" s="37"/>
      <c r="G587" s="38"/>
      <c r="H587" s="36"/>
      <c r="I587" s="36"/>
      <c r="J587" s="39"/>
      <c r="K587" s="36"/>
      <c r="L587" s="40"/>
      <c r="M587" s="40"/>
      <c r="N587" s="41"/>
      <c r="O587" s="41"/>
      <c r="P587" s="37"/>
      <c r="Q587" s="38"/>
      <c r="R587" s="36"/>
      <c r="S587" s="42"/>
      <c r="T587" s="42"/>
      <c r="U587" s="37"/>
      <c r="V587" s="43"/>
      <c r="W587" s="43"/>
      <c r="X587" s="36"/>
    </row>
    <row r="588" ht="15.75" customHeight="1">
      <c r="A588" s="36"/>
      <c r="B588" s="36"/>
      <c r="C588" s="36"/>
      <c r="D588" s="36"/>
      <c r="E588" s="36"/>
      <c r="F588" s="37"/>
      <c r="G588" s="38"/>
      <c r="H588" s="36"/>
      <c r="I588" s="36"/>
      <c r="J588" s="39"/>
      <c r="K588" s="36"/>
      <c r="L588" s="40"/>
      <c r="M588" s="40"/>
      <c r="N588" s="41"/>
      <c r="O588" s="41"/>
      <c r="P588" s="37"/>
      <c r="Q588" s="38"/>
      <c r="R588" s="36"/>
      <c r="S588" s="42"/>
      <c r="T588" s="42"/>
      <c r="U588" s="37"/>
      <c r="V588" s="43"/>
      <c r="W588" s="43"/>
      <c r="X588" s="36"/>
    </row>
    <row r="589" ht="15.75" customHeight="1">
      <c r="A589" s="36"/>
      <c r="B589" s="36"/>
      <c r="C589" s="36"/>
      <c r="D589" s="36"/>
      <c r="E589" s="36"/>
      <c r="F589" s="37"/>
      <c r="G589" s="38"/>
      <c r="H589" s="36"/>
      <c r="I589" s="36"/>
      <c r="J589" s="39"/>
      <c r="K589" s="36"/>
      <c r="L589" s="40"/>
      <c r="M589" s="40"/>
      <c r="N589" s="41"/>
      <c r="O589" s="41"/>
      <c r="P589" s="37"/>
      <c r="Q589" s="38"/>
      <c r="R589" s="36"/>
      <c r="S589" s="42"/>
      <c r="T589" s="42"/>
      <c r="U589" s="37"/>
      <c r="V589" s="43"/>
      <c r="W589" s="43"/>
      <c r="X589" s="36"/>
    </row>
    <row r="590" ht="15.75" customHeight="1">
      <c r="A590" s="36"/>
      <c r="B590" s="36"/>
      <c r="C590" s="36"/>
      <c r="D590" s="36"/>
      <c r="E590" s="36"/>
      <c r="F590" s="37"/>
      <c r="G590" s="38"/>
      <c r="H590" s="36"/>
      <c r="I590" s="36"/>
      <c r="J590" s="39"/>
      <c r="K590" s="36"/>
      <c r="L590" s="40"/>
      <c r="M590" s="40"/>
      <c r="N590" s="41"/>
      <c r="O590" s="41"/>
      <c r="P590" s="37"/>
      <c r="Q590" s="38"/>
      <c r="R590" s="36"/>
      <c r="S590" s="42"/>
      <c r="T590" s="42"/>
      <c r="U590" s="37"/>
      <c r="V590" s="43"/>
      <c r="W590" s="43"/>
      <c r="X590" s="36"/>
    </row>
    <row r="591" ht="15.75" customHeight="1">
      <c r="A591" s="36"/>
      <c r="B591" s="36"/>
      <c r="C591" s="36"/>
      <c r="D591" s="36"/>
      <c r="E591" s="36"/>
      <c r="F591" s="37"/>
      <c r="G591" s="38"/>
      <c r="H591" s="36"/>
      <c r="I591" s="36"/>
      <c r="J591" s="39"/>
      <c r="K591" s="36"/>
      <c r="L591" s="40"/>
      <c r="M591" s="40"/>
      <c r="N591" s="41"/>
      <c r="O591" s="41"/>
      <c r="P591" s="37"/>
      <c r="Q591" s="38"/>
      <c r="R591" s="36"/>
      <c r="S591" s="42"/>
      <c r="T591" s="42"/>
      <c r="U591" s="37"/>
      <c r="V591" s="43"/>
      <c r="W591" s="43"/>
      <c r="X591" s="36"/>
    </row>
    <row r="592" ht="15.75" customHeight="1">
      <c r="A592" s="36"/>
      <c r="B592" s="36"/>
      <c r="C592" s="36"/>
      <c r="D592" s="36"/>
      <c r="E592" s="36"/>
      <c r="F592" s="37"/>
      <c r="G592" s="38"/>
      <c r="H592" s="36"/>
      <c r="I592" s="36"/>
      <c r="J592" s="39"/>
      <c r="K592" s="36"/>
      <c r="L592" s="40"/>
      <c r="M592" s="40"/>
      <c r="N592" s="41"/>
      <c r="O592" s="41"/>
      <c r="P592" s="37"/>
      <c r="Q592" s="38"/>
      <c r="R592" s="36"/>
      <c r="S592" s="42"/>
      <c r="T592" s="42"/>
      <c r="U592" s="37"/>
      <c r="V592" s="43"/>
      <c r="W592" s="43"/>
      <c r="X592" s="36"/>
    </row>
    <row r="593" ht="15.75" customHeight="1">
      <c r="A593" s="36"/>
      <c r="B593" s="36"/>
      <c r="C593" s="36"/>
      <c r="D593" s="36"/>
      <c r="E593" s="36"/>
      <c r="F593" s="37"/>
      <c r="G593" s="38"/>
      <c r="H593" s="36"/>
      <c r="I593" s="36"/>
      <c r="J593" s="39"/>
      <c r="K593" s="36"/>
      <c r="L593" s="40"/>
      <c r="M593" s="40"/>
      <c r="N593" s="41"/>
      <c r="O593" s="41"/>
      <c r="P593" s="37"/>
      <c r="Q593" s="38"/>
      <c r="R593" s="36"/>
      <c r="S593" s="42"/>
      <c r="T593" s="42"/>
      <c r="U593" s="37"/>
      <c r="V593" s="43"/>
      <c r="W593" s="43"/>
      <c r="X593" s="36"/>
    </row>
    <row r="594" ht="15.75" customHeight="1">
      <c r="A594" s="36"/>
      <c r="B594" s="36"/>
      <c r="C594" s="36"/>
      <c r="D594" s="36"/>
      <c r="E594" s="36"/>
      <c r="F594" s="37"/>
      <c r="G594" s="38"/>
      <c r="H594" s="36"/>
      <c r="I594" s="36"/>
      <c r="J594" s="39"/>
      <c r="K594" s="36"/>
      <c r="L594" s="40"/>
      <c r="M594" s="40"/>
      <c r="N594" s="41"/>
      <c r="O594" s="41"/>
      <c r="P594" s="37"/>
      <c r="Q594" s="38"/>
      <c r="R594" s="36"/>
      <c r="S594" s="42"/>
      <c r="T594" s="42"/>
      <c r="U594" s="37"/>
      <c r="V594" s="43"/>
      <c r="W594" s="43"/>
      <c r="X594" s="36"/>
    </row>
    <row r="595" ht="15.75" customHeight="1">
      <c r="A595" s="36"/>
      <c r="B595" s="36"/>
      <c r="C595" s="36"/>
      <c r="D595" s="36"/>
      <c r="E595" s="36"/>
      <c r="F595" s="37"/>
      <c r="G595" s="38"/>
      <c r="H595" s="36"/>
      <c r="I595" s="36"/>
      <c r="J595" s="39"/>
      <c r="K595" s="36"/>
      <c r="L595" s="40"/>
      <c r="M595" s="40"/>
      <c r="N595" s="41"/>
      <c r="O595" s="41"/>
      <c r="P595" s="37"/>
      <c r="Q595" s="38"/>
      <c r="R595" s="36"/>
      <c r="S595" s="42"/>
      <c r="T595" s="42"/>
      <c r="U595" s="37"/>
      <c r="V595" s="43"/>
      <c r="W595" s="43"/>
      <c r="X595" s="36"/>
    </row>
    <row r="596" ht="15.75" customHeight="1">
      <c r="A596" s="36"/>
      <c r="B596" s="36"/>
      <c r="C596" s="36"/>
      <c r="D596" s="36"/>
      <c r="E596" s="36"/>
      <c r="F596" s="37"/>
      <c r="G596" s="38"/>
      <c r="H596" s="36"/>
      <c r="I596" s="36"/>
      <c r="J596" s="39"/>
      <c r="K596" s="36"/>
      <c r="L596" s="40"/>
      <c r="M596" s="40"/>
      <c r="N596" s="41"/>
      <c r="O596" s="41"/>
      <c r="P596" s="37"/>
      <c r="Q596" s="38"/>
      <c r="R596" s="36"/>
      <c r="S596" s="42"/>
      <c r="T596" s="42"/>
      <c r="U596" s="37"/>
      <c r="V596" s="43"/>
      <c r="W596" s="43"/>
      <c r="X596" s="36"/>
    </row>
    <row r="597" ht="15.75" customHeight="1">
      <c r="A597" s="36"/>
      <c r="B597" s="36"/>
      <c r="C597" s="36"/>
      <c r="D597" s="36"/>
      <c r="E597" s="36"/>
      <c r="F597" s="37"/>
      <c r="G597" s="38"/>
      <c r="H597" s="36"/>
      <c r="I597" s="36"/>
      <c r="J597" s="39"/>
      <c r="K597" s="36"/>
      <c r="L597" s="40"/>
      <c r="M597" s="40"/>
      <c r="N597" s="41"/>
      <c r="O597" s="41"/>
      <c r="P597" s="37"/>
      <c r="Q597" s="38"/>
      <c r="R597" s="36"/>
      <c r="S597" s="42"/>
      <c r="T597" s="42"/>
      <c r="U597" s="37"/>
      <c r="V597" s="43"/>
      <c r="W597" s="43"/>
      <c r="X597" s="36"/>
    </row>
    <row r="598" ht="15.75" customHeight="1">
      <c r="A598" s="36"/>
      <c r="B598" s="36"/>
      <c r="C598" s="36"/>
      <c r="D598" s="36"/>
      <c r="E598" s="36"/>
      <c r="F598" s="37"/>
      <c r="G598" s="38"/>
      <c r="H598" s="36"/>
      <c r="I598" s="36"/>
      <c r="J598" s="39"/>
      <c r="K598" s="36"/>
      <c r="L598" s="40"/>
      <c r="M598" s="40"/>
      <c r="N598" s="41"/>
      <c r="O598" s="41"/>
      <c r="P598" s="37"/>
      <c r="Q598" s="38"/>
      <c r="R598" s="36"/>
      <c r="S598" s="42"/>
      <c r="T598" s="42"/>
      <c r="U598" s="37"/>
      <c r="V598" s="43"/>
      <c r="W598" s="43"/>
      <c r="X598" s="36"/>
    </row>
    <row r="599" ht="15.75" customHeight="1">
      <c r="A599" s="36"/>
      <c r="B599" s="36"/>
      <c r="C599" s="36"/>
      <c r="D599" s="36"/>
      <c r="E599" s="36"/>
      <c r="F599" s="37"/>
      <c r="G599" s="38"/>
      <c r="H599" s="36"/>
      <c r="I599" s="36"/>
      <c r="J599" s="39"/>
      <c r="K599" s="36"/>
      <c r="L599" s="40"/>
      <c r="M599" s="40"/>
      <c r="N599" s="41"/>
      <c r="O599" s="41"/>
      <c r="P599" s="37"/>
      <c r="Q599" s="38"/>
      <c r="R599" s="36"/>
      <c r="S599" s="42"/>
      <c r="T599" s="42"/>
      <c r="U599" s="37"/>
      <c r="V599" s="43"/>
      <c r="W599" s="43"/>
      <c r="X599" s="36"/>
    </row>
    <row r="600" ht="15.75" customHeight="1">
      <c r="A600" s="36"/>
      <c r="B600" s="36"/>
      <c r="C600" s="36"/>
      <c r="D600" s="36"/>
      <c r="E600" s="36"/>
      <c r="F600" s="37"/>
      <c r="G600" s="38"/>
      <c r="H600" s="36"/>
      <c r="I600" s="36"/>
      <c r="J600" s="39"/>
      <c r="K600" s="36"/>
      <c r="L600" s="40"/>
      <c r="M600" s="40"/>
      <c r="N600" s="41"/>
      <c r="O600" s="41"/>
      <c r="P600" s="37"/>
      <c r="Q600" s="38"/>
      <c r="R600" s="36"/>
      <c r="S600" s="42"/>
      <c r="T600" s="42"/>
      <c r="U600" s="37"/>
      <c r="V600" s="43"/>
      <c r="W600" s="43"/>
      <c r="X600" s="36"/>
    </row>
    <row r="601" ht="15.75" customHeight="1">
      <c r="A601" s="36"/>
      <c r="B601" s="36"/>
      <c r="C601" s="36"/>
      <c r="D601" s="36"/>
      <c r="E601" s="36"/>
      <c r="F601" s="37"/>
      <c r="G601" s="38"/>
      <c r="H601" s="36"/>
      <c r="I601" s="36"/>
      <c r="J601" s="39"/>
      <c r="K601" s="36"/>
      <c r="L601" s="40"/>
      <c r="M601" s="40"/>
      <c r="N601" s="41"/>
      <c r="O601" s="41"/>
      <c r="P601" s="37"/>
      <c r="Q601" s="38"/>
      <c r="R601" s="36"/>
      <c r="S601" s="42"/>
      <c r="T601" s="42"/>
      <c r="U601" s="37"/>
      <c r="V601" s="43"/>
      <c r="W601" s="43"/>
      <c r="X601" s="36"/>
    </row>
    <row r="602" ht="15.75" customHeight="1">
      <c r="A602" s="36"/>
      <c r="B602" s="36"/>
      <c r="C602" s="36"/>
      <c r="D602" s="36"/>
      <c r="E602" s="36"/>
      <c r="F602" s="37"/>
      <c r="G602" s="38"/>
      <c r="H602" s="36"/>
      <c r="I602" s="36"/>
      <c r="J602" s="39"/>
      <c r="K602" s="36"/>
      <c r="L602" s="40"/>
      <c r="M602" s="40"/>
      <c r="N602" s="41"/>
      <c r="O602" s="41"/>
      <c r="P602" s="37"/>
      <c r="Q602" s="38"/>
      <c r="R602" s="36"/>
      <c r="S602" s="42"/>
      <c r="T602" s="42"/>
      <c r="U602" s="37"/>
      <c r="V602" s="43"/>
      <c r="W602" s="43"/>
      <c r="X602" s="36"/>
    </row>
    <row r="603" ht="15.75" customHeight="1">
      <c r="A603" s="36"/>
      <c r="B603" s="36"/>
      <c r="C603" s="36"/>
      <c r="D603" s="36"/>
      <c r="E603" s="36"/>
      <c r="F603" s="37"/>
      <c r="G603" s="38"/>
      <c r="H603" s="36"/>
      <c r="I603" s="36"/>
      <c r="J603" s="39"/>
      <c r="K603" s="36"/>
      <c r="L603" s="40"/>
      <c r="M603" s="40"/>
      <c r="N603" s="41"/>
      <c r="O603" s="41"/>
      <c r="P603" s="37"/>
      <c r="Q603" s="38"/>
      <c r="R603" s="36"/>
      <c r="S603" s="42"/>
      <c r="T603" s="42"/>
      <c r="U603" s="37"/>
      <c r="V603" s="43"/>
      <c r="W603" s="43"/>
      <c r="X603" s="36"/>
    </row>
    <row r="604" ht="15.75" customHeight="1">
      <c r="A604" s="36"/>
      <c r="B604" s="36"/>
      <c r="C604" s="36"/>
      <c r="D604" s="36"/>
      <c r="E604" s="36"/>
      <c r="F604" s="37"/>
      <c r="G604" s="38"/>
      <c r="H604" s="36"/>
      <c r="I604" s="36"/>
      <c r="J604" s="39"/>
      <c r="K604" s="36"/>
      <c r="L604" s="40"/>
      <c r="M604" s="40"/>
      <c r="N604" s="41"/>
      <c r="O604" s="41"/>
      <c r="P604" s="37"/>
      <c r="Q604" s="38"/>
      <c r="R604" s="36"/>
      <c r="S604" s="42"/>
      <c r="T604" s="42"/>
      <c r="U604" s="37"/>
      <c r="V604" s="43"/>
      <c r="W604" s="43"/>
      <c r="X604" s="36"/>
    </row>
    <row r="605" ht="15.75" customHeight="1">
      <c r="A605" s="36"/>
      <c r="B605" s="36"/>
      <c r="C605" s="36"/>
      <c r="D605" s="36"/>
      <c r="E605" s="36"/>
      <c r="F605" s="37"/>
      <c r="G605" s="38"/>
      <c r="H605" s="36"/>
      <c r="I605" s="36"/>
      <c r="J605" s="39"/>
      <c r="K605" s="36"/>
      <c r="L605" s="40"/>
      <c r="M605" s="40"/>
      <c r="N605" s="41"/>
      <c r="O605" s="41"/>
      <c r="P605" s="37"/>
      <c r="Q605" s="38"/>
      <c r="R605" s="36"/>
      <c r="S605" s="42"/>
      <c r="T605" s="42"/>
      <c r="U605" s="37"/>
      <c r="V605" s="43"/>
      <c r="W605" s="43"/>
      <c r="X605" s="36"/>
    </row>
    <row r="606" ht="15.75" customHeight="1">
      <c r="A606" s="36"/>
      <c r="B606" s="36"/>
      <c r="C606" s="36"/>
      <c r="D606" s="36"/>
      <c r="E606" s="36"/>
      <c r="F606" s="37"/>
      <c r="G606" s="38"/>
      <c r="H606" s="36"/>
      <c r="I606" s="36"/>
      <c r="J606" s="39"/>
      <c r="K606" s="36"/>
      <c r="L606" s="40"/>
      <c r="M606" s="40"/>
      <c r="N606" s="41"/>
      <c r="O606" s="41"/>
      <c r="P606" s="37"/>
      <c r="Q606" s="38"/>
      <c r="R606" s="36"/>
      <c r="S606" s="42"/>
      <c r="T606" s="42"/>
      <c r="U606" s="37"/>
      <c r="V606" s="43"/>
      <c r="W606" s="43"/>
      <c r="X606" s="36"/>
    </row>
    <row r="607" ht="15.75" customHeight="1">
      <c r="A607" s="36"/>
      <c r="B607" s="36"/>
      <c r="C607" s="36"/>
      <c r="D607" s="36"/>
      <c r="E607" s="36"/>
      <c r="F607" s="37"/>
      <c r="G607" s="38"/>
      <c r="H607" s="36"/>
      <c r="I607" s="36"/>
      <c r="J607" s="39"/>
      <c r="K607" s="36"/>
      <c r="L607" s="40"/>
      <c r="M607" s="40"/>
      <c r="N607" s="41"/>
      <c r="O607" s="41"/>
      <c r="P607" s="37"/>
      <c r="Q607" s="38"/>
      <c r="R607" s="36"/>
      <c r="S607" s="42"/>
      <c r="T607" s="42"/>
      <c r="U607" s="37"/>
      <c r="V607" s="43"/>
      <c r="W607" s="43"/>
      <c r="X607" s="36"/>
    </row>
    <row r="608" ht="15.75" customHeight="1">
      <c r="A608" s="36"/>
      <c r="B608" s="36"/>
      <c r="C608" s="36"/>
      <c r="D608" s="36"/>
      <c r="E608" s="36"/>
      <c r="F608" s="37"/>
      <c r="G608" s="38"/>
      <c r="H608" s="36"/>
      <c r="I608" s="36"/>
      <c r="J608" s="39"/>
      <c r="K608" s="36"/>
      <c r="L608" s="40"/>
      <c r="M608" s="40"/>
      <c r="N608" s="41"/>
      <c r="O608" s="41"/>
      <c r="P608" s="37"/>
      <c r="Q608" s="38"/>
      <c r="R608" s="36"/>
      <c r="S608" s="42"/>
      <c r="T608" s="42"/>
      <c r="U608" s="37"/>
      <c r="V608" s="43"/>
      <c r="W608" s="43"/>
      <c r="X608" s="36"/>
    </row>
    <row r="609" ht="15.75" customHeight="1">
      <c r="A609" s="36"/>
      <c r="B609" s="36"/>
      <c r="C609" s="36"/>
      <c r="D609" s="36"/>
      <c r="E609" s="36"/>
      <c r="F609" s="37"/>
      <c r="G609" s="38"/>
      <c r="H609" s="36"/>
      <c r="I609" s="36"/>
      <c r="J609" s="39"/>
      <c r="K609" s="36"/>
      <c r="L609" s="40"/>
      <c r="M609" s="40"/>
      <c r="N609" s="41"/>
      <c r="O609" s="41"/>
      <c r="P609" s="37"/>
      <c r="Q609" s="38"/>
      <c r="R609" s="36"/>
      <c r="S609" s="42"/>
      <c r="T609" s="42"/>
      <c r="U609" s="37"/>
      <c r="V609" s="43"/>
      <c r="W609" s="43"/>
      <c r="X609" s="36"/>
    </row>
    <row r="610" ht="15.75" customHeight="1">
      <c r="A610" s="36"/>
      <c r="B610" s="36"/>
      <c r="C610" s="36"/>
      <c r="D610" s="36"/>
      <c r="E610" s="36"/>
      <c r="F610" s="37"/>
      <c r="G610" s="38"/>
      <c r="H610" s="36"/>
      <c r="I610" s="36"/>
      <c r="J610" s="39"/>
      <c r="K610" s="36"/>
      <c r="L610" s="40"/>
      <c r="M610" s="40"/>
      <c r="N610" s="41"/>
      <c r="O610" s="41"/>
      <c r="P610" s="37"/>
      <c r="Q610" s="38"/>
      <c r="R610" s="36"/>
      <c r="S610" s="42"/>
      <c r="T610" s="42"/>
      <c r="U610" s="37"/>
      <c r="V610" s="43"/>
      <c r="W610" s="43"/>
      <c r="X610" s="36"/>
    </row>
    <row r="611" ht="15.75" customHeight="1">
      <c r="A611" s="36"/>
      <c r="B611" s="36"/>
      <c r="C611" s="36"/>
      <c r="D611" s="36"/>
      <c r="E611" s="36"/>
      <c r="F611" s="37"/>
      <c r="G611" s="38"/>
      <c r="H611" s="36"/>
      <c r="I611" s="36"/>
      <c r="J611" s="39"/>
      <c r="K611" s="36"/>
      <c r="L611" s="40"/>
      <c r="M611" s="40"/>
      <c r="N611" s="41"/>
      <c r="O611" s="41"/>
      <c r="P611" s="37"/>
      <c r="Q611" s="38"/>
      <c r="R611" s="36"/>
      <c r="S611" s="42"/>
      <c r="T611" s="42"/>
      <c r="U611" s="37"/>
      <c r="V611" s="43"/>
      <c r="W611" s="43"/>
      <c r="X611" s="36"/>
    </row>
    <row r="612" ht="15.75" customHeight="1">
      <c r="A612" s="36"/>
      <c r="B612" s="36"/>
      <c r="C612" s="36"/>
      <c r="D612" s="36"/>
      <c r="E612" s="36"/>
      <c r="F612" s="37"/>
      <c r="G612" s="38"/>
      <c r="H612" s="36"/>
      <c r="I612" s="36"/>
      <c r="J612" s="39"/>
      <c r="K612" s="36"/>
      <c r="L612" s="40"/>
      <c r="M612" s="40"/>
      <c r="N612" s="41"/>
      <c r="O612" s="41"/>
      <c r="P612" s="37"/>
      <c r="Q612" s="38"/>
      <c r="R612" s="36"/>
      <c r="S612" s="42"/>
      <c r="T612" s="42"/>
      <c r="U612" s="37"/>
      <c r="V612" s="43"/>
      <c r="W612" s="43"/>
      <c r="X612" s="36"/>
    </row>
    <row r="613" ht="15.75" customHeight="1">
      <c r="A613" s="36"/>
      <c r="B613" s="36"/>
      <c r="C613" s="36"/>
      <c r="D613" s="36"/>
      <c r="E613" s="36"/>
      <c r="F613" s="37"/>
      <c r="G613" s="38"/>
      <c r="H613" s="36"/>
      <c r="I613" s="36"/>
      <c r="J613" s="39"/>
      <c r="K613" s="36"/>
      <c r="L613" s="40"/>
      <c r="M613" s="40"/>
      <c r="N613" s="41"/>
      <c r="O613" s="41"/>
      <c r="P613" s="37"/>
      <c r="Q613" s="38"/>
      <c r="R613" s="36"/>
      <c r="S613" s="42"/>
      <c r="T613" s="42"/>
      <c r="U613" s="37"/>
      <c r="V613" s="43"/>
      <c r="W613" s="43"/>
      <c r="X613" s="36"/>
    </row>
    <row r="614" ht="15.75" customHeight="1">
      <c r="A614" s="36"/>
      <c r="B614" s="36"/>
      <c r="C614" s="36"/>
      <c r="D614" s="36"/>
      <c r="E614" s="36"/>
      <c r="F614" s="37"/>
      <c r="G614" s="38"/>
      <c r="H614" s="36"/>
      <c r="I614" s="36"/>
      <c r="J614" s="39"/>
      <c r="K614" s="36"/>
      <c r="L614" s="40"/>
      <c r="M614" s="40"/>
      <c r="N614" s="41"/>
      <c r="O614" s="41"/>
      <c r="P614" s="37"/>
      <c r="Q614" s="38"/>
      <c r="R614" s="36"/>
      <c r="S614" s="42"/>
      <c r="T614" s="42"/>
      <c r="U614" s="37"/>
      <c r="V614" s="43"/>
      <c r="W614" s="43"/>
      <c r="X614" s="36"/>
    </row>
    <row r="615" ht="15.75" customHeight="1">
      <c r="A615" s="36"/>
      <c r="B615" s="36"/>
      <c r="C615" s="36"/>
      <c r="D615" s="36"/>
      <c r="E615" s="36"/>
      <c r="F615" s="37"/>
      <c r="G615" s="38"/>
      <c r="H615" s="36"/>
      <c r="I615" s="36"/>
      <c r="J615" s="39"/>
      <c r="K615" s="36"/>
      <c r="L615" s="40"/>
      <c r="M615" s="40"/>
      <c r="N615" s="41"/>
      <c r="O615" s="41"/>
      <c r="P615" s="37"/>
      <c r="Q615" s="38"/>
      <c r="R615" s="36"/>
      <c r="S615" s="42"/>
      <c r="T615" s="42"/>
      <c r="U615" s="37"/>
      <c r="V615" s="43"/>
      <c r="W615" s="43"/>
      <c r="X615" s="36"/>
    </row>
    <row r="616" ht="15.75" customHeight="1">
      <c r="A616" s="36"/>
      <c r="B616" s="36"/>
      <c r="C616" s="36"/>
      <c r="D616" s="36"/>
      <c r="E616" s="36"/>
      <c r="F616" s="37"/>
      <c r="G616" s="38"/>
      <c r="H616" s="36"/>
      <c r="I616" s="36"/>
      <c r="J616" s="39"/>
      <c r="K616" s="36"/>
      <c r="L616" s="40"/>
      <c r="M616" s="40"/>
      <c r="N616" s="41"/>
      <c r="O616" s="41"/>
      <c r="P616" s="37"/>
      <c r="Q616" s="38"/>
      <c r="R616" s="36"/>
      <c r="S616" s="42"/>
      <c r="T616" s="42"/>
      <c r="U616" s="37"/>
      <c r="V616" s="43"/>
      <c r="W616" s="43"/>
      <c r="X616" s="36"/>
    </row>
    <row r="617" ht="15.75" customHeight="1">
      <c r="A617" s="36"/>
      <c r="B617" s="36"/>
      <c r="C617" s="36"/>
      <c r="D617" s="36"/>
      <c r="E617" s="36"/>
      <c r="F617" s="37"/>
      <c r="G617" s="38"/>
      <c r="H617" s="36"/>
      <c r="I617" s="36"/>
      <c r="J617" s="39"/>
      <c r="K617" s="36"/>
      <c r="L617" s="40"/>
      <c r="M617" s="40"/>
      <c r="N617" s="41"/>
      <c r="O617" s="41"/>
      <c r="P617" s="37"/>
      <c r="Q617" s="38"/>
      <c r="R617" s="36"/>
      <c r="S617" s="42"/>
      <c r="T617" s="42"/>
      <c r="U617" s="37"/>
      <c r="V617" s="43"/>
      <c r="W617" s="43"/>
      <c r="X617" s="36"/>
    </row>
    <row r="618" ht="15.75" customHeight="1">
      <c r="A618" s="36"/>
      <c r="B618" s="36"/>
      <c r="C618" s="36"/>
      <c r="D618" s="36"/>
      <c r="E618" s="36"/>
      <c r="F618" s="37"/>
      <c r="G618" s="38"/>
      <c r="H618" s="36"/>
      <c r="I618" s="36"/>
      <c r="J618" s="39"/>
      <c r="K618" s="36"/>
      <c r="L618" s="40"/>
      <c r="M618" s="40"/>
      <c r="N618" s="41"/>
      <c r="O618" s="41"/>
      <c r="P618" s="37"/>
      <c r="Q618" s="38"/>
      <c r="R618" s="36"/>
      <c r="S618" s="42"/>
      <c r="T618" s="42"/>
      <c r="U618" s="37"/>
      <c r="V618" s="43"/>
      <c r="W618" s="43"/>
      <c r="X618" s="36"/>
    </row>
    <row r="619" ht="15.75" customHeight="1">
      <c r="A619" s="36"/>
      <c r="B619" s="36"/>
      <c r="C619" s="36"/>
      <c r="D619" s="36"/>
      <c r="E619" s="36"/>
      <c r="F619" s="37"/>
      <c r="G619" s="38"/>
      <c r="H619" s="36"/>
      <c r="I619" s="36"/>
      <c r="J619" s="39"/>
      <c r="K619" s="36"/>
      <c r="L619" s="40"/>
      <c r="M619" s="40"/>
      <c r="N619" s="41"/>
      <c r="O619" s="41"/>
      <c r="P619" s="37"/>
      <c r="Q619" s="38"/>
      <c r="R619" s="36"/>
      <c r="S619" s="42"/>
      <c r="T619" s="42"/>
      <c r="U619" s="37"/>
      <c r="V619" s="43"/>
      <c r="W619" s="43"/>
      <c r="X619" s="36"/>
    </row>
    <row r="620" ht="15.75" customHeight="1">
      <c r="A620" s="36"/>
      <c r="B620" s="36"/>
      <c r="C620" s="36"/>
      <c r="D620" s="36"/>
      <c r="E620" s="36"/>
      <c r="F620" s="37"/>
      <c r="G620" s="38"/>
      <c r="H620" s="36"/>
      <c r="I620" s="36"/>
      <c r="J620" s="39"/>
      <c r="K620" s="36"/>
      <c r="L620" s="40"/>
      <c r="M620" s="40"/>
      <c r="N620" s="41"/>
      <c r="O620" s="41"/>
      <c r="P620" s="37"/>
      <c r="Q620" s="38"/>
      <c r="R620" s="36"/>
      <c r="S620" s="42"/>
      <c r="T620" s="42"/>
      <c r="U620" s="37"/>
      <c r="V620" s="43"/>
      <c r="W620" s="43"/>
      <c r="X620" s="36"/>
    </row>
    <row r="621" ht="15.75" customHeight="1">
      <c r="A621" s="36"/>
      <c r="B621" s="36"/>
      <c r="C621" s="36"/>
      <c r="D621" s="36"/>
      <c r="E621" s="36"/>
      <c r="F621" s="37"/>
      <c r="G621" s="38"/>
      <c r="H621" s="36"/>
      <c r="I621" s="36"/>
      <c r="J621" s="39"/>
      <c r="K621" s="36"/>
      <c r="L621" s="40"/>
      <c r="M621" s="40"/>
      <c r="N621" s="41"/>
      <c r="O621" s="41"/>
      <c r="P621" s="37"/>
      <c r="Q621" s="38"/>
      <c r="R621" s="36"/>
      <c r="S621" s="42"/>
      <c r="T621" s="42"/>
      <c r="U621" s="37"/>
      <c r="V621" s="43"/>
      <c r="W621" s="43"/>
      <c r="X621" s="36"/>
    </row>
    <row r="622" ht="15.75" customHeight="1">
      <c r="A622" s="36"/>
      <c r="B622" s="36"/>
      <c r="C622" s="36"/>
      <c r="D622" s="36"/>
      <c r="E622" s="36"/>
      <c r="F622" s="37"/>
      <c r="G622" s="38"/>
      <c r="H622" s="36"/>
      <c r="I622" s="36"/>
      <c r="J622" s="39"/>
      <c r="K622" s="36"/>
      <c r="L622" s="40"/>
      <c r="M622" s="40"/>
      <c r="N622" s="41"/>
      <c r="O622" s="41"/>
      <c r="P622" s="37"/>
      <c r="Q622" s="38"/>
      <c r="R622" s="36"/>
      <c r="S622" s="42"/>
      <c r="T622" s="42"/>
      <c r="U622" s="37"/>
      <c r="V622" s="43"/>
      <c r="W622" s="43"/>
      <c r="X622" s="36"/>
    </row>
    <row r="623" ht="15.75" customHeight="1">
      <c r="A623" s="36"/>
      <c r="B623" s="36"/>
      <c r="C623" s="36"/>
      <c r="D623" s="36"/>
      <c r="E623" s="36"/>
      <c r="F623" s="37"/>
      <c r="G623" s="38"/>
      <c r="H623" s="36"/>
      <c r="I623" s="36"/>
      <c r="J623" s="39"/>
      <c r="K623" s="36"/>
      <c r="L623" s="40"/>
      <c r="M623" s="40"/>
      <c r="N623" s="41"/>
      <c r="O623" s="41"/>
      <c r="P623" s="37"/>
      <c r="Q623" s="38"/>
      <c r="R623" s="36"/>
      <c r="S623" s="42"/>
      <c r="T623" s="42"/>
      <c r="U623" s="37"/>
      <c r="V623" s="43"/>
      <c r="W623" s="43"/>
      <c r="X623" s="36"/>
    </row>
    <row r="624" ht="15.75" customHeight="1">
      <c r="A624" s="36"/>
      <c r="B624" s="36"/>
      <c r="C624" s="36"/>
      <c r="D624" s="36"/>
      <c r="E624" s="36"/>
      <c r="F624" s="37"/>
      <c r="G624" s="38"/>
      <c r="H624" s="36"/>
      <c r="I624" s="36"/>
      <c r="J624" s="39"/>
      <c r="K624" s="36"/>
      <c r="L624" s="40"/>
      <c r="M624" s="40"/>
      <c r="N624" s="41"/>
      <c r="O624" s="41"/>
      <c r="P624" s="37"/>
      <c r="Q624" s="38"/>
      <c r="R624" s="36"/>
      <c r="S624" s="42"/>
      <c r="T624" s="42"/>
      <c r="U624" s="37"/>
      <c r="V624" s="43"/>
      <c r="W624" s="43"/>
      <c r="X624" s="36"/>
    </row>
    <row r="625" ht="15.75" customHeight="1">
      <c r="A625" s="36"/>
      <c r="B625" s="36"/>
      <c r="C625" s="36"/>
      <c r="D625" s="36"/>
      <c r="E625" s="36"/>
      <c r="F625" s="37"/>
      <c r="G625" s="38"/>
      <c r="H625" s="36"/>
      <c r="I625" s="36"/>
      <c r="J625" s="39"/>
      <c r="K625" s="36"/>
      <c r="L625" s="40"/>
      <c r="M625" s="40"/>
      <c r="N625" s="41"/>
      <c r="O625" s="41"/>
      <c r="P625" s="37"/>
      <c r="Q625" s="38"/>
      <c r="R625" s="36"/>
      <c r="S625" s="42"/>
      <c r="T625" s="42"/>
      <c r="U625" s="37"/>
      <c r="V625" s="43"/>
      <c r="W625" s="43"/>
      <c r="X625" s="36"/>
    </row>
    <row r="626" ht="15.75" customHeight="1">
      <c r="A626" s="36"/>
      <c r="B626" s="36"/>
      <c r="C626" s="36"/>
      <c r="D626" s="36"/>
      <c r="E626" s="36"/>
      <c r="F626" s="37"/>
      <c r="G626" s="38"/>
      <c r="H626" s="36"/>
      <c r="I626" s="36"/>
      <c r="J626" s="39"/>
      <c r="K626" s="36"/>
      <c r="L626" s="40"/>
      <c r="M626" s="40"/>
      <c r="N626" s="41"/>
      <c r="O626" s="41"/>
      <c r="P626" s="37"/>
      <c r="Q626" s="38"/>
      <c r="R626" s="36"/>
      <c r="S626" s="42"/>
      <c r="T626" s="42"/>
      <c r="U626" s="37"/>
      <c r="V626" s="43"/>
      <c r="W626" s="43"/>
      <c r="X626" s="36"/>
    </row>
    <row r="627" ht="15.75" customHeight="1">
      <c r="A627" s="36"/>
      <c r="B627" s="36"/>
      <c r="C627" s="36"/>
      <c r="D627" s="36"/>
      <c r="E627" s="36"/>
      <c r="F627" s="37"/>
      <c r="G627" s="38"/>
      <c r="H627" s="36"/>
      <c r="I627" s="36"/>
      <c r="J627" s="39"/>
      <c r="K627" s="36"/>
      <c r="L627" s="40"/>
      <c r="M627" s="40"/>
      <c r="N627" s="41"/>
      <c r="O627" s="41"/>
      <c r="P627" s="37"/>
      <c r="Q627" s="38"/>
      <c r="R627" s="36"/>
      <c r="S627" s="42"/>
      <c r="T627" s="42"/>
      <c r="U627" s="37"/>
      <c r="V627" s="43"/>
      <c r="W627" s="43"/>
      <c r="X627" s="36"/>
    </row>
    <row r="628" ht="15.75" customHeight="1">
      <c r="A628" s="36"/>
      <c r="B628" s="36"/>
      <c r="C628" s="36"/>
      <c r="D628" s="36"/>
      <c r="E628" s="36"/>
      <c r="F628" s="37"/>
      <c r="G628" s="38"/>
      <c r="H628" s="36"/>
      <c r="I628" s="36"/>
      <c r="J628" s="39"/>
      <c r="K628" s="36"/>
      <c r="L628" s="40"/>
      <c r="M628" s="40"/>
      <c r="N628" s="41"/>
      <c r="O628" s="41"/>
      <c r="P628" s="37"/>
      <c r="Q628" s="38"/>
      <c r="R628" s="36"/>
      <c r="S628" s="42"/>
      <c r="T628" s="42"/>
      <c r="U628" s="37"/>
      <c r="V628" s="43"/>
      <c r="W628" s="43"/>
      <c r="X628" s="36"/>
    </row>
    <row r="629" ht="15.75" customHeight="1">
      <c r="A629" s="36"/>
      <c r="B629" s="36"/>
      <c r="C629" s="36"/>
      <c r="D629" s="36"/>
      <c r="E629" s="36"/>
      <c r="F629" s="37"/>
      <c r="G629" s="38"/>
      <c r="H629" s="36"/>
      <c r="I629" s="36"/>
      <c r="J629" s="39"/>
      <c r="K629" s="36"/>
      <c r="L629" s="40"/>
      <c r="M629" s="40"/>
      <c r="N629" s="41"/>
      <c r="O629" s="41"/>
      <c r="P629" s="37"/>
      <c r="Q629" s="38"/>
      <c r="R629" s="36"/>
      <c r="S629" s="42"/>
      <c r="T629" s="42"/>
      <c r="U629" s="37"/>
      <c r="V629" s="43"/>
      <c r="W629" s="43"/>
      <c r="X629" s="36"/>
    </row>
    <row r="630" ht="15.75" customHeight="1">
      <c r="A630" s="36"/>
      <c r="B630" s="36"/>
      <c r="C630" s="36"/>
      <c r="D630" s="36"/>
      <c r="E630" s="36"/>
      <c r="F630" s="37"/>
      <c r="G630" s="38"/>
      <c r="H630" s="36"/>
      <c r="I630" s="36"/>
      <c r="J630" s="39"/>
      <c r="K630" s="36"/>
      <c r="L630" s="40"/>
      <c r="M630" s="40"/>
      <c r="N630" s="41"/>
      <c r="O630" s="41"/>
      <c r="P630" s="37"/>
      <c r="Q630" s="38"/>
      <c r="R630" s="36"/>
      <c r="S630" s="42"/>
      <c r="T630" s="42"/>
      <c r="U630" s="37"/>
      <c r="V630" s="43"/>
      <c r="W630" s="43"/>
      <c r="X630" s="36"/>
    </row>
    <row r="631" ht="15.75" customHeight="1">
      <c r="A631" s="36"/>
      <c r="B631" s="36"/>
      <c r="C631" s="36"/>
      <c r="D631" s="36"/>
      <c r="E631" s="36"/>
      <c r="F631" s="37"/>
      <c r="G631" s="38"/>
      <c r="H631" s="36"/>
      <c r="I631" s="36"/>
      <c r="J631" s="39"/>
      <c r="K631" s="36"/>
      <c r="L631" s="40"/>
      <c r="M631" s="40"/>
      <c r="N631" s="41"/>
      <c r="O631" s="41"/>
      <c r="P631" s="37"/>
      <c r="Q631" s="38"/>
      <c r="R631" s="36"/>
      <c r="S631" s="42"/>
      <c r="T631" s="42"/>
      <c r="U631" s="37"/>
      <c r="V631" s="43"/>
      <c r="W631" s="43"/>
      <c r="X631" s="36"/>
    </row>
    <row r="632" ht="15.75" customHeight="1">
      <c r="A632" s="36"/>
      <c r="B632" s="36"/>
      <c r="C632" s="36"/>
      <c r="D632" s="36"/>
      <c r="E632" s="36"/>
      <c r="F632" s="37"/>
      <c r="G632" s="38"/>
      <c r="H632" s="36"/>
      <c r="I632" s="36"/>
      <c r="J632" s="39"/>
      <c r="K632" s="36"/>
      <c r="L632" s="40"/>
      <c r="M632" s="40"/>
      <c r="N632" s="41"/>
      <c r="O632" s="41"/>
      <c r="P632" s="37"/>
      <c r="Q632" s="38"/>
      <c r="R632" s="36"/>
      <c r="S632" s="42"/>
      <c r="T632" s="42"/>
      <c r="U632" s="37"/>
      <c r="V632" s="43"/>
      <c r="W632" s="43"/>
      <c r="X632" s="36"/>
    </row>
    <row r="633" ht="15.75" customHeight="1">
      <c r="A633" s="36"/>
      <c r="B633" s="36"/>
      <c r="C633" s="36"/>
      <c r="D633" s="36"/>
      <c r="E633" s="36"/>
      <c r="F633" s="37"/>
      <c r="G633" s="38"/>
      <c r="H633" s="36"/>
      <c r="I633" s="36"/>
      <c r="J633" s="39"/>
      <c r="K633" s="36"/>
      <c r="L633" s="40"/>
      <c r="M633" s="40"/>
      <c r="N633" s="41"/>
      <c r="O633" s="41"/>
      <c r="P633" s="37"/>
      <c r="Q633" s="38"/>
      <c r="R633" s="36"/>
      <c r="S633" s="42"/>
      <c r="T633" s="42"/>
      <c r="U633" s="37"/>
      <c r="V633" s="43"/>
      <c r="W633" s="43"/>
      <c r="X633" s="36"/>
    </row>
    <row r="634" ht="15.75" customHeight="1">
      <c r="A634" s="36"/>
      <c r="B634" s="36"/>
      <c r="C634" s="36"/>
      <c r="D634" s="36"/>
      <c r="E634" s="36"/>
      <c r="F634" s="37"/>
      <c r="G634" s="38"/>
      <c r="H634" s="36"/>
      <c r="I634" s="36"/>
      <c r="J634" s="39"/>
      <c r="K634" s="36"/>
      <c r="L634" s="40"/>
      <c r="M634" s="40"/>
      <c r="N634" s="41"/>
      <c r="O634" s="41"/>
      <c r="P634" s="37"/>
      <c r="Q634" s="38"/>
      <c r="R634" s="36"/>
      <c r="S634" s="42"/>
      <c r="T634" s="42"/>
      <c r="U634" s="37"/>
      <c r="V634" s="43"/>
      <c r="W634" s="43"/>
      <c r="X634" s="36"/>
    </row>
    <row r="635" ht="15.75" customHeight="1">
      <c r="A635" s="36"/>
      <c r="B635" s="36"/>
      <c r="C635" s="36"/>
      <c r="D635" s="36"/>
      <c r="E635" s="36"/>
      <c r="F635" s="37"/>
      <c r="G635" s="38"/>
      <c r="H635" s="36"/>
      <c r="I635" s="36"/>
      <c r="J635" s="39"/>
      <c r="K635" s="36"/>
      <c r="L635" s="40"/>
      <c r="M635" s="40"/>
      <c r="N635" s="41"/>
      <c r="O635" s="41"/>
      <c r="P635" s="37"/>
      <c r="Q635" s="38"/>
      <c r="R635" s="36"/>
      <c r="S635" s="42"/>
      <c r="T635" s="42"/>
      <c r="U635" s="37"/>
      <c r="V635" s="43"/>
      <c r="W635" s="43"/>
      <c r="X635" s="36"/>
    </row>
    <row r="636" ht="15.75" customHeight="1">
      <c r="A636" s="36"/>
      <c r="B636" s="36"/>
      <c r="C636" s="36"/>
      <c r="D636" s="36"/>
      <c r="E636" s="36"/>
      <c r="F636" s="37"/>
      <c r="G636" s="38"/>
      <c r="H636" s="36"/>
      <c r="I636" s="36"/>
      <c r="J636" s="39"/>
      <c r="K636" s="36"/>
      <c r="L636" s="40"/>
      <c r="M636" s="40"/>
      <c r="N636" s="41"/>
      <c r="O636" s="41"/>
      <c r="P636" s="37"/>
      <c r="Q636" s="38"/>
      <c r="R636" s="36"/>
      <c r="S636" s="42"/>
      <c r="T636" s="42"/>
      <c r="U636" s="37"/>
      <c r="V636" s="43"/>
      <c r="W636" s="43"/>
      <c r="X636" s="36"/>
    </row>
    <row r="637" ht="15.75" customHeight="1">
      <c r="A637" s="36"/>
      <c r="B637" s="36"/>
      <c r="C637" s="36"/>
      <c r="D637" s="36"/>
      <c r="E637" s="36"/>
      <c r="F637" s="37"/>
      <c r="G637" s="38"/>
      <c r="H637" s="36"/>
      <c r="I637" s="36"/>
      <c r="J637" s="39"/>
      <c r="K637" s="36"/>
      <c r="L637" s="40"/>
      <c r="M637" s="40"/>
      <c r="N637" s="41"/>
      <c r="O637" s="41"/>
      <c r="P637" s="37"/>
      <c r="Q637" s="38"/>
      <c r="R637" s="36"/>
      <c r="S637" s="42"/>
      <c r="T637" s="42"/>
      <c r="U637" s="37"/>
      <c r="V637" s="43"/>
      <c r="W637" s="43"/>
      <c r="X637" s="36"/>
    </row>
    <row r="638" ht="15.75" customHeight="1">
      <c r="A638" s="36"/>
      <c r="B638" s="36"/>
      <c r="C638" s="36"/>
      <c r="D638" s="36"/>
      <c r="E638" s="36"/>
      <c r="F638" s="37"/>
      <c r="G638" s="38"/>
      <c r="H638" s="36"/>
      <c r="I638" s="36"/>
      <c r="J638" s="39"/>
      <c r="K638" s="36"/>
      <c r="L638" s="40"/>
      <c r="M638" s="40"/>
      <c r="N638" s="41"/>
      <c r="O638" s="41"/>
      <c r="P638" s="37"/>
      <c r="Q638" s="38"/>
      <c r="R638" s="36"/>
      <c r="S638" s="42"/>
      <c r="T638" s="42"/>
      <c r="U638" s="37"/>
      <c r="V638" s="43"/>
      <c r="W638" s="43"/>
      <c r="X638" s="36"/>
    </row>
    <row r="639" ht="15.75" customHeight="1">
      <c r="A639" s="36"/>
      <c r="B639" s="36"/>
      <c r="C639" s="36"/>
      <c r="D639" s="36"/>
      <c r="E639" s="36"/>
      <c r="F639" s="37"/>
      <c r="G639" s="38"/>
      <c r="H639" s="36"/>
      <c r="I639" s="36"/>
      <c r="J639" s="39"/>
      <c r="K639" s="36"/>
      <c r="L639" s="40"/>
      <c r="M639" s="40"/>
      <c r="N639" s="41"/>
      <c r="O639" s="41"/>
      <c r="P639" s="37"/>
      <c r="Q639" s="38"/>
      <c r="R639" s="36"/>
      <c r="S639" s="42"/>
      <c r="T639" s="42"/>
      <c r="U639" s="37"/>
      <c r="V639" s="43"/>
      <c r="W639" s="43"/>
      <c r="X639" s="36"/>
    </row>
    <row r="640" ht="15.75" customHeight="1">
      <c r="A640" s="36"/>
      <c r="B640" s="36"/>
      <c r="C640" s="36"/>
      <c r="D640" s="36"/>
      <c r="E640" s="36"/>
      <c r="F640" s="37"/>
      <c r="G640" s="38"/>
      <c r="H640" s="36"/>
      <c r="I640" s="36"/>
      <c r="J640" s="39"/>
      <c r="K640" s="36"/>
      <c r="L640" s="40"/>
      <c r="M640" s="40"/>
      <c r="N640" s="41"/>
      <c r="O640" s="41"/>
      <c r="P640" s="37"/>
      <c r="Q640" s="38"/>
      <c r="R640" s="36"/>
      <c r="S640" s="42"/>
      <c r="T640" s="42"/>
      <c r="U640" s="37"/>
      <c r="V640" s="43"/>
      <c r="W640" s="43"/>
      <c r="X640" s="36"/>
    </row>
    <row r="641" ht="15.75" customHeight="1">
      <c r="A641" s="36"/>
      <c r="B641" s="36"/>
      <c r="C641" s="36"/>
      <c r="D641" s="36"/>
      <c r="E641" s="36"/>
      <c r="F641" s="37"/>
      <c r="G641" s="38"/>
      <c r="H641" s="36"/>
      <c r="I641" s="36"/>
      <c r="J641" s="39"/>
      <c r="K641" s="36"/>
      <c r="L641" s="40"/>
      <c r="M641" s="40"/>
      <c r="N641" s="41"/>
      <c r="O641" s="41"/>
      <c r="P641" s="37"/>
      <c r="Q641" s="38"/>
      <c r="R641" s="36"/>
      <c r="S641" s="42"/>
      <c r="T641" s="42"/>
      <c r="U641" s="37"/>
      <c r="V641" s="43"/>
      <c r="W641" s="43"/>
      <c r="X641" s="36"/>
    </row>
    <row r="642" ht="15.75" customHeight="1">
      <c r="A642" s="36"/>
      <c r="B642" s="36"/>
      <c r="C642" s="36"/>
      <c r="D642" s="36"/>
      <c r="E642" s="36"/>
      <c r="F642" s="37"/>
      <c r="G642" s="38"/>
      <c r="H642" s="36"/>
      <c r="I642" s="36"/>
      <c r="J642" s="39"/>
      <c r="K642" s="36"/>
      <c r="L642" s="40"/>
      <c r="M642" s="40"/>
      <c r="N642" s="41"/>
      <c r="O642" s="41"/>
      <c r="P642" s="37"/>
      <c r="Q642" s="38"/>
      <c r="R642" s="36"/>
      <c r="S642" s="42"/>
      <c r="T642" s="42"/>
      <c r="U642" s="37"/>
      <c r="V642" s="43"/>
      <c r="W642" s="43"/>
      <c r="X642" s="36"/>
    </row>
    <row r="643" ht="15.75" customHeight="1">
      <c r="A643" s="36"/>
      <c r="B643" s="36"/>
      <c r="C643" s="36"/>
      <c r="D643" s="36"/>
      <c r="E643" s="36"/>
      <c r="F643" s="37"/>
      <c r="G643" s="38"/>
      <c r="H643" s="36"/>
      <c r="I643" s="36"/>
      <c r="J643" s="39"/>
      <c r="K643" s="36"/>
      <c r="L643" s="40"/>
      <c r="M643" s="40"/>
      <c r="N643" s="41"/>
      <c r="O643" s="41"/>
      <c r="P643" s="37"/>
      <c r="Q643" s="38"/>
      <c r="R643" s="36"/>
      <c r="S643" s="42"/>
      <c r="T643" s="42"/>
      <c r="U643" s="37"/>
      <c r="V643" s="43"/>
      <c r="W643" s="43"/>
      <c r="X643" s="36"/>
    </row>
    <row r="644" ht="15.75" customHeight="1">
      <c r="A644" s="36"/>
      <c r="B644" s="36"/>
      <c r="C644" s="36"/>
      <c r="D644" s="36"/>
      <c r="E644" s="36"/>
      <c r="F644" s="37"/>
      <c r="G644" s="38"/>
      <c r="H644" s="36"/>
      <c r="I644" s="36"/>
      <c r="J644" s="39"/>
      <c r="K644" s="36"/>
      <c r="L644" s="40"/>
      <c r="M644" s="40"/>
      <c r="N644" s="41"/>
      <c r="O644" s="41"/>
      <c r="P644" s="37"/>
      <c r="Q644" s="38"/>
      <c r="R644" s="36"/>
      <c r="S644" s="42"/>
      <c r="T644" s="42"/>
      <c r="U644" s="37"/>
      <c r="V644" s="43"/>
      <c r="W644" s="43"/>
      <c r="X644" s="36"/>
    </row>
    <row r="645" ht="15.75" customHeight="1">
      <c r="A645" s="36"/>
      <c r="B645" s="36"/>
      <c r="C645" s="36"/>
      <c r="D645" s="36"/>
      <c r="E645" s="36"/>
      <c r="F645" s="37"/>
      <c r="G645" s="38"/>
      <c r="H645" s="36"/>
      <c r="I645" s="36"/>
      <c r="J645" s="39"/>
      <c r="K645" s="36"/>
      <c r="L645" s="40"/>
      <c r="M645" s="40"/>
      <c r="N645" s="41"/>
      <c r="O645" s="41"/>
      <c r="P645" s="37"/>
      <c r="Q645" s="38"/>
      <c r="R645" s="36"/>
      <c r="S645" s="42"/>
      <c r="T645" s="42"/>
      <c r="U645" s="37"/>
      <c r="V645" s="43"/>
      <c r="W645" s="43"/>
      <c r="X645" s="36"/>
    </row>
    <row r="646" ht="15.75" customHeight="1">
      <c r="A646" s="36"/>
      <c r="B646" s="36"/>
      <c r="C646" s="36"/>
      <c r="D646" s="36"/>
      <c r="E646" s="36"/>
      <c r="F646" s="37"/>
      <c r="G646" s="38"/>
      <c r="H646" s="36"/>
      <c r="I646" s="36"/>
      <c r="J646" s="39"/>
      <c r="K646" s="36"/>
      <c r="L646" s="40"/>
      <c r="M646" s="40"/>
      <c r="N646" s="41"/>
      <c r="O646" s="41"/>
      <c r="P646" s="37"/>
      <c r="Q646" s="38"/>
      <c r="R646" s="36"/>
      <c r="S646" s="42"/>
      <c r="T646" s="42"/>
      <c r="U646" s="37"/>
      <c r="V646" s="43"/>
      <c r="W646" s="43"/>
      <c r="X646" s="36"/>
    </row>
    <row r="647" ht="15.75" customHeight="1">
      <c r="A647" s="36"/>
      <c r="B647" s="36"/>
      <c r="C647" s="36"/>
      <c r="D647" s="36"/>
      <c r="E647" s="36"/>
      <c r="F647" s="37"/>
      <c r="G647" s="38"/>
      <c r="H647" s="36"/>
      <c r="I647" s="36"/>
      <c r="J647" s="39"/>
      <c r="K647" s="36"/>
      <c r="L647" s="40"/>
      <c r="M647" s="40"/>
      <c r="N647" s="41"/>
      <c r="O647" s="41"/>
      <c r="P647" s="37"/>
      <c r="Q647" s="38"/>
      <c r="R647" s="36"/>
      <c r="S647" s="42"/>
      <c r="T647" s="42"/>
      <c r="U647" s="37"/>
      <c r="V647" s="43"/>
      <c r="W647" s="43"/>
      <c r="X647" s="36"/>
    </row>
    <row r="648" ht="15.75" customHeight="1">
      <c r="A648" s="36"/>
      <c r="B648" s="36"/>
      <c r="C648" s="36"/>
      <c r="D648" s="36"/>
      <c r="E648" s="36"/>
      <c r="F648" s="37"/>
      <c r="G648" s="38"/>
      <c r="H648" s="36"/>
      <c r="I648" s="36"/>
      <c r="J648" s="39"/>
      <c r="K648" s="36"/>
      <c r="L648" s="40"/>
      <c r="M648" s="40"/>
      <c r="N648" s="41"/>
      <c r="O648" s="41"/>
      <c r="P648" s="37"/>
      <c r="Q648" s="38"/>
      <c r="R648" s="36"/>
      <c r="S648" s="42"/>
      <c r="T648" s="42"/>
      <c r="U648" s="37"/>
      <c r="V648" s="43"/>
      <c r="W648" s="43"/>
      <c r="X648" s="36"/>
    </row>
    <row r="649" ht="15.75" customHeight="1">
      <c r="A649" s="36"/>
      <c r="B649" s="36"/>
      <c r="C649" s="36"/>
      <c r="D649" s="36"/>
      <c r="E649" s="36"/>
      <c r="F649" s="37"/>
      <c r="G649" s="38"/>
      <c r="H649" s="36"/>
      <c r="I649" s="36"/>
      <c r="J649" s="39"/>
      <c r="K649" s="36"/>
      <c r="L649" s="40"/>
      <c r="M649" s="40"/>
      <c r="N649" s="41"/>
      <c r="O649" s="41"/>
      <c r="P649" s="37"/>
      <c r="Q649" s="38"/>
      <c r="R649" s="36"/>
      <c r="S649" s="42"/>
      <c r="T649" s="42"/>
      <c r="U649" s="37"/>
      <c r="V649" s="43"/>
      <c r="W649" s="43"/>
      <c r="X649" s="36"/>
    </row>
    <row r="650" ht="15.75" customHeight="1">
      <c r="A650" s="36"/>
      <c r="B650" s="36"/>
      <c r="C650" s="36"/>
      <c r="D650" s="36"/>
      <c r="E650" s="36"/>
      <c r="F650" s="37"/>
      <c r="G650" s="38"/>
      <c r="H650" s="36"/>
      <c r="I650" s="36"/>
      <c r="J650" s="39"/>
      <c r="K650" s="36"/>
      <c r="L650" s="40"/>
      <c r="M650" s="40"/>
      <c r="N650" s="41"/>
      <c r="O650" s="41"/>
      <c r="P650" s="37"/>
      <c r="Q650" s="38"/>
      <c r="R650" s="36"/>
      <c r="S650" s="42"/>
      <c r="T650" s="42"/>
      <c r="U650" s="37"/>
      <c r="V650" s="43"/>
      <c r="W650" s="43"/>
      <c r="X650" s="36"/>
    </row>
    <row r="651" ht="15.75" customHeight="1">
      <c r="A651" s="36"/>
      <c r="B651" s="36"/>
      <c r="C651" s="36"/>
      <c r="D651" s="36"/>
      <c r="E651" s="36"/>
      <c r="F651" s="37"/>
      <c r="G651" s="38"/>
      <c r="H651" s="36"/>
      <c r="I651" s="36"/>
      <c r="J651" s="39"/>
      <c r="K651" s="36"/>
      <c r="L651" s="40"/>
      <c r="M651" s="40"/>
      <c r="N651" s="41"/>
      <c r="O651" s="41"/>
      <c r="P651" s="37"/>
      <c r="Q651" s="38"/>
      <c r="R651" s="36"/>
      <c r="S651" s="42"/>
      <c r="T651" s="42"/>
      <c r="U651" s="37"/>
      <c r="V651" s="43"/>
      <c r="W651" s="43"/>
      <c r="X651" s="36"/>
    </row>
    <row r="652" ht="15.75" customHeight="1">
      <c r="A652" s="36"/>
      <c r="B652" s="36"/>
      <c r="C652" s="36"/>
      <c r="D652" s="36"/>
      <c r="E652" s="36"/>
      <c r="F652" s="37"/>
      <c r="G652" s="38"/>
      <c r="H652" s="36"/>
      <c r="I652" s="36"/>
      <c r="J652" s="39"/>
      <c r="K652" s="36"/>
      <c r="L652" s="40"/>
      <c r="M652" s="40"/>
      <c r="N652" s="41"/>
      <c r="O652" s="41"/>
      <c r="P652" s="37"/>
      <c r="Q652" s="38"/>
      <c r="R652" s="36"/>
      <c r="S652" s="42"/>
      <c r="T652" s="42"/>
      <c r="U652" s="37"/>
      <c r="V652" s="43"/>
      <c r="W652" s="43"/>
      <c r="X652" s="36"/>
    </row>
    <row r="653" ht="15.75" customHeight="1">
      <c r="A653" s="36"/>
      <c r="B653" s="36"/>
      <c r="C653" s="36"/>
      <c r="D653" s="36"/>
      <c r="E653" s="36"/>
      <c r="F653" s="37"/>
      <c r="G653" s="38"/>
      <c r="H653" s="36"/>
      <c r="I653" s="36"/>
      <c r="J653" s="39"/>
      <c r="K653" s="36"/>
      <c r="L653" s="40"/>
      <c r="M653" s="40"/>
      <c r="N653" s="41"/>
      <c r="O653" s="41"/>
      <c r="P653" s="37"/>
      <c r="Q653" s="38"/>
      <c r="R653" s="36"/>
      <c r="S653" s="42"/>
      <c r="T653" s="42"/>
      <c r="U653" s="37"/>
      <c r="V653" s="43"/>
      <c r="W653" s="43"/>
      <c r="X653" s="36"/>
    </row>
    <row r="654" ht="15.75" customHeight="1">
      <c r="A654" s="36"/>
      <c r="B654" s="36"/>
      <c r="C654" s="36"/>
      <c r="D654" s="36"/>
      <c r="E654" s="36"/>
      <c r="F654" s="37"/>
      <c r="G654" s="38"/>
      <c r="H654" s="36"/>
      <c r="I654" s="36"/>
      <c r="J654" s="39"/>
      <c r="K654" s="36"/>
      <c r="L654" s="40"/>
      <c r="M654" s="40"/>
      <c r="N654" s="41"/>
      <c r="O654" s="41"/>
      <c r="P654" s="37"/>
      <c r="Q654" s="38"/>
      <c r="R654" s="36"/>
      <c r="S654" s="42"/>
      <c r="T654" s="42"/>
      <c r="U654" s="37"/>
      <c r="V654" s="43"/>
      <c r="W654" s="43"/>
      <c r="X654" s="36"/>
    </row>
    <row r="655" ht="15.75" customHeight="1">
      <c r="A655" s="36"/>
      <c r="B655" s="36"/>
      <c r="C655" s="36"/>
      <c r="D655" s="36"/>
      <c r="E655" s="36"/>
      <c r="F655" s="37"/>
      <c r="G655" s="38"/>
      <c r="H655" s="36"/>
      <c r="I655" s="36"/>
      <c r="J655" s="39"/>
      <c r="K655" s="36"/>
      <c r="L655" s="40"/>
      <c r="M655" s="40"/>
      <c r="N655" s="41"/>
      <c r="O655" s="41"/>
      <c r="P655" s="37"/>
      <c r="Q655" s="38"/>
      <c r="R655" s="36"/>
      <c r="S655" s="42"/>
      <c r="T655" s="42"/>
      <c r="U655" s="37"/>
      <c r="V655" s="43"/>
      <c r="W655" s="43"/>
      <c r="X655" s="36"/>
    </row>
    <row r="656" ht="15.75" customHeight="1">
      <c r="A656" s="36"/>
      <c r="B656" s="36"/>
      <c r="C656" s="36"/>
      <c r="D656" s="36"/>
      <c r="E656" s="36"/>
      <c r="F656" s="37"/>
      <c r="G656" s="38"/>
      <c r="H656" s="36"/>
      <c r="I656" s="36"/>
      <c r="J656" s="39"/>
      <c r="K656" s="36"/>
      <c r="L656" s="40"/>
      <c r="M656" s="40"/>
      <c r="N656" s="41"/>
      <c r="O656" s="41"/>
      <c r="P656" s="37"/>
      <c r="Q656" s="38"/>
      <c r="R656" s="36"/>
      <c r="S656" s="42"/>
      <c r="T656" s="42"/>
      <c r="U656" s="37"/>
      <c r="V656" s="43"/>
      <c r="W656" s="43"/>
      <c r="X656" s="36"/>
    </row>
    <row r="657" ht="15.75" customHeight="1">
      <c r="A657" s="36"/>
      <c r="B657" s="36"/>
      <c r="C657" s="36"/>
      <c r="D657" s="36"/>
      <c r="E657" s="36"/>
      <c r="F657" s="37"/>
      <c r="G657" s="38"/>
      <c r="H657" s="36"/>
      <c r="I657" s="36"/>
      <c r="J657" s="39"/>
      <c r="K657" s="36"/>
      <c r="L657" s="40"/>
      <c r="M657" s="40"/>
      <c r="N657" s="41"/>
      <c r="O657" s="41"/>
      <c r="P657" s="37"/>
      <c r="Q657" s="38"/>
      <c r="R657" s="36"/>
      <c r="S657" s="42"/>
      <c r="T657" s="42"/>
      <c r="U657" s="37"/>
      <c r="V657" s="43"/>
      <c r="W657" s="43"/>
      <c r="X657" s="36"/>
    </row>
    <row r="658" ht="15.75" customHeight="1">
      <c r="A658" s="36"/>
      <c r="B658" s="36"/>
      <c r="C658" s="36"/>
      <c r="D658" s="36"/>
      <c r="E658" s="36"/>
      <c r="F658" s="37"/>
      <c r="G658" s="38"/>
      <c r="H658" s="36"/>
      <c r="I658" s="36"/>
      <c r="J658" s="39"/>
      <c r="K658" s="36"/>
      <c r="L658" s="40"/>
      <c r="M658" s="40"/>
      <c r="N658" s="41"/>
      <c r="O658" s="41"/>
      <c r="P658" s="37"/>
      <c r="Q658" s="38"/>
      <c r="R658" s="36"/>
      <c r="S658" s="42"/>
      <c r="T658" s="42"/>
      <c r="U658" s="37"/>
      <c r="V658" s="43"/>
      <c r="W658" s="43"/>
      <c r="X658" s="36"/>
    </row>
    <row r="659" ht="15.75" customHeight="1">
      <c r="A659" s="36"/>
      <c r="B659" s="36"/>
      <c r="C659" s="36"/>
      <c r="D659" s="36"/>
      <c r="E659" s="36"/>
      <c r="F659" s="37"/>
      <c r="G659" s="38"/>
      <c r="H659" s="36"/>
      <c r="I659" s="36"/>
      <c r="J659" s="39"/>
      <c r="K659" s="36"/>
      <c r="L659" s="40"/>
      <c r="M659" s="40"/>
      <c r="N659" s="41"/>
      <c r="O659" s="41"/>
      <c r="P659" s="37"/>
      <c r="Q659" s="38"/>
      <c r="R659" s="36"/>
      <c r="S659" s="42"/>
      <c r="T659" s="42"/>
      <c r="U659" s="37"/>
      <c r="V659" s="43"/>
      <c r="W659" s="43"/>
      <c r="X659" s="36"/>
    </row>
    <row r="660" ht="15.75" customHeight="1">
      <c r="A660" s="36"/>
      <c r="B660" s="36"/>
      <c r="C660" s="36"/>
      <c r="D660" s="36"/>
      <c r="E660" s="36"/>
      <c r="F660" s="37"/>
      <c r="G660" s="38"/>
      <c r="H660" s="36"/>
      <c r="I660" s="36"/>
      <c r="J660" s="39"/>
      <c r="K660" s="36"/>
      <c r="L660" s="40"/>
      <c r="M660" s="40"/>
      <c r="N660" s="41"/>
      <c r="O660" s="41"/>
      <c r="P660" s="37"/>
      <c r="Q660" s="38"/>
      <c r="R660" s="36"/>
      <c r="S660" s="42"/>
      <c r="T660" s="42"/>
      <c r="U660" s="37"/>
      <c r="V660" s="43"/>
      <c r="W660" s="43"/>
      <c r="X660" s="36"/>
    </row>
    <row r="661" ht="15.75" customHeight="1">
      <c r="A661" s="36"/>
      <c r="B661" s="36"/>
      <c r="C661" s="36"/>
      <c r="D661" s="36"/>
      <c r="E661" s="36"/>
      <c r="F661" s="37"/>
      <c r="G661" s="38"/>
      <c r="H661" s="36"/>
      <c r="I661" s="36"/>
      <c r="J661" s="39"/>
      <c r="K661" s="36"/>
      <c r="L661" s="40"/>
      <c r="M661" s="40"/>
      <c r="N661" s="41"/>
      <c r="O661" s="41"/>
      <c r="P661" s="37"/>
      <c r="Q661" s="38"/>
      <c r="R661" s="36"/>
      <c r="S661" s="42"/>
      <c r="T661" s="42"/>
      <c r="U661" s="37"/>
      <c r="V661" s="43"/>
      <c r="W661" s="43"/>
      <c r="X661" s="36"/>
    </row>
    <row r="662" ht="15.75" customHeight="1">
      <c r="A662" s="36"/>
      <c r="B662" s="36"/>
      <c r="C662" s="36"/>
      <c r="D662" s="36"/>
      <c r="E662" s="36"/>
      <c r="F662" s="37"/>
      <c r="G662" s="38"/>
      <c r="H662" s="36"/>
      <c r="I662" s="36"/>
      <c r="J662" s="39"/>
      <c r="K662" s="36"/>
      <c r="L662" s="40"/>
      <c r="M662" s="40"/>
      <c r="N662" s="41"/>
      <c r="O662" s="41"/>
      <c r="P662" s="37"/>
      <c r="Q662" s="38"/>
      <c r="R662" s="36"/>
      <c r="S662" s="42"/>
      <c r="T662" s="42"/>
      <c r="U662" s="37"/>
      <c r="V662" s="43"/>
      <c r="W662" s="43"/>
      <c r="X662" s="36"/>
    </row>
    <row r="663" ht="15.75" customHeight="1">
      <c r="A663" s="36"/>
      <c r="B663" s="36"/>
      <c r="C663" s="36"/>
      <c r="D663" s="36"/>
      <c r="E663" s="36"/>
      <c r="F663" s="37"/>
      <c r="G663" s="38"/>
      <c r="H663" s="36"/>
      <c r="I663" s="36"/>
      <c r="J663" s="39"/>
      <c r="K663" s="36"/>
      <c r="L663" s="40"/>
      <c r="M663" s="40"/>
      <c r="N663" s="41"/>
      <c r="O663" s="41"/>
      <c r="P663" s="37"/>
      <c r="Q663" s="38"/>
      <c r="R663" s="36"/>
      <c r="S663" s="42"/>
      <c r="T663" s="42"/>
      <c r="U663" s="37"/>
      <c r="V663" s="43"/>
      <c r="W663" s="43"/>
      <c r="X663" s="36"/>
    </row>
    <row r="664" ht="15.75" customHeight="1">
      <c r="A664" s="36"/>
      <c r="B664" s="36"/>
      <c r="C664" s="36"/>
      <c r="D664" s="36"/>
      <c r="E664" s="36"/>
      <c r="F664" s="37"/>
      <c r="G664" s="38"/>
      <c r="H664" s="36"/>
      <c r="I664" s="36"/>
      <c r="J664" s="39"/>
      <c r="K664" s="36"/>
      <c r="L664" s="40"/>
      <c r="M664" s="40"/>
      <c r="N664" s="41"/>
      <c r="O664" s="41"/>
      <c r="P664" s="37"/>
      <c r="Q664" s="38"/>
      <c r="R664" s="36"/>
      <c r="S664" s="42"/>
      <c r="T664" s="42"/>
      <c r="U664" s="37"/>
      <c r="V664" s="43"/>
      <c r="W664" s="43"/>
      <c r="X664" s="36"/>
    </row>
    <row r="665" ht="15.75" customHeight="1">
      <c r="A665" s="36"/>
      <c r="B665" s="36"/>
      <c r="C665" s="36"/>
      <c r="D665" s="36"/>
      <c r="E665" s="36"/>
      <c r="F665" s="37"/>
      <c r="G665" s="38"/>
      <c r="H665" s="36"/>
      <c r="I665" s="36"/>
      <c r="J665" s="39"/>
      <c r="K665" s="36"/>
      <c r="L665" s="40"/>
      <c r="M665" s="40"/>
      <c r="N665" s="41"/>
      <c r="O665" s="41"/>
      <c r="P665" s="37"/>
      <c r="Q665" s="38"/>
      <c r="R665" s="36"/>
      <c r="S665" s="42"/>
      <c r="T665" s="42"/>
      <c r="U665" s="37"/>
      <c r="V665" s="43"/>
      <c r="W665" s="43"/>
      <c r="X665" s="36"/>
    </row>
    <row r="666" ht="15.75" customHeight="1">
      <c r="A666" s="36"/>
      <c r="B666" s="36"/>
      <c r="C666" s="36"/>
      <c r="D666" s="36"/>
      <c r="E666" s="36"/>
      <c r="F666" s="37"/>
      <c r="G666" s="38"/>
      <c r="H666" s="36"/>
      <c r="I666" s="36"/>
      <c r="J666" s="39"/>
      <c r="K666" s="36"/>
      <c r="L666" s="40"/>
      <c r="M666" s="40"/>
      <c r="N666" s="41"/>
      <c r="O666" s="41"/>
      <c r="P666" s="37"/>
      <c r="Q666" s="38"/>
      <c r="R666" s="36"/>
      <c r="S666" s="42"/>
      <c r="T666" s="42"/>
      <c r="U666" s="37"/>
      <c r="V666" s="43"/>
      <c r="W666" s="43"/>
      <c r="X666" s="36"/>
    </row>
    <row r="667" ht="15.75" customHeight="1">
      <c r="A667" s="36"/>
      <c r="B667" s="36"/>
      <c r="C667" s="36"/>
      <c r="D667" s="36"/>
      <c r="E667" s="36"/>
      <c r="F667" s="37"/>
      <c r="G667" s="38"/>
      <c r="H667" s="36"/>
      <c r="I667" s="36"/>
      <c r="J667" s="39"/>
      <c r="K667" s="36"/>
      <c r="L667" s="40"/>
      <c r="M667" s="40"/>
      <c r="N667" s="41"/>
      <c r="O667" s="41"/>
      <c r="P667" s="37"/>
      <c r="Q667" s="38"/>
      <c r="R667" s="36"/>
      <c r="S667" s="42"/>
      <c r="T667" s="42"/>
      <c r="U667" s="37"/>
      <c r="V667" s="43"/>
      <c r="W667" s="43"/>
      <c r="X667" s="36"/>
    </row>
    <row r="668" ht="15.75" customHeight="1">
      <c r="A668" s="36"/>
      <c r="B668" s="36"/>
      <c r="C668" s="36"/>
      <c r="D668" s="36"/>
      <c r="E668" s="36"/>
      <c r="F668" s="37"/>
      <c r="G668" s="38"/>
      <c r="H668" s="36"/>
      <c r="I668" s="36"/>
      <c r="J668" s="39"/>
      <c r="K668" s="36"/>
      <c r="L668" s="40"/>
      <c r="M668" s="40"/>
      <c r="N668" s="41"/>
      <c r="O668" s="41"/>
      <c r="P668" s="37"/>
      <c r="Q668" s="38"/>
      <c r="R668" s="36"/>
      <c r="S668" s="42"/>
      <c r="T668" s="42"/>
      <c r="U668" s="37"/>
      <c r="V668" s="43"/>
      <c r="W668" s="43"/>
      <c r="X668" s="36"/>
    </row>
    <row r="669" ht="15.75" customHeight="1">
      <c r="A669" s="36"/>
      <c r="B669" s="36"/>
      <c r="C669" s="36"/>
      <c r="D669" s="36"/>
      <c r="E669" s="36"/>
      <c r="F669" s="37"/>
      <c r="G669" s="38"/>
      <c r="H669" s="36"/>
      <c r="I669" s="36"/>
      <c r="J669" s="39"/>
      <c r="K669" s="36"/>
      <c r="L669" s="40"/>
      <c r="M669" s="40"/>
      <c r="N669" s="41"/>
      <c r="O669" s="41"/>
      <c r="P669" s="37"/>
      <c r="Q669" s="38"/>
      <c r="R669" s="36"/>
      <c r="S669" s="42"/>
      <c r="T669" s="42"/>
      <c r="U669" s="37"/>
      <c r="V669" s="43"/>
      <c r="W669" s="43"/>
      <c r="X669" s="36"/>
    </row>
    <row r="670" ht="15.75" customHeight="1">
      <c r="A670" s="36"/>
      <c r="B670" s="36"/>
      <c r="C670" s="36"/>
      <c r="D670" s="36"/>
      <c r="E670" s="36"/>
      <c r="F670" s="37"/>
      <c r="G670" s="38"/>
      <c r="H670" s="36"/>
      <c r="I670" s="36"/>
      <c r="J670" s="39"/>
      <c r="K670" s="36"/>
      <c r="L670" s="40"/>
      <c r="M670" s="40"/>
      <c r="N670" s="41"/>
      <c r="O670" s="41"/>
      <c r="P670" s="37"/>
      <c r="Q670" s="38"/>
      <c r="R670" s="36"/>
      <c r="S670" s="42"/>
      <c r="T670" s="42"/>
      <c r="U670" s="37"/>
      <c r="V670" s="43"/>
      <c r="W670" s="43"/>
      <c r="X670" s="36"/>
    </row>
    <row r="671" ht="15.75" customHeight="1">
      <c r="A671" s="36"/>
      <c r="B671" s="36"/>
      <c r="C671" s="36"/>
      <c r="D671" s="36"/>
      <c r="E671" s="36"/>
      <c r="F671" s="37"/>
      <c r="G671" s="38"/>
      <c r="H671" s="36"/>
      <c r="I671" s="36"/>
      <c r="J671" s="39"/>
      <c r="K671" s="36"/>
      <c r="L671" s="40"/>
      <c r="M671" s="40"/>
      <c r="N671" s="41"/>
      <c r="O671" s="41"/>
      <c r="P671" s="37"/>
      <c r="Q671" s="38"/>
      <c r="R671" s="36"/>
      <c r="S671" s="42"/>
      <c r="T671" s="42"/>
      <c r="U671" s="37"/>
      <c r="V671" s="43"/>
      <c r="W671" s="43"/>
      <c r="X671" s="36"/>
    </row>
    <row r="672" ht="15.75" customHeight="1">
      <c r="A672" s="36"/>
      <c r="B672" s="36"/>
      <c r="C672" s="36"/>
      <c r="D672" s="36"/>
      <c r="E672" s="36"/>
      <c r="F672" s="37"/>
      <c r="G672" s="38"/>
      <c r="H672" s="36"/>
      <c r="I672" s="36"/>
      <c r="J672" s="39"/>
      <c r="K672" s="36"/>
      <c r="L672" s="40"/>
      <c r="M672" s="40"/>
      <c r="N672" s="41"/>
      <c r="O672" s="41"/>
      <c r="P672" s="37"/>
      <c r="Q672" s="38"/>
      <c r="R672" s="36"/>
      <c r="S672" s="42"/>
      <c r="T672" s="42"/>
      <c r="U672" s="37"/>
      <c r="V672" s="43"/>
      <c r="W672" s="43"/>
      <c r="X672" s="36"/>
    </row>
    <row r="673" ht="15.75" customHeight="1">
      <c r="A673" s="36"/>
      <c r="B673" s="36"/>
      <c r="C673" s="36"/>
      <c r="D673" s="36"/>
      <c r="E673" s="36"/>
      <c r="F673" s="37"/>
      <c r="G673" s="38"/>
      <c r="H673" s="36"/>
      <c r="I673" s="36"/>
      <c r="J673" s="39"/>
      <c r="K673" s="36"/>
      <c r="L673" s="40"/>
      <c r="M673" s="40"/>
      <c r="N673" s="41"/>
      <c r="O673" s="41"/>
      <c r="P673" s="37"/>
      <c r="Q673" s="38"/>
      <c r="R673" s="36"/>
      <c r="S673" s="42"/>
      <c r="T673" s="42"/>
      <c r="U673" s="37"/>
      <c r="V673" s="43"/>
      <c r="W673" s="43"/>
      <c r="X673" s="36"/>
    </row>
    <row r="674" ht="15.75" customHeight="1">
      <c r="A674" s="36"/>
      <c r="B674" s="36"/>
      <c r="C674" s="36"/>
      <c r="D674" s="36"/>
      <c r="E674" s="36"/>
      <c r="F674" s="37"/>
      <c r="G674" s="38"/>
      <c r="H674" s="36"/>
      <c r="I674" s="36"/>
      <c r="J674" s="39"/>
      <c r="K674" s="36"/>
      <c r="L674" s="40"/>
      <c r="M674" s="40"/>
      <c r="N674" s="41"/>
      <c r="O674" s="41"/>
      <c r="P674" s="37"/>
      <c r="Q674" s="38"/>
      <c r="R674" s="36"/>
      <c r="S674" s="42"/>
      <c r="T674" s="42"/>
      <c r="U674" s="37"/>
      <c r="V674" s="43"/>
      <c r="W674" s="43"/>
      <c r="X674" s="36"/>
    </row>
    <row r="675" ht="15.75" customHeight="1">
      <c r="A675" s="36"/>
      <c r="B675" s="36"/>
      <c r="C675" s="36"/>
      <c r="D675" s="36"/>
      <c r="E675" s="36"/>
      <c r="F675" s="37"/>
      <c r="G675" s="38"/>
      <c r="H675" s="36"/>
      <c r="I675" s="36"/>
      <c r="J675" s="39"/>
      <c r="K675" s="36"/>
      <c r="L675" s="40"/>
      <c r="M675" s="40"/>
      <c r="N675" s="41"/>
      <c r="O675" s="41"/>
      <c r="P675" s="37"/>
      <c r="Q675" s="38"/>
      <c r="R675" s="36"/>
      <c r="S675" s="42"/>
      <c r="T675" s="42"/>
      <c r="U675" s="37"/>
      <c r="V675" s="43"/>
      <c r="W675" s="43"/>
      <c r="X675" s="36"/>
    </row>
    <row r="676" ht="15.75" customHeight="1">
      <c r="A676" s="36"/>
      <c r="B676" s="36"/>
      <c r="C676" s="36"/>
      <c r="D676" s="36"/>
      <c r="E676" s="36"/>
      <c r="F676" s="37"/>
      <c r="G676" s="38"/>
      <c r="H676" s="36"/>
      <c r="I676" s="36"/>
      <c r="J676" s="39"/>
      <c r="K676" s="36"/>
      <c r="L676" s="40"/>
      <c r="M676" s="40"/>
      <c r="N676" s="41"/>
      <c r="O676" s="41"/>
      <c r="P676" s="37"/>
      <c r="Q676" s="38"/>
      <c r="R676" s="36"/>
      <c r="S676" s="42"/>
      <c r="T676" s="42"/>
      <c r="U676" s="37"/>
      <c r="V676" s="43"/>
      <c r="W676" s="43"/>
      <c r="X676" s="36"/>
    </row>
    <row r="677" ht="15.75" customHeight="1">
      <c r="A677" s="36"/>
      <c r="B677" s="36"/>
      <c r="C677" s="36"/>
      <c r="D677" s="36"/>
      <c r="E677" s="36"/>
      <c r="F677" s="37"/>
      <c r="G677" s="38"/>
      <c r="H677" s="36"/>
      <c r="I677" s="36"/>
      <c r="J677" s="39"/>
      <c r="K677" s="36"/>
      <c r="L677" s="40"/>
      <c r="M677" s="40"/>
      <c r="N677" s="41"/>
      <c r="O677" s="41"/>
      <c r="P677" s="37"/>
      <c r="Q677" s="38"/>
      <c r="R677" s="36"/>
      <c r="S677" s="42"/>
      <c r="T677" s="42"/>
      <c r="U677" s="37"/>
      <c r="V677" s="43"/>
      <c r="W677" s="43"/>
      <c r="X677" s="36"/>
    </row>
    <row r="678" ht="15.75" customHeight="1">
      <c r="A678" s="36"/>
      <c r="B678" s="36"/>
      <c r="C678" s="36"/>
      <c r="D678" s="36"/>
      <c r="E678" s="36"/>
      <c r="F678" s="37"/>
      <c r="G678" s="38"/>
      <c r="H678" s="36"/>
      <c r="I678" s="36"/>
      <c r="J678" s="39"/>
      <c r="K678" s="36"/>
      <c r="L678" s="40"/>
      <c r="M678" s="40"/>
      <c r="N678" s="41"/>
      <c r="O678" s="41"/>
      <c r="P678" s="37"/>
      <c r="Q678" s="38"/>
      <c r="R678" s="36"/>
      <c r="S678" s="42"/>
      <c r="T678" s="42"/>
      <c r="U678" s="37"/>
      <c r="V678" s="43"/>
      <c r="W678" s="43"/>
      <c r="X678" s="36"/>
    </row>
    <row r="679" ht="15.75" customHeight="1">
      <c r="A679" s="36"/>
      <c r="B679" s="36"/>
      <c r="C679" s="36"/>
      <c r="D679" s="36"/>
      <c r="E679" s="36"/>
      <c r="F679" s="37"/>
      <c r="G679" s="38"/>
      <c r="H679" s="36"/>
      <c r="I679" s="36"/>
      <c r="J679" s="39"/>
      <c r="K679" s="36"/>
      <c r="L679" s="40"/>
      <c r="M679" s="40"/>
      <c r="N679" s="41"/>
      <c r="O679" s="41"/>
      <c r="P679" s="37"/>
      <c r="Q679" s="38"/>
      <c r="R679" s="36"/>
      <c r="S679" s="42"/>
      <c r="T679" s="42"/>
      <c r="U679" s="37"/>
      <c r="V679" s="43"/>
      <c r="W679" s="43"/>
      <c r="X679" s="36"/>
    </row>
    <row r="680" ht="15.75" customHeight="1">
      <c r="A680" s="36"/>
      <c r="B680" s="36"/>
      <c r="C680" s="36"/>
      <c r="D680" s="36"/>
      <c r="E680" s="36"/>
      <c r="F680" s="37"/>
      <c r="G680" s="38"/>
      <c r="H680" s="36"/>
      <c r="I680" s="36"/>
      <c r="J680" s="39"/>
      <c r="K680" s="36"/>
      <c r="L680" s="40"/>
      <c r="M680" s="40"/>
      <c r="N680" s="41"/>
      <c r="O680" s="41"/>
      <c r="P680" s="37"/>
      <c r="Q680" s="38"/>
      <c r="R680" s="36"/>
      <c r="S680" s="42"/>
      <c r="T680" s="42"/>
      <c r="U680" s="37"/>
      <c r="V680" s="43"/>
      <c r="W680" s="43"/>
      <c r="X680" s="36"/>
    </row>
    <row r="681" ht="15.75" customHeight="1">
      <c r="A681" s="36"/>
      <c r="B681" s="36"/>
      <c r="C681" s="36"/>
      <c r="D681" s="36"/>
      <c r="E681" s="36"/>
      <c r="F681" s="37"/>
      <c r="G681" s="38"/>
      <c r="H681" s="36"/>
      <c r="I681" s="36"/>
      <c r="J681" s="39"/>
      <c r="K681" s="36"/>
      <c r="L681" s="40"/>
      <c r="M681" s="40"/>
      <c r="N681" s="41"/>
      <c r="O681" s="41"/>
      <c r="P681" s="37"/>
      <c r="Q681" s="38"/>
      <c r="R681" s="36"/>
      <c r="S681" s="42"/>
      <c r="T681" s="42"/>
      <c r="U681" s="37"/>
      <c r="V681" s="43"/>
      <c r="W681" s="43"/>
      <c r="X681" s="36"/>
    </row>
    <row r="682" ht="15.75" customHeight="1">
      <c r="A682" s="36"/>
      <c r="B682" s="36"/>
      <c r="C682" s="36"/>
      <c r="D682" s="36"/>
      <c r="E682" s="36"/>
      <c r="F682" s="37"/>
      <c r="G682" s="38"/>
      <c r="H682" s="36"/>
      <c r="I682" s="36"/>
      <c r="J682" s="39"/>
      <c r="K682" s="36"/>
      <c r="L682" s="40"/>
      <c r="M682" s="40"/>
      <c r="N682" s="41"/>
      <c r="O682" s="41"/>
      <c r="P682" s="37"/>
      <c r="Q682" s="38"/>
      <c r="R682" s="36"/>
      <c r="S682" s="42"/>
      <c r="T682" s="42"/>
      <c r="U682" s="37"/>
      <c r="V682" s="43"/>
      <c r="W682" s="43"/>
      <c r="X682" s="36"/>
    </row>
    <row r="683" ht="15.75" customHeight="1">
      <c r="A683" s="36"/>
      <c r="B683" s="36"/>
      <c r="C683" s="36"/>
      <c r="D683" s="36"/>
      <c r="E683" s="36"/>
      <c r="F683" s="37"/>
      <c r="G683" s="38"/>
      <c r="H683" s="36"/>
      <c r="I683" s="36"/>
      <c r="J683" s="39"/>
      <c r="K683" s="36"/>
      <c r="L683" s="40"/>
      <c r="M683" s="40"/>
      <c r="N683" s="41"/>
      <c r="O683" s="41"/>
      <c r="P683" s="37"/>
      <c r="Q683" s="38"/>
      <c r="R683" s="36"/>
      <c r="S683" s="42"/>
      <c r="T683" s="42"/>
      <c r="U683" s="37"/>
      <c r="V683" s="43"/>
      <c r="W683" s="43"/>
      <c r="X683" s="36"/>
    </row>
    <row r="684" ht="15.75" customHeight="1">
      <c r="A684" s="36"/>
      <c r="B684" s="36"/>
      <c r="C684" s="36"/>
      <c r="D684" s="36"/>
      <c r="E684" s="36"/>
      <c r="F684" s="37"/>
      <c r="G684" s="38"/>
      <c r="H684" s="36"/>
      <c r="I684" s="36"/>
      <c r="J684" s="39"/>
      <c r="K684" s="36"/>
      <c r="L684" s="40"/>
      <c r="M684" s="40"/>
      <c r="N684" s="41"/>
      <c r="O684" s="41"/>
      <c r="P684" s="37"/>
      <c r="Q684" s="38"/>
      <c r="R684" s="36"/>
      <c r="S684" s="42"/>
      <c r="T684" s="42"/>
      <c r="U684" s="37"/>
      <c r="V684" s="43"/>
      <c r="W684" s="43"/>
      <c r="X684" s="36"/>
    </row>
    <row r="685" ht="15.75" customHeight="1">
      <c r="A685" s="36"/>
      <c r="B685" s="36"/>
      <c r="C685" s="36"/>
      <c r="D685" s="36"/>
      <c r="E685" s="36"/>
      <c r="F685" s="37"/>
      <c r="G685" s="38"/>
      <c r="H685" s="36"/>
      <c r="I685" s="36"/>
      <c r="J685" s="39"/>
      <c r="K685" s="36"/>
      <c r="L685" s="40"/>
      <c r="M685" s="40"/>
      <c r="N685" s="41"/>
      <c r="O685" s="41"/>
      <c r="P685" s="37"/>
      <c r="Q685" s="38"/>
      <c r="R685" s="36"/>
      <c r="S685" s="42"/>
      <c r="T685" s="42"/>
      <c r="U685" s="37"/>
      <c r="V685" s="43"/>
      <c r="W685" s="43"/>
      <c r="X685" s="36"/>
    </row>
    <row r="686" ht="15.75" customHeight="1">
      <c r="A686" s="36"/>
      <c r="B686" s="36"/>
      <c r="C686" s="36"/>
      <c r="D686" s="36"/>
      <c r="E686" s="36"/>
      <c r="F686" s="37"/>
      <c r="G686" s="38"/>
      <c r="H686" s="36"/>
      <c r="I686" s="36"/>
      <c r="J686" s="39"/>
      <c r="K686" s="36"/>
      <c r="L686" s="40"/>
      <c r="M686" s="40"/>
      <c r="N686" s="41"/>
      <c r="O686" s="41"/>
      <c r="P686" s="37"/>
      <c r="Q686" s="38"/>
      <c r="R686" s="36"/>
      <c r="S686" s="42"/>
      <c r="T686" s="42"/>
      <c r="U686" s="37"/>
      <c r="V686" s="43"/>
      <c r="W686" s="43"/>
      <c r="X686" s="36"/>
    </row>
    <row r="687" ht="15.75" customHeight="1">
      <c r="A687" s="36"/>
      <c r="B687" s="36"/>
      <c r="C687" s="36"/>
      <c r="D687" s="36"/>
      <c r="E687" s="36"/>
      <c r="F687" s="37"/>
      <c r="G687" s="38"/>
      <c r="H687" s="36"/>
      <c r="I687" s="36"/>
      <c r="J687" s="39"/>
      <c r="K687" s="36"/>
      <c r="L687" s="40"/>
      <c r="M687" s="40"/>
      <c r="N687" s="41"/>
      <c r="O687" s="41"/>
      <c r="P687" s="37"/>
      <c r="Q687" s="38"/>
      <c r="R687" s="36"/>
      <c r="S687" s="42"/>
      <c r="T687" s="42"/>
      <c r="U687" s="37"/>
      <c r="V687" s="43"/>
      <c r="W687" s="43"/>
      <c r="X687" s="36"/>
    </row>
    <row r="688" ht="15.75" customHeight="1">
      <c r="A688" s="36"/>
      <c r="B688" s="36"/>
      <c r="C688" s="36"/>
      <c r="D688" s="36"/>
      <c r="E688" s="36"/>
      <c r="F688" s="37"/>
      <c r="G688" s="38"/>
      <c r="H688" s="36"/>
      <c r="I688" s="36"/>
      <c r="J688" s="39"/>
      <c r="K688" s="36"/>
      <c r="L688" s="40"/>
      <c r="M688" s="40"/>
      <c r="N688" s="41"/>
      <c r="O688" s="41"/>
      <c r="P688" s="37"/>
      <c r="Q688" s="38"/>
      <c r="R688" s="36"/>
      <c r="S688" s="42"/>
      <c r="T688" s="42"/>
      <c r="U688" s="37"/>
      <c r="V688" s="43"/>
      <c r="W688" s="43"/>
      <c r="X688" s="36"/>
    </row>
    <row r="689" ht="15.75" customHeight="1">
      <c r="A689" s="36"/>
      <c r="B689" s="36"/>
      <c r="C689" s="36"/>
      <c r="D689" s="36"/>
      <c r="E689" s="36"/>
      <c r="F689" s="37"/>
      <c r="G689" s="38"/>
      <c r="H689" s="36"/>
      <c r="I689" s="36"/>
      <c r="J689" s="39"/>
      <c r="K689" s="36"/>
      <c r="L689" s="40"/>
      <c r="M689" s="40"/>
      <c r="N689" s="41"/>
      <c r="O689" s="41"/>
      <c r="P689" s="37"/>
      <c r="Q689" s="38"/>
      <c r="R689" s="36"/>
      <c r="S689" s="42"/>
      <c r="T689" s="42"/>
      <c r="U689" s="37"/>
      <c r="V689" s="43"/>
      <c r="W689" s="43"/>
      <c r="X689" s="36"/>
    </row>
    <row r="690" ht="15.75" customHeight="1">
      <c r="A690" s="36"/>
      <c r="B690" s="36"/>
      <c r="C690" s="36"/>
      <c r="D690" s="36"/>
      <c r="E690" s="36"/>
      <c r="F690" s="37"/>
      <c r="G690" s="38"/>
      <c r="H690" s="36"/>
      <c r="I690" s="36"/>
      <c r="J690" s="39"/>
      <c r="K690" s="36"/>
      <c r="L690" s="40"/>
      <c r="M690" s="40"/>
      <c r="N690" s="41"/>
      <c r="O690" s="41"/>
      <c r="P690" s="37"/>
      <c r="Q690" s="38"/>
      <c r="R690" s="36"/>
      <c r="S690" s="42"/>
      <c r="T690" s="42"/>
      <c r="U690" s="37"/>
      <c r="V690" s="43"/>
      <c r="W690" s="43"/>
      <c r="X690" s="36"/>
    </row>
    <row r="691" ht="15.75" customHeight="1">
      <c r="A691" s="36"/>
      <c r="B691" s="36"/>
      <c r="C691" s="36"/>
      <c r="D691" s="36"/>
      <c r="E691" s="36"/>
      <c r="F691" s="37"/>
      <c r="G691" s="38"/>
      <c r="H691" s="36"/>
      <c r="I691" s="36"/>
      <c r="J691" s="39"/>
      <c r="K691" s="36"/>
      <c r="L691" s="40"/>
      <c r="M691" s="40"/>
      <c r="N691" s="41"/>
      <c r="O691" s="41"/>
      <c r="P691" s="37"/>
      <c r="Q691" s="38"/>
      <c r="R691" s="36"/>
      <c r="S691" s="42"/>
      <c r="T691" s="42"/>
      <c r="U691" s="37"/>
      <c r="V691" s="43"/>
      <c r="W691" s="43"/>
      <c r="X691" s="36"/>
    </row>
    <row r="692" ht="15.75" customHeight="1">
      <c r="A692" s="36"/>
      <c r="B692" s="36"/>
      <c r="C692" s="36"/>
      <c r="D692" s="36"/>
      <c r="E692" s="36"/>
      <c r="F692" s="37"/>
      <c r="G692" s="38"/>
      <c r="H692" s="36"/>
      <c r="I692" s="36"/>
      <c r="J692" s="39"/>
      <c r="K692" s="36"/>
      <c r="L692" s="40"/>
      <c r="M692" s="40"/>
      <c r="N692" s="41"/>
      <c r="O692" s="41"/>
      <c r="P692" s="37"/>
      <c r="Q692" s="38"/>
      <c r="R692" s="36"/>
      <c r="S692" s="42"/>
      <c r="T692" s="42"/>
      <c r="U692" s="37"/>
      <c r="V692" s="43"/>
      <c r="W692" s="43"/>
      <c r="X692" s="36"/>
    </row>
    <row r="693" ht="15.75" customHeight="1">
      <c r="A693" s="36"/>
      <c r="B693" s="36"/>
      <c r="C693" s="36"/>
      <c r="D693" s="36"/>
      <c r="E693" s="36"/>
      <c r="F693" s="37"/>
      <c r="G693" s="38"/>
      <c r="H693" s="36"/>
      <c r="I693" s="36"/>
      <c r="J693" s="39"/>
      <c r="K693" s="36"/>
      <c r="L693" s="40"/>
      <c r="M693" s="40"/>
      <c r="N693" s="41"/>
      <c r="O693" s="41"/>
      <c r="P693" s="37"/>
      <c r="Q693" s="38"/>
      <c r="R693" s="36"/>
      <c r="S693" s="42"/>
      <c r="T693" s="42"/>
      <c r="U693" s="37"/>
      <c r="V693" s="43"/>
      <c r="W693" s="43"/>
      <c r="X693" s="36"/>
    </row>
    <row r="694" ht="15.75" customHeight="1">
      <c r="A694" s="36"/>
      <c r="B694" s="36"/>
      <c r="C694" s="36"/>
      <c r="D694" s="36"/>
      <c r="E694" s="36"/>
      <c r="F694" s="37"/>
      <c r="G694" s="38"/>
      <c r="H694" s="36"/>
      <c r="I694" s="36"/>
      <c r="J694" s="39"/>
      <c r="K694" s="36"/>
      <c r="L694" s="40"/>
      <c r="M694" s="40"/>
      <c r="N694" s="41"/>
      <c r="O694" s="41"/>
      <c r="P694" s="37"/>
      <c r="Q694" s="38"/>
      <c r="R694" s="36"/>
      <c r="S694" s="42"/>
      <c r="T694" s="42"/>
      <c r="U694" s="37"/>
      <c r="V694" s="43"/>
      <c r="W694" s="43"/>
      <c r="X694" s="36"/>
    </row>
    <row r="695" ht="15.75" customHeight="1">
      <c r="A695" s="36"/>
      <c r="B695" s="36"/>
      <c r="C695" s="36"/>
      <c r="D695" s="36"/>
      <c r="E695" s="36"/>
      <c r="F695" s="37"/>
      <c r="G695" s="38"/>
      <c r="H695" s="36"/>
      <c r="I695" s="36"/>
      <c r="J695" s="39"/>
      <c r="K695" s="36"/>
      <c r="L695" s="40"/>
      <c r="M695" s="40"/>
      <c r="N695" s="41"/>
      <c r="O695" s="41"/>
      <c r="P695" s="37"/>
      <c r="Q695" s="38"/>
      <c r="R695" s="36"/>
      <c r="S695" s="42"/>
      <c r="T695" s="42"/>
      <c r="U695" s="37"/>
      <c r="V695" s="43"/>
      <c r="W695" s="43"/>
      <c r="X695" s="36"/>
    </row>
    <row r="696" ht="15.75" customHeight="1">
      <c r="A696" s="36"/>
      <c r="B696" s="36"/>
      <c r="C696" s="36"/>
      <c r="D696" s="36"/>
      <c r="E696" s="36"/>
      <c r="F696" s="37"/>
      <c r="G696" s="38"/>
      <c r="H696" s="36"/>
      <c r="I696" s="36"/>
      <c r="J696" s="39"/>
      <c r="K696" s="36"/>
      <c r="L696" s="40"/>
      <c r="M696" s="40"/>
      <c r="N696" s="41"/>
      <c r="O696" s="41"/>
      <c r="P696" s="37"/>
      <c r="Q696" s="38"/>
      <c r="R696" s="36"/>
      <c r="S696" s="42"/>
      <c r="T696" s="42"/>
      <c r="U696" s="37"/>
      <c r="V696" s="43"/>
      <c r="W696" s="43"/>
      <c r="X696" s="36"/>
    </row>
    <row r="697" ht="15.75" customHeight="1">
      <c r="A697" s="36"/>
      <c r="B697" s="36"/>
      <c r="C697" s="36"/>
      <c r="D697" s="36"/>
      <c r="E697" s="36"/>
      <c r="F697" s="37"/>
      <c r="G697" s="38"/>
      <c r="H697" s="36"/>
      <c r="I697" s="36"/>
      <c r="J697" s="39"/>
      <c r="K697" s="36"/>
      <c r="L697" s="40"/>
      <c r="M697" s="40"/>
      <c r="N697" s="41"/>
      <c r="O697" s="41"/>
      <c r="P697" s="37"/>
      <c r="Q697" s="38"/>
      <c r="R697" s="36"/>
      <c r="S697" s="42"/>
      <c r="T697" s="42"/>
      <c r="U697" s="37"/>
      <c r="V697" s="43"/>
      <c r="W697" s="43"/>
      <c r="X697" s="36"/>
    </row>
    <row r="698" ht="15.75" customHeight="1">
      <c r="A698" s="36"/>
      <c r="B698" s="36"/>
      <c r="C698" s="36"/>
      <c r="D698" s="36"/>
      <c r="E698" s="36"/>
      <c r="F698" s="37"/>
      <c r="G698" s="38"/>
      <c r="H698" s="36"/>
      <c r="I698" s="36"/>
      <c r="J698" s="39"/>
      <c r="K698" s="36"/>
      <c r="L698" s="40"/>
      <c r="M698" s="40"/>
      <c r="N698" s="41"/>
      <c r="O698" s="41"/>
      <c r="P698" s="37"/>
      <c r="Q698" s="38"/>
      <c r="R698" s="36"/>
      <c r="S698" s="42"/>
      <c r="T698" s="42"/>
      <c r="U698" s="37"/>
      <c r="V698" s="43"/>
      <c r="W698" s="43"/>
      <c r="X698" s="36"/>
    </row>
    <row r="699" ht="15.75" customHeight="1">
      <c r="A699" s="36"/>
      <c r="B699" s="36"/>
      <c r="C699" s="36"/>
      <c r="D699" s="36"/>
      <c r="E699" s="36"/>
      <c r="F699" s="37"/>
      <c r="G699" s="38"/>
      <c r="H699" s="36"/>
      <c r="I699" s="36"/>
      <c r="J699" s="39"/>
      <c r="K699" s="36"/>
      <c r="L699" s="40"/>
      <c r="M699" s="40"/>
      <c r="N699" s="41"/>
      <c r="O699" s="41"/>
      <c r="P699" s="37"/>
      <c r="Q699" s="38"/>
      <c r="R699" s="36"/>
      <c r="S699" s="42"/>
      <c r="T699" s="42"/>
      <c r="U699" s="37"/>
      <c r="V699" s="43"/>
      <c r="W699" s="43"/>
      <c r="X699" s="36"/>
    </row>
    <row r="700" ht="15.75" customHeight="1">
      <c r="A700" s="36"/>
      <c r="B700" s="36"/>
      <c r="C700" s="36"/>
      <c r="D700" s="36"/>
      <c r="E700" s="36"/>
      <c r="F700" s="37"/>
      <c r="G700" s="38"/>
      <c r="H700" s="36"/>
      <c r="I700" s="36"/>
      <c r="J700" s="39"/>
      <c r="K700" s="36"/>
      <c r="L700" s="40"/>
      <c r="M700" s="40"/>
      <c r="N700" s="41"/>
      <c r="O700" s="41"/>
      <c r="P700" s="37"/>
      <c r="Q700" s="38"/>
      <c r="R700" s="36"/>
      <c r="S700" s="42"/>
      <c r="T700" s="42"/>
      <c r="U700" s="37"/>
      <c r="V700" s="43"/>
      <c r="W700" s="43"/>
      <c r="X700" s="36"/>
    </row>
    <row r="701" ht="15.75" customHeight="1">
      <c r="A701" s="36"/>
      <c r="B701" s="36"/>
      <c r="C701" s="36"/>
      <c r="D701" s="36"/>
      <c r="E701" s="36"/>
      <c r="F701" s="37"/>
      <c r="G701" s="38"/>
      <c r="H701" s="36"/>
      <c r="I701" s="36"/>
      <c r="J701" s="39"/>
      <c r="K701" s="36"/>
      <c r="L701" s="40"/>
      <c r="M701" s="40"/>
      <c r="N701" s="41"/>
      <c r="O701" s="41"/>
      <c r="P701" s="37"/>
      <c r="Q701" s="38"/>
      <c r="R701" s="36"/>
      <c r="S701" s="42"/>
      <c r="T701" s="42"/>
      <c r="U701" s="37"/>
      <c r="V701" s="43"/>
      <c r="W701" s="43"/>
      <c r="X701" s="36"/>
    </row>
    <row r="702" ht="15.75" customHeight="1">
      <c r="A702" s="36"/>
      <c r="B702" s="36"/>
      <c r="C702" s="36"/>
      <c r="D702" s="36"/>
      <c r="E702" s="36"/>
      <c r="F702" s="37"/>
      <c r="G702" s="38"/>
      <c r="H702" s="36"/>
      <c r="I702" s="36"/>
      <c r="J702" s="39"/>
      <c r="K702" s="36"/>
      <c r="L702" s="40"/>
      <c r="M702" s="40"/>
      <c r="N702" s="41"/>
      <c r="O702" s="41"/>
      <c r="P702" s="37"/>
      <c r="Q702" s="38"/>
      <c r="R702" s="36"/>
      <c r="S702" s="42"/>
      <c r="T702" s="42"/>
      <c r="U702" s="37"/>
      <c r="V702" s="43"/>
      <c r="W702" s="43"/>
      <c r="X702" s="36"/>
    </row>
    <row r="703" ht="15.75" customHeight="1">
      <c r="A703" s="36"/>
      <c r="B703" s="36"/>
      <c r="C703" s="36"/>
      <c r="D703" s="36"/>
      <c r="E703" s="36"/>
      <c r="F703" s="37"/>
      <c r="G703" s="38"/>
      <c r="H703" s="36"/>
      <c r="I703" s="36"/>
      <c r="J703" s="39"/>
      <c r="K703" s="36"/>
      <c r="L703" s="40"/>
      <c r="M703" s="40"/>
      <c r="N703" s="41"/>
      <c r="O703" s="41"/>
      <c r="P703" s="37"/>
      <c r="Q703" s="38"/>
      <c r="R703" s="36"/>
      <c r="S703" s="42"/>
      <c r="T703" s="42"/>
      <c r="U703" s="37"/>
      <c r="V703" s="43"/>
      <c r="W703" s="43"/>
      <c r="X703" s="36"/>
    </row>
    <row r="704" ht="15.75" customHeight="1">
      <c r="A704" s="36"/>
      <c r="B704" s="36"/>
      <c r="C704" s="36"/>
      <c r="D704" s="36"/>
      <c r="E704" s="36"/>
      <c r="F704" s="37"/>
      <c r="G704" s="38"/>
      <c r="H704" s="36"/>
      <c r="I704" s="36"/>
      <c r="J704" s="39"/>
      <c r="K704" s="36"/>
      <c r="L704" s="40"/>
      <c r="M704" s="40"/>
      <c r="N704" s="41"/>
      <c r="O704" s="41"/>
      <c r="P704" s="37"/>
      <c r="Q704" s="38"/>
      <c r="R704" s="36"/>
      <c r="S704" s="42"/>
      <c r="T704" s="42"/>
      <c r="U704" s="37"/>
      <c r="V704" s="43"/>
      <c r="W704" s="43"/>
      <c r="X704" s="36"/>
    </row>
    <row r="705" ht="15.75" customHeight="1">
      <c r="A705" s="36"/>
      <c r="B705" s="36"/>
      <c r="C705" s="36"/>
      <c r="D705" s="36"/>
      <c r="E705" s="36"/>
      <c r="F705" s="37"/>
      <c r="G705" s="38"/>
      <c r="H705" s="36"/>
      <c r="I705" s="36"/>
      <c r="J705" s="39"/>
      <c r="K705" s="36"/>
      <c r="L705" s="40"/>
      <c r="M705" s="40"/>
      <c r="N705" s="41"/>
      <c r="O705" s="41"/>
      <c r="P705" s="37"/>
      <c r="Q705" s="38"/>
      <c r="R705" s="36"/>
      <c r="S705" s="42"/>
      <c r="T705" s="42"/>
      <c r="U705" s="37"/>
      <c r="V705" s="43"/>
      <c r="W705" s="43"/>
      <c r="X705" s="36"/>
    </row>
    <row r="706" ht="15.75" customHeight="1">
      <c r="A706" s="36"/>
      <c r="B706" s="36"/>
      <c r="C706" s="36"/>
      <c r="D706" s="36"/>
      <c r="E706" s="36"/>
      <c r="F706" s="37"/>
      <c r="G706" s="38"/>
      <c r="H706" s="36"/>
      <c r="I706" s="36"/>
      <c r="J706" s="39"/>
      <c r="K706" s="36"/>
      <c r="L706" s="40"/>
      <c r="M706" s="40"/>
      <c r="N706" s="41"/>
      <c r="O706" s="41"/>
      <c r="P706" s="37"/>
      <c r="Q706" s="38"/>
      <c r="R706" s="36"/>
      <c r="S706" s="42"/>
      <c r="T706" s="42"/>
      <c r="U706" s="37"/>
      <c r="V706" s="43"/>
      <c r="W706" s="43"/>
      <c r="X706" s="36"/>
    </row>
    <row r="707" ht="15.75" customHeight="1">
      <c r="A707" s="36"/>
      <c r="B707" s="36"/>
      <c r="C707" s="36"/>
      <c r="D707" s="36"/>
      <c r="E707" s="36"/>
      <c r="F707" s="37"/>
      <c r="G707" s="38"/>
      <c r="H707" s="36"/>
      <c r="I707" s="36"/>
      <c r="J707" s="39"/>
      <c r="K707" s="36"/>
      <c r="L707" s="40"/>
      <c r="M707" s="40"/>
      <c r="N707" s="41"/>
      <c r="O707" s="41"/>
      <c r="P707" s="37"/>
      <c r="Q707" s="38"/>
      <c r="R707" s="36"/>
      <c r="S707" s="42"/>
      <c r="T707" s="42"/>
      <c r="U707" s="37"/>
      <c r="V707" s="43"/>
      <c r="W707" s="43"/>
      <c r="X707" s="36"/>
    </row>
    <row r="708" ht="15.75" customHeight="1">
      <c r="A708" s="36"/>
      <c r="B708" s="36"/>
      <c r="C708" s="36"/>
      <c r="D708" s="36"/>
      <c r="E708" s="36"/>
      <c r="F708" s="37"/>
      <c r="G708" s="38"/>
      <c r="H708" s="36"/>
      <c r="I708" s="36"/>
      <c r="J708" s="39"/>
      <c r="K708" s="36"/>
      <c r="L708" s="40"/>
      <c r="M708" s="40"/>
      <c r="N708" s="41"/>
      <c r="O708" s="41"/>
      <c r="P708" s="37"/>
      <c r="Q708" s="38"/>
      <c r="R708" s="36"/>
      <c r="S708" s="42"/>
      <c r="T708" s="42"/>
      <c r="U708" s="37"/>
      <c r="V708" s="43"/>
      <c r="W708" s="43"/>
      <c r="X708" s="36"/>
    </row>
    <row r="709" ht="15.75" customHeight="1">
      <c r="A709" s="36"/>
      <c r="B709" s="36"/>
      <c r="C709" s="36"/>
      <c r="D709" s="36"/>
      <c r="E709" s="36"/>
      <c r="F709" s="37"/>
      <c r="G709" s="38"/>
      <c r="H709" s="36"/>
      <c r="I709" s="36"/>
      <c r="J709" s="39"/>
      <c r="K709" s="36"/>
      <c r="L709" s="40"/>
      <c r="M709" s="40"/>
      <c r="N709" s="41"/>
      <c r="O709" s="41"/>
      <c r="P709" s="37"/>
      <c r="Q709" s="38"/>
      <c r="R709" s="36"/>
      <c r="S709" s="42"/>
      <c r="T709" s="42"/>
      <c r="U709" s="37"/>
      <c r="V709" s="43"/>
      <c r="W709" s="43"/>
      <c r="X709" s="36"/>
    </row>
    <row r="710" ht="15.75" customHeight="1">
      <c r="A710" s="36"/>
      <c r="B710" s="36"/>
      <c r="C710" s="36"/>
      <c r="D710" s="36"/>
      <c r="E710" s="36"/>
      <c r="F710" s="37"/>
      <c r="G710" s="38"/>
      <c r="H710" s="36"/>
      <c r="I710" s="36"/>
      <c r="J710" s="39"/>
      <c r="K710" s="36"/>
      <c r="L710" s="40"/>
      <c r="M710" s="40"/>
      <c r="N710" s="41"/>
      <c r="O710" s="41"/>
      <c r="P710" s="37"/>
      <c r="Q710" s="38"/>
      <c r="R710" s="36"/>
      <c r="S710" s="42"/>
      <c r="T710" s="42"/>
      <c r="U710" s="37"/>
      <c r="V710" s="43"/>
      <c r="W710" s="43"/>
      <c r="X710" s="36"/>
    </row>
    <row r="711" ht="15.75" customHeight="1">
      <c r="A711" s="36"/>
      <c r="B711" s="36"/>
      <c r="C711" s="36"/>
      <c r="D711" s="36"/>
      <c r="E711" s="36"/>
      <c r="F711" s="37"/>
      <c r="G711" s="38"/>
      <c r="H711" s="36"/>
      <c r="I711" s="36"/>
      <c r="J711" s="39"/>
      <c r="K711" s="36"/>
      <c r="L711" s="40"/>
      <c r="M711" s="40"/>
      <c r="N711" s="41"/>
      <c r="O711" s="41"/>
      <c r="P711" s="37"/>
      <c r="Q711" s="38"/>
      <c r="R711" s="36"/>
      <c r="S711" s="42"/>
      <c r="T711" s="42"/>
      <c r="U711" s="37"/>
      <c r="V711" s="43"/>
      <c r="W711" s="43"/>
      <c r="X711" s="36"/>
    </row>
    <row r="712" ht="15.75" customHeight="1">
      <c r="A712" s="36"/>
      <c r="B712" s="36"/>
      <c r="C712" s="36"/>
      <c r="D712" s="36"/>
      <c r="E712" s="36"/>
      <c r="F712" s="37"/>
      <c r="G712" s="38"/>
      <c r="H712" s="36"/>
      <c r="I712" s="36"/>
      <c r="J712" s="39"/>
      <c r="K712" s="36"/>
      <c r="L712" s="40"/>
      <c r="M712" s="40"/>
      <c r="N712" s="41"/>
      <c r="O712" s="41"/>
      <c r="P712" s="37"/>
      <c r="Q712" s="38"/>
      <c r="R712" s="36"/>
      <c r="S712" s="42"/>
      <c r="T712" s="42"/>
      <c r="U712" s="37"/>
      <c r="V712" s="43"/>
      <c r="W712" s="43"/>
      <c r="X712" s="36"/>
    </row>
    <row r="713" ht="15.75" customHeight="1">
      <c r="A713" s="36"/>
      <c r="B713" s="36"/>
      <c r="C713" s="36"/>
      <c r="D713" s="36"/>
      <c r="E713" s="36"/>
      <c r="F713" s="37"/>
      <c r="G713" s="38"/>
      <c r="H713" s="36"/>
      <c r="I713" s="36"/>
      <c r="J713" s="39"/>
      <c r="K713" s="36"/>
      <c r="L713" s="40"/>
      <c r="M713" s="40"/>
      <c r="N713" s="41"/>
      <c r="O713" s="41"/>
      <c r="P713" s="37"/>
      <c r="Q713" s="38"/>
      <c r="R713" s="36"/>
      <c r="S713" s="42"/>
      <c r="T713" s="42"/>
      <c r="U713" s="37"/>
      <c r="V713" s="43"/>
      <c r="W713" s="43"/>
      <c r="X713" s="36"/>
    </row>
    <row r="714" ht="15.75" customHeight="1">
      <c r="A714" s="36"/>
      <c r="B714" s="36"/>
      <c r="C714" s="36"/>
      <c r="D714" s="36"/>
      <c r="E714" s="36"/>
      <c r="F714" s="37"/>
      <c r="G714" s="38"/>
      <c r="H714" s="36"/>
      <c r="I714" s="36"/>
      <c r="J714" s="39"/>
      <c r="K714" s="36"/>
      <c r="L714" s="40"/>
      <c r="M714" s="40"/>
      <c r="N714" s="41"/>
      <c r="O714" s="41"/>
      <c r="P714" s="37"/>
      <c r="Q714" s="38"/>
      <c r="R714" s="36"/>
      <c r="S714" s="42"/>
      <c r="T714" s="42"/>
      <c r="U714" s="37"/>
      <c r="V714" s="43"/>
      <c r="W714" s="43"/>
      <c r="X714" s="36"/>
    </row>
    <row r="715" ht="15.75" customHeight="1">
      <c r="A715" s="36"/>
      <c r="B715" s="36"/>
      <c r="C715" s="36"/>
      <c r="D715" s="36"/>
      <c r="E715" s="36"/>
      <c r="F715" s="37"/>
      <c r="G715" s="38"/>
      <c r="H715" s="36"/>
      <c r="I715" s="36"/>
      <c r="J715" s="39"/>
      <c r="K715" s="36"/>
      <c r="L715" s="40"/>
      <c r="M715" s="40"/>
      <c r="N715" s="41"/>
      <c r="O715" s="41"/>
      <c r="P715" s="37"/>
      <c r="Q715" s="38"/>
      <c r="R715" s="36"/>
      <c r="S715" s="42"/>
      <c r="T715" s="42"/>
      <c r="U715" s="37"/>
      <c r="V715" s="43"/>
      <c r="W715" s="43"/>
      <c r="X715" s="36"/>
    </row>
    <row r="716" ht="15.75" customHeight="1">
      <c r="A716" s="36"/>
      <c r="B716" s="36"/>
      <c r="C716" s="36"/>
      <c r="D716" s="36"/>
      <c r="E716" s="36"/>
      <c r="F716" s="37"/>
      <c r="G716" s="38"/>
      <c r="H716" s="36"/>
      <c r="I716" s="36"/>
      <c r="J716" s="39"/>
      <c r="K716" s="36"/>
      <c r="L716" s="40"/>
      <c r="M716" s="40"/>
      <c r="N716" s="41"/>
      <c r="O716" s="41"/>
      <c r="P716" s="37"/>
      <c r="Q716" s="38"/>
      <c r="R716" s="36"/>
      <c r="S716" s="42"/>
      <c r="T716" s="42"/>
      <c r="U716" s="37"/>
      <c r="V716" s="43"/>
      <c r="W716" s="43"/>
      <c r="X716" s="36"/>
    </row>
    <row r="717" ht="15.75" customHeight="1">
      <c r="A717" s="36"/>
      <c r="B717" s="36"/>
      <c r="C717" s="36"/>
      <c r="D717" s="36"/>
      <c r="E717" s="36"/>
      <c r="F717" s="37"/>
      <c r="G717" s="38"/>
      <c r="H717" s="36"/>
      <c r="I717" s="36"/>
      <c r="J717" s="39"/>
      <c r="K717" s="36"/>
      <c r="L717" s="40"/>
      <c r="M717" s="40"/>
      <c r="N717" s="41"/>
      <c r="O717" s="41"/>
      <c r="P717" s="37"/>
      <c r="Q717" s="38"/>
      <c r="R717" s="36"/>
      <c r="S717" s="42"/>
      <c r="T717" s="42"/>
      <c r="U717" s="37"/>
      <c r="V717" s="43"/>
      <c r="W717" s="43"/>
      <c r="X717" s="36"/>
    </row>
    <row r="718" ht="15.75" customHeight="1">
      <c r="A718" s="36"/>
      <c r="B718" s="36"/>
      <c r="C718" s="36"/>
      <c r="D718" s="36"/>
      <c r="E718" s="36"/>
      <c r="F718" s="37"/>
      <c r="G718" s="38"/>
      <c r="H718" s="36"/>
      <c r="I718" s="36"/>
      <c r="J718" s="39"/>
      <c r="K718" s="36"/>
      <c r="L718" s="40"/>
      <c r="M718" s="40"/>
      <c r="N718" s="41"/>
      <c r="O718" s="41"/>
      <c r="P718" s="37"/>
      <c r="Q718" s="38"/>
      <c r="R718" s="36"/>
      <c r="S718" s="42"/>
      <c r="T718" s="42"/>
      <c r="U718" s="37"/>
      <c r="V718" s="43"/>
      <c r="W718" s="43"/>
      <c r="X718" s="36"/>
    </row>
    <row r="719" ht="15.75" customHeight="1">
      <c r="A719" s="36"/>
      <c r="B719" s="36"/>
      <c r="C719" s="36"/>
      <c r="D719" s="36"/>
      <c r="E719" s="36"/>
      <c r="F719" s="37"/>
      <c r="G719" s="38"/>
      <c r="H719" s="36"/>
      <c r="I719" s="36"/>
      <c r="J719" s="39"/>
      <c r="K719" s="36"/>
      <c r="L719" s="40"/>
      <c r="M719" s="40"/>
      <c r="N719" s="41"/>
      <c r="O719" s="41"/>
      <c r="P719" s="37"/>
      <c r="Q719" s="38"/>
      <c r="R719" s="36"/>
      <c r="S719" s="42"/>
      <c r="T719" s="42"/>
      <c r="U719" s="37"/>
      <c r="V719" s="43"/>
      <c r="W719" s="43"/>
      <c r="X719" s="36"/>
    </row>
    <row r="720" ht="15.75" customHeight="1">
      <c r="A720" s="36"/>
      <c r="B720" s="36"/>
      <c r="C720" s="36"/>
      <c r="D720" s="36"/>
      <c r="E720" s="36"/>
      <c r="F720" s="37"/>
      <c r="G720" s="38"/>
      <c r="H720" s="36"/>
      <c r="I720" s="36"/>
      <c r="J720" s="39"/>
      <c r="K720" s="36"/>
      <c r="L720" s="40"/>
      <c r="M720" s="40"/>
      <c r="N720" s="41"/>
      <c r="O720" s="41"/>
      <c r="P720" s="37"/>
      <c r="Q720" s="38"/>
      <c r="R720" s="36"/>
      <c r="S720" s="42"/>
      <c r="T720" s="42"/>
      <c r="U720" s="37"/>
      <c r="V720" s="43"/>
      <c r="W720" s="43"/>
      <c r="X720" s="36"/>
    </row>
    <row r="721" ht="15.75" customHeight="1">
      <c r="A721" s="36"/>
      <c r="B721" s="36"/>
      <c r="C721" s="36"/>
      <c r="D721" s="36"/>
      <c r="E721" s="36"/>
      <c r="F721" s="37"/>
      <c r="G721" s="38"/>
      <c r="H721" s="36"/>
      <c r="I721" s="36"/>
      <c r="J721" s="39"/>
      <c r="K721" s="36"/>
      <c r="L721" s="40"/>
      <c r="M721" s="40"/>
      <c r="N721" s="41"/>
      <c r="O721" s="41"/>
      <c r="P721" s="37"/>
      <c r="Q721" s="38"/>
      <c r="R721" s="36"/>
      <c r="S721" s="42"/>
      <c r="T721" s="42"/>
      <c r="U721" s="37"/>
      <c r="V721" s="43"/>
      <c r="W721" s="43"/>
      <c r="X721" s="36"/>
    </row>
    <row r="722" ht="15.75" customHeight="1">
      <c r="A722" s="36"/>
      <c r="B722" s="36"/>
      <c r="C722" s="36"/>
      <c r="D722" s="36"/>
      <c r="E722" s="36"/>
      <c r="F722" s="37"/>
      <c r="G722" s="38"/>
      <c r="H722" s="36"/>
      <c r="I722" s="36"/>
      <c r="J722" s="39"/>
      <c r="K722" s="36"/>
      <c r="L722" s="40"/>
      <c r="M722" s="40"/>
      <c r="N722" s="41"/>
      <c r="O722" s="41"/>
      <c r="P722" s="37"/>
      <c r="Q722" s="38"/>
      <c r="R722" s="36"/>
      <c r="S722" s="42"/>
      <c r="T722" s="42"/>
      <c r="U722" s="37"/>
      <c r="V722" s="43"/>
      <c r="W722" s="43"/>
      <c r="X722" s="36"/>
    </row>
    <row r="723" ht="15.75" customHeight="1">
      <c r="A723" s="36"/>
      <c r="B723" s="36"/>
      <c r="C723" s="36"/>
      <c r="D723" s="36"/>
      <c r="E723" s="36"/>
      <c r="F723" s="37"/>
      <c r="G723" s="38"/>
      <c r="H723" s="36"/>
      <c r="I723" s="36"/>
      <c r="J723" s="39"/>
      <c r="K723" s="36"/>
      <c r="L723" s="40"/>
      <c r="M723" s="40"/>
      <c r="N723" s="41"/>
      <c r="O723" s="41"/>
      <c r="P723" s="37"/>
      <c r="Q723" s="38"/>
      <c r="R723" s="36"/>
      <c r="S723" s="42"/>
      <c r="T723" s="42"/>
      <c r="U723" s="37"/>
      <c r="V723" s="43"/>
      <c r="W723" s="43"/>
      <c r="X723" s="36"/>
    </row>
    <row r="724" ht="15.75" customHeight="1">
      <c r="A724" s="36"/>
      <c r="B724" s="36"/>
      <c r="C724" s="36"/>
      <c r="D724" s="36"/>
      <c r="E724" s="36"/>
      <c r="F724" s="37"/>
      <c r="G724" s="38"/>
      <c r="H724" s="36"/>
      <c r="I724" s="36"/>
      <c r="J724" s="39"/>
      <c r="K724" s="36"/>
      <c r="L724" s="40"/>
      <c r="M724" s="40"/>
      <c r="N724" s="41"/>
      <c r="O724" s="41"/>
      <c r="P724" s="37"/>
      <c r="Q724" s="38"/>
      <c r="R724" s="36"/>
      <c r="S724" s="42"/>
      <c r="T724" s="42"/>
      <c r="U724" s="37"/>
      <c r="V724" s="43"/>
      <c r="W724" s="43"/>
      <c r="X724" s="36"/>
    </row>
    <row r="725" ht="15.75" customHeight="1">
      <c r="A725" s="36"/>
      <c r="B725" s="36"/>
      <c r="C725" s="36"/>
      <c r="D725" s="36"/>
      <c r="E725" s="36"/>
      <c r="F725" s="37"/>
      <c r="G725" s="38"/>
      <c r="H725" s="36"/>
      <c r="I725" s="36"/>
      <c r="J725" s="39"/>
      <c r="K725" s="36"/>
      <c r="L725" s="40"/>
      <c r="M725" s="40"/>
      <c r="N725" s="41"/>
      <c r="O725" s="41"/>
      <c r="P725" s="37"/>
      <c r="Q725" s="38"/>
      <c r="R725" s="36"/>
      <c r="S725" s="42"/>
      <c r="T725" s="42"/>
      <c r="U725" s="37"/>
      <c r="V725" s="43"/>
      <c r="W725" s="43"/>
      <c r="X725" s="36"/>
    </row>
    <row r="726" ht="15.75" customHeight="1">
      <c r="A726" s="36"/>
      <c r="B726" s="36"/>
      <c r="C726" s="36"/>
      <c r="D726" s="36"/>
      <c r="E726" s="36"/>
      <c r="F726" s="37"/>
      <c r="G726" s="38"/>
      <c r="H726" s="36"/>
      <c r="I726" s="36"/>
      <c r="J726" s="39"/>
      <c r="K726" s="36"/>
      <c r="L726" s="40"/>
      <c r="M726" s="40"/>
      <c r="N726" s="41"/>
      <c r="O726" s="41"/>
      <c r="P726" s="37"/>
      <c r="Q726" s="38"/>
      <c r="R726" s="36"/>
      <c r="S726" s="42"/>
      <c r="T726" s="42"/>
      <c r="U726" s="37"/>
      <c r="V726" s="43"/>
      <c r="W726" s="43"/>
      <c r="X726" s="36"/>
    </row>
    <row r="727" ht="15.75" customHeight="1">
      <c r="A727" s="36"/>
      <c r="B727" s="36"/>
      <c r="C727" s="36"/>
      <c r="D727" s="36"/>
      <c r="E727" s="36"/>
      <c r="F727" s="37"/>
      <c r="G727" s="38"/>
      <c r="H727" s="36"/>
      <c r="I727" s="36"/>
      <c r="J727" s="39"/>
      <c r="K727" s="36"/>
      <c r="L727" s="40"/>
      <c r="M727" s="40"/>
      <c r="N727" s="41"/>
      <c r="O727" s="41"/>
      <c r="P727" s="37"/>
      <c r="Q727" s="38"/>
      <c r="R727" s="36"/>
      <c r="S727" s="42"/>
      <c r="T727" s="42"/>
      <c r="U727" s="37"/>
      <c r="V727" s="43"/>
      <c r="W727" s="43"/>
      <c r="X727" s="36"/>
    </row>
    <row r="728" ht="15.75" customHeight="1">
      <c r="A728" s="36"/>
      <c r="B728" s="36"/>
      <c r="C728" s="36"/>
      <c r="D728" s="36"/>
      <c r="E728" s="36"/>
      <c r="F728" s="37"/>
      <c r="G728" s="38"/>
      <c r="H728" s="36"/>
      <c r="I728" s="36"/>
      <c r="J728" s="39"/>
      <c r="K728" s="36"/>
      <c r="L728" s="40"/>
      <c r="M728" s="40"/>
      <c r="N728" s="41"/>
      <c r="O728" s="41"/>
      <c r="P728" s="37"/>
      <c r="Q728" s="38"/>
      <c r="R728" s="36"/>
      <c r="S728" s="42"/>
      <c r="T728" s="42"/>
      <c r="U728" s="37"/>
      <c r="V728" s="43"/>
      <c r="W728" s="43"/>
      <c r="X728" s="36"/>
    </row>
    <row r="729" ht="15.75" customHeight="1">
      <c r="A729" s="36"/>
      <c r="B729" s="36"/>
      <c r="C729" s="36"/>
      <c r="D729" s="36"/>
      <c r="E729" s="36"/>
      <c r="F729" s="37"/>
      <c r="G729" s="38"/>
      <c r="H729" s="36"/>
      <c r="I729" s="36"/>
      <c r="J729" s="39"/>
      <c r="K729" s="36"/>
      <c r="L729" s="40"/>
      <c r="M729" s="40"/>
      <c r="N729" s="41"/>
      <c r="O729" s="41"/>
      <c r="P729" s="37"/>
      <c r="Q729" s="38"/>
      <c r="R729" s="36"/>
      <c r="S729" s="42"/>
      <c r="T729" s="42"/>
      <c r="U729" s="37"/>
      <c r="V729" s="43"/>
      <c r="W729" s="43"/>
      <c r="X729" s="36"/>
    </row>
    <row r="730" ht="15.75" customHeight="1">
      <c r="A730" s="36"/>
      <c r="B730" s="36"/>
      <c r="C730" s="36"/>
      <c r="D730" s="36"/>
      <c r="E730" s="36"/>
      <c r="F730" s="37"/>
      <c r="G730" s="38"/>
      <c r="H730" s="36"/>
      <c r="I730" s="36"/>
      <c r="J730" s="39"/>
      <c r="K730" s="36"/>
      <c r="L730" s="40"/>
      <c r="M730" s="40"/>
      <c r="N730" s="41"/>
      <c r="O730" s="41"/>
      <c r="P730" s="37"/>
      <c r="Q730" s="38"/>
      <c r="R730" s="36"/>
      <c r="S730" s="42"/>
      <c r="T730" s="42"/>
      <c r="U730" s="37"/>
      <c r="V730" s="43"/>
      <c r="W730" s="43"/>
      <c r="X730" s="36"/>
    </row>
    <row r="731" ht="15.75" customHeight="1">
      <c r="A731" s="36"/>
      <c r="B731" s="36"/>
      <c r="C731" s="36"/>
      <c r="D731" s="36"/>
      <c r="E731" s="36"/>
      <c r="F731" s="37"/>
      <c r="G731" s="38"/>
      <c r="H731" s="36"/>
      <c r="I731" s="36"/>
      <c r="J731" s="39"/>
      <c r="K731" s="36"/>
      <c r="L731" s="40"/>
      <c r="M731" s="40"/>
      <c r="N731" s="41"/>
      <c r="O731" s="41"/>
      <c r="P731" s="37"/>
      <c r="Q731" s="38"/>
      <c r="R731" s="36"/>
      <c r="S731" s="42"/>
      <c r="T731" s="42"/>
      <c r="U731" s="37"/>
      <c r="V731" s="43"/>
      <c r="W731" s="43"/>
      <c r="X731" s="36"/>
    </row>
    <row r="732" ht="15.75" customHeight="1">
      <c r="A732" s="36"/>
      <c r="B732" s="36"/>
      <c r="C732" s="36"/>
      <c r="D732" s="36"/>
      <c r="E732" s="36"/>
      <c r="F732" s="37"/>
      <c r="G732" s="38"/>
      <c r="H732" s="36"/>
      <c r="I732" s="36"/>
      <c r="J732" s="39"/>
      <c r="K732" s="36"/>
      <c r="L732" s="40"/>
      <c r="M732" s="40"/>
      <c r="N732" s="41"/>
      <c r="O732" s="41"/>
      <c r="P732" s="37"/>
      <c r="Q732" s="38"/>
      <c r="R732" s="36"/>
      <c r="S732" s="42"/>
      <c r="T732" s="42"/>
      <c r="U732" s="37"/>
      <c r="V732" s="43"/>
      <c r="W732" s="43"/>
      <c r="X732" s="36"/>
    </row>
    <row r="733" ht="15.75" customHeight="1">
      <c r="A733" s="36"/>
      <c r="B733" s="36"/>
      <c r="C733" s="36"/>
      <c r="D733" s="36"/>
      <c r="E733" s="36"/>
      <c r="F733" s="37"/>
      <c r="G733" s="38"/>
      <c r="H733" s="36"/>
      <c r="I733" s="36"/>
      <c r="J733" s="39"/>
      <c r="K733" s="36"/>
      <c r="L733" s="40"/>
      <c r="M733" s="40"/>
      <c r="N733" s="41"/>
      <c r="O733" s="41"/>
      <c r="P733" s="37"/>
      <c r="Q733" s="38"/>
      <c r="R733" s="36"/>
      <c r="S733" s="42"/>
      <c r="T733" s="42"/>
      <c r="U733" s="37"/>
      <c r="V733" s="43"/>
      <c r="W733" s="43"/>
      <c r="X733" s="36"/>
    </row>
    <row r="734" ht="15.75" customHeight="1">
      <c r="A734" s="36"/>
      <c r="B734" s="36"/>
      <c r="C734" s="36"/>
      <c r="D734" s="36"/>
      <c r="E734" s="36"/>
      <c r="F734" s="37"/>
      <c r="G734" s="38"/>
      <c r="H734" s="36"/>
      <c r="I734" s="36"/>
      <c r="J734" s="39"/>
      <c r="K734" s="36"/>
      <c r="L734" s="40"/>
      <c r="M734" s="40"/>
      <c r="N734" s="41"/>
      <c r="O734" s="41"/>
      <c r="P734" s="37"/>
      <c r="Q734" s="38"/>
      <c r="R734" s="36"/>
      <c r="S734" s="42"/>
      <c r="T734" s="42"/>
      <c r="U734" s="37"/>
      <c r="V734" s="43"/>
      <c r="W734" s="43"/>
      <c r="X734" s="36"/>
    </row>
    <row r="735" ht="15.75" customHeight="1">
      <c r="A735" s="36"/>
      <c r="B735" s="36"/>
      <c r="C735" s="36"/>
      <c r="D735" s="36"/>
      <c r="E735" s="36"/>
      <c r="F735" s="37"/>
      <c r="G735" s="38"/>
      <c r="H735" s="36"/>
      <c r="I735" s="36"/>
      <c r="J735" s="39"/>
      <c r="K735" s="36"/>
      <c r="L735" s="40"/>
      <c r="M735" s="40"/>
      <c r="N735" s="41"/>
      <c r="O735" s="41"/>
      <c r="P735" s="37"/>
      <c r="Q735" s="38"/>
      <c r="R735" s="36"/>
      <c r="S735" s="42"/>
      <c r="T735" s="42"/>
      <c r="U735" s="37"/>
      <c r="V735" s="43"/>
      <c r="W735" s="43"/>
      <c r="X735" s="36"/>
    </row>
    <row r="736" ht="15.75" customHeight="1">
      <c r="A736" s="36"/>
      <c r="B736" s="36"/>
      <c r="C736" s="36"/>
      <c r="D736" s="36"/>
      <c r="E736" s="36"/>
      <c r="F736" s="37"/>
      <c r="G736" s="38"/>
      <c r="H736" s="36"/>
      <c r="I736" s="36"/>
      <c r="J736" s="39"/>
      <c r="K736" s="36"/>
      <c r="L736" s="40"/>
      <c r="M736" s="40"/>
      <c r="N736" s="41"/>
      <c r="O736" s="41"/>
      <c r="P736" s="37"/>
      <c r="Q736" s="38"/>
      <c r="R736" s="36"/>
      <c r="S736" s="42"/>
      <c r="T736" s="42"/>
      <c r="U736" s="37"/>
      <c r="V736" s="43"/>
      <c r="W736" s="43"/>
      <c r="X736" s="36"/>
    </row>
    <row r="737" ht="15.75" customHeight="1">
      <c r="A737" s="36"/>
      <c r="B737" s="36"/>
      <c r="C737" s="36"/>
      <c r="D737" s="36"/>
      <c r="E737" s="36"/>
      <c r="F737" s="37"/>
      <c r="G737" s="38"/>
      <c r="H737" s="36"/>
      <c r="I737" s="36"/>
      <c r="J737" s="39"/>
      <c r="K737" s="36"/>
      <c r="L737" s="40"/>
      <c r="M737" s="40"/>
      <c r="N737" s="41"/>
      <c r="O737" s="41"/>
      <c r="P737" s="37"/>
      <c r="Q737" s="38"/>
      <c r="R737" s="36"/>
      <c r="S737" s="42"/>
      <c r="T737" s="42"/>
      <c r="U737" s="37"/>
      <c r="V737" s="43"/>
      <c r="W737" s="43"/>
      <c r="X737" s="36"/>
    </row>
    <row r="738" ht="15.75" customHeight="1">
      <c r="A738" s="36"/>
      <c r="B738" s="36"/>
      <c r="C738" s="36"/>
      <c r="D738" s="36"/>
      <c r="E738" s="36"/>
      <c r="F738" s="37"/>
      <c r="G738" s="38"/>
      <c r="H738" s="36"/>
      <c r="I738" s="36"/>
      <c r="J738" s="39"/>
      <c r="K738" s="36"/>
      <c r="L738" s="40"/>
      <c r="M738" s="40"/>
      <c r="N738" s="41"/>
      <c r="O738" s="41"/>
      <c r="P738" s="37"/>
      <c r="Q738" s="38"/>
      <c r="R738" s="36"/>
      <c r="S738" s="42"/>
      <c r="T738" s="42"/>
      <c r="U738" s="37"/>
      <c r="V738" s="43"/>
      <c r="W738" s="43"/>
      <c r="X738" s="36"/>
    </row>
    <row r="739" ht="15.75" customHeight="1">
      <c r="A739" s="36"/>
      <c r="B739" s="36"/>
      <c r="C739" s="36"/>
      <c r="D739" s="36"/>
      <c r="E739" s="36"/>
      <c r="F739" s="37"/>
      <c r="G739" s="38"/>
      <c r="H739" s="36"/>
      <c r="I739" s="36"/>
      <c r="J739" s="39"/>
      <c r="K739" s="36"/>
      <c r="L739" s="40"/>
      <c r="M739" s="40"/>
      <c r="N739" s="41"/>
      <c r="O739" s="41"/>
      <c r="P739" s="37"/>
      <c r="Q739" s="38"/>
      <c r="R739" s="36"/>
      <c r="S739" s="42"/>
      <c r="T739" s="42"/>
      <c r="U739" s="37"/>
      <c r="V739" s="43"/>
      <c r="W739" s="43"/>
      <c r="X739" s="36"/>
    </row>
    <row r="740" ht="15.75" customHeight="1">
      <c r="A740" s="36"/>
      <c r="B740" s="36"/>
      <c r="C740" s="36"/>
      <c r="D740" s="36"/>
      <c r="E740" s="36"/>
      <c r="F740" s="37"/>
      <c r="G740" s="38"/>
      <c r="H740" s="36"/>
      <c r="I740" s="36"/>
      <c r="J740" s="39"/>
      <c r="K740" s="36"/>
      <c r="L740" s="40"/>
      <c r="M740" s="40"/>
      <c r="N740" s="41"/>
      <c r="O740" s="41"/>
      <c r="P740" s="37"/>
      <c r="Q740" s="38"/>
      <c r="R740" s="36"/>
      <c r="S740" s="42"/>
      <c r="T740" s="42"/>
      <c r="U740" s="37"/>
      <c r="V740" s="43"/>
      <c r="W740" s="43"/>
      <c r="X740" s="36"/>
    </row>
    <row r="741" ht="15.75" customHeight="1">
      <c r="A741" s="36"/>
      <c r="B741" s="36"/>
      <c r="C741" s="36"/>
      <c r="D741" s="36"/>
      <c r="E741" s="36"/>
      <c r="F741" s="37"/>
      <c r="G741" s="38"/>
      <c r="H741" s="36"/>
      <c r="I741" s="36"/>
      <c r="J741" s="39"/>
      <c r="K741" s="36"/>
      <c r="L741" s="40"/>
      <c r="M741" s="40"/>
      <c r="N741" s="41"/>
      <c r="O741" s="41"/>
      <c r="P741" s="37"/>
      <c r="Q741" s="38"/>
      <c r="R741" s="36"/>
      <c r="S741" s="42"/>
      <c r="T741" s="42"/>
      <c r="U741" s="37"/>
      <c r="V741" s="43"/>
      <c r="W741" s="43"/>
      <c r="X741" s="36"/>
    </row>
    <row r="742" ht="15.75" customHeight="1">
      <c r="A742" s="36"/>
      <c r="B742" s="36"/>
      <c r="C742" s="36"/>
      <c r="D742" s="36"/>
      <c r="E742" s="36"/>
      <c r="F742" s="37"/>
      <c r="G742" s="38"/>
      <c r="H742" s="36"/>
      <c r="I742" s="36"/>
      <c r="J742" s="39"/>
      <c r="K742" s="36"/>
      <c r="L742" s="40"/>
      <c r="M742" s="40"/>
      <c r="N742" s="41"/>
      <c r="O742" s="41"/>
      <c r="P742" s="37"/>
      <c r="Q742" s="38"/>
      <c r="R742" s="36"/>
      <c r="S742" s="42"/>
      <c r="T742" s="42"/>
      <c r="U742" s="37"/>
      <c r="V742" s="43"/>
      <c r="W742" s="43"/>
      <c r="X742" s="36"/>
    </row>
    <row r="743" ht="15.75" customHeight="1">
      <c r="A743" s="36"/>
      <c r="B743" s="36"/>
      <c r="C743" s="36"/>
      <c r="D743" s="36"/>
      <c r="E743" s="36"/>
      <c r="F743" s="37"/>
      <c r="G743" s="38"/>
      <c r="H743" s="36"/>
      <c r="I743" s="36"/>
      <c r="J743" s="39"/>
      <c r="K743" s="36"/>
      <c r="L743" s="40"/>
      <c r="M743" s="40"/>
      <c r="N743" s="41"/>
      <c r="O743" s="41"/>
      <c r="P743" s="37"/>
      <c r="Q743" s="38"/>
      <c r="R743" s="36"/>
      <c r="S743" s="42"/>
      <c r="T743" s="42"/>
      <c r="U743" s="37"/>
      <c r="V743" s="43"/>
      <c r="W743" s="43"/>
      <c r="X743" s="36"/>
    </row>
    <row r="744" ht="15.75" customHeight="1">
      <c r="A744" s="36"/>
      <c r="B744" s="36"/>
      <c r="C744" s="36"/>
      <c r="D744" s="36"/>
      <c r="E744" s="36"/>
      <c r="F744" s="37"/>
      <c r="G744" s="38"/>
      <c r="H744" s="36"/>
      <c r="I744" s="36"/>
      <c r="J744" s="39"/>
      <c r="K744" s="36"/>
      <c r="L744" s="40"/>
      <c r="M744" s="40"/>
      <c r="N744" s="41"/>
      <c r="O744" s="41"/>
      <c r="P744" s="37"/>
      <c r="Q744" s="38"/>
      <c r="R744" s="36"/>
      <c r="S744" s="42"/>
      <c r="T744" s="42"/>
      <c r="U744" s="37"/>
      <c r="V744" s="43"/>
      <c r="W744" s="43"/>
      <c r="X744" s="36"/>
    </row>
    <row r="745" ht="15.75" customHeight="1">
      <c r="A745" s="36"/>
      <c r="B745" s="36"/>
      <c r="C745" s="36"/>
      <c r="D745" s="36"/>
      <c r="E745" s="36"/>
      <c r="F745" s="37"/>
      <c r="G745" s="38"/>
      <c r="H745" s="36"/>
      <c r="I745" s="36"/>
      <c r="J745" s="39"/>
      <c r="K745" s="36"/>
      <c r="L745" s="40"/>
      <c r="M745" s="40"/>
      <c r="N745" s="41"/>
      <c r="O745" s="41"/>
      <c r="P745" s="37"/>
      <c r="Q745" s="38"/>
      <c r="R745" s="36"/>
      <c r="S745" s="42"/>
      <c r="T745" s="42"/>
      <c r="U745" s="37"/>
      <c r="V745" s="43"/>
      <c r="W745" s="43"/>
      <c r="X745" s="36"/>
    </row>
    <row r="746" ht="15.75" customHeight="1">
      <c r="A746" s="36"/>
      <c r="B746" s="36"/>
      <c r="C746" s="36"/>
      <c r="D746" s="36"/>
      <c r="E746" s="36"/>
      <c r="F746" s="37"/>
      <c r="G746" s="38"/>
      <c r="H746" s="36"/>
      <c r="I746" s="36"/>
      <c r="J746" s="39"/>
      <c r="K746" s="36"/>
      <c r="L746" s="40"/>
      <c r="M746" s="40"/>
      <c r="N746" s="41"/>
      <c r="O746" s="41"/>
      <c r="P746" s="37"/>
      <c r="Q746" s="38"/>
      <c r="R746" s="36"/>
      <c r="S746" s="42"/>
      <c r="T746" s="42"/>
      <c r="U746" s="37"/>
      <c r="V746" s="43"/>
      <c r="W746" s="43"/>
      <c r="X746" s="36"/>
    </row>
    <row r="747" ht="15.75" customHeight="1">
      <c r="A747" s="36"/>
      <c r="B747" s="36"/>
      <c r="C747" s="36"/>
      <c r="D747" s="36"/>
      <c r="E747" s="36"/>
      <c r="F747" s="37"/>
      <c r="G747" s="38"/>
      <c r="H747" s="36"/>
      <c r="I747" s="36"/>
      <c r="J747" s="39"/>
      <c r="K747" s="36"/>
      <c r="L747" s="40"/>
      <c r="M747" s="40"/>
      <c r="N747" s="41"/>
      <c r="O747" s="41"/>
      <c r="P747" s="37"/>
      <c r="Q747" s="38"/>
      <c r="R747" s="36"/>
      <c r="S747" s="42"/>
      <c r="T747" s="42"/>
      <c r="U747" s="37"/>
      <c r="V747" s="43"/>
      <c r="W747" s="43"/>
      <c r="X747" s="36"/>
    </row>
    <row r="748" ht="15.75" customHeight="1">
      <c r="A748" s="36"/>
      <c r="B748" s="36"/>
      <c r="C748" s="36"/>
      <c r="D748" s="36"/>
      <c r="E748" s="36"/>
      <c r="F748" s="37"/>
      <c r="G748" s="38"/>
      <c r="H748" s="36"/>
      <c r="I748" s="36"/>
      <c r="J748" s="39"/>
      <c r="K748" s="36"/>
      <c r="L748" s="40"/>
      <c r="M748" s="40"/>
      <c r="N748" s="41"/>
      <c r="O748" s="41"/>
      <c r="P748" s="37"/>
      <c r="Q748" s="38"/>
      <c r="R748" s="36"/>
      <c r="S748" s="42"/>
      <c r="T748" s="42"/>
      <c r="U748" s="37"/>
      <c r="V748" s="43"/>
      <c r="W748" s="43"/>
      <c r="X748" s="36"/>
    </row>
    <row r="749" ht="15.75" customHeight="1">
      <c r="A749" s="36"/>
      <c r="B749" s="36"/>
      <c r="C749" s="36"/>
      <c r="D749" s="36"/>
      <c r="E749" s="36"/>
      <c r="F749" s="37"/>
      <c r="G749" s="38"/>
      <c r="H749" s="36"/>
      <c r="I749" s="36"/>
      <c r="J749" s="39"/>
      <c r="K749" s="36"/>
      <c r="L749" s="40"/>
      <c r="M749" s="40"/>
      <c r="N749" s="41"/>
      <c r="O749" s="41"/>
      <c r="P749" s="37"/>
      <c r="Q749" s="38"/>
      <c r="R749" s="36"/>
      <c r="S749" s="42"/>
      <c r="T749" s="42"/>
      <c r="U749" s="37"/>
      <c r="V749" s="43"/>
      <c r="W749" s="43"/>
      <c r="X749" s="36"/>
    </row>
    <row r="750" ht="15.75" customHeight="1">
      <c r="A750" s="36"/>
      <c r="B750" s="36"/>
      <c r="C750" s="36"/>
      <c r="D750" s="36"/>
      <c r="E750" s="36"/>
      <c r="F750" s="37"/>
      <c r="G750" s="38"/>
      <c r="H750" s="36"/>
      <c r="I750" s="36"/>
      <c r="J750" s="39"/>
      <c r="K750" s="36"/>
      <c r="L750" s="40"/>
      <c r="M750" s="40"/>
      <c r="N750" s="41"/>
      <c r="O750" s="41"/>
      <c r="P750" s="37"/>
      <c r="Q750" s="38"/>
      <c r="R750" s="36"/>
      <c r="S750" s="42"/>
      <c r="T750" s="42"/>
      <c r="U750" s="37"/>
      <c r="V750" s="43"/>
      <c r="W750" s="43"/>
      <c r="X750" s="36"/>
    </row>
    <row r="751" ht="15.75" customHeight="1">
      <c r="A751" s="36"/>
      <c r="B751" s="36"/>
      <c r="C751" s="36"/>
      <c r="D751" s="36"/>
      <c r="E751" s="36"/>
      <c r="F751" s="37"/>
      <c r="G751" s="38"/>
      <c r="H751" s="36"/>
      <c r="I751" s="36"/>
      <c r="J751" s="39"/>
      <c r="K751" s="36"/>
      <c r="L751" s="40"/>
      <c r="M751" s="40"/>
      <c r="N751" s="41"/>
      <c r="O751" s="41"/>
      <c r="P751" s="37"/>
      <c r="Q751" s="38"/>
      <c r="R751" s="36"/>
      <c r="S751" s="42"/>
      <c r="T751" s="42"/>
      <c r="U751" s="37"/>
      <c r="V751" s="43"/>
      <c r="W751" s="43"/>
      <c r="X751" s="36"/>
    </row>
    <row r="752" ht="15.75" customHeight="1">
      <c r="A752" s="36"/>
      <c r="B752" s="36"/>
      <c r="C752" s="36"/>
      <c r="D752" s="36"/>
      <c r="E752" s="36"/>
      <c r="F752" s="37"/>
      <c r="G752" s="38"/>
      <c r="H752" s="36"/>
      <c r="I752" s="36"/>
      <c r="J752" s="39"/>
      <c r="K752" s="36"/>
      <c r="L752" s="40"/>
      <c r="M752" s="40"/>
      <c r="N752" s="41"/>
      <c r="O752" s="41"/>
      <c r="P752" s="37"/>
      <c r="Q752" s="38"/>
      <c r="R752" s="36"/>
      <c r="S752" s="42"/>
      <c r="T752" s="42"/>
      <c r="U752" s="37"/>
      <c r="V752" s="43"/>
      <c r="W752" s="43"/>
      <c r="X752" s="36"/>
    </row>
    <row r="753" ht="15.75" customHeight="1">
      <c r="A753" s="36"/>
      <c r="B753" s="36"/>
      <c r="C753" s="36"/>
      <c r="D753" s="36"/>
      <c r="E753" s="36"/>
      <c r="F753" s="37"/>
      <c r="G753" s="38"/>
      <c r="H753" s="36"/>
      <c r="I753" s="36"/>
      <c r="J753" s="39"/>
      <c r="K753" s="36"/>
      <c r="L753" s="40"/>
      <c r="M753" s="40"/>
      <c r="N753" s="41"/>
      <c r="O753" s="41"/>
      <c r="P753" s="37"/>
      <c r="Q753" s="38"/>
      <c r="R753" s="36"/>
      <c r="S753" s="42"/>
      <c r="T753" s="42"/>
      <c r="U753" s="37"/>
      <c r="V753" s="43"/>
      <c r="W753" s="43"/>
      <c r="X753" s="36"/>
    </row>
    <row r="754" ht="15.75" customHeight="1">
      <c r="A754" s="36"/>
      <c r="B754" s="36"/>
      <c r="C754" s="36"/>
      <c r="D754" s="36"/>
      <c r="E754" s="36"/>
      <c r="F754" s="37"/>
      <c r="G754" s="38"/>
      <c r="H754" s="36"/>
      <c r="I754" s="36"/>
      <c r="J754" s="39"/>
      <c r="K754" s="36"/>
      <c r="L754" s="40"/>
      <c r="M754" s="40"/>
      <c r="N754" s="41"/>
      <c r="O754" s="41"/>
      <c r="P754" s="37"/>
      <c r="Q754" s="38"/>
      <c r="R754" s="36"/>
      <c r="S754" s="42"/>
      <c r="T754" s="42"/>
      <c r="U754" s="37"/>
      <c r="V754" s="43"/>
      <c r="W754" s="43"/>
      <c r="X754" s="36"/>
    </row>
    <row r="755" ht="15.75" customHeight="1">
      <c r="A755" s="36"/>
      <c r="B755" s="36"/>
      <c r="C755" s="36"/>
      <c r="D755" s="36"/>
      <c r="E755" s="36"/>
      <c r="F755" s="37"/>
      <c r="G755" s="38"/>
      <c r="H755" s="36"/>
      <c r="I755" s="36"/>
      <c r="J755" s="39"/>
      <c r="K755" s="36"/>
      <c r="L755" s="40"/>
      <c r="M755" s="40"/>
      <c r="N755" s="41"/>
      <c r="O755" s="41"/>
      <c r="P755" s="37"/>
      <c r="Q755" s="38"/>
      <c r="R755" s="36"/>
      <c r="S755" s="42"/>
      <c r="T755" s="42"/>
      <c r="U755" s="37"/>
      <c r="V755" s="43"/>
      <c r="W755" s="43"/>
      <c r="X755" s="36"/>
    </row>
    <row r="756" ht="15.75" customHeight="1">
      <c r="A756" s="36"/>
      <c r="B756" s="36"/>
      <c r="C756" s="36"/>
      <c r="D756" s="36"/>
      <c r="E756" s="36"/>
      <c r="F756" s="37"/>
      <c r="G756" s="38"/>
      <c r="H756" s="36"/>
      <c r="I756" s="36"/>
      <c r="J756" s="39"/>
      <c r="K756" s="36"/>
      <c r="L756" s="40"/>
      <c r="M756" s="40"/>
      <c r="N756" s="41"/>
      <c r="O756" s="41"/>
      <c r="P756" s="37"/>
      <c r="Q756" s="38"/>
      <c r="R756" s="36"/>
      <c r="S756" s="42"/>
      <c r="T756" s="42"/>
      <c r="U756" s="37"/>
      <c r="V756" s="43"/>
      <c r="W756" s="43"/>
      <c r="X756" s="36"/>
    </row>
    <row r="757" ht="15.75" customHeight="1">
      <c r="A757" s="36"/>
      <c r="B757" s="36"/>
      <c r="C757" s="36"/>
      <c r="D757" s="36"/>
      <c r="E757" s="36"/>
      <c r="F757" s="37"/>
      <c r="G757" s="38"/>
      <c r="H757" s="36"/>
      <c r="I757" s="36"/>
      <c r="J757" s="39"/>
      <c r="K757" s="36"/>
      <c r="L757" s="40"/>
      <c r="M757" s="40"/>
      <c r="N757" s="41"/>
      <c r="O757" s="41"/>
      <c r="P757" s="37"/>
      <c r="Q757" s="38"/>
      <c r="R757" s="36"/>
      <c r="S757" s="42"/>
      <c r="T757" s="42"/>
      <c r="U757" s="37"/>
      <c r="V757" s="43"/>
      <c r="W757" s="43"/>
      <c r="X757" s="36"/>
    </row>
    <row r="758" ht="15.75" customHeight="1">
      <c r="A758" s="36"/>
      <c r="B758" s="36"/>
      <c r="C758" s="36"/>
      <c r="D758" s="36"/>
      <c r="E758" s="36"/>
      <c r="F758" s="37"/>
      <c r="G758" s="38"/>
      <c r="H758" s="36"/>
      <c r="I758" s="36"/>
      <c r="J758" s="39"/>
      <c r="K758" s="36"/>
      <c r="L758" s="40"/>
      <c r="M758" s="40"/>
      <c r="N758" s="41"/>
      <c r="O758" s="41"/>
      <c r="P758" s="37"/>
      <c r="Q758" s="38"/>
      <c r="R758" s="36"/>
      <c r="S758" s="42"/>
      <c r="T758" s="42"/>
      <c r="U758" s="37"/>
      <c r="V758" s="43"/>
      <c r="W758" s="43"/>
      <c r="X758" s="36"/>
    </row>
    <row r="759" ht="15.75" customHeight="1">
      <c r="A759" s="36"/>
      <c r="B759" s="36"/>
      <c r="C759" s="36"/>
      <c r="D759" s="36"/>
      <c r="E759" s="36"/>
      <c r="F759" s="37"/>
      <c r="G759" s="38"/>
      <c r="H759" s="36"/>
      <c r="I759" s="36"/>
      <c r="J759" s="39"/>
      <c r="K759" s="36"/>
      <c r="L759" s="40"/>
      <c r="M759" s="40"/>
      <c r="N759" s="41"/>
      <c r="O759" s="41"/>
      <c r="P759" s="37"/>
      <c r="Q759" s="38"/>
      <c r="R759" s="36"/>
      <c r="S759" s="42"/>
      <c r="T759" s="42"/>
      <c r="U759" s="37"/>
      <c r="V759" s="43"/>
      <c r="W759" s="43"/>
      <c r="X759" s="36"/>
    </row>
    <row r="760" ht="15.75" customHeight="1">
      <c r="A760" s="36"/>
      <c r="B760" s="36"/>
      <c r="C760" s="36"/>
      <c r="D760" s="36"/>
      <c r="E760" s="36"/>
      <c r="F760" s="37"/>
      <c r="G760" s="38"/>
      <c r="H760" s="36"/>
      <c r="I760" s="36"/>
      <c r="J760" s="39"/>
      <c r="K760" s="36"/>
      <c r="L760" s="40"/>
      <c r="M760" s="40"/>
      <c r="N760" s="41"/>
      <c r="O760" s="41"/>
      <c r="P760" s="37"/>
      <c r="Q760" s="38"/>
      <c r="R760" s="36"/>
      <c r="S760" s="42"/>
      <c r="T760" s="42"/>
      <c r="U760" s="37"/>
      <c r="V760" s="43"/>
      <c r="W760" s="43"/>
      <c r="X760" s="36"/>
    </row>
    <row r="761" ht="15.75" customHeight="1">
      <c r="A761" s="36"/>
      <c r="B761" s="36"/>
      <c r="C761" s="36"/>
      <c r="D761" s="36"/>
      <c r="E761" s="36"/>
      <c r="F761" s="37"/>
      <c r="G761" s="38"/>
      <c r="H761" s="36"/>
      <c r="I761" s="36"/>
      <c r="J761" s="39"/>
      <c r="K761" s="36"/>
      <c r="L761" s="40"/>
      <c r="M761" s="40"/>
      <c r="N761" s="41"/>
      <c r="O761" s="41"/>
      <c r="P761" s="37"/>
      <c r="Q761" s="38"/>
      <c r="R761" s="36"/>
      <c r="S761" s="42"/>
      <c r="T761" s="42"/>
      <c r="U761" s="37"/>
      <c r="V761" s="43"/>
      <c r="W761" s="43"/>
      <c r="X761" s="36"/>
    </row>
    <row r="762" ht="15.75" customHeight="1">
      <c r="A762" s="36"/>
      <c r="B762" s="36"/>
      <c r="C762" s="36"/>
      <c r="D762" s="36"/>
      <c r="E762" s="36"/>
      <c r="F762" s="37"/>
      <c r="G762" s="38"/>
      <c r="H762" s="36"/>
      <c r="I762" s="36"/>
      <c r="J762" s="39"/>
      <c r="K762" s="36"/>
      <c r="L762" s="40"/>
      <c r="M762" s="40"/>
      <c r="N762" s="41"/>
      <c r="O762" s="41"/>
      <c r="P762" s="37"/>
      <c r="Q762" s="38"/>
      <c r="R762" s="36"/>
      <c r="S762" s="42"/>
      <c r="T762" s="42"/>
      <c r="U762" s="37"/>
      <c r="V762" s="43"/>
      <c r="W762" s="43"/>
      <c r="X762" s="36"/>
    </row>
    <row r="763" ht="15.75" customHeight="1">
      <c r="A763" s="36"/>
      <c r="B763" s="36"/>
      <c r="C763" s="36"/>
      <c r="D763" s="36"/>
      <c r="E763" s="36"/>
      <c r="F763" s="37"/>
      <c r="G763" s="38"/>
      <c r="H763" s="36"/>
      <c r="I763" s="36"/>
      <c r="J763" s="39"/>
      <c r="K763" s="36"/>
      <c r="L763" s="40"/>
      <c r="M763" s="40"/>
      <c r="N763" s="41"/>
      <c r="O763" s="41"/>
      <c r="P763" s="37"/>
      <c r="Q763" s="38"/>
      <c r="R763" s="36"/>
      <c r="S763" s="42"/>
      <c r="T763" s="42"/>
      <c r="U763" s="37"/>
      <c r="V763" s="43"/>
      <c r="W763" s="43"/>
      <c r="X763" s="36"/>
    </row>
    <row r="764" ht="15.75" customHeight="1">
      <c r="A764" s="36"/>
      <c r="B764" s="36"/>
      <c r="C764" s="36"/>
      <c r="D764" s="36"/>
      <c r="E764" s="36"/>
      <c r="F764" s="37"/>
      <c r="G764" s="38"/>
      <c r="H764" s="36"/>
      <c r="I764" s="36"/>
      <c r="J764" s="39"/>
      <c r="K764" s="36"/>
      <c r="L764" s="40"/>
      <c r="M764" s="40"/>
      <c r="N764" s="41"/>
      <c r="O764" s="41"/>
      <c r="P764" s="37"/>
      <c r="Q764" s="38"/>
      <c r="R764" s="36"/>
      <c r="S764" s="42"/>
      <c r="T764" s="42"/>
      <c r="U764" s="37"/>
      <c r="V764" s="43"/>
      <c r="W764" s="43"/>
      <c r="X764" s="36"/>
    </row>
    <row r="765" ht="15.75" customHeight="1">
      <c r="A765" s="36"/>
      <c r="B765" s="36"/>
      <c r="C765" s="36"/>
      <c r="D765" s="36"/>
      <c r="E765" s="36"/>
      <c r="F765" s="37"/>
      <c r="G765" s="38"/>
      <c r="H765" s="36"/>
      <c r="I765" s="36"/>
      <c r="J765" s="39"/>
      <c r="K765" s="36"/>
      <c r="L765" s="40"/>
      <c r="M765" s="40"/>
      <c r="N765" s="41"/>
      <c r="O765" s="41"/>
      <c r="P765" s="37"/>
      <c r="Q765" s="38"/>
      <c r="R765" s="36"/>
      <c r="S765" s="42"/>
      <c r="T765" s="42"/>
      <c r="U765" s="37"/>
      <c r="V765" s="43"/>
      <c r="W765" s="43"/>
      <c r="X765" s="36"/>
    </row>
    <row r="766" ht="15.75" customHeight="1">
      <c r="A766" s="36"/>
      <c r="B766" s="36"/>
      <c r="C766" s="36"/>
      <c r="D766" s="36"/>
      <c r="E766" s="36"/>
      <c r="F766" s="37"/>
      <c r="G766" s="38"/>
      <c r="H766" s="36"/>
      <c r="I766" s="36"/>
      <c r="J766" s="39"/>
      <c r="K766" s="36"/>
      <c r="L766" s="40"/>
      <c r="M766" s="40"/>
      <c r="N766" s="41"/>
      <c r="O766" s="41"/>
      <c r="P766" s="37"/>
      <c r="Q766" s="38"/>
      <c r="R766" s="36"/>
      <c r="S766" s="42"/>
      <c r="T766" s="42"/>
      <c r="U766" s="37"/>
      <c r="V766" s="43"/>
      <c r="W766" s="43"/>
      <c r="X766" s="36"/>
    </row>
    <row r="767" ht="15.75" customHeight="1">
      <c r="A767" s="36"/>
      <c r="B767" s="36"/>
      <c r="C767" s="36"/>
      <c r="D767" s="36"/>
      <c r="E767" s="36"/>
      <c r="F767" s="37"/>
      <c r="G767" s="38"/>
      <c r="H767" s="36"/>
      <c r="I767" s="36"/>
      <c r="J767" s="39"/>
      <c r="K767" s="36"/>
      <c r="L767" s="40"/>
      <c r="M767" s="40"/>
      <c r="N767" s="41"/>
      <c r="O767" s="41"/>
      <c r="P767" s="37"/>
      <c r="Q767" s="38"/>
      <c r="R767" s="36"/>
      <c r="S767" s="42"/>
      <c r="T767" s="42"/>
      <c r="U767" s="37"/>
      <c r="V767" s="43"/>
      <c r="W767" s="43"/>
      <c r="X767" s="36"/>
    </row>
    <row r="768" ht="15.75" customHeight="1">
      <c r="A768" s="36"/>
      <c r="B768" s="36"/>
      <c r="C768" s="36"/>
      <c r="D768" s="36"/>
      <c r="E768" s="36"/>
      <c r="F768" s="37"/>
      <c r="G768" s="38"/>
      <c r="H768" s="36"/>
      <c r="I768" s="36"/>
      <c r="J768" s="39"/>
      <c r="K768" s="36"/>
      <c r="L768" s="40"/>
      <c r="M768" s="40"/>
      <c r="N768" s="41"/>
      <c r="O768" s="41"/>
      <c r="P768" s="37"/>
      <c r="Q768" s="38"/>
      <c r="R768" s="36"/>
      <c r="S768" s="42"/>
      <c r="T768" s="42"/>
      <c r="U768" s="37"/>
      <c r="V768" s="43"/>
      <c r="W768" s="43"/>
      <c r="X768" s="36"/>
    </row>
    <row r="769" ht="15.75" customHeight="1">
      <c r="A769" s="36"/>
      <c r="B769" s="36"/>
      <c r="C769" s="36"/>
      <c r="D769" s="36"/>
      <c r="E769" s="36"/>
      <c r="F769" s="37"/>
      <c r="G769" s="38"/>
      <c r="H769" s="36"/>
      <c r="I769" s="36"/>
      <c r="J769" s="39"/>
      <c r="K769" s="36"/>
      <c r="L769" s="40"/>
      <c r="M769" s="40"/>
      <c r="N769" s="41"/>
      <c r="O769" s="41"/>
      <c r="P769" s="37"/>
      <c r="Q769" s="38"/>
      <c r="R769" s="36"/>
      <c r="S769" s="42"/>
      <c r="T769" s="42"/>
      <c r="U769" s="37"/>
      <c r="V769" s="43"/>
      <c r="W769" s="43"/>
      <c r="X769" s="36"/>
    </row>
    <row r="770" ht="15.75" customHeight="1">
      <c r="A770" s="36"/>
      <c r="B770" s="36"/>
      <c r="C770" s="36"/>
      <c r="D770" s="36"/>
      <c r="E770" s="36"/>
      <c r="F770" s="37"/>
      <c r="G770" s="38"/>
      <c r="H770" s="36"/>
      <c r="I770" s="36"/>
      <c r="J770" s="39"/>
      <c r="K770" s="36"/>
      <c r="L770" s="40"/>
      <c r="M770" s="40"/>
      <c r="N770" s="41"/>
      <c r="O770" s="41"/>
      <c r="P770" s="37"/>
      <c r="Q770" s="38"/>
      <c r="R770" s="36"/>
      <c r="S770" s="42"/>
      <c r="T770" s="42"/>
      <c r="U770" s="37"/>
      <c r="V770" s="43"/>
      <c r="W770" s="43"/>
      <c r="X770" s="36"/>
    </row>
    <row r="771" ht="15.75" customHeight="1">
      <c r="A771" s="36"/>
      <c r="B771" s="36"/>
      <c r="C771" s="36"/>
      <c r="D771" s="36"/>
      <c r="E771" s="36"/>
      <c r="F771" s="37"/>
      <c r="G771" s="38"/>
      <c r="H771" s="36"/>
      <c r="I771" s="36"/>
      <c r="J771" s="39"/>
      <c r="K771" s="36"/>
      <c r="L771" s="40"/>
      <c r="M771" s="40"/>
      <c r="N771" s="41"/>
      <c r="O771" s="41"/>
      <c r="P771" s="37"/>
      <c r="Q771" s="38"/>
      <c r="R771" s="36"/>
      <c r="S771" s="42"/>
      <c r="T771" s="42"/>
      <c r="U771" s="37"/>
      <c r="V771" s="43"/>
      <c r="W771" s="43"/>
      <c r="X771" s="36"/>
    </row>
    <row r="772" ht="15.75" customHeight="1">
      <c r="A772" s="36"/>
      <c r="B772" s="36"/>
      <c r="C772" s="36"/>
      <c r="D772" s="36"/>
      <c r="E772" s="36"/>
      <c r="F772" s="37"/>
      <c r="G772" s="38"/>
      <c r="H772" s="36"/>
      <c r="I772" s="36"/>
      <c r="J772" s="39"/>
      <c r="K772" s="36"/>
      <c r="L772" s="40"/>
      <c r="M772" s="40"/>
      <c r="N772" s="41"/>
      <c r="O772" s="41"/>
      <c r="P772" s="37"/>
      <c r="Q772" s="38"/>
      <c r="R772" s="36"/>
      <c r="S772" s="42"/>
      <c r="T772" s="42"/>
      <c r="U772" s="37"/>
      <c r="V772" s="43"/>
      <c r="W772" s="43"/>
      <c r="X772" s="36"/>
    </row>
    <row r="773" ht="15.75" customHeight="1">
      <c r="A773" s="36"/>
      <c r="B773" s="36"/>
      <c r="C773" s="36"/>
      <c r="D773" s="36"/>
      <c r="E773" s="36"/>
      <c r="F773" s="37"/>
      <c r="G773" s="38"/>
      <c r="H773" s="36"/>
      <c r="I773" s="36"/>
      <c r="J773" s="39"/>
      <c r="K773" s="36"/>
      <c r="L773" s="40"/>
      <c r="M773" s="40"/>
      <c r="N773" s="41"/>
      <c r="O773" s="41"/>
      <c r="P773" s="37"/>
      <c r="Q773" s="38"/>
      <c r="R773" s="36"/>
      <c r="S773" s="42"/>
      <c r="T773" s="42"/>
      <c r="U773" s="37"/>
      <c r="V773" s="43"/>
      <c r="W773" s="43"/>
      <c r="X773" s="36"/>
    </row>
    <row r="774" ht="15.75" customHeight="1">
      <c r="A774" s="36"/>
      <c r="B774" s="36"/>
      <c r="C774" s="36"/>
      <c r="D774" s="36"/>
      <c r="E774" s="36"/>
      <c r="F774" s="37"/>
      <c r="G774" s="38"/>
      <c r="H774" s="36"/>
      <c r="I774" s="36"/>
      <c r="J774" s="39"/>
      <c r="K774" s="36"/>
      <c r="L774" s="40"/>
      <c r="M774" s="40"/>
      <c r="N774" s="41"/>
      <c r="O774" s="41"/>
      <c r="P774" s="37"/>
      <c r="Q774" s="38"/>
      <c r="R774" s="36"/>
      <c r="S774" s="42"/>
      <c r="T774" s="42"/>
      <c r="U774" s="37"/>
      <c r="V774" s="43"/>
      <c r="W774" s="43"/>
      <c r="X774" s="36"/>
    </row>
    <row r="775" ht="15.75" customHeight="1">
      <c r="A775" s="36"/>
      <c r="B775" s="36"/>
      <c r="C775" s="36"/>
      <c r="D775" s="36"/>
      <c r="E775" s="36"/>
      <c r="F775" s="37"/>
      <c r="G775" s="38"/>
      <c r="H775" s="36"/>
      <c r="I775" s="36"/>
      <c r="J775" s="39"/>
      <c r="K775" s="36"/>
      <c r="L775" s="40"/>
      <c r="M775" s="40"/>
      <c r="N775" s="41"/>
      <c r="O775" s="41"/>
      <c r="P775" s="37"/>
      <c r="Q775" s="38"/>
      <c r="R775" s="36"/>
      <c r="S775" s="42"/>
      <c r="T775" s="42"/>
      <c r="U775" s="37"/>
      <c r="V775" s="43"/>
      <c r="W775" s="43"/>
      <c r="X775" s="36"/>
    </row>
    <row r="776" ht="15.75" customHeight="1">
      <c r="A776" s="36"/>
      <c r="B776" s="36"/>
      <c r="C776" s="36"/>
      <c r="D776" s="36"/>
      <c r="E776" s="36"/>
      <c r="F776" s="37"/>
      <c r="G776" s="38"/>
      <c r="H776" s="36"/>
      <c r="I776" s="36"/>
      <c r="J776" s="39"/>
      <c r="K776" s="36"/>
      <c r="L776" s="40"/>
      <c r="M776" s="40"/>
      <c r="N776" s="41"/>
      <c r="O776" s="41"/>
      <c r="P776" s="37"/>
      <c r="Q776" s="38"/>
      <c r="R776" s="36"/>
      <c r="S776" s="42"/>
      <c r="T776" s="42"/>
      <c r="U776" s="37"/>
      <c r="V776" s="43"/>
      <c r="W776" s="43"/>
      <c r="X776" s="36"/>
    </row>
    <row r="777" ht="15.75" customHeight="1">
      <c r="A777" s="36"/>
      <c r="B777" s="36"/>
      <c r="C777" s="36"/>
      <c r="D777" s="36"/>
      <c r="E777" s="36"/>
      <c r="F777" s="37"/>
      <c r="G777" s="38"/>
      <c r="H777" s="36"/>
      <c r="I777" s="36"/>
      <c r="J777" s="39"/>
      <c r="K777" s="36"/>
      <c r="L777" s="40"/>
      <c r="M777" s="40"/>
      <c r="N777" s="41"/>
      <c r="O777" s="41"/>
      <c r="P777" s="37"/>
      <c r="Q777" s="38"/>
      <c r="R777" s="36"/>
      <c r="S777" s="42"/>
      <c r="T777" s="42"/>
      <c r="U777" s="37"/>
      <c r="V777" s="43"/>
      <c r="W777" s="43"/>
      <c r="X777" s="36"/>
    </row>
    <row r="778" ht="15.75" customHeight="1">
      <c r="A778" s="36"/>
      <c r="B778" s="36"/>
      <c r="C778" s="36"/>
      <c r="D778" s="36"/>
      <c r="E778" s="36"/>
      <c r="F778" s="37"/>
      <c r="G778" s="38"/>
      <c r="H778" s="36"/>
      <c r="I778" s="36"/>
      <c r="J778" s="39"/>
      <c r="K778" s="36"/>
      <c r="L778" s="40"/>
      <c r="M778" s="40"/>
      <c r="N778" s="41"/>
      <c r="O778" s="41"/>
      <c r="P778" s="37"/>
      <c r="Q778" s="38"/>
      <c r="R778" s="36"/>
      <c r="S778" s="42"/>
      <c r="T778" s="42"/>
      <c r="U778" s="37"/>
      <c r="V778" s="43"/>
      <c r="W778" s="43"/>
      <c r="X778" s="36"/>
    </row>
    <row r="779" ht="15.75" customHeight="1">
      <c r="A779" s="36"/>
      <c r="B779" s="36"/>
      <c r="C779" s="36"/>
      <c r="D779" s="36"/>
      <c r="E779" s="36"/>
      <c r="F779" s="37"/>
      <c r="G779" s="38"/>
      <c r="H779" s="36"/>
      <c r="I779" s="36"/>
      <c r="J779" s="39"/>
      <c r="K779" s="36"/>
      <c r="L779" s="40"/>
      <c r="M779" s="40"/>
      <c r="N779" s="41"/>
      <c r="O779" s="41"/>
      <c r="P779" s="37"/>
      <c r="Q779" s="38"/>
      <c r="R779" s="36"/>
      <c r="S779" s="42"/>
      <c r="T779" s="42"/>
      <c r="U779" s="37"/>
      <c r="V779" s="43"/>
      <c r="W779" s="43"/>
      <c r="X779" s="36"/>
    </row>
    <row r="780" ht="15.75" customHeight="1">
      <c r="A780" s="36"/>
      <c r="B780" s="36"/>
      <c r="C780" s="36"/>
      <c r="D780" s="36"/>
      <c r="E780" s="36"/>
      <c r="F780" s="37"/>
      <c r="G780" s="38"/>
      <c r="H780" s="36"/>
      <c r="I780" s="36"/>
      <c r="J780" s="39"/>
      <c r="K780" s="36"/>
      <c r="L780" s="40"/>
      <c r="M780" s="40"/>
      <c r="N780" s="41"/>
      <c r="O780" s="41"/>
      <c r="P780" s="37"/>
      <c r="Q780" s="38"/>
      <c r="R780" s="36"/>
      <c r="S780" s="42"/>
      <c r="T780" s="42"/>
      <c r="U780" s="37"/>
      <c r="V780" s="43"/>
      <c r="W780" s="43"/>
      <c r="X780" s="36"/>
    </row>
    <row r="781" ht="15.75" customHeight="1">
      <c r="A781" s="36"/>
      <c r="B781" s="36"/>
      <c r="C781" s="36"/>
      <c r="D781" s="36"/>
      <c r="E781" s="36"/>
      <c r="F781" s="37"/>
      <c r="G781" s="38"/>
      <c r="H781" s="36"/>
      <c r="I781" s="36"/>
      <c r="J781" s="39"/>
      <c r="K781" s="36"/>
      <c r="L781" s="40"/>
      <c r="M781" s="40"/>
      <c r="N781" s="41"/>
      <c r="O781" s="41"/>
      <c r="P781" s="37"/>
      <c r="Q781" s="38"/>
      <c r="R781" s="36"/>
      <c r="S781" s="42"/>
      <c r="T781" s="42"/>
      <c r="U781" s="37"/>
      <c r="V781" s="43"/>
      <c r="W781" s="43"/>
      <c r="X781" s="36"/>
    </row>
    <row r="782" ht="15.75" customHeight="1">
      <c r="A782" s="36"/>
      <c r="B782" s="36"/>
      <c r="C782" s="36"/>
      <c r="D782" s="36"/>
      <c r="E782" s="36"/>
      <c r="F782" s="37"/>
      <c r="G782" s="38"/>
      <c r="H782" s="36"/>
      <c r="I782" s="36"/>
      <c r="J782" s="39"/>
      <c r="K782" s="36"/>
      <c r="L782" s="40"/>
      <c r="M782" s="40"/>
      <c r="N782" s="41"/>
      <c r="O782" s="41"/>
      <c r="P782" s="37"/>
      <c r="Q782" s="38"/>
      <c r="R782" s="36"/>
      <c r="S782" s="42"/>
      <c r="T782" s="42"/>
      <c r="U782" s="37"/>
      <c r="V782" s="43"/>
      <c r="W782" s="43"/>
      <c r="X782" s="36"/>
    </row>
    <row r="783" ht="15.75" customHeight="1">
      <c r="A783" s="36"/>
      <c r="B783" s="36"/>
      <c r="C783" s="36"/>
      <c r="D783" s="36"/>
      <c r="E783" s="36"/>
      <c r="F783" s="37"/>
      <c r="G783" s="38"/>
      <c r="H783" s="36"/>
      <c r="I783" s="36"/>
      <c r="J783" s="39"/>
      <c r="K783" s="36"/>
      <c r="L783" s="40"/>
      <c r="M783" s="40"/>
      <c r="N783" s="41"/>
      <c r="O783" s="41"/>
      <c r="P783" s="37"/>
      <c r="Q783" s="38"/>
      <c r="R783" s="36"/>
      <c r="S783" s="42"/>
      <c r="T783" s="42"/>
      <c r="U783" s="37"/>
      <c r="V783" s="43"/>
      <c r="W783" s="43"/>
      <c r="X783" s="36"/>
    </row>
    <row r="784" ht="15.75" customHeight="1">
      <c r="A784" s="36"/>
      <c r="B784" s="36"/>
      <c r="C784" s="36"/>
      <c r="D784" s="36"/>
      <c r="E784" s="36"/>
      <c r="F784" s="37"/>
      <c r="G784" s="38"/>
      <c r="H784" s="36"/>
      <c r="I784" s="36"/>
      <c r="J784" s="39"/>
      <c r="K784" s="36"/>
      <c r="L784" s="40"/>
      <c r="M784" s="40"/>
      <c r="N784" s="41"/>
      <c r="O784" s="41"/>
      <c r="P784" s="37"/>
      <c r="Q784" s="38"/>
      <c r="R784" s="36"/>
      <c r="S784" s="42"/>
      <c r="T784" s="42"/>
      <c r="U784" s="37"/>
      <c r="V784" s="43"/>
      <c r="W784" s="43"/>
      <c r="X784" s="36"/>
    </row>
    <row r="785" ht="15.75" customHeight="1">
      <c r="A785" s="36"/>
      <c r="B785" s="36"/>
      <c r="C785" s="36"/>
      <c r="D785" s="36"/>
      <c r="E785" s="36"/>
      <c r="F785" s="37"/>
      <c r="G785" s="38"/>
      <c r="H785" s="36"/>
      <c r="I785" s="36"/>
      <c r="J785" s="39"/>
      <c r="K785" s="36"/>
      <c r="L785" s="40"/>
      <c r="M785" s="40"/>
      <c r="N785" s="41"/>
      <c r="O785" s="41"/>
      <c r="P785" s="37"/>
      <c r="Q785" s="38"/>
      <c r="R785" s="36"/>
      <c r="S785" s="42"/>
      <c r="T785" s="42"/>
      <c r="U785" s="37"/>
      <c r="V785" s="43"/>
      <c r="W785" s="43"/>
      <c r="X785" s="36"/>
    </row>
    <row r="786" ht="15.75" customHeight="1">
      <c r="A786" s="36"/>
      <c r="B786" s="36"/>
      <c r="C786" s="36"/>
      <c r="D786" s="36"/>
      <c r="E786" s="36"/>
      <c r="F786" s="37"/>
      <c r="G786" s="38"/>
      <c r="H786" s="36"/>
      <c r="I786" s="36"/>
      <c r="J786" s="39"/>
      <c r="K786" s="36"/>
      <c r="L786" s="40"/>
      <c r="M786" s="40"/>
      <c r="N786" s="41"/>
      <c r="O786" s="41"/>
      <c r="P786" s="37"/>
      <c r="Q786" s="38"/>
      <c r="R786" s="36"/>
      <c r="S786" s="42"/>
      <c r="T786" s="42"/>
      <c r="U786" s="37"/>
      <c r="V786" s="43"/>
      <c r="W786" s="43"/>
      <c r="X786" s="36"/>
    </row>
    <row r="787" ht="15.75" customHeight="1">
      <c r="A787" s="36"/>
      <c r="B787" s="36"/>
      <c r="C787" s="36"/>
      <c r="D787" s="36"/>
      <c r="E787" s="36"/>
      <c r="F787" s="37"/>
      <c r="G787" s="38"/>
      <c r="H787" s="36"/>
      <c r="I787" s="36"/>
      <c r="J787" s="39"/>
      <c r="K787" s="36"/>
      <c r="L787" s="40"/>
      <c r="M787" s="40"/>
      <c r="N787" s="41"/>
      <c r="O787" s="41"/>
      <c r="P787" s="37"/>
      <c r="Q787" s="38"/>
      <c r="R787" s="36"/>
      <c r="S787" s="42"/>
      <c r="T787" s="42"/>
      <c r="U787" s="37"/>
      <c r="V787" s="43"/>
      <c r="W787" s="43"/>
      <c r="X787" s="36"/>
    </row>
    <row r="788" ht="15.75" customHeight="1">
      <c r="A788" s="36"/>
      <c r="B788" s="36"/>
      <c r="C788" s="36"/>
      <c r="D788" s="36"/>
      <c r="E788" s="36"/>
      <c r="F788" s="37"/>
      <c r="G788" s="38"/>
      <c r="H788" s="36"/>
      <c r="I788" s="36"/>
      <c r="J788" s="39"/>
      <c r="K788" s="36"/>
      <c r="L788" s="40"/>
      <c r="M788" s="40"/>
      <c r="N788" s="41"/>
      <c r="O788" s="41"/>
      <c r="P788" s="37"/>
      <c r="Q788" s="38"/>
      <c r="R788" s="36"/>
      <c r="S788" s="42"/>
      <c r="T788" s="42"/>
      <c r="U788" s="37"/>
      <c r="V788" s="43"/>
      <c r="W788" s="43"/>
      <c r="X788" s="36"/>
    </row>
    <row r="789" ht="15.75" customHeight="1">
      <c r="A789" s="36"/>
      <c r="B789" s="36"/>
      <c r="C789" s="36"/>
      <c r="D789" s="36"/>
      <c r="E789" s="36"/>
      <c r="F789" s="37"/>
      <c r="G789" s="38"/>
      <c r="H789" s="36"/>
      <c r="I789" s="36"/>
      <c r="J789" s="39"/>
      <c r="K789" s="36"/>
      <c r="L789" s="40"/>
      <c r="M789" s="40"/>
      <c r="N789" s="41"/>
      <c r="O789" s="41"/>
      <c r="P789" s="37"/>
      <c r="Q789" s="38"/>
      <c r="R789" s="36"/>
      <c r="S789" s="42"/>
      <c r="T789" s="42"/>
      <c r="U789" s="37"/>
      <c r="V789" s="43"/>
      <c r="W789" s="43"/>
      <c r="X789" s="36"/>
    </row>
    <row r="790" ht="15.75" customHeight="1">
      <c r="A790" s="36"/>
      <c r="B790" s="36"/>
      <c r="C790" s="36"/>
      <c r="D790" s="36"/>
      <c r="E790" s="36"/>
      <c r="F790" s="37"/>
      <c r="G790" s="38"/>
      <c r="H790" s="36"/>
      <c r="I790" s="36"/>
      <c r="J790" s="39"/>
      <c r="K790" s="36"/>
      <c r="L790" s="40"/>
      <c r="M790" s="40"/>
      <c r="N790" s="41"/>
      <c r="O790" s="41"/>
      <c r="P790" s="37"/>
      <c r="Q790" s="38"/>
      <c r="R790" s="36"/>
      <c r="S790" s="42"/>
      <c r="T790" s="42"/>
      <c r="U790" s="37"/>
      <c r="V790" s="43"/>
      <c r="W790" s="43"/>
      <c r="X790" s="36"/>
    </row>
    <row r="791" ht="15.75" customHeight="1">
      <c r="A791" s="36"/>
      <c r="B791" s="36"/>
      <c r="C791" s="36"/>
      <c r="D791" s="36"/>
      <c r="E791" s="36"/>
      <c r="F791" s="37"/>
      <c r="G791" s="38"/>
      <c r="H791" s="36"/>
      <c r="I791" s="36"/>
      <c r="J791" s="39"/>
      <c r="K791" s="36"/>
      <c r="L791" s="40"/>
      <c r="M791" s="40"/>
      <c r="N791" s="41"/>
      <c r="O791" s="41"/>
      <c r="P791" s="37"/>
      <c r="Q791" s="38"/>
      <c r="R791" s="36"/>
      <c r="S791" s="42"/>
      <c r="T791" s="42"/>
      <c r="U791" s="37"/>
      <c r="V791" s="43"/>
      <c r="W791" s="43"/>
      <c r="X791" s="36"/>
    </row>
    <row r="792" ht="15.75" customHeight="1">
      <c r="A792" s="36"/>
      <c r="B792" s="36"/>
      <c r="C792" s="36"/>
      <c r="D792" s="36"/>
      <c r="E792" s="36"/>
      <c r="F792" s="37"/>
      <c r="G792" s="38"/>
      <c r="H792" s="36"/>
      <c r="I792" s="36"/>
      <c r="J792" s="39"/>
      <c r="K792" s="36"/>
      <c r="L792" s="40"/>
      <c r="M792" s="40"/>
      <c r="N792" s="41"/>
      <c r="O792" s="41"/>
      <c r="P792" s="37"/>
      <c r="Q792" s="38"/>
      <c r="R792" s="36"/>
      <c r="S792" s="42"/>
      <c r="T792" s="42"/>
      <c r="U792" s="37"/>
      <c r="V792" s="43"/>
      <c r="W792" s="43"/>
      <c r="X792" s="36"/>
    </row>
    <row r="793" ht="15.75" customHeight="1">
      <c r="A793" s="36"/>
      <c r="B793" s="36"/>
      <c r="C793" s="36"/>
      <c r="D793" s="36"/>
      <c r="E793" s="36"/>
      <c r="F793" s="37"/>
      <c r="G793" s="38"/>
      <c r="H793" s="36"/>
      <c r="I793" s="36"/>
      <c r="J793" s="39"/>
      <c r="K793" s="36"/>
      <c r="L793" s="40"/>
      <c r="M793" s="40"/>
      <c r="N793" s="41"/>
      <c r="O793" s="41"/>
      <c r="P793" s="37"/>
      <c r="Q793" s="38"/>
      <c r="R793" s="36"/>
      <c r="S793" s="42"/>
      <c r="T793" s="42"/>
      <c r="U793" s="37"/>
      <c r="V793" s="43"/>
      <c r="W793" s="43"/>
      <c r="X793" s="36"/>
    </row>
    <row r="794" ht="15.75" customHeight="1">
      <c r="A794" s="36"/>
      <c r="B794" s="36"/>
      <c r="C794" s="36"/>
      <c r="D794" s="36"/>
      <c r="E794" s="36"/>
      <c r="F794" s="37"/>
      <c r="G794" s="38"/>
      <c r="H794" s="36"/>
      <c r="I794" s="36"/>
      <c r="J794" s="39"/>
      <c r="K794" s="36"/>
      <c r="L794" s="40"/>
      <c r="M794" s="40"/>
      <c r="N794" s="41"/>
      <c r="O794" s="41"/>
      <c r="P794" s="37"/>
      <c r="Q794" s="38"/>
      <c r="R794" s="36"/>
      <c r="S794" s="42"/>
      <c r="T794" s="42"/>
      <c r="U794" s="37"/>
      <c r="V794" s="43"/>
      <c r="W794" s="43"/>
      <c r="X794" s="36"/>
    </row>
    <row r="795" ht="15.75" customHeight="1">
      <c r="A795" s="36"/>
      <c r="B795" s="36"/>
      <c r="C795" s="36"/>
      <c r="D795" s="36"/>
      <c r="E795" s="36"/>
      <c r="F795" s="37"/>
      <c r="G795" s="38"/>
      <c r="H795" s="36"/>
      <c r="I795" s="36"/>
      <c r="J795" s="39"/>
      <c r="K795" s="36"/>
      <c r="L795" s="40"/>
      <c r="M795" s="40"/>
      <c r="N795" s="41"/>
      <c r="O795" s="41"/>
      <c r="P795" s="37"/>
      <c r="Q795" s="38"/>
      <c r="R795" s="36"/>
      <c r="S795" s="42"/>
      <c r="T795" s="42"/>
      <c r="U795" s="37"/>
      <c r="V795" s="43"/>
      <c r="W795" s="43"/>
      <c r="X795" s="36"/>
    </row>
    <row r="796" ht="15.75" customHeight="1">
      <c r="A796" s="36"/>
      <c r="B796" s="36"/>
      <c r="C796" s="36"/>
      <c r="D796" s="36"/>
      <c r="E796" s="36"/>
      <c r="F796" s="37"/>
      <c r="G796" s="38"/>
      <c r="H796" s="36"/>
      <c r="I796" s="36"/>
      <c r="J796" s="39"/>
      <c r="K796" s="36"/>
      <c r="L796" s="40"/>
      <c r="M796" s="40"/>
      <c r="N796" s="41"/>
      <c r="O796" s="41"/>
      <c r="P796" s="37"/>
      <c r="Q796" s="38"/>
      <c r="R796" s="36"/>
      <c r="S796" s="42"/>
      <c r="T796" s="42"/>
      <c r="U796" s="37"/>
      <c r="V796" s="43"/>
      <c r="W796" s="43"/>
      <c r="X796" s="36"/>
    </row>
    <row r="797" ht="15.75" customHeight="1">
      <c r="A797" s="36"/>
      <c r="B797" s="36"/>
      <c r="C797" s="36"/>
      <c r="D797" s="36"/>
      <c r="E797" s="36"/>
      <c r="F797" s="37"/>
      <c r="G797" s="38"/>
      <c r="H797" s="36"/>
      <c r="I797" s="36"/>
      <c r="J797" s="39"/>
      <c r="K797" s="36"/>
      <c r="L797" s="40"/>
      <c r="M797" s="40"/>
      <c r="N797" s="41"/>
      <c r="O797" s="41"/>
      <c r="P797" s="37"/>
      <c r="Q797" s="38"/>
      <c r="R797" s="36"/>
      <c r="S797" s="42"/>
      <c r="T797" s="42"/>
      <c r="U797" s="37"/>
      <c r="V797" s="43"/>
      <c r="W797" s="43"/>
      <c r="X797" s="36"/>
    </row>
    <row r="798" ht="15.75" customHeight="1">
      <c r="A798" s="36"/>
      <c r="B798" s="36"/>
      <c r="C798" s="36"/>
      <c r="D798" s="36"/>
      <c r="E798" s="36"/>
      <c r="F798" s="37"/>
      <c r="G798" s="38"/>
      <c r="H798" s="36"/>
      <c r="I798" s="36"/>
      <c r="J798" s="39"/>
      <c r="K798" s="36"/>
      <c r="L798" s="40"/>
      <c r="M798" s="40"/>
      <c r="N798" s="41"/>
      <c r="O798" s="41"/>
      <c r="P798" s="37"/>
      <c r="Q798" s="38"/>
      <c r="R798" s="36"/>
      <c r="S798" s="42"/>
      <c r="T798" s="42"/>
      <c r="U798" s="37"/>
      <c r="V798" s="43"/>
      <c r="W798" s="43"/>
      <c r="X798" s="36"/>
    </row>
    <row r="799" ht="15.75" customHeight="1">
      <c r="A799" s="36"/>
      <c r="B799" s="36"/>
      <c r="C799" s="36"/>
      <c r="D799" s="36"/>
      <c r="E799" s="36"/>
      <c r="F799" s="37"/>
      <c r="G799" s="38"/>
      <c r="H799" s="36"/>
      <c r="I799" s="36"/>
      <c r="J799" s="39"/>
      <c r="K799" s="36"/>
      <c r="L799" s="40"/>
      <c r="M799" s="40"/>
      <c r="N799" s="41"/>
      <c r="O799" s="41"/>
      <c r="P799" s="37"/>
      <c r="Q799" s="38"/>
      <c r="R799" s="36"/>
      <c r="S799" s="42"/>
      <c r="T799" s="42"/>
      <c r="U799" s="37"/>
      <c r="V799" s="43"/>
      <c r="W799" s="43"/>
      <c r="X799" s="36"/>
    </row>
    <row r="800" ht="15.75" customHeight="1">
      <c r="A800" s="36"/>
      <c r="B800" s="36"/>
      <c r="C800" s="36"/>
      <c r="D800" s="36"/>
      <c r="E800" s="36"/>
      <c r="F800" s="37"/>
      <c r="G800" s="38"/>
      <c r="H800" s="36"/>
      <c r="I800" s="36"/>
      <c r="J800" s="39"/>
      <c r="K800" s="36"/>
      <c r="L800" s="40"/>
      <c r="M800" s="40"/>
      <c r="N800" s="41"/>
      <c r="O800" s="41"/>
      <c r="P800" s="37"/>
      <c r="Q800" s="38"/>
      <c r="R800" s="36"/>
      <c r="S800" s="42"/>
      <c r="T800" s="42"/>
      <c r="U800" s="37"/>
      <c r="V800" s="43"/>
      <c r="W800" s="43"/>
      <c r="X800" s="36"/>
    </row>
    <row r="801" ht="15.75" customHeight="1">
      <c r="A801" s="36"/>
      <c r="B801" s="36"/>
      <c r="C801" s="36"/>
      <c r="D801" s="36"/>
      <c r="E801" s="36"/>
      <c r="F801" s="37"/>
      <c r="G801" s="38"/>
      <c r="H801" s="36"/>
      <c r="I801" s="36"/>
      <c r="J801" s="39"/>
      <c r="K801" s="36"/>
      <c r="L801" s="40"/>
      <c r="M801" s="40"/>
      <c r="N801" s="41"/>
      <c r="O801" s="41"/>
      <c r="P801" s="37"/>
      <c r="Q801" s="38"/>
      <c r="R801" s="36"/>
      <c r="S801" s="42"/>
      <c r="T801" s="42"/>
      <c r="U801" s="37"/>
      <c r="V801" s="43"/>
      <c r="W801" s="43"/>
      <c r="X801" s="36"/>
    </row>
    <row r="802" ht="15.75" customHeight="1">
      <c r="A802" s="36"/>
      <c r="B802" s="36"/>
      <c r="C802" s="36"/>
      <c r="D802" s="36"/>
      <c r="E802" s="36"/>
      <c r="F802" s="37"/>
      <c r="G802" s="38"/>
      <c r="H802" s="36"/>
      <c r="I802" s="36"/>
      <c r="J802" s="39"/>
      <c r="K802" s="36"/>
      <c r="L802" s="40"/>
      <c r="M802" s="40"/>
      <c r="N802" s="41"/>
      <c r="O802" s="41"/>
      <c r="P802" s="37"/>
      <c r="Q802" s="38"/>
      <c r="R802" s="36"/>
      <c r="S802" s="42"/>
      <c r="T802" s="42"/>
      <c r="U802" s="37"/>
      <c r="V802" s="43"/>
      <c r="W802" s="43"/>
      <c r="X802" s="36"/>
    </row>
    <row r="803" ht="15.75" customHeight="1">
      <c r="A803" s="36"/>
      <c r="B803" s="36"/>
      <c r="C803" s="36"/>
      <c r="D803" s="36"/>
      <c r="E803" s="36"/>
      <c r="F803" s="37"/>
      <c r="G803" s="38"/>
      <c r="H803" s="36"/>
      <c r="I803" s="36"/>
      <c r="J803" s="39"/>
      <c r="K803" s="36"/>
      <c r="L803" s="40"/>
      <c r="M803" s="40"/>
      <c r="N803" s="41"/>
      <c r="O803" s="41"/>
      <c r="P803" s="37"/>
      <c r="Q803" s="38"/>
      <c r="R803" s="36"/>
      <c r="S803" s="42"/>
      <c r="T803" s="42"/>
      <c r="U803" s="37"/>
      <c r="V803" s="43"/>
      <c r="W803" s="43"/>
      <c r="X803" s="36"/>
    </row>
    <row r="804" ht="15.75" customHeight="1">
      <c r="A804" s="36"/>
      <c r="B804" s="36"/>
      <c r="C804" s="36"/>
      <c r="D804" s="36"/>
      <c r="E804" s="36"/>
      <c r="F804" s="37"/>
      <c r="G804" s="38"/>
      <c r="H804" s="36"/>
      <c r="I804" s="36"/>
      <c r="J804" s="39"/>
      <c r="K804" s="36"/>
      <c r="L804" s="40"/>
      <c r="M804" s="40"/>
      <c r="N804" s="41"/>
      <c r="O804" s="41"/>
      <c r="P804" s="37"/>
      <c r="Q804" s="38"/>
      <c r="R804" s="36"/>
      <c r="S804" s="42"/>
      <c r="T804" s="42"/>
      <c r="U804" s="37"/>
      <c r="V804" s="43"/>
      <c r="W804" s="43"/>
      <c r="X804" s="36"/>
    </row>
    <row r="805" ht="15.75" customHeight="1">
      <c r="A805" s="36"/>
      <c r="B805" s="36"/>
      <c r="C805" s="36"/>
      <c r="D805" s="36"/>
      <c r="E805" s="36"/>
      <c r="F805" s="37"/>
      <c r="G805" s="38"/>
      <c r="H805" s="36"/>
      <c r="I805" s="36"/>
      <c r="J805" s="39"/>
      <c r="K805" s="36"/>
      <c r="L805" s="40"/>
      <c r="M805" s="40"/>
      <c r="N805" s="41"/>
      <c r="O805" s="41"/>
      <c r="P805" s="37"/>
      <c r="Q805" s="38"/>
      <c r="R805" s="36"/>
      <c r="S805" s="42"/>
      <c r="T805" s="42"/>
      <c r="U805" s="37"/>
      <c r="V805" s="43"/>
      <c r="W805" s="43"/>
      <c r="X805" s="36"/>
    </row>
    <row r="806" ht="15.75" customHeight="1">
      <c r="A806" s="36"/>
      <c r="B806" s="36"/>
      <c r="C806" s="36"/>
      <c r="D806" s="36"/>
      <c r="E806" s="36"/>
      <c r="F806" s="37"/>
      <c r="G806" s="38"/>
      <c r="H806" s="36"/>
      <c r="I806" s="36"/>
      <c r="J806" s="39"/>
      <c r="K806" s="36"/>
      <c r="L806" s="40"/>
      <c r="M806" s="40"/>
      <c r="N806" s="41"/>
      <c r="O806" s="41"/>
      <c r="P806" s="37"/>
      <c r="Q806" s="38"/>
      <c r="R806" s="36"/>
      <c r="S806" s="42"/>
      <c r="T806" s="42"/>
      <c r="U806" s="37"/>
      <c r="V806" s="43"/>
      <c r="W806" s="43"/>
      <c r="X806" s="36"/>
    </row>
    <row r="807" ht="15.75" customHeight="1">
      <c r="A807" s="36"/>
      <c r="B807" s="36"/>
      <c r="C807" s="36"/>
      <c r="D807" s="36"/>
      <c r="E807" s="36"/>
      <c r="F807" s="37"/>
      <c r="G807" s="38"/>
      <c r="H807" s="36"/>
      <c r="I807" s="36"/>
      <c r="J807" s="39"/>
      <c r="K807" s="36"/>
      <c r="L807" s="40"/>
      <c r="M807" s="40"/>
      <c r="N807" s="41"/>
      <c r="O807" s="41"/>
      <c r="P807" s="37"/>
      <c r="Q807" s="38"/>
      <c r="R807" s="36"/>
      <c r="S807" s="42"/>
      <c r="T807" s="42"/>
      <c r="U807" s="37"/>
      <c r="V807" s="43"/>
      <c r="W807" s="43"/>
      <c r="X807" s="36"/>
    </row>
    <row r="808" ht="15.75" customHeight="1">
      <c r="A808" s="36"/>
      <c r="B808" s="36"/>
      <c r="C808" s="36"/>
      <c r="D808" s="36"/>
      <c r="E808" s="36"/>
      <c r="F808" s="37"/>
      <c r="G808" s="38"/>
      <c r="H808" s="36"/>
      <c r="I808" s="36"/>
      <c r="J808" s="39"/>
      <c r="K808" s="36"/>
      <c r="L808" s="40"/>
      <c r="M808" s="40"/>
      <c r="N808" s="41"/>
      <c r="O808" s="41"/>
      <c r="P808" s="37"/>
      <c r="Q808" s="38"/>
      <c r="R808" s="36"/>
      <c r="S808" s="42"/>
      <c r="T808" s="42"/>
      <c r="U808" s="37"/>
      <c r="V808" s="43"/>
      <c r="W808" s="43"/>
      <c r="X808" s="36"/>
    </row>
    <row r="809" ht="15.75" customHeight="1">
      <c r="A809" s="36"/>
      <c r="B809" s="36"/>
      <c r="C809" s="36"/>
      <c r="D809" s="36"/>
      <c r="E809" s="36"/>
      <c r="F809" s="37"/>
      <c r="G809" s="38"/>
      <c r="H809" s="36"/>
      <c r="I809" s="36"/>
      <c r="J809" s="39"/>
      <c r="K809" s="36"/>
      <c r="L809" s="40"/>
      <c r="M809" s="40"/>
      <c r="N809" s="41"/>
      <c r="O809" s="41"/>
      <c r="P809" s="37"/>
      <c r="Q809" s="38"/>
      <c r="R809" s="36"/>
      <c r="S809" s="42"/>
      <c r="T809" s="42"/>
      <c r="U809" s="37"/>
      <c r="V809" s="43"/>
      <c r="W809" s="43"/>
      <c r="X809" s="36"/>
    </row>
    <row r="810" ht="15.75" customHeight="1">
      <c r="A810" s="36"/>
      <c r="B810" s="36"/>
      <c r="C810" s="36"/>
      <c r="D810" s="36"/>
      <c r="E810" s="36"/>
      <c r="F810" s="37"/>
      <c r="G810" s="38"/>
      <c r="H810" s="36"/>
      <c r="I810" s="36"/>
      <c r="J810" s="39"/>
      <c r="K810" s="36"/>
      <c r="L810" s="40"/>
      <c r="M810" s="40"/>
      <c r="N810" s="41"/>
      <c r="O810" s="41"/>
      <c r="P810" s="37"/>
      <c r="Q810" s="38"/>
      <c r="R810" s="36"/>
      <c r="S810" s="42"/>
      <c r="T810" s="42"/>
      <c r="U810" s="37"/>
      <c r="V810" s="43"/>
      <c r="W810" s="43"/>
      <c r="X810" s="36"/>
    </row>
    <row r="811" ht="15.75" customHeight="1">
      <c r="A811" s="36"/>
      <c r="B811" s="36"/>
      <c r="C811" s="36"/>
      <c r="D811" s="36"/>
      <c r="E811" s="36"/>
      <c r="F811" s="37"/>
      <c r="G811" s="38"/>
      <c r="H811" s="36"/>
      <c r="I811" s="36"/>
      <c r="J811" s="39"/>
      <c r="K811" s="36"/>
      <c r="L811" s="40"/>
      <c r="M811" s="40"/>
      <c r="N811" s="41"/>
      <c r="O811" s="41"/>
      <c r="P811" s="37"/>
      <c r="Q811" s="38"/>
      <c r="R811" s="36"/>
      <c r="S811" s="42"/>
      <c r="T811" s="42"/>
      <c r="U811" s="37"/>
      <c r="V811" s="43"/>
      <c r="W811" s="43"/>
      <c r="X811" s="36"/>
    </row>
    <row r="812" ht="15.75" customHeight="1">
      <c r="A812" s="36"/>
      <c r="B812" s="36"/>
      <c r="C812" s="36"/>
      <c r="D812" s="36"/>
      <c r="E812" s="36"/>
      <c r="F812" s="37"/>
      <c r="G812" s="38"/>
      <c r="H812" s="36"/>
      <c r="I812" s="36"/>
      <c r="J812" s="39"/>
      <c r="K812" s="36"/>
      <c r="L812" s="40"/>
      <c r="M812" s="40"/>
      <c r="N812" s="41"/>
      <c r="O812" s="41"/>
      <c r="P812" s="37"/>
      <c r="Q812" s="38"/>
      <c r="R812" s="36"/>
      <c r="S812" s="42"/>
      <c r="T812" s="42"/>
      <c r="U812" s="37"/>
      <c r="V812" s="43"/>
      <c r="W812" s="43"/>
      <c r="X812" s="36"/>
    </row>
    <row r="813" ht="15.75" customHeight="1">
      <c r="A813" s="36"/>
      <c r="B813" s="36"/>
      <c r="C813" s="36"/>
      <c r="D813" s="36"/>
      <c r="E813" s="36"/>
      <c r="F813" s="37"/>
      <c r="G813" s="38"/>
      <c r="H813" s="36"/>
      <c r="I813" s="36"/>
      <c r="J813" s="39"/>
      <c r="K813" s="36"/>
      <c r="L813" s="40"/>
      <c r="M813" s="40"/>
      <c r="N813" s="41"/>
      <c r="O813" s="41"/>
      <c r="P813" s="37"/>
      <c r="Q813" s="38"/>
      <c r="R813" s="36"/>
      <c r="S813" s="42"/>
      <c r="T813" s="42"/>
      <c r="U813" s="37"/>
      <c r="V813" s="43"/>
      <c r="W813" s="43"/>
      <c r="X813" s="36"/>
    </row>
    <row r="814" ht="15.75" customHeight="1">
      <c r="A814" s="36"/>
      <c r="B814" s="36"/>
      <c r="C814" s="36"/>
      <c r="D814" s="36"/>
      <c r="E814" s="36"/>
      <c r="F814" s="37"/>
      <c r="G814" s="38"/>
      <c r="H814" s="36"/>
      <c r="I814" s="36"/>
      <c r="J814" s="39"/>
      <c r="K814" s="36"/>
      <c r="L814" s="40"/>
      <c r="M814" s="40"/>
      <c r="N814" s="41"/>
      <c r="O814" s="41"/>
      <c r="P814" s="37"/>
      <c r="Q814" s="38"/>
      <c r="R814" s="36"/>
      <c r="S814" s="42"/>
      <c r="T814" s="42"/>
      <c r="U814" s="37"/>
      <c r="V814" s="43"/>
      <c r="W814" s="43"/>
      <c r="X814" s="36"/>
    </row>
    <row r="815" ht="15.75" customHeight="1">
      <c r="A815" s="36"/>
      <c r="B815" s="36"/>
      <c r="C815" s="36"/>
      <c r="D815" s="36"/>
      <c r="E815" s="36"/>
      <c r="F815" s="37"/>
      <c r="G815" s="38"/>
      <c r="H815" s="36"/>
      <c r="I815" s="36"/>
      <c r="J815" s="39"/>
      <c r="K815" s="36"/>
      <c r="L815" s="40"/>
      <c r="M815" s="40"/>
      <c r="N815" s="41"/>
      <c r="O815" s="41"/>
      <c r="P815" s="37"/>
      <c r="Q815" s="38"/>
      <c r="R815" s="36"/>
      <c r="S815" s="42"/>
      <c r="T815" s="42"/>
      <c r="U815" s="37"/>
      <c r="V815" s="43"/>
      <c r="W815" s="43"/>
      <c r="X815" s="36"/>
    </row>
    <row r="816" ht="15.75" customHeight="1">
      <c r="A816" s="36"/>
      <c r="B816" s="36"/>
      <c r="C816" s="36"/>
      <c r="D816" s="36"/>
      <c r="E816" s="36"/>
      <c r="F816" s="37"/>
      <c r="G816" s="38"/>
      <c r="H816" s="36"/>
      <c r="I816" s="36"/>
      <c r="J816" s="39"/>
      <c r="K816" s="36"/>
      <c r="L816" s="40"/>
      <c r="M816" s="40"/>
      <c r="N816" s="41"/>
      <c r="O816" s="41"/>
      <c r="P816" s="37"/>
      <c r="Q816" s="38"/>
      <c r="R816" s="36"/>
      <c r="S816" s="42"/>
      <c r="T816" s="42"/>
      <c r="U816" s="37"/>
      <c r="V816" s="43"/>
      <c r="W816" s="43"/>
      <c r="X816" s="36"/>
    </row>
    <row r="817" ht="15.75" customHeight="1">
      <c r="A817" s="36"/>
      <c r="B817" s="36"/>
      <c r="C817" s="36"/>
      <c r="D817" s="36"/>
      <c r="E817" s="36"/>
      <c r="F817" s="37"/>
      <c r="G817" s="38"/>
      <c r="H817" s="36"/>
      <c r="I817" s="36"/>
      <c r="J817" s="39"/>
      <c r="K817" s="36"/>
      <c r="L817" s="40"/>
      <c r="M817" s="40"/>
      <c r="N817" s="41"/>
      <c r="O817" s="41"/>
      <c r="P817" s="37"/>
      <c r="Q817" s="38"/>
      <c r="R817" s="36"/>
      <c r="S817" s="42"/>
      <c r="T817" s="42"/>
      <c r="U817" s="37"/>
      <c r="V817" s="43"/>
      <c r="W817" s="43"/>
      <c r="X817" s="36"/>
    </row>
    <row r="818" ht="15.75" customHeight="1">
      <c r="A818" s="36"/>
      <c r="B818" s="36"/>
      <c r="C818" s="36"/>
      <c r="D818" s="36"/>
      <c r="E818" s="36"/>
      <c r="F818" s="37"/>
      <c r="G818" s="38"/>
      <c r="H818" s="36"/>
      <c r="I818" s="36"/>
      <c r="J818" s="39"/>
      <c r="K818" s="36"/>
      <c r="L818" s="40"/>
      <c r="M818" s="40"/>
      <c r="N818" s="41"/>
      <c r="O818" s="41"/>
      <c r="P818" s="37"/>
      <c r="Q818" s="38"/>
      <c r="R818" s="36"/>
      <c r="S818" s="42"/>
      <c r="T818" s="42"/>
      <c r="U818" s="37"/>
      <c r="V818" s="43"/>
      <c r="W818" s="43"/>
      <c r="X818" s="36"/>
    </row>
    <row r="819" ht="15.75" customHeight="1">
      <c r="A819" s="36"/>
      <c r="B819" s="36"/>
      <c r="C819" s="36"/>
      <c r="D819" s="36"/>
      <c r="E819" s="36"/>
      <c r="F819" s="37"/>
      <c r="G819" s="38"/>
      <c r="H819" s="36"/>
      <c r="I819" s="36"/>
      <c r="J819" s="39"/>
      <c r="K819" s="36"/>
      <c r="L819" s="40"/>
      <c r="M819" s="40"/>
      <c r="N819" s="41"/>
      <c r="O819" s="41"/>
      <c r="P819" s="37"/>
      <c r="Q819" s="38"/>
      <c r="R819" s="36"/>
      <c r="S819" s="42"/>
      <c r="T819" s="42"/>
      <c r="U819" s="37"/>
      <c r="V819" s="43"/>
      <c r="W819" s="43"/>
      <c r="X819" s="36"/>
    </row>
    <row r="820" ht="15.75" customHeight="1">
      <c r="A820" s="36"/>
      <c r="B820" s="36"/>
      <c r="C820" s="36"/>
      <c r="D820" s="36"/>
      <c r="E820" s="36"/>
      <c r="F820" s="37"/>
      <c r="G820" s="38"/>
      <c r="H820" s="36"/>
      <c r="I820" s="36"/>
      <c r="J820" s="39"/>
      <c r="K820" s="36"/>
      <c r="L820" s="40"/>
      <c r="M820" s="40"/>
      <c r="N820" s="41"/>
      <c r="O820" s="41"/>
      <c r="P820" s="37"/>
      <c r="Q820" s="38"/>
      <c r="R820" s="36"/>
      <c r="S820" s="42"/>
      <c r="T820" s="42"/>
      <c r="U820" s="37"/>
      <c r="V820" s="43"/>
      <c r="W820" s="43"/>
      <c r="X820" s="36"/>
    </row>
    <row r="821" ht="15.75" customHeight="1">
      <c r="A821" s="36"/>
      <c r="B821" s="36"/>
      <c r="C821" s="36"/>
      <c r="D821" s="36"/>
      <c r="E821" s="36"/>
      <c r="F821" s="37"/>
      <c r="G821" s="38"/>
      <c r="H821" s="36"/>
      <c r="I821" s="36"/>
      <c r="J821" s="39"/>
      <c r="K821" s="36"/>
      <c r="L821" s="40"/>
      <c r="M821" s="40"/>
      <c r="N821" s="41"/>
      <c r="O821" s="41"/>
      <c r="P821" s="37"/>
      <c r="Q821" s="38"/>
      <c r="R821" s="36"/>
      <c r="S821" s="42"/>
      <c r="T821" s="42"/>
      <c r="U821" s="37"/>
      <c r="V821" s="43"/>
      <c r="W821" s="43"/>
      <c r="X821" s="36"/>
    </row>
    <row r="822" ht="15.75" customHeight="1">
      <c r="A822" s="36"/>
      <c r="B822" s="36"/>
      <c r="C822" s="36"/>
      <c r="D822" s="36"/>
      <c r="E822" s="36"/>
      <c r="F822" s="37"/>
      <c r="G822" s="38"/>
      <c r="H822" s="36"/>
      <c r="I822" s="36"/>
      <c r="J822" s="39"/>
      <c r="K822" s="36"/>
      <c r="L822" s="40"/>
      <c r="M822" s="40"/>
      <c r="N822" s="41"/>
      <c r="O822" s="41"/>
      <c r="P822" s="37"/>
      <c r="Q822" s="38"/>
      <c r="R822" s="36"/>
      <c r="S822" s="42"/>
      <c r="T822" s="42"/>
      <c r="U822" s="37"/>
      <c r="V822" s="43"/>
      <c r="W822" s="43"/>
      <c r="X822" s="36"/>
    </row>
    <row r="823" ht="15.75" customHeight="1">
      <c r="A823" s="36"/>
      <c r="B823" s="36"/>
      <c r="C823" s="36"/>
      <c r="D823" s="36"/>
      <c r="E823" s="36"/>
      <c r="F823" s="37"/>
      <c r="G823" s="38"/>
      <c r="H823" s="36"/>
      <c r="I823" s="36"/>
      <c r="J823" s="39"/>
      <c r="K823" s="36"/>
      <c r="L823" s="40"/>
      <c r="M823" s="40"/>
      <c r="N823" s="41"/>
      <c r="O823" s="41"/>
      <c r="P823" s="37"/>
      <c r="Q823" s="38"/>
      <c r="R823" s="36"/>
      <c r="S823" s="42"/>
      <c r="T823" s="42"/>
      <c r="U823" s="37"/>
      <c r="V823" s="43"/>
      <c r="W823" s="43"/>
      <c r="X823" s="36"/>
    </row>
    <row r="824" ht="15.75" customHeight="1">
      <c r="A824" s="36"/>
      <c r="B824" s="36"/>
      <c r="C824" s="36"/>
      <c r="D824" s="36"/>
      <c r="E824" s="36"/>
      <c r="F824" s="37"/>
      <c r="G824" s="38"/>
      <c r="H824" s="36"/>
      <c r="I824" s="36"/>
      <c r="J824" s="39"/>
      <c r="K824" s="36"/>
      <c r="L824" s="40"/>
      <c r="M824" s="40"/>
      <c r="N824" s="41"/>
      <c r="O824" s="41"/>
      <c r="P824" s="37"/>
      <c r="Q824" s="38"/>
      <c r="R824" s="36"/>
      <c r="S824" s="42"/>
      <c r="T824" s="42"/>
      <c r="U824" s="37"/>
      <c r="V824" s="43"/>
      <c r="W824" s="43"/>
      <c r="X824" s="36"/>
    </row>
    <row r="825" ht="15.75" customHeight="1">
      <c r="A825" s="36"/>
      <c r="B825" s="36"/>
      <c r="C825" s="36"/>
      <c r="D825" s="36"/>
      <c r="E825" s="36"/>
      <c r="F825" s="37"/>
      <c r="G825" s="38"/>
      <c r="H825" s="36"/>
      <c r="I825" s="36"/>
      <c r="J825" s="39"/>
      <c r="K825" s="36"/>
      <c r="L825" s="40"/>
      <c r="M825" s="40"/>
      <c r="N825" s="41"/>
      <c r="O825" s="41"/>
      <c r="P825" s="37"/>
      <c r="Q825" s="38"/>
      <c r="R825" s="36"/>
      <c r="S825" s="42"/>
      <c r="T825" s="42"/>
      <c r="U825" s="37"/>
      <c r="V825" s="43"/>
      <c r="W825" s="43"/>
      <c r="X825" s="36"/>
    </row>
    <row r="826" ht="15.75" customHeight="1">
      <c r="A826" s="36"/>
      <c r="B826" s="36"/>
      <c r="C826" s="36"/>
      <c r="D826" s="36"/>
      <c r="E826" s="36"/>
      <c r="F826" s="37"/>
      <c r="G826" s="38"/>
      <c r="H826" s="36"/>
      <c r="I826" s="36"/>
      <c r="J826" s="39"/>
      <c r="K826" s="36"/>
      <c r="L826" s="40"/>
      <c r="M826" s="40"/>
      <c r="N826" s="41"/>
      <c r="O826" s="41"/>
      <c r="P826" s="37"/>
      <c r="Q826" s="38"/>
      <c r="R826" s="36"/>
      <c r="S826" s="42"/>
      <c r="T826" s="42"/>
      <c r="U826" s="37"/>
      <c r="V826" s="43"/>
      <c r="W826" s="43"/>
      <c r="X826" s="36"/>
    </row>
    <row r="827" ht="15.75" customHeight="1">
      <c r="A827" s="36"/>
      <c r="B827" s="36"/>
      <c r="C827" s="36"/>
      <c r="D827" s="36"/>
      <c r="E827" s="36"/>
      <c r="F827" s="37"/>
      <c r="G827" s="38"/>
      <c r="H827" s="36"/>
      <c r="I827" s="36"/>
      <c r="J827" s="39"/>
      <c r="K827" s="36"/>
      <c r="L827" s="40"/>
      <c r="M827" s="40"/>
      <c r="N827" s="41"/>
      <c r="O827" s="41"/>
      <c r="P827" s="37"/>
      <c r="Q827" s="38"/>
      <c r="R827" s="36"/>
      <c r="S827" s="42"/>
      <c r="T827" s="42"/>
      <c r="U827" s="37"/>
      <c r="V827" s="43"/>
      <c r="W827" s="43"/>
      <c r="X827" s="36"/>
    </row>
    <row r="828" ht="15.75" customHeight="1">
      <c r="A828" s="36"/>
      <c r="B828" s="36"/>
      <c r="C828" s="36"/>
      <c r="D828" s="36"/>
      <c r="E828" s="36"/>
      <c r="F828" s="37"/>
      <c r="G828" s="38"/>
      <c r="H828" s="36"/>
      <c r="I828" s="36"/>
      <c r="J828" s="39"/>
      <c r="K828" s="36"/>
      <c r="L828" s="40"/>
      <c r="M828" s="40"/>
      <c r="N828" s="41"/>
      <c r="O828" s="41"/>
      <c r="P828" s="37"/>
      <c r="Q828" s="38"/>
      <c r="R828" s="36"/>
      <c r="S828" s="42"/>
      <c r="T828" s="42"/>
      <c r="U828" s="37"/>
      <c r="V828" s="43"/>
      <c r="W828" s="43"/>
      <c r="X828" s="36"/>
    </row>
    <row r="829" ht="15.75" customHeight="1">
      <c r="A829" s="36"/>
      <c r="B829" s="36"/>
      <c r="C829" s="36"/>
      <c r="D829" s="36"/>
      <c r="E829" s="36"/>
      <c r="F829" s="37"/>
      <c r="G829" s="38"/>
      <c r="H829" s="36"/>
      <c r="I829" s="36"/>
      <c r="J829" s="39"/>
      <c r="K829" s="36"/>
      <c r="L829" s="40"/>
      <c r="M829" s="40"/>
      <c r="N829" s="41"/>
      <c r="O829" s="41"/>
      <c r="P829" s="37"/>
      <c r="Q829" s="38"/>
      <c r="R829" s="36"/>
      <c r="S829" s="42"/>
      <c r="T829" s="42"/>
      <c r="U829" s="37"/>
      <c r="V829" s="43"/>
      <c r="W829" s="43"/>
      <c r="X829" s="36"/>
    </row>
    <row r="830" ht="15.75" customHeight="1">
      <c r="A830" s="36"/>
      <c r="B830" s="36"/>
      <c r="C830" s="36"/>
      <c r="D830" s="36"/>
      <c r="E830" s="36"/>
      <c r="F830" s="37"/>
      <c r="G830" s="38"/>
      <c r="H830" s="36"/>
      <c r="I830" s="36"/>
      <c r="J830" s="39"/>
      <c r="K830" s="36"/>
      <c r="L830" s="40"/>
      <c r="M830" s="40"/>
      <c r="N830" s="41"/>
      <c r="O830" s="41"/>
      <c r="P830" s="37"/>
      <c r="Q830" s="38"/>
      <c r="R830" s="36"/>
      <c r="S830" s="42"/>
      <c r="T830" s="42"/>
      <c r="U830" s="37"/>
      <c r="V830" s="43"/>
      <c r="W830" s="43"/>
      <c r="X830" s="36"/>
    </row>
    <row r="831" ht="15.75" customHeight="1">
      <c r="A831" s="36"/>
      <c r="B831" s="36"/>
      <c r="C831" s="36"/>
      <c r="D831" s="36"/>
      <c r="E831" s="36"/>
      <c r="F831" s="37"/>
      <c r="G831" s="38"/>
      <c r="H831" s="36"/>
      <c r="I831" s="36"/>
      <c r="J831" s="39"/>
      <c r="K831" s="36"/>
      <c r="L831" s="40"/>
      <c r="M831" s="40"/>
      <c r="N831" s="41"/>
      <c r="O831" s="41"/>
      <c r="P831" s="37"/>
      <c r="Q831" s="38"/>
      <c r="R831" s="36"/>
      <c r="S831" s="42"/>
      <c r="T831" s="42"/>
      <c r="U831" s="37"/>
      <c r="V831" s="43"/>
      <c r="W831" s="43"/>
      <c r="X831" s="36"/>
    </row>
    <row r="832" ht="15.75" customHeight="1">
      <c r="A832" s="36"/>
      <c r="B832" s="36"/>
      <c r="C832" s="36"/>
      <c r="D832" s="36"/>
      <c r="E832" s="36"/>
      <c r="F832" s="37"/>
      <c r="G832" s="38"/>
      <c r="H832" s="36"/>
      <c r="I832" s="36"/>
      <c r="J832" s="39"/>
      <c r="K832" s="36"/>
      <c r="L832" s="40"/>
      <c r="M832" s="40"/>
      <c r="N832" s="41"/>
      <c r="O832" s="41"/>
      <c r="P832" s="37"/>
      <c r="Q832" s="38"/>
      <c r="R832" s="36"/>
      <c r="S832" s="42"/>
      <c r="T832" s="42"/>
      <c r="U832" s="37"/>
      <c r="V832" s="43"/>
      <c r="W832" s="43"/>
      <c r="X832" s="36"/>
    </row>
    <row r="833" ht="15.75" customHeight="1">
      <c r="A833" s="36"/>
      <c r="B833" s="36"/>
      <c r="C833" s="36"/>
      <c r="D833" s="36"/>
      <c r="E833" s="36"/>
      <c r="F833" s="37"/>
      <c r="G833" s="38"/>
      <c r="H833" s="36"/>
      <c r="I833" s="36"/>
      <c r="J833" s="39"/>
      <c r="K833" s="36"/>
      <c r="L833" s="40"/>
      <c r="M833" s="40"/>
      <c r="N833" s="41"/>
      <c r="O833" s="41"/>
      <c r="P833" s="37"/>
      <c r="Q833" s="38"/>
      <c r="R833" s="36"/>
      <c r="S833" s="42"/>
      <c r="T833" s="42"/>
      <c r="U833" s="37"/>
      <c r="V833" s="43"/>
      <c r="W833" s="43"/>
      <c r="X833" s="36"/>
    </row>
    <row r="834" ht="15.75" customHeight="1">
      <c r="A834" s="36"/>
      <c r="B834" s="36"/>
      <c r="C834" s="36"/>
      <c r="D834" s="36"/>
      <c r="E834" s="36"/>
      <c r="F834" s="37"/>
      <c r="G834" s="38"/>
      <c r="H834" s="36"/>
      <c r="I834" s="36"/>
      <c r="J834" s="39"/>
      <c r="K834" s="36"/>
      <c r="L834" s="40"/>
      <c r="M834" s="40"/>
      <c r="N834" s="41"/>
      <c r="O834" s="41"/>
      <c r="P834" s="37"/>
      <c r="Q834" s="38"/>
      <c r="R834" s="36"/>
      <c r="S834" s="42"/>
      <c r="T834" s="42"/>
      <c r="U834" s="37"/>
      <c r="V834" s="43"/>
      <c r="W834" s="43"/>
      <c r="X834" s="36"/>
    </row>
    <row r="835" ht="15.75" customHeight="1">
      <c r="A835" s="36"/>
      <c r="B835" s="36"/>
      <c r="C835" s="36"/>
      <c r="D835" s="36"/>
      <c r="E835" s="36"/>
      <c r="F835" s="37"/>
      <c r="G835" s="38"/>
      <c r="H835" s="36"/>
      <c r="I835" s="36"/>
      <c r="J835" s="39"/>
      <c r="K835" s="36"/>
      <c r="L835" s="40"/>
      <c r="M835" s="40"/>
      <c r="N835" s="41"/>
      <c r="O835" s="41"/>
      <c r="P835" s="37"/>
      <c r="Q835" s="38"/>
      <c r="R835" s="36"/>
      <c r="S835" s="42"/>
      <c r="T835" s="42"/>
      <c r="U835" s="37"/>
      <c r="V835" s="43"/>
      <c r="W835" s="43"/>
      <c r="X835" s="36"/>
    </row>
    <row r="836" ht="15.75" customHeight="1">
      <c r="A836" s="36"/>
      <c r="B836" s="36"/>
      <c r="C836" s="36"/>
      <c r="D836" s="36"/>
      <c r="E836" s="36"/>
      <c r="F836" s="37"/>
      <c r="G836" s="38"/>
      <c r="H836" s="36"/>
      <c r="I836" s="36"/>
      <c r="J836" s="39"/>
      <c r="K836" s="36"/>
      <c r="L836" s="40"/>
      <c r="M836" s="40"/>
      <c r="N836" s="41"/>
      <c r="O836" s="41"/>
      <c r="P836" s="37"/>
      <c r="Q836" s="38"/>
      <c r="R836" s="36"/>
      <c r="S836" s="42"/>
      <c r="T836" s="42"/>
      <c r="U836" s="37"/>
      <c r="V836" s="43"/>
      <c r="W836" s="43"/>
      <c r="X836" s="36"/>
    </row>
    <row r="837" ht="15.75" customHeight="1">
      <c r="A837" s="36"/>
      <c r="B837" s="36"/>
      <c r="C837" s="36"/>
      <c r="D837" s="36"/>
      <c r="E837" s="36"/>
      <c r="F837" s="37"/>
      <c r="G837" s="38"/>
      <c r="H837" s="36"/>
      <c r="I837" s="36"/>
      <c r="J837" s="39"/>
      <c r="K837" s="36"/>
      <c r="L837" s="40"/>
      <c r="M837" s="40"/>
      <c r="N837" s="41"/>
      <c r="O837" s="41"/>
      <c r="P837" s="37"/>
      <c r="Q837" s="38"/>
      <c r="R837" s="36"/>
      <c r="S837" s="42"/>
      <c r="T837" s="42"/>
      <c r="U837" s="37"/>
      <c r="V837" s="43"/>
      <c r="W837" s="43"/>
      <c r="X837" s="36"/>
    </row>
    <row r="838" ht="15.75" customHeight="1">
      <c r="A838" s="36"/>
      <c r="B838" s="36"/>
      <c r="C838" s="36"/>
      <c r="D838" s="36"/>
      <c r="E838" s="36"/>
      <c r="F838" s="37"/>
      <c r="G838" s="38"/>
      <c r="H838" s="36"/>
      <c r="I838" s="36"/>
      <c r="J838" s="39"/>
      <c r="K838" s="36"/>
      <c r="L838" s="40"/>
      <c r="M838" s="40"/>
      <c r="N838" s="41"/>
      <c r="O838" s="41"/>
      <c r="P838" s="37"/>
      <c r="Q838" s="38"/>
      <c r="R838" s="36"/>
      <c r="S838" s="42"/>
      <c r="T838" s="42"/>
      <c r="U838" s="37"/>
      <c r="V838" s="43"/>
      <c r="W838" s="43"/>
      <c r="X838" s="36"/>
    </row>
    <row r="839" ht="15.75" customHeight="1">
      <c r="A839" s="36"/>
      <c r="B839" s="36"/>
      <c r="C839" s="36"/>
      <c r="D839" s="36"/>
      <c r="E839" s="36"/>
      <c r="F839" s="37"/>
      <c r="G839" s="38"/>
      <c r="H839" s="36"/>
      <c r="I839" s="36"/>
      <c r="J839" s="39"/>
      <c r="K839" s="36"/>
      <c r="L839" s="40"/>
      <c r="M839" s="40"/>
      <c r="N839" s="41"/>
      <c r="O839" s="41"/>
      <c r="P839" s="37"/>
      <c r="Q839" s="38"/>
      <c r="R839" s="36"/>
      <c r="S839" s="42"/>
      <c r="T839" s="42"/>
      <c r="U839" s="37"/>
      <c r="V839" s="43"/>
      <c r="W839" s="43"/>
      <c r="X839" s="36"/>
    </row>
    <row r="840" ht="15.75" customHeight="1">
      <c r="A840" s="36"/>
      <c r="B840" s="36"/>
      <c r="C840" s="36"/>
      <c r="D840" s="36"/>
      <c r="E840" s="36"/>
      <c r="F840" s="37"/>
      <c r="G840" s="38"/>
      <c r="H840" s="36"/>
      <c r="I840" s="36"/>
      <c r="J840" s="39"/>
      <c r="K840" s="36"/>
      <c r="L840" s="40"/>
      <c r="M840" s="40"/>
      <c r="N840" s="41"/>
      <c r="O840" s="41"/>
      <c r="P840" s="37"/>
      <c r="Q840" s="38"/>
      <c r="R840" s="36"/>
      <c r="S840" s="42"/>
      <c r="T840" s="42"/>
      <c r="U840" s="37"/>
      <c r="V840" s="43"/>
      <c r="W840" s="43"/>
      <c r="X840" s="36"/>
    </row>
    <row r="841" ht="15.75" customHeight="1">
      <c r="A841" s="36"/>
      <c r="B841" s="36"/>
      <c r="C841" s="36"/>
      <c r="D841" s="36"/>
      <c r="E841" s="36"/>
      <c r="F841" s="37"/>
      <c r="G841" s="38"/>
      <c r="H841" s="36"/>
      <c r="I841" s="36"/>
      <c r="J841" s="39"/>
      <c r="K841" s="36"/>
      <c r="L841" s="40"/>
      <c r="M841" s="40"/>
      <c r="N841" s="41"/>
      <c r="O841" s="41"/>
      <c r="P841" s="37"/>
      <c r="Q841" s="38"/>
      <c r="R841" s="36"/>
      <c r="S841" s="42"/>
      <c r="T841" s="42"/>
      <c r="U841" s="37"/>
      <c r="V841" s="43"/>
      <c r="W841" s="43"/>
      <c r="X841" s="36"/>
    </row>
    <row r="842" ht="15.75" customHeight="1">
      <c r="A842" s="36"/>
      <c r="B842" s="36"/>
      <c r="C842" s="36"/>
      <c r="D842" s="36"/>
      <c r="E842" s="36"/>
      <c r="F842" s="37"/>
      <c r="G842" s="38"/>
      <c r="H842" s="36"/>
      <c r="I842" s="36"/>
      <c r="J842" s="39"/>
      <c r="K842" s="36"/>
      <c r="L842" s="40"/>
      <c r="M842" s="40"/>
      <c r="N842" s="41"/>
      <c r="O842" s="41"/>
      <c r="P842" s="37"/>
      <c r="Q842" s="38"/>
      <c r="R842" s="36"/>
      <c r="S842" s="42"/>
      <c r="T842" s="42"/>
      <c r="U842" s="37"/>
      <c r="V842" s="43"/>
      <c r="W842" s="43"/>
      <c r="X842" s="36"/>
    </row>
    <row r="843" ht="15.75" customHeight="1">
      <c r="A843" s="36"/>
      <c r="B843" s="36"/>
      <c r="C843" s="36"/>
      <c r="D843" s="36"/>
      <c r="E843" s="36"/>
      <c r="F843" s="37"/>
      <c r="G843" s="38"/>
      <c r="H843" s="36"/>
      <c r="I843" s="36"/>
      <c r="J843" s="39"/>
      <c r="K843" s="36"/>
      <c r="L843" s="40"/>
      <c r="M843" s="40"/>
      <c r="N843" s="41"/>
      <c r="O843" s="41"/>
      <c r="P843" s="37"/>
      <c r="Q843" s="38"/>
      <c r="R843" s="36"/>
      <c r="S843" s="42"/>
      <c r="T843" s="42"/>
      <c r="U843" s="37"/>
      <c r="V843" s="43"/>
      <c r="W843" s="43"/>
      <c r="X843" s="36"/>
    </row>
    <row r="844" ht="15.75" customHeight="1">
      <c r="A844" s="36"/>
      <c r="B844" s="36"/>
      <c r="C844" s="36"/>
      <c r="D844" s="36"/>
      <c r="E844" s="36"/>
      <c r="F844" s="37"/>
      <c r="G844" s="38"/>
      <c r="H844" s="36"/>
      <c r="I844" s="36"/>
      <c r="J844" s="39"/>
      <c r="K844" s="36"/>
      <c r="L844" s="40"/>
      <c r="M844" s="40"/>
      <c r="N844" s="41"/>
      <c r="O844" s="41"/>
      <c r="P844" s="37"/>
      <c r="Q844" s="38"/>
      <c r="R844" s="36"/>
      <c r="S844" s="42"/>
      <c r="T844" s="42"/>
      <c r="U844" s="37"/>
      <c r="V844" s="43"/>
      <c r="W844" s="43"/>
      <c r="X844" s="36"/>
    </row>
    <row r="845" ht="15.75" customHeight="1">
      <c r="A845" s="36"/>
      <c r="B845" s="36"/>
      <c r="C845" s="36"/>
      <c r="D845" s="36"/>
      <c r="E845" s="36"/>
      <c r="F845" s="37"/>
      <c r="G845" s="38"/>
      <c r="H845" s="36"/>
      <c r="I845" s="36"/>
      <c r="J845" s="39"/>
      <c r="K845" s="36"/>
      <c r="L845" s="40"/>
      <c r="M845" s="40"/>
      <c r="N845" s="41"/>
      <c r="O845" s="41"/>
      <c r="P845" s="37"/>
      <c r="Q845" s="38"/>
      <c r="R845" s="36"/>
      <c r="S845" s="42"/>
      <c r="T845" s="42"/>
      <c r="U845" s="37"/>
      <c r="V845" s="43"/>
      <c r="W845" s="43"/>
      <c r="X845" s="36"/>
    </row>
    <row r="846" ht="15.75" customHeight="1">
      <c r="A846" s="36"/>
      <c r="B846" s="36"/>
      <c r="C846" s="36"/>
      <c r="D846" s="36"/>
      <c r="E846" s="36"/>
      <c r="F846" s="37"/>
      <c r="G846" s="38"/>
      <c r="H846" s="36"/>
      <c r="I846" s="36"/>
      <c r="J846" s="39"/>
      <c r="K846" s="36"/>
      <c r="L846" s="40"/>
      <c r="M846" s="40"/>
      <c r="N846" s="41"/>
      <c r="O846" s="41"/>
      <c r="P846" s="37"/>
      <c r="Q846" s="38"/>
      <c r="R846" s="36"/>
      <c r="S846" s="42"/>
      <c r="T846" s="42"/>
      <c r="U846" s="37"/>
      <c r="V846" s="43"/>
      <c r="W846" s="43"/>
      <c r="X846" s="36"/>
    </row>
    <row r="847" ht="15.75" customHeight="1">
      <c r="A847" s="36"/>
      <c r="B847" s="36"/>
      <c r="C847" s="36"/>
      <c r="D847" s="36"/>
      <c r="E847" s="36"/>
      <c r="F847" s="37"/>
      <c r="G847" s="38"/>
      <c r="H847" s="36"/>
      <c r="I847" s="36"/>
      <c r="J847" s="39"/>
      <c r="K847" s="36"/>
      <c r="L847" s="40"/>
      <c r="M847" s="40"/>
      <c r="N847" s="41"/>
      <c r="O847" s="41"/>
      <c r="P847" s="37"/>
      <c r="Q847" s="38"/>
      <c r="R847" s="36"/>
      <c r="S847" s="42"/>
      <c r="T847" s="42"/>
      <c r="U847" s="37"/>
      <c r="V847" s="43"/>
      <c r="W847" s="43"/>
      <c r="X847" s="36"/>
    </row>
    <row r="848" ht="15.75" customHeight="1">
      <c r="A848" s="36"/>
      <c r="B848" s="36"/>
      <c r="C848" s="36"/>
      <c r="D848" s="36"/>
      <c r="E848" s="36"/>
      <c r="F848" s="37"/>
      <c r="G848" s="38"/>
      <c r="H848" s="36"/>
      <c r="I848" s="36"/>
      <c r="J848" s="39"/>
      <c r="K848" s="36"/>
      <c r="L848" s="40"/>
      <c r="M848" s="40"/>
      <c r="N848" s="41"/>
      <c r="O848" s="41"/>
      <c r="P848" s="37"/>
      <c r="Q848" s="38"/>
      <c r="R848" s="36"/>
      <c r="S848" s="42"/>
      <c r="T848" s="42"/>
      <c r="U848" s="37"/>
      <c r="V848" s="43"/>
      <c r="W848" s="43"/>
      <c r="X848" s="36"/>
    </row>
    <row r="849" ht="15.75" customHeight="1">
      <c r="A849" s="36"/>
      <c r="B849" s="36"/>
      <c r="C849" s="36"/>
      <c r="D849" s="36"/>
      <c r="E849" s="36"/>
      <c r="F849" s="37"/>
      <c r="G849" s="38"/>
      <c r="H849" s="36"/>
      <c r="I849" s="36"/>
      <c r="J849" s="39"/>
      <c r="K849" s="36"/>
      <c r="L849" s="40"/>
      <c r="M849" s="40"/>
      <c r="N849" s="41"/>
      <c r="O849" s="41"/>
      <c r="P849" s="37"/>
      <c r="Q849" s="38"/>
      <c r="R849" s="36"/>
      <c r="S849" s="42"/>
      <c r="T849" s="42"/>
      <c r="U849" s="37"/>
      <c r="V849" s="43"/>
      <c r="W849" s="43"/>
      <c r="X849" s="36"/>
    </row>
    <row r="850" ht="15.75" customHeight="1">
      <c r="A850" s="36"/>
      <c r="B850" s="36"/>
      <c r="C850" s="36"/>
      <c r="D850" s="36"/>
      <c r="E850" s="36"/>
      <c r="F850" s="37"/>
      <c r="G850" s="38"/>
      <c r="H850" s="36"/>
      <c r="I850" s="36"/>
      <c r="J850" s="39"/>
      <c r="K850" s="36"/>
      <c r="L850" s="40"/>
      <c r="M850" s="40"/>
      <c r="N850" s="41"/>
      <c r="O850" s="41"/>
      <c r="P850" s="37"/>
      <c r="Q850" s="38"/>
      <c r="R850" s="36"/>
      <c r="S850" s="42"/>
      <c r="T850" s="42"/>
      <c r="U850" s="37"/>
      <c r="V850" s="43"/>
      <c r="W850" s="43"/>
      <c r="X850" s="36"/>
    </row>
    <row r="851" ht="15.75" customHeight="1">
      <c r="A851" s="36"/>
      <c r="B851" s="36"/>
      <c r="C851" s="36"/>
      <c r="D851" s="36"/>
      <c r="E851" s="36"/>
      <c r="F851" s="37"/>
      <c r="G851" s="38"/>
      <c r="H851" s="36"/>
      <c r="I851" s="36"/>
      <c r="J851" s="39"/>
      <c r="K851" s="36"/>
      <c r="L851" s="40"/>
      <c r="M851" s="40"/>
      <c r="N851" s="41"/>
      <c r="O851" s="41"/>
      <c r="P851" s="37"/>
      <c r="Q851" s="38"/>
      <c r="R851" s="36"/>
      <c r="S851" s="42"/>
      <c r="T851" s="42"/>
      <c r="U851" s="37"/>
      <c r="V851" s="43"/>
      <c r="W851" s="43"/>
      <c r="X851" s="36"/>
    </row>
    <row r="852" ht="15.75" customHeight="1">
      <c r="A852" s="36"/>
      <c r="B852" s="36"/>
      <c r="C852" s="36"/>
      <c r="D852" s="36"/>
      <c r="E852" s="36"/>
      <c r="F852" s="37"/>
      <c r="G852" s="38"/>
      <c r="H852" s="36"/>
      <c r="I852" s="36"/>
      <c r="J852" s="39"/>
      <c r="K852" s="36"/>
      <c r="L852" s="40"/>
      <c r="M852" s="40"/>
      <c r="N852" s="41"/>
      <c r="O852" s="41"/>
      <c r="P852" s="37"/>
      <c r="Q852" s="38"/>
      <c r="R852" s="36"/>
      <c r="S852" s="42"/>
      <c r="T852" s="42"/>
      <c r="U852" s="37"/>
      <c r="V852" s="43"/>
      <c r="W852" s="43"/>
      <c r="X852" s="36"/>
    </row>
    <row r="853" ht="15.75" customHeight="1">
      <c r="A853" s="36"/>
      <c r="B853" s="36"/>
      <c r="C853" s="36"/>
      <c r="D853" s="36"/>
      <c r="E853" s="36"/>
      <c r="F853" s="37"/>
      <c r="G853" s="38"/>
      <c r="H853" s="36"/>
      <c r="I853" s="36"/>
      <c r="J853" s="39"/>
      <c r="K853" s="36"/>
      <c r="L853" s="40"/>
      <c r="M853" s="40"/>
      <c r="N853" s="41"/>
      <c r="O853" s="41"/>
      <c r="P853" s="37"/>
      <c r="Q853" s="38"/>
      <c r="R853" s="36"/>
      <c r="S853" s="42"/>
      <c r="T853" s="42"/>
      <c r="U853" s="37"/>
      <c r="V853" s="43"/>
      <c r="W853" s="43"/>
      <c r="X853" s="36"/>
    </row>
    <row r="854" ht="15.75" customHeight="1">
      <c r="A854" s="36"/>
      <c r="B854" s="36"/>
      <c r="C854" s="36"/>
      <c r="D854" s="36"/>
      <c r="E854" s="36"/>
      <c r="F854" s="37"/>
      <c r="G854" s="38"/>
      <c r="H854" s="36"/>
      <c r="I854" s="36"/>
      <c r="J854" s="39"/>
      <c r="K854" s="36"/>
      <c r="L854" s="40"/>
      <c r="M854" s="40"/>
      <c r="N854" s="41"/>
      <c r="O854" s="41"/>
      <c r="P854" s="37"/>
      <c r="Q854" s="38"/>
      <c r="R854" s="36"/>
      <c r="S854" s="42"/>
      <c r="T854" s="42"/>
      <c r="U854" s="37"/>
      <c r="V854" s="43"/>
      <c r="W854" s="43"/>
      <c r="X854" s="36"/>
    </row>
    <row r="855" ht="15.75" customHeight="1">
      <c r="A855" s="36"/>
      <c r="B855" s="36"/>
      <c r="C855" s="36"/>
      <c r="D855" s="36"/>
      <c r="E855" s="36"/>
      <c r="F855" s="37"/>
      <c r="G855" s="38"/>
      <c r="H855" s="36"/>
      <c r="I855" s="36"/>
      <c r="J855" s="39"/>
      <c r="K855" s="36"/>
      <c r="L855" s="40"/>
      <c r="M855" s="40"/>
      <c r="N855" s="41"/>
      <c r="O855" s="41"/>
      <c r="P855" s="37"/>
      <c r="Q855" s="38"/>
      <c r="R855" s="36"/>
      <c r="S855" s="42"/>
      <c r="T855" s="42"/>
      <c r="U855" s="37"/>
      <c r="V855" s="43"/>
      <c r="W855" s="43"/>
      <c r="X855" s="36"/>
    </row>
    <row r="856" ht="15.75" customHeight="1">
      <c r="A856" s="36"/>
      <c r="B856" s="36"/>
      <c r="C856" s="36"/>
      <c r="D856" s="36"/>
      <c r="E856" s="36"/>
      <c r="F856" s="37"/>
      <c r="G856" s="38"/>
      <c r="H856" s="36"/>
      <c r="I856" s="36"/>
      <c r="J856" s="39"/>
      <c r="K856" s="36"/>
      <c r="L856" s="40"/>
      <c r="M856" s="40"/>
      <c r="N856" s="41"/>
      <c r="O856" s="41"/>
      <c r="P856" s="37"/>
      <c r="Q856" s="38"/>
      <c r="R856" s="36"/>
      <c r="S856" s="42"/>
      <c r="T856" s="42"/>
      <c r="U856" s="37"/>
      <c r="V856" s="43"/>
      <c r="W856" s="43"/>
      <c r="X856" s="36"/>
    </row>
    <row r="857" ht="15.75" customHeight="1">
      <c r="A857" s="36"/>
      <c r="B857" s="36"/>
      <c r="C857" s="36"/>
      <c r="D857" s="36"/>
      <c r="E857" s="36"/>
      <c r="F857" s="37"/>
      <c r="G857" s="38"/>
      <c r="H857" s="36"/>
      <c r="I857" s="36"/>
      <c r="J857" s="39"/>
      <c r="K857" s="36"/>
      <c r="L857" s="40"/>
      <c r="M857" s="40"/>
      <c r="N857" s="41"/>
      <c r="O857" s="41"/>
      <c r="P857" s="37"/>
      <c r="Q857" s="38"/>
      <c r="R857" s="36"/>
      <c r="S857" s="42"/>
      <c r="T857" s="42"/>
      <c r="U857" s="37"/>
      <c r="V857" s="43"/>
      <c r="W857" s="43"/>
      <c r="X857" s="36"/>
    </row>
    <row r="858" ht="15.75" customHeight="1">
      <c r="A858" s="36"/>
      <c r="B858" s="36"/>
      <c r="C858" s="36"/>
      <c r="D858" s="36"/>
      <c r="E858" s="36"/>
      <c r="F858" s="37"/>
      <c r="G858" s="38"/>
      <c r="H858" s="36"/>
      <c r="I858" s="36"/>
      <c r="J858" s="39"/>
      <c r="K858" s="36"/>
      <c r="L858" s="40"/>
      <c r="M858" s="40"/>
      <c r="N858" s="41"/>
      <c r="O858" s="41"/>
      <c r="P858" s="37"/>
      <c r="Q858" s="38"/>
      <c r="R858" s="36"/>
      <c r="S858" s="42"/>
      <c r="T858" s="42"/>
      <c r="U858" s="37"/>
      <c r="V858" s="43"/>
      <c r="W858" s="43"/>
      <c r="X858" s="36"/>
    </row>
    <row r="859" ht="15.75" customHeight="1">
      <c r="A859" s="36"/>
      <c r="B859" s="36"/>
      <c r="C859" s="36"/>
      <c r="D859" s="36"/>
      <c r="E859" s="36"/>
      <c r="F859" s="37"/>
      <c r="G859" s="38"/>
      <c r="H859" s="36"/>
      <c r="I859" s="36"/>
      <c r="J859" s="39"/>
      <c r="K859" s="36"/>
      <c r="L859" s="40"/>
      <c r="M859" s="40"/>
      <c r="N859" s="41"/>
      <c r="O859" s="41"/>
      <c r="P859" s="37"/>
      <c r="Q859" s="38"/>
      <c r="R859" s="36"/>
      <c r="S859" s="42"/>
      <c r="T859" s="42"/>
      <c r="U859" s="37"/>
      <c r="V859" s="43"/>
      <c r="W859" s="43"/>
      <c r="X859" s="36"/>
    </row>
    <row r="860" ht="15.75" customHeight="1">
      <c r="A860" s="36"/>
      <c r="B860" s="36"/>
      <c r="C860" s="36"/>
      <c r="D860" s="36"/>
      <c r="E860" s="36"/>
      <c r="F860" s="37"/>
      <c r="G860" s="38"/>
      <c r="H860" s="36"/>
      <c r="I860" s="36"/>
      <c r="J860" s="39"/>
      <c r="K860" s="36"/>
      <c r="L860" s="40"/>
      <c r="M860" s="40"/>
      <c r="N860" s="41"/>
      <c r="O860" s="41"/>
      <c r="P860" s="37"/>
      <c r="Q860" s="38"/>
      <c r="R860" s="36"/>
      <c r="S860" s="42"/>
      <c r="T860" s="42"/>
      <c r="U860" s="37"/>
      <c r="V860" s="43"/>
      <c r="W860" s="43"/>
      <c r="X860" s="36"/>
    </row>
    <row r="861" ht="15.75" customHeight="1">
      <c r="A861" s="36"/>
      <c r="B861" s="36"/>
      <c r="C861" s="36"/>
      <c r="D861" s="36"/>
      <c r="E861" s="36"/>
      <c r="F861" s="37"/>
      <c r="G861" s="38"/>
      <c r="H861" s="36"/>
      <c r="I861" s="36"/>
      <c r="J861" s="39"/>
      <c r="K861" s="36"/>
      <c r="L861" s="40"/>
      <c r="M861" s="40"/>
      <c r="N861" s="41"/>
      <c r="O861" s="41"/>
      <c r="P861" s="37"/>
      <c r="Q861" s="38"/>
      <c r="R861" s="36"/>
      <c r="S861" s="42"/>
      <c r="T861" s="42"/>
      <c r="U861" s="37"/>
      <c r="V861" s="43"/>
      <c r="W861" s="43"/>
      <c r="X861" s="36"/>
    </row>
    <row r="862" ht="15.75" customHeight="1">
      <c r="A862" s="36"/>
      <c r="B862" s="36"/>
      <c r="C862" s="36"/>
      <c r="D862" s="36"/>
      <c r="E862" s="36"/>
      <c r="F862" s="37"/>
      <c r="G862" s="38"/>
      <c r="H862" s="36"/>
      <c r="I862" s="36"/>
      <c r="J862" s="39"/>
      <c r="K862" s="36"/>
      <c r="L862" s="40"/>
      <c r="M862" s="40"/>
      <c r="N862" s="41"/>
      <c r="O862" s="41"/>
      <c r="P862" s="37"/>
      <c r="Q862" s="38"/>
      <c r="R862" s="36"/>
      <c r="S862" s="42"/>
      <c r="T862" s="42"/>
      <c r="U862" s="37"/>
      <c r="V862" s="43"/>
      <c r="W862" s="43"/>
      <c r="X862" s="36"/>
    </row>
    <row r="863" ht="15.75" customHeight="1">
      <c r="A863" s="36"/>
      <c r="B863" s="36"/>
      <c r="C863" s="36"/>
      <c r="D863" s="36"/>
      <c r="E863" s="36"/>
      <c r="F863" s="37"/>
      <c r="G863" s="38"/>
      <c r="H863" s="36"/>
      <c r="I863" s="36"/>
      <c r="J863" s="39"/>
      <c r="K863" s="36"/>
      <c r="L863" s="40"/>
      <c r="M863" s="40"/>
      <c r="N863" s="41"/>
      <c r="O863" s="41"/>
      <c r="P863" s="37"/>
      <c r="Q863" s="38"/>
      <c r="R863" s="36"/>
      <c r="S863" s="42"/>
      <c r="T863" s="42"/>
      <c r="U863" s="37"/>
      <c r="V863" s="43"/>
      <c r="W863" s="43"/>
      <c r="X863" s="36"/>
    </row>
    <row r="864" ht="15.75" customHeight="1">
      <c r="A864" s="36"/>
      <c r="B864" s="36"/>
      <c r="C864" s="36"/>
      <c r="D864" s="36"/>
      <c r="E864" s="36"/>
      <c r="F864" s="37"/>
      <c r="G864" s="38"/>
      <c r="H864" s="36"/>
      <c r="I864" s="36"/>
      <c r="J864" s="39"/>
      <c r="K864" s="36"/>
      <c r="L864" s="40"/>
      <c r="M864" s="40"/>
      <c r="N864" s="41"/>
      <c r="O864" s="41"/>
      <c r="P864" s="37"/>
      <c r="Q864" s="38"/>
      <c r="R864" s="36"/>
      <c r="S864" s="42"/>
      <c r="T864" s="42"/>
      <c r="U864" s="37"/>
      <c r="V864" s="43"/>
      <c r="W864" s="43"/>
      <c r="X864" s="36"/>
    </row>
    <row r="865" ht="15.75" customHeight="1">
      <c r="A865" s="36"/>
      <c r="B865" s="36"/>
      <c r="C865" s="36"/>
      <c r="D865" s="36"/>
      <c r="E865" s="36"/>
      <c r="F865" s="37"/>
      <c r="G865" s="38"/>
      <c r="H865" s="36"/>
      <c r="I865" s="36"/>
      <c r="J865" s="39"/>
      <c r="K865" s="36"/>
      <c r="L865" s="40"/>
      <c r="M865" s="40"/>
      <c r="N865" s="41"/>
      <c r="O865" s="41"/>
      <c r="P865" s="37"/>
      <c r="Q865" s="38"/>
      <c r="R865" s="36"/>
      <c r="S865" s="42"/>
      <c r="T865" s="42"/>
      <c r="U865" s="37"/>
      <c r="V865" s="43"/>
      <c r="W865" s="43"/>
      <c r="X865" s="36"/>
    </row>
    <row r="866" ht="15.75" customHeight="1">
      <c r="A866" s="36"/>
      <c r="B866" s="36"/>
      <c r="C866" s="36"/>
      <c r="D866" s="36"/>
      <c r="E866" s="36"/>
      <c r="F866" s="37"/>
      <c r="G866" s="38"/>
      <c r="H866" s="36"/>
      <c r="I866" s="36"/>
      <c r="J866" s="39"/>
      <c r="K866" s="36"/>
      <c r="L866" s="40"/>
      <c r="M866" s="40"/>
      <c r="N866" s="41"/>
      <c r="O866" s="41"/>
      <c r="P866" s="37"/>
      <c r="Q866" s="38"/>
      <c r="R866" s="36"/>
      <c r="S866" s="42"/>
      <c r="T866" s="42"/>
      <c r="U866" s="37"/>
      <c r="V866" s="43"/>
      <c r="W866" s="43"/>
      <c r="X866" s="36"/>
    </row>
    <row r="867" ht="15.75" customHeight="1">
      <c r="A867" s="36"/>
      <c r="B867" s="36"/>
      <c r="C867" s="36"/>
      <c r="D867" s="36"/>
      <c r="E867" s="36"/>
      <c r="F867" s="37"/>
      <c r="G867" s="38"/>
      <c r="H867" s="36"/>
      <c r="I867" s="36"/>
      <c r="J867" s="39"/>
      <c r="K867" s="36"/>
      <c r="L867" s="40"/>
      <c r="M867" s="40"/>
      <c r="N867" s="41"/>
      <c r="O867" s="41"/>
      <c r="P867" s="37"/>
      <c r="Q867" s="38"/>
      <c r="R867" s="36"/>
      <c r="S867" s="42"/>
      <c r="T867" s="42"/>
      <c r="U867" s="37"/>
      <c r="V867" s="43"/>
      <c r="W867" s="43"/>
      <c r="X867" s="36"/>
    </row>
    <row r="868" ht="15.75" customHeight="1">
      <c r="A868" s="36"/>
      <c r="B868" s="36"/>
      <c r="C868" s="36"/>
      <c r="D868" s="36"/>
      <c r="E868" s="36"/>
      <c r="F868" s="37"/>
      <c r="G868" s="38"/>
      <c r="H868" s="36"/>
      <c r="I868" s="36"/>
      <c r="J868" s="39"/>
      <c r="K868" s="36"/>
      <c r="L868" s="40"/>
      <c r="M868" s="40"/>
      <c r="N868" s="41"/>
      <c r="O868" s="41"/>
      <c r="P868" s="37"/>
      <c r="Q868" s="38"/>
      <c r="R868" s="36"/>
      <c r="S868" s="42"/>
      <c r="T868" s="42"/>
      <c r="U868" s="37"/>
      <c r="V868" s="43"/>
      <c r="W868" s="43"/>
      <c r="X868" s="36"/>
    </row>
    <row r="869" ht="15.75" customHeight="1">
      <c r="A869" s="36"/>
      <c r="B869" s="36"/>
      <c r="C869" s="36"/>
      <c r="D869" s="36"/>
      <c r="E869" s="36"/>
      <c r="F869" s="37"/>
      <c r="G869" s="38"/>
      <c r="H869" s="36"/>
      <c r="I869" s="36"/>
      <c r="J869" s="39"/>
      <c r="K869" s="36"/>
      <c r="L869" s="40"/>
      <c r="M869" s="40"/>
      <c r="N869" s="41"/>
      <c r="O869" s="41"/>
      <c r="P869" s="37"/>
      <c r="Q869" s="38"/>
      <c r="R869" s="36"/>
      <c r="S869" s="42"/>
      <c r="T869" s="42"/>
      <c r="U869" s="37"/>
      <c r="V869" s="43"/>
      <c r="W869" s="43"/>
      <c r="X869" s="36"/>
    </row>
    <row r="870" ht="15.75" customHeight="1">
      <c r="A870" s="36"/>
      <c r="B870" s="36"/>
      <c r="C870" s="36"/>
      <c r="D870" s="36"/>
      <c r="E870" s="36"/>
      <c r="F870" s="37"/>
      <c r="G870" s="38"/>
      <c r="H870" s="36"/>
      <c r="I870" s="36"/>
      <c r="J870" s="39"/>
      <c r="K870" s="36"/>
      <c r="L870" s="40"/>
      <c r="M870" s="40"/>
      <c r="N870" s="41"/>
      <c r="O870" s="41"/>
      <c r="P870" s="37"/>
      <c r="Q870" s="38"/>
      <c r="R870" s="36"/>
      <c r="S870" s="42"/>
      <c r="T870" s="42"/>
      <c r="U870" s="37"/>
      <c r="V870" s="43"/>
      <c r="W870" s="43"/>
      <c r="X870" s="36"/>
    </row>
    <row r="871" ht="15.75" customHeight="1">
      <c r="A871" s="36"/>
      <c r="B871" s="36"/>
      <c r="C871" s="36"/>
      <c r="D871" s="36"/>
      <c r="E871" s="36"/>
      <c r="F871" s="37"/>
      <c r="G871" s="38"/>
      <c r="H871" s="36"/>
      <c r="I871" s="36"/>
      <c r="J871" s="39"/>
      <c r="K871" s="36"/>
      <c r="L871" s="40"/>
      <c r="M871" s="40"/>
      <c r="N871" s="41"/>
      <c r="O871" s="41"/>
      <c r="P871" s="37"/>
      <c r="Q871" s="38"/>
      <c r="R871" s="36"/>
      <c r="S871" s="42"/>
      <c r="T871" s="42"/>
      <c r="U871" s="37"/>
      <c r="V871" s="43"/>
      <c r="W871" s="43"/>
      <c r="X871" s="36"/>
    </row>
    <row r="872" ht="15.75" customHeight="1">
      <c r="A872" s="36"/>
      <c r="B872" s="36"/>
      <c r="C872" s="36"/>
      <c r="D872" s="36"/>
      <c r="E872" s="36"/>
      <c r="F872" s="37"/>
      <c r="G872" s="38"/>
      <c r="H872" s="36"/>
      <c r="I872" s="36"/>
      <c r="J872" s="39"/>
      <c r="K872" s="36"/>
      <c r="L872" s="40"/>
      <c r="M872" s="40"/>
      <c r="N872" s="41"/>
      <c r="O872" s="41"/>
      <c r="P872" s="37"/>
      <c r="Q872" s="38"/>
      <c r="R872" s="36"/>
      <c r="S872" s="42"/>
      <c r="T872" s="42"/>
      <c r="U872" s="37"/>
      <c r="V872" s="43"/>
      <c r="W872" s="43"/>
      <c r="X872" s="36"/>
    </row>
    <row r="873" ht="15.75" customHeight="1">
      <c r="A873" s="36"/>
      <c r="B873" s="36"/>
      <c r="C873" s="36"/>
      <c r="D873" s="36"/>
      <c r="E873" s="36"/>
      <c r="F873" s="37"/>
      <c r="G873" s="38"/>
      <c r="H873" s="36"/>
      <c r="I873" s="36"/>
      <c r="J873" s="39"/>
      <c r="K873" s="36"/>
      <c r="L873" s="40"/>
      <c r="M873" s="40"/>
      <c r="N873" s="41"/>
      <c r="O873" s="41"/>
      <c r="P873" s="37"/>
      <c r="Q873" s="38"/>
      <c r="R873" s="36"/>
      <c r="S873" s="42"/>
      <c r="T873" s="42"/>
      <c r="U873" s="37"/>
      <c r="V873" s="43"/>
      <c r="W873" s="43"/>
      <c r="X873" s="36"/>
    </row>
    <row r="874" ht="15.75" customHeight="1">
      <c r="A874" s="36"/>
      <c r="B874" s="36"/>
      <c r="C874" s="36"/>
      <c r="D874" s="36"/>
      <c r="E874" s="36"/>
      <c r="F874" s="37"/>
      <c r="G874" s="38"/>
      <c r="H874" s="36"/>
      <c r="I874" s="36"/>
      <c r="J874" s="39"/>
      <c r="K874" s="36"/>
      <c r="L874" s="40"/>
      <c r="M874" s="40"/>
      <c r="N874" s="41"/>
      <c r="O874" s="41"/>
      <c r="P874" s="37"/>
      <c r="Q874" s="38"/>
      <c r="R874" s="36"/>
      <c r="S874" s="42"/>
      <c r="T874" s="42"/>
      <c r="U874" s="37"/>
      <c r="V874" s="43"/>
      <c r="W874" s="43"/>
      <c r="X874" s="36"/>
    </row>
    <row r="875" ht="15.75" customHeight="1">
      <c r="A875" s="36"/>
      <c r="B875" s="36"/>
      <c r="C875" s="36"/>
      <c r="D875" s="36"/>
      <c r="E875" s="36"/>
      <c r="F875" s="37"/>
      <c r="G875" s="38"/>
      <c r="H875" s="36"/>
      <c r="I875" s="36"/>
      <c r="J875" s="39"/>
      <c r="K875" s="36"/>
      <c r="L875" s="40"/>
      <c r="M875" s="40"/>
      <c r="N875" s="41"/>
      <c r="O875" s="41"/>
      <c r="P875" s="37"/>
      <c r="Q875" s="38"/>
      <c r="R875" s="36"/>
      <c r="S875" s="42"/>
      <c r="T875" s="42"/>
      <c r="U875" s="37"/>
      <c r="V875" s="43"/>
      <c r="W875" s="43"/>
      <c r="X875" s="36"/>
    </row>
    <row r="876" ht="15.75" customHeight="1">
      <c r="A876" s="36"/>
      <c r="B876" s="36"/>
      <c r="C876" s="36"/>
      <c r="D876" s="36"/>
      <c r="E876" s="36"/>
      <c r="F876" s="37"/>
      <c r="G876" s="38"/>
      <c r="H876" s="36"/>
      <c r="I876" s="36"/>
      <c r="J876" s="39"/>
      <c r="K876" s="36"/>
      <c r="L876" s="40"/>
      <c r="M876" s="40"/>
      <c r="N876" s="41"/>
      <c r="O876" s="41"/>
      <c r="P876" s="37"/>
      <c r="Q876" s="38"/>
      <c r="R876" s="36"/>
      <c r="S876" s="42"/>
      <c r="T876" s="42"/>
      <c r="U876" s="37"/>
      <c r="V876" s="43"/>
      <c r="W876" s="43"/>
      <c r="X876" s="36"/>
    </row>
    <row r="877" ht="15.75" customHeight="1">
      <c r="A877" s="36"/>
      <c r="B877" s="36"/>
      <c r="C877" s="36"/>
      <c r="D877" s="36"/>
      <c r="E877" s="36"/>
      <c r="F877" s="37"/>
      <c r="G877" s="38"/>
      <c r="H877" s="36"/>
      <c r="I877" s="36"/>
      <c r="J877" s="39"/>
      <c r="K877" s="36"/>
      <c r="L877" s="40"/>
      <c r="M877" s="40"/>
      <c r="N877" s="41"/>
      <c r="O877" s="41"/>
      <c r="P877" s="37"/>
      <c r="Q877" s="38"/>
      <c r="R877" s="36"/>
      <c r="S877" s="42"/>
      <c r="T877" s="42"/>
      <c r="U877" s="37"/>
      <c r="V877" s="43"/>
      <c r="W877" s="43"/>
      <c r="X877" s="36"/>
    </row>
    <row r="878" ht="15.75" customHeight="1">
      <c r="A878" s="36"/>
      <c r="B878" s="36"/>
      <c r="C878" s="36"/>
      <c r="D878" s="36"/>
      <c r="E878" s="36"/>
      <c r="F878" s="37"/>
      <c r="G878" s="38"/>
      <c r="H878" s="36"/>
      <c r="I878" s="36"/>
      <c r="J878" s="39"/>
      <c r="K878" s="36"/>
      <c r="L878" s="40"/>
      <c r="M878" s="40"/>
      <c r="N878" s="41"/>
      <c r="O878" s="41"/>
      <c r="P878" s="37"/>
      <c r="Q878" s="38"/>
      <c r="R878" s="36"/>
      <c r="S878" s="42"/>
      <c r="T878" s="42"/>
      <c r="U878" s="37"/>
      <c r="V878" s="43"/>
      <c r="W878" s="43"/>
      <c r="X878" s="36"/>
    </row>
    <row r="879" ht="15.75" customHeight="1">
      <c r="A879" s="36"/>
      <c r="B879" s="36"/>
      <c r="C879" s="36"/>
      <c r="D879" s="36"/>
      <c r="E879" s="36"/>
      <c r="F879" s="37"/>
      <c r="G879" s="38"/>
      <c r="H879" s="36"/>
      <c r="I879" s="36"/>
      <c r="J879" s="39"/>
      <c r="K879" s="36"/>
      <c r="L879" s="40"/>
      <c r="M879" s="40"/>
      <c r="N879" s="41"/>
      <c r="O879" s="41"/>
      <c r="P879" s="37"/>
      <c r="Q879" s="38"/>
      <c r="R879" s="36"/>
      <c r="S879" s="42"/>
      <c r="T879" s="42"/>
      <c r="U879" s="37"/>
      <c r="V879" s="43"/>
      <c r="W879" s="43"/>
      <c r="X879" s="36"/>
    </row>
    <row r="880" ht="15.75" customHeight="1">
      <c r="A880" s="36"/>
      <c r="B880" s="36"/>
      <c r="C880" s="36"/>
      <c r="D880" s="36"/>
      <c r="E880" s="36"/>
      <c r="F880" s="37"/>
      <c r="G880" s="38"/>
      <c r="H880" s="36"/>
      <c r="I880" s="36"/>
      <c r="J880" s="39"/>
      <c r="K880" s="36"/>
      <c r="L880" s="40"/>
      <c r="M880" s="40"/>
      <c r="N880" s="41"/>
      <c r="O880" s="41"/>
      <c r="P880" s="37"/>
      <c r="Q880" s="38"/>
      <c r="R880" s="36"/>
      <c r="S880" s="42"/>
      <c r="T880" s="42"/>
      <c r="U880" s="37"/>
      <c r="V880" s="43"/>
      <c r="W880" s="43"/>
      <c r="X880" s="36"/>
    </row>
    <row r="881" ht="15.75" customHeight="1">
      <c r="A881" s="36"/>
      <c r="B881" s="36"/>
      <c r="C881" s="36"/>
      <c r="D881" s="36"/>
      <c r="E881" s="36"/>
      <c r="F881" s="37"/>
      <c r="G881" s="38"/>
      <c r="H881" s="36"/>
      <c r="I881" s="36"/>
      <c r="J881" s="39"/>
      <c r="K881" s="36"/>
      <c r="L881" s="40"/>
      <c r="M881" s="40"/>
      <c r="N881" s="41"/>
      <c r="O881" s="41"/>
      <c r="P881" s="37"/>
      <c r="Q881" s="38"/>
      <c r="R881" s="36"/>
      <c r="S881" s="42"/>
      <c r="T881" s="42"/>
      <c r="U881" s="37"/>
      <c r="V881" s="43"/>
      <c r="W881" s="43"/>
      <c r="X881" s="36"/>
    </row>
    <row r="882" ht="15.75" customHeight="1">
      <c r="A882" s="36"/>
      <c r="B882" s="36"/>
      <c r="C882" s="36"/>
      <c r="D882" s="36"/>
      <c r="E882" s="36"/>
      <c r="F882" s="37"/>
      <c r="G882" s="38"/>
      <c r="H882" s="36"/>
      <c r="I882" s="36"/>
      <c r="J882" s="39"/>
      <c r="K882" s="36"/>
      <c r="L882" s="40"/>
      <c r="M882" s="40"/>
      <c r="N882" s="41"/>
      <c r="O882" s="41"/>
      <c r="P882" s="37"/>
      <c r="Q882" s="38"/>
      <c r="R882" s="36"/>
      <c r="S882" s="42"/>
      <c r="T882" s="42"/>
      <c r="U882" s="37"/>
      <c r="V882" s="43"/>
      <c r="W882" s="43"/>
      <c r="X882" s="36"/>
    </row>
    <row r="883" ht="15.75" customHeight="1">
      <c r="A883" s="36"/>
      <c r="B883" s="36"/>
      <c r="C883" s="36"/>
      <c r="D883" s="36"/>
      <c r="E883" s="36"/>
      <c r="F883" s="37"/>
      <c r="G883" s="38"/>
      <c r="H883" s="36"/>
      <c r="I883" s="36"/>
      <c r="J883" s="39"/>
      <c r="K883" s="36"/>
      <c r="L883" s="40"/>
      <c r="M883" s="40"/>
      <c r="N883" s="41"/>
      <c r="O883" s="41"/>
      <c r="P883" s="37"/>
      <c r="Q883" s="38"/>
      <c r="R883" s="36"/>
      <c r="S883" s="42"/>
      <c r="T883" s="42"/>
      <c r="U883" s="37"/>
      <c r="V883" s="43"/>
      <c r="W883" s="43"/>
      <c r="X883" s="36"/>
    </row>
    <row r="884" ht="15.75" customHeight="1">
      <c r="A884" s="36"/>
      <c r="B884" s="36"/>
      <c r="C884" s="36"/>
      <c r="D884" s="36"/>
      <c r="E884" s="36"/>
      <c r="F884" s="37"/>
      <c r="G884" s="38"/>
      <c r="H884" s="36"/>
      <c r="I884" s="36"/>
      <c r="J884" s="39"/>
      <c r="K884" s="36"/>
      <c r="L884" s="40"/>
      <c r="M884" s="40"/>
      <c r="N884" s="41"/>
      <c r="O884" s="41"/>
      <c r="P884" s="37"/>
      <c r="Q884" s="38"/>
      <c r="R884" s="36"/>
      <c r="S884" s="42"/>
      <c r="T884" s="42"/>
      <c r="U884" s="37"/>
      <c r="V884" s="43"/>
      <c r="W884" s="43"/>
      <c r="X884" s="36"/>
    </row>
    <row r="885" ht="15.75" customHeight="1">
      <c r="A885" s="36"/>
      <c r="B885" s="36"/>
      <c r="C885" s="36"/>
      <c r="D885" s="36"/>
      <c r="E885" s="36"/>
      <c r="F885" s="37"/>
      <c r="G885" s="38"/>
      <c r="H885" s="36"/>
      <c r="I885" s="36"/>
      <c r="J885" s="39"/>
      <c r="K885" s="36"/>
      <c r="L885" s="40"/>
      <c r="M885" s="40"/>
      <c r="N885" s="41"/>
      <c r="O885" s="41"/>
      <c r="P885" s="37"/>
      <c r="Q885" s="38"/>
      <c r="R885" s="36"/>
      <c r="S885" s="42"/>
      <c r="T885" s="42"/>
      <c r="U885" s="37"/>
      <c r="V885" s="43"/>
      <c r="W885" s="43"/>
      <c r="X885" s="36"/>
    </row>
    <row r="886" ht="15.75" customHeight="1">
      <c r="A886" s="36"/>
      <c r="B886" s="36"/>
      <c r="C886" s="36"/>
      <c r="D886" s="36"/>
      <c r="E886" s="36"/>
      <c r="F886" s="37"/>
      <c r="G886" s="38"/>
      <c r="H886" s="36"/>
      <c r="I886" s="36"/>
      <c r="J886" s="39"/>
      <c r="K886" s="36"/>
      <c r="L886" s="40"/>
      <c r="M886" s="40"/>
      <c r="N886" s="41"/>
      <c r="O886" s="41"/>
      <c r="P886" s="37"/>
      <c r="Q886" s="38"/>
      <c r="R886" s="36"/>
      <c r="S886" s="42"/>
      <c r="T886" s="42"/>
      <c r="U886" s="37"/>
      <c r="V886" s="43"/>
      <c r="W886" s="43"/>
      <c r="X886" s="36"/>
    </row>
    <row r="887" ht="15.75" customHeight="1">
      <c r="A887" s="36"/>
      <c r="B887" s="36"/>
      <c r="C887" s="36"/>
      <c r="D887" s="36"/>
      <c r="E887" s="36"/>
      <c r="F887" s="37"/>
      <c r="G887" s="38"/>
      <c r="H887" s="36"/>
      <c r="I887" s="36"/>
      <c r="J887" s="39"/>
      <c r="K887" s="36"/>
      <c r="L887" s="40"/>
      <c r="M887" s="40"/>
      <c r="N887" s="41"/>
      <c r="O887" s="41"/>
      <c r="P887" s="37"/>
      <c r="Q887" s="38"/>
      <c r="R887" s="36"/>
      <c r="S887" s="42"/>
      <c r="T887" s="42"/>
      <c r="U887" s="37"/>
      <c r="V887" s="43"/>
      <c r="W887" s="43"/>
      <c r="X887" s="36"/>
    </row>
    <row r="888" ht="15.75" customHeight="1">
      <c r="A888" s="36"/>
      <c r="B888" s="36"/>
      <c r="C888" s="36"/>
      <c r="D888" s="36"/>
      <c r="E888" s="36"/>
      <c r="F888" s="37"/>
      <c r="G888" s="38"/>
      <c r="H888" s="36"/>
      <c r="I888" s="36"/>
      <c r="J888" s="39"/>
      <c r="K888" s="36"/>
      <c r="L888" s="40"/>
      <c r="M888" s="40"/>
      <c r="N888" s="41"/>
      <c r="O888" s="41"/>
      <c r="P888" s="37"/>
      <c r="Q888" s="38"/>
      <c r="R888" s="36"/>
      <c r="S888" s="42"/>
      <c r="T888" s="42"/>
      <c r="U888" s="37"/>
      <c r="V888" s="43"/>
      <c r="W888" s="43"/>
      <c r="X888" s="36"/>
    </row>
    <row r="889" ht="15.75" customHeight="1">
      <c r="A889" s="36"/>
      <c r="B889" s="36"/>
      <c r="C889" s="36"/>
      <c r="D889" s="36"/>
      <c r="E889" s="36"/>
      <c r="F889" s="37"/>
      <c r="G889" s="38"/>
      <c r="H889" s="36"/>
      <c r="I889" s="36"/>
      <c r="J889" s="39"/>
      <c r="K889" s="36"/>
      <c r="L889" s="40"/>
      <c r="M889" s="40"/>
      <c r="N889" s="41"/>
      <c r="O889" s="41"/>
      <c r="P889" s="37"/>
      <c r="Q889" s="38"/>
      <c r="R889" s="36"/>
      <c r="S889" s="42"/>
      <c r="T889" s="42"/>
      <c r="U889" s="37"/>
      <c r="V889" s="43"/>
      <c r="W889" s="43"/>
      <c r="X889" s="36"/>
    </row>
    <row r="890" ht="15.75" customHeight="1">
      <c r="A890" s="36"/>
      <c r="B890" s="36"/>
      <c r="C890" s="36"/>
      <c r="D890" s="36"/>
      <c r="E890" s="36"/>
      <c r="F890" s="37"/>
      <c r="G890" s="38"/>
      <c r="H890" s="36"/>
      <c r="I890" s="36"/>
      <c r="J890" s="39"/>
      <c r="K890" s="36"/>
      <c r="L890" s="40"/>
      <c r="M890" s="40"/>
      <c r="N890" s="41"/>
      <c r="O890" s="41"/>
      <c r="P890" s="37"/>
      <c r="Q890" s="38"/>
      <c r="R890" s="36"/>
      <c r="S890" s="42"/>
      <c r="T890" s="42"/>
      <c r="U890" s="37"/>
      <c r="V890" s="43"/>
      <c r="W890" s="43"/>
      <c r="X890" s="36"/>
    </row>
    <row r="891" ht="15.75" customHeight="1">
      <c r="A891" s="36"/>
      <c r="B891" s="36"/>
      <c r="C891" s="36"/>
      <c r="D891" s="36"/>
      <c r="E891" s="36"/>
      <c r="F891" s="37"/>
      <c r="G891" s="38"/>
      <c r="H891" s="36"/>
      <c r="I891" s="36"/>
      <c r="J891" s="39"/>
      <c r="K891" s="36"/>
      <c r="L891" s="40"/>
      <c r="M891" s="40"/>
      <c r="N891" s="41"/>
      <c r="O891" s="41"/>
      <c r="P891" s="37"/>
      <c r="Q891" s="38"/>
      <c r="R891" s="36"/>
      <c r="S891" s="42"/>
      <c r="T891" s="42"/>
      <c r="U891" s="37"/>
      <c r="V891" s="43"/>
      <c r="W891" s="43"/>
      <c r="X891" s="36"/>
    </row>
    <row r="892" ht="15.75" customHeight="1">
      <c r="A892" s="36"/>
      <c r="B892" s="36"/>
      <c r="C892" s="36"/>
      <c r="D892" s="36"/>
      <c r="E892" s="36"/>
      <c r="F892" s="37"/>
      <c r="G892" s="38"/>
      <c r="H892" s="36"/>
      <c r="I892" s="36"/>
      <c r="J892" s="39"/>
      <c r="K892" s="36"/>
      <c r="L892" s="40"/>
      <c r="M892" s="40"/>
      <c r="N892" s="41"/>
      <c r="O892" s="41"/>
      <c r="P892" s="37"/>
      <c r="Q892" s="38"/>
      <c r="R892" s="36"/>
      <c r="S892" s="42"/>
      <c r="T892" s="42"/>
      <c r="U892" s="37"/>
      <c r="V892" s="43"/>
      <c r="W892" s="43"/>
      <c r="X892" s="36"/>
    </row>
    <row r="893" ht="15.75" customHeight="1">
      <c r="A893" s="36"/>
      <c r="B893" s="36"/>
      <c r="C893" s="36"/>
      <c r="D893" s="36"/>
      <c r="E893" s="36"/>
      <c r="F893" s="37"/>
      <c r="G893" s="38"/>
      <c r="H893" s="36"/>
      <c r="I893" s="36"/>
      <c r="J893" s="39"/>
      <c r="K893" s="36"/>
      <c r="L893" s="40"/>
      <c r="M893" s="40"/>
      <c r="N893" s="41"/>
      <c r="O893" s="41"/>
      <c r="P893" s="37"/>
      <c r="Q893" s="38"/>
      <c r="R893" s="36"/>
      <c r="S893" s="42"/>
      <c r="T893" s="42"/>
      <c r="U893" s="37"/>
      <c r="V893" s="43"/>
      <c r="W893" s="43"/>
      <c r="X893" s="36"/>
    </row>
    <row r="894" ht="15.75" customHeight="1">
      <c r="A894" s="36"/>
      <c r="B894" s="36"/>
      <c r="C894" s="36"/>
      <c r="D894" s="36"/>
      <c r="E894" s="36"/>
      <c r="F894" s="37"/>
      <c r="G894" s="38"/>
      <c r="H894" s="36"/>
      <c r="I894" s="36"/>
      <c r="J894" s="39"/>
      <c r="K894" s="36"/>
      <c r="L894" s="40"/>
      <c r="M894" s="40"/>
      <c r="N894" s="41"/>
      <c r="O894" s="41"/>
      <c r="P894" s="37"/>
      <c r="Q894" s="38"/>
      <c r="R894" s="36"/>
      <c r="S894" s="42"/>
      <c r="T894" s="42"/>
      <c r="U894" s="37"/>
      <c r="V894" s="43"/>
      <c r="W894" s="43"/>
      <c r="X894" s="36"/>
    </row>
    <row r="895" ht="15.75" customHeight="1">
      <c r="A895" s="36"/>
      <c r="B895" s="36"/>
      <c r="C895" s="36"/>
      <c r="D895" s="36"/>
      <c r="E895" s="36"/>
      <c r="F895" s="37"/>
      <c r="G895" s="38"/>
      <c r="H895" s="36"/>
      <c r="I895" s="36"/>
      <c r="J895" s="39"/>
      <c r="K895" s="36"/>
      <c r="L895" s="40"/>
      <c r="M895" s="40"/>
      <c r="N895" s="41"/>
      <c r="O895" s="41"/>
      <c r="P895" s="37"/>
      <c r="Q895" s="38"/>
      <c r="R895" s="36"/>
      <c r="S895" s="42"/>
      <c r="T895" s="42"/>
      <c r="U895" s="37"/>
      <c r="V895" s="43"/>
      <c r="W895" s="43"/>
      <c r="X895" s="36"/>
    </row>
    <row r="896" ht="15.75" customHeight="1">
      <c r="A896" s="36"/>
      <c r="B896" s="36"/>
      <c r="C896" s="36"/>
      <c r="D896" s="36"/>
      <c r="E896" s="36"/>
      <c r="F896" s="37"/>
      <c r="G896" s="38"/>
      <c r="H896" s="36"/>
      <c r="I896" s="36"/>
      <c r="J896" s="39"/>
      <c r="K896" s="36"/>
      <c r="L896" s="40"/>
      <c r="M896" s="40"/>
      <c r="N896" s="41"/>
      <c r="O896" s="41"/>
      <c r="P896" s="37"/>
      <c r="Q896" s="38"/>
      <c r="R896" s="36"/>
      <c r="S896" s="42"/>
      <c r="T896" s="42"/>
      <c r="U896" s="37"/>
      <c r="V896" s="43"/>
      <c r="W896" s="43"/>
      <c r="X896" s="36"/>
    </row>
    <row r="897" ht="15.75" customHeight="1">
      <c r="A897" s="36"/>
      <c r="B897" s="36"/>
      <c r="C897" s="36"/>
      <c r="D897" s="36"/>
      <c r="E897" s="36"/>
      <c r="F897" s="37"/>
      <c r="G897" s="38"/>
      <c r="H897" s="36"/>
      <c r="I897" s="36"/>
      <c r="J897" s="39"/>
      <c r="K897" s="36"/>
      <c r="L897" s="40"/>
      <c r="M897" s="40"/>
      <c r="N897" s="41"/>
      <c r="O897" s="41"/>
      <c r="P897" s="37"/>
      <c r="Q897" s="38"/>
      <c r="R897" s="36"/>
      <c r="S897" s="42"/>
      <c r="T897" s="42"/>
      <c r="U897" s="37"/>
      <c r="V897" s="43"/>
      <c r="W897" s="43"/>
      <c r="X897" s="36"/>
    </row>
    <row r="898" ht="15.75" customHeight="1">
      <c r="A898" s="36"/>
      <c r="B898" s="36"/>
      <c r="C898" s="36"/>
      <c r="D898" s="36"/>
      <c r="E898" s="36"/>
      <c r="F898" s="37"/>
      <c r="G898" s="38"/>
      <c r="H898" s="36"/>
      <c r="I898" s="36"/>
      <c r="J898" s="39"/>
      <c r="K898" s="36"/>
      <c r="L898" s="40"/>
      <c r="M898" s="40"/>
      <c r="N898" s="41"/>
      <c r="O898" s="41"/>
      <c r="P898" s="37"/>
      <c r="Q898" s="38"/>
      <c r="R898" s="36"/>
      <c r="S898" s="42"/>
      <c r="T898" s="42"/>
      <c r="U898" s="37"/>
      <c r="V898" s="43"/>
      <c r="W898" s="43"/>
      <c r="X898" s="36"/>
    </row>
    <row r="899" ht="15.75" customHeight="1">
      <c r="A899" s="36"/>
      <c r="B899" s="36"/>
      <c r="C899" s="36"/>
      <c r="D899" s="36"/>
      <c r="E899" s="36"/>
      <c r="F899" s="37"/>
      <c r="G899" s="38"/>
      <c r="H899" s="36"/>
      <c r="I899" s="36"/>
      <c r="J899" s="39"/>
      <c r="K899" s="36"/>
      <c r="L899" s="40"/>
      <c r="M899" s="40"/>
      <c r="N899" s="41"/>
      <c r="O899" s="41"/>
      <c r="P899" s="37"/>
      <c r="Q899" s="38"/>
      <c r="R899" s="36"/>
      <c r="S899" s="42"/>
      <c r="T899" s="42"/>
      <c r="U899" s="37"/>
      <c r="V899" s="43"/>
      <c r="W899" s="43"/>
      <c r="X899" s="36"/>
    </row>
    <row r="900" ht="15.75" customHeight="1">
      <c r="A900" s="36"/>
      <c r="B900" s="36"/>
      <c r="C900" s="36"/>
      <c r="D900" s="36"/>
      <c r="E900" s="36"/>
      <c r="F900" s="37"/>
      <c r="G900" s="38"/>
      <c r="H900" s="36"/>
      <c r="I900" s="36"/>
      <c r="J900" s="39"/>
      <c r="K900" s="36"/>
      <c r="L900" s="40"/>
      <c r="M900" s="40"/>
      <c r="N900" s="41"/>
      <c r="O900" s="41"/>
      <c r="P900" s="37"/>
      <c r="Q900" s="38"/>
      <c r="R900" s="36"/>
      <c r="S900" s="42"/>
      <c r="T900" s="42"/>
      <c r="U900" s="37"/>
      <c r="V900" s="43"/>
      <c r="W900" s="43"/>
      <c r="X900" s="36"/>
    </row>
    <row r="901" ht="15.75" customHeight="1">
      <c r="A901" s="36"/>
      <c r="B901" s="36"/>
      <c r="C901" s="36"/>
      <c r="D901" s="36"/>
      <c r="E901" s="36"/>
      <c r="F901" s="37"/>
      <c r="G901" s="38"/>
      <c r="H901" s="36"/>
      <c r="I901" s="36"/>
      <c r="J901" s="39"/>
      <c r="K901" s="36"/>
      <c r="L901" s="40"/>
      <c r="M901" s="40"/>
      <c r="N901" s="41"/>
      <c r="O901" s="41"/>
      <c r="P901" s="37"/>
      <c r="Q901" s="38"/>
      <c r="R901" s="36"/>
      <c r="S901" s="42"/>
      <c r="T901" s="42"/>
      <c r="U901" s="37"/>
      <c r="V901" s="43"/>
      <c r="W901" s="43"/>
      <c r="X901" s="36"/>
    </row>
    <row r="902" ht="15.75" customHeight="1">
      <c r="A902" s="36"/>
      <c r="B902" s="36"/>
      <c r="C902" s="36"/>
      <c r="D902" s="36"/>
      <c r="E902" s="36"/>
      <c r="F902" s="37"/>
      <c r="G902" s="38"/>
      <c r="H902" s="36"/>
      <c r="I902" s="36"/>
      <c r="J902" s="39"/>
      <c r="K902" s="36"/>
      <c r="L902" s="40"/>
      <c r="M902" s="40"/>
      <c r="N902" s="41"/>
      <c r="O902" s="41"/>
      <c r="P902" s="37"/>
      <c r="Q902" s="38"/>
      <c r="R902" s="36"/>
      <c r="S902" s="42"/>
      <c r="T902" s="42"/>
      <c r="U902" s="37"/>
      <c r="V902" s="43"/>
      <c r="W902" s="43"/>
      <c r="X902" s="36"/>
    </row>
    <row r="903" ht="15.75" customHeight="1">
      <c r="A903" s="36"/>
      <c r="B903" s="36"/>
      <c r="C903" s="36"/>
      <c r="D903" s="36"/>
      <c r="E903" s="36"/>
      <c r="F903" s="37"/>
      <c r="G903" s="38"/>
      <c r="H903" s="36"/>
      <c r="I903" s="36"/>
      <c r="J903" s="39"/>
      <c r="K903" s="36"/>
      <c r="L903" s="40"/>
      <c r="M903" s="40"/>
      <c r="N903" s="41"/>
      <c r="O903" s="41"/>
      <c r="P903" s="37"/>
      <c r="Q903" s="38"/>
      <c r="R903" s="36"/>
      <c r="S903" s="42"/>
      <c r="T903" s="42"/>
      <c r="U903" s="37"/>
      <c r="V903" s="43"/>
      <c r="W903" s="43"/>
      <c r="X903" s="36"/>
    </row>
    <row r="904" ht="15.75" customHeight="1">
      <c r="A904" s="36"/>
      <c r="B904" s="36"/>
      <c r="C904" s="36"/>
      <c r="D904" s="36"/>
      <c r="E904" s="36"/>
      <c r="F904" s="37"/>
      <c r="G904" s="38"/>
      <c r="H904" s="36"/>
      <c r="I904" s="36"/>
      <c r="J904" s="39"/>
      <c r="K904" s="36"/>
      <c r="L904" s="40"/>
      <c r="M904" s="40"/>
      <c r="N904" s="41"/>
      <c r="O904" s="41"/>
      <c r="P904" s="37"/>
      <c r="Q904" s="38"/>
      <c r="R904" s="36"/>
      <c r="S904" s="42"/>
      <c r="T904" s="42"/>
      <c r="U904" s="37"/>
      <c r="V904" s="43"/>
      <c r="W904" s="43"/>
      <c r="X904" s="36"/>
    </row>
    <row r="905" ht="15.75" customHeight="1">
      <c r="A905" s="36"/>
      <c r="B905" s="36"/>
      <c r="C905" s="36"/>
      <c r="D905" s="36"/>
      <c r="E905" s="36"/>
      <c r="F905" s="37"/>
      <c r="G905" s="38"/>
      <c r="H905" s="36"/>
      <c r="I905" s="36"/>
      <c r="J905" s="39"/>
      <c r="K905" s="36"/>
      <c r="L905" s="40"/>
      <c r="M905" s="40"/>
      <c r="N905" s="41"/>
      <c r="O905" s="41"/>
      <c r="P905" s="37"/>
      <c r="Q905" s="38"/>
      <c r="R905" s="36"/>
      <c r="S905" s="42"/>
      <c r="T905" s="42"/>
      <c r="U905" s="37"/>
      <c r="V905" s="43"/>
      <c r="W905" s="43"/>
      <c r="X905" s="36"/>
    </row>
    <row r="906" ht="15.75" customHeight="1">
      <c r="A906" s="36"/>
      <c r="B906" s="36"/>
      <c r="C906" s="36"/>
      <c r="D906" s="36"/>
      <c r="E906" s="36"/>
      <c r="F906" s="37"/>
      <c r="G906" s="38"/>
      <c r="H906" s="36"/>
      <c r="I906" s="36"/>
      <c r="J906" s="39"/>
      <c r="K906" s="36"/>
      <c r="L906" s="40"/>
      <c r="M906" s="40"/>
      <c r="N906" s="41"/>
      <c r="O906" s="41"/>
      <c r="P906" s="37"/>
      <c r="Q906" s="38"/>
      <c r="R906" s="36"/>
      <c r="S906" s="42"/>
      <c r="T906" s="42"/>
      <c r="U906" s="37"/>
      <c r="V906" s="43"/>
      <c r="W906" s="43"/>
      <c r="X906" s="36"/>
    </row>
    <row r="907" ht="15.75" customHeight="1">
      <c r="A907" s="36"/>
      <c r="B907" s="36"/>
      <c r="C907" s="36"/>
      <c r="D907" s="36"/>
      <c r="E907" s="36"/>
      <c r="F907" s="37"/>
      <c r="G907" s="38"/>
      <c r="H907" s="36"/>
      <c r="I907" s="36"/>
      <c r="J907" s="39"/>
      <c r="K907" s="36"/>
      <c r="L907" s="40"/>
      <c r="M907" s="40"/>
      <c r="N907" s="41"/>
      <c r="O907" s="41"/>
      <c r="P907" s="37"/>
      <c r="Q907" s="38"/>
      <c r="R907" s="36"/>
      <c r="S907" s="42"/>
      <c r="T907" s="42"/>
      <c r="U907" s="37"/>
      <c r="V907" s="43"/>
      <c r="W907" s="43"/>
      <c r="X907" s="36"/>
    </row>
    <row r="908" ht="15.75" customHeight="1">
      <c r="A908" s="36"/>
      <c r="B908" s="36"/>
      <c r="C908" s="36"/>
      <c r="D908" s="36"/>
      <c r="E908" s="36"/>
      <c r="F908" s="37"/>
      <c r="G908" s="38"/>
      <c r="H908" s="36"/>
      <c r="I908" s="36"/>
      <c r="J908" s="39"/>
      <c r="K908" s="36"/>
      <c r="L908" s="40"/>
      <c r="M908" s="40"/>
      <c r="N908" s="41"/>
      <c r="O908" s="41"/>
      <c r="P908" s="37"/>
      <c r="Q908" s="38"/>
      <c r="R908" s="36"/>
      <c r="S908" s="42"/>
      <c r="T908" s="42"/>
      <c r="U908" s="37"/>
      <c r="V908" s="43"/>
      <c r="W908" s="43"/>
      <c r="X908" s="36"/>
    </row>
    <row r="909" ht="15.75" customHeight="1">
      <c r="A909" s="36"/>
      <c r="B909" s="36"/>
      <c r="C909" s="36"/>
      <c r="D909" s="36"/>
      <c r="E909" s="36"/>
      <c r="F909" s="37"/>
      <c r="G909" s="38"/>
      <c r="H909" s="36"/>
      <c r="I909" s="36"/>
      <c r="J909" s="39"/>
      <c r="K909" s="36"/>
      <c r="L909" s="40"/>
      <c r="M909" s="40"/>
      <c r="N909" s="41"/>
      <c r="O909" s="41"/>
      <c r="P909" s="37"/>
      <c r="Q909" s="38"/>
      <c r="R909" s="36"/>
      <c r="S909" s="42"/>
      <c r="T909" s="42"/>
      <c r="U909" s="37"/>
      <c r="V909" s="43"/>
      <c r="W909" s="43"/>
      <c r="X909" s="36"/>
    </row>
    <row r="910" ht="15.75" customHeight="1">
      <c r="A910" s="36"/>
      <c r="B910" s="36"/>
      <c r="C910" s="36"/>
      <c r="D910" s="36"/>
      <c r="E910" s="36"/>
      <c r="F910" s="37"/>
      <c r="G910" s="38"/>
      <c r="H910" s="36"/>
      <c r="I910" s="36"/>
      <c r="J910" s="39"/>
      <c r="K910" s="36"/>
      <c r="L910" s="40"/>
      <c r="M910" s="40"/>
      <c r="N910" s="41"/>
      <c r="O910" s="41"/>
      <c r="P910" s="37"/>
      <c r="Q910" s="38"/>
      <c r="R910" s="36"/>
      <c r="S910" s="42"/>
      <c r="T910" s="42"/>
      <c r="U910" s="37"/>
      <c r="V910" s="43"/>
      <c r="W910" s="43"/>
      <c r="X910" s="36"/>
    </row>
    <row r="911" ht="15.75" customHeight="1">
      <c r="A911" s="36"/>
      <c r="B911" s="36"/>
      <c r="C911" s="36"/>
      <c r="D911" s="36"/>
      <c r="E911" s="36"/>
      <c r="F911" s="37"/>
      <c r="G911" s="38"/>
      <c r="H911" s="36"/>
      <c r="I911" s="36"/>
      <c r="J911" s="39"/>
      <c r="K911" s="36"/>
      <c r="L911" s="40"/>
      <c r="M911" s="40"/>
      <c r="N911" s="41"/>
      <c r="O911" s="41"/>
      <c r="P911" s="37"/>
      <c r="Q911" s="38"/>
      <c r="R911" s="36"/>
      <c r="S911" s="42"/>
      <c r="T911" s="42"/>
      <c r="U911" s="37"/>
      <c r="V911" s="43"/>
      <c r="W911" s="43"/>
      <c r="X911" s="36"/>
    </row>
    <row r="912" ht="15.75" customHeight="1">
      <c r="A912" s="36"/>
      <c r="B912" s="36"/>
      <c r="C912" s="36"/>
      <c r="D912" s="36"/>
      <c r="E912" s="36"/>
      <c r="F912" s="37"/>
      <c r="G912" s="38"/>
      <c r="H912" s="36"/>
      <c r="I912" s="36"/>
      <c r="J912" s="39"/>
      <c r="K912" s="36"/>
      <c r="L912" s="40"/>
      <c r="M912" s="40"/>
      <c r="N912" s="41"/>
      <c r="O912" s="41"/>
      <c r="P912" s="37"/>
      <c r="Q912" s="38"/>
      <c r="R912" s="36"/>
      <c r="S912" s="42"/>
      <c r="T912" s="42"/>
      <c r="U912" s="37"/>
      <c r="V912" s="43"/>
      <c r="W912" s="43"/>
      <c r="X912" s="36"/>
    </row>
    <row r="913" ht="15.75" customHeight="1">
      <c r="A913" s="36"/>
      <c r="B913" s="36"/>
      <c r="C913" s="36"/>
      <c r="D913" s="36"/>
      <c r="E913" s="36"/>
      <c r="F913" s="37"/>
      <c r="G913" s="38"/>
      <c r="H913" s="36"/>
      <c r="I913" s="36"/>
      <c r="J913" s="39"/>
      <c r="K913" s="36"/>
      <c r="L913" s="40"/>
      <c r="M913" s="40"/>
      <c r="N913" s="41"/>
      <c r="O913" s="41"/>
      <c r="P913" s="37"/>
      <c r="Q913" s="38"/>
      <c r="R913" s="36"/>
      <c r="S913" s="42"/>
      <c r="T913" s="42"/>
      <c r="U913" s="37"/>
      <c r="V913" s="43"/>
      <c r="W913" s="43"/>
      <c r="X913" s="36"/>
    </row>
    <row r="914" ht="15.75" customHeight="1">
      <c r="A914" s="36"/>
      <c r="B914" s="36"/>
      <c r="C914" s="36"/>
      <c r="D914" s="36"/>
      <c r="E914" s="36"/>
      <c r="F914" s="37"/>
      <c r="G914" s="38"/>
      <c r="H914" s="36"/>
      <c r="I914" s="36"/>
      <c r="J914" s="39"/>
      <c r="K914" s="36"/>
      <c r="L914" s="40"/>
      <c r="M914" s="40"/>
      <c r="N914" s="41"/>
      <c r="O914" s="41"/>
      <c r="P914" s="37"/>
      <c r="Q914" s="38"/>
      <c r="R914" s="36"/>
      <c r="S914" s="42"/>
      <c r="T914" s="42"/>
      <c r="U914" s="37"/>
      <c r="V914" s="43"/>
      <c r="W914" s="43"/>
      <c r="X914" s="36"/>
    </row>
    <row r="915" ht="15.75" customHeight="1">
      <c r="A915" s="36"/>
      <c r="B915" s="36"/>
      <c r="C915" s="36"/>
      <c r="D915" s="36"/>
      <c r="E915" s="36"/>
      <c r="F915" s="37"/>
      <c r="G915" s="38"/>
      <c r="H915" s="36"/>
      <c r="I915" s="36"/>
      <c r="J915" s="39"/>
      <c r="K915" s="36"/>
      <c r="L915" s="40"/>
      <c r="M915" s="40"/>
      <c r="N915" s="41"/>
      <c r="O915" s="41"/>
      <c r="P915" s="37"/>
      <c r="Q915" s="38"/>
      <c r="R915" s="36"/>
      <c r="S915" s="42"/>
      <c r="T915" s="42"/>
      <c r="U915" s="37"/>
      <c r="V915" s="43"/>
      <c r="W915" s="43"/>
      <c r="X915" s="36"/>
    </row>
    <row r="916" ht="15.75" customHeight="1">
      <c r="A916" s="36"/>
      <c r="B916" s="36"/>
      <c r="C916" s="36"/>
      <c r="D916" s="36"/>
      <c r="E916" s="36"/>
      <c r="F916" s="37"/>
      <c r="G916" s="38"/>
      <c r="H916" s="36"/>
      <c r="I916" s="36"/>
      <c r="J916" s="39"/>
      <c r="K916" s="36"/>
      <c r="L916" s="40"/>
      <c r="M916" s="40"/>
      <c r="N916" s="41"/>
      <c r="O916" s="41"/>
      <c r="P916" s="37"/>
      <c r="Q916" s="38"/>
      <c r="R916" s="36"/>
      <c r="S916" s="42"/>
      <c r="T916" s="42"/>
      <c r="U916" s="37"/>
      <c r="V916" s="43"/>
      <c r="W916" s="43"/>
      <c r="X916" s="36"/>
    </row>
    <row r="917" ht="15.75" customHeight="1">
      <c r="A917" s="36"/>
      <c r="B917" s="36"/>
      <c r="C917" s="36"/>
      <c r="D917" s="36"/>
      <c r="E917" s="36"/>
      <c r="F917" s="37"/>
      <c r="G917" s="38"/>
      <c r="H917" s="36"/>
      <c r="I917" s="36"/>
      <c r="J917" s="39"/>
      <c r="K917" s="36"/>
      <c r="L917" s="40"/>
      <c r="M917" s="40"/>
      <c r="N917" s="41"/>
      <c r="O917" s="41"/>
      <c r="P917" s="37"/>
      <c r="Q917" s="38"/>
      <c r="R917" s="36"/>
      <c r="S917" s="42"/>
      <c r="T917" s="42"/>
      <c r="U917" s="37"/>
      <c r="V917" s="43"/>
      <c r="W917" s="43"/>
      <c r="X917" s="36"/>
    </row>
    <row r="918" ht="15.75" customHeight="1">
      <c r="A918" s="36"/>
      <c r="B918" s="36"/>
      <c r="C918" s="36"/>
      <c r="D918" s="36"/>
      <c r="E918" s="36"/>
      <c r="F918" s="37"/>
      <c r="G918" s="38"/>
      <c r="H918" s="36"/>
      <c r="I918" s="36"/>
      <c r="J918" s="39"/>
      <c r="K918" s="36"/>
      <c r="L918" s="40"/>
      <c r="M918" s="40"/>
      <c r="N918" s="41"/>
      <c r="O918" s="41"/>
      <c r="P918" s="37"/>
      <c r="Q918" s="38"/>
      <c r="R918" s="36"/>
      <c r="S918" s="42"/>
      <c r="T918" s="42"/>
      <c r="U918" s="37"/>
      <c r="V918" s="43"/>
      <c r="W918" s="43"/>
      <c r="X918" s="36"/>
    </row>
    <row r="919" ht="15.75" customHeight="1">
      <c r="A919" s="36"/>
      <c r="B919" s="36"/>
      <c r="C919" s="36"/>
      <c r="D919" s="36"/>
      <c r="E919" s="36"/>
      <c r="F919" s="37"/>
      <c r="G919" s="38"/>
      <c r="H919" s="36"/>
      <c r="I919" s="36"/>
      <c r="J919" s="39"/>
      <c r="K919" s="36"/>
      <c r="L919" s="40"/>
      <c r="M919" s="40"/>
      <c r="N919" s="41"/>
      <c r="O919" s="41"/>
      <c r="P919" s="37"/>
      <c r="Q919" s="38"/>
      <c r="R919" s="36"/>
      <c r="S919" s="42"/>
      <c r="T919" s="42"/>
      <c r="U919" s="37"/>
      <c r="V919" s="43"/>
      <c r="W919" s="43"/>
      <c r="X919" s="36"/>
    </row>
    <row r="920" ht="15.75" customHeight="1">
      <c r="A920" s="36"/>
      <c r="B920" s="36"/>
      <c r="C920" s="36"/>
      <c r="D920" s="36"/>
      <c r="E920" s="36"/>
      <c r="F920" s="37"/>
      <c r="G920" s="38"/>
      <c r="H920" s="36"/>
      <c r="I920" s="36"/>
      <c r="J920" s="39"/>
      <c r="K920" s="36"/>
      <c r="L920" s="40"/>
      <c r="M920" s="40"/>
      <c r="N920" s="41"/>
      <c r="O920" s="41"/>
      <c r="P920" s="37"/>
      <c r="Q920" s="38"/>
      <c r="R920" s="36"/>
      <c r="S920" s="42"/>
      <c r="T920" s="42"/>
      <c r="U920" s="37"/>
      <c r="V920" s="43"/>
      <c r="W920" s="43"/>
      <c r="X920" s="36"/>
    </row>
    <row r="921" ht="15.75" customHeight="1">
      <c r="A921" s="36"/>
      <c r="B921" s="36"/>
      <c r="C921" s="36"/>
      <c r="D921" s="36"/>
      <c r="E921" s="36"/>
      <c r="F921" s="37"/>
      <c r="G921" s="38"/>
      <c r="H921" s="36"/>
      <c r="I921" s="36"/>
      <c r="J921" s="39"/>
      <c r="K921" s="36"/>
      <c r="L921" s="40"/>
      <c r="M921" s="40"/>
      <c r="N921" s="41"/>
      <c r="O921" s="41"/>
      <c r="P921" s="37"/>
      <c r="Q921" s="38"/>
      <c r="R921" s="36"/>
      <c r="S921" s="42"/>
      <c r="T921" s="42"/>
      <c r="U921" s="37"/>
      <c r="V921" s="43"/>
      <c r="W921" s="43"/>
      <c r="X921" s="36"/>
    </row>
    <row r="922" ht="15.75" customHeight="1">
      <c r="A922" s="36"/>
      <c r="B922" s="36"/>
      <c r="C922" s="36"/>
      <c r="D922" s="36"/>
      <c r="E922" s="36"/>
      <c r="F922" s="37"/>
      <c r="G922" s="38"/>
      <c r="H922" s="36"/>
      <c r="I922" s="36"/>
      <c r="J922" s="39"/>
      <c r="K922" s="36"/>
      <c r="L922" s="40"/>
      <c r="M922" s="40"/>
      <c r="N922" s="41"/>
      <c r="O922" s="41"/>
      <c r="P922" s="37"/>
      <c r="Q922" s="38"/>
      <c r="R922" s="36"/>
      <c r="S922" s="42"/>
      <c r="T922" s="42"/>
      <c r="U922" s="37"/>
      <c r="V922" s="43"/>
      <c r="W922" s="43"/>
      <c r="X922" s="36"/>
    </row>
    <row r="923" ht="15.75" customHeight="1">
      <c r="A923" s="36"/>
      <c r="B923" s="36"/>
      <c r="C923" s="36"/>
      <c r="D923" s="36"/>
      <c r="E923" s="36"/>
      <c r="F923" s="37"/>
      <c r="G923" s="38"/>
      <c r="H923" s="36"/>
      <c r="I923" s="36"/>
      <c r="J923" s="39"/>
      <c r="K923" s="36"/>
      <c r="L923" s="40"/>
      <c r="M923" s="40"/>
      <c r="N923" s="41"/>
      <c r="O923" s="41"/>
      <c r="P923" s="37"/>
      <c r="Q923" s="38"/>
      <c r="R923" s="36"/>
      <c r="S923" s="42"/>
      <c r="T923" s="42"/>
      <c r="U923" s="37"/>
      <c r="V923" s="43"/>
      <c r="W923" s="43"/>
      <c r="X923" s="36"/>
    </row>
    <row r="924" ht="15.75" customHeight="1">
      <c r="A924" s="36"/>
      <c r="B924" s="36"/>
      <c r="C924" s="36"/>
      <c r="D924" s="36"/>
      <c r="E924" s="36"/>
      <c r="F924" s="37"/>
      <c r="G924" s="38"/>
      <c r="H924" s="36"/>
      <c r="I924" s="36"/>
      <c r="J924" s="39"/>
      <c r="K924" s="36"/>
      <c r="L924" s="40"/>
      <c r="M924" s="40"/>
      <c r="N924" s="41"/>
      <c r="O924" s="41"/>
      <c r="P924" s="37"/>
      <c r="Q924" s="38"/>
      <c r="R924" s="36"/>
      <c r="S924" s="42"/>
      <c r="T924" s="42"/>
      <c r="U924" s="37"/>
      <c r="V924" s="43"/>
      <c r="W924" s="43"/>
      <c r="X924" s="36"/>
    </row>
    <row r="925" ht="15.75" customHeight="1">
      <c r="A925" s="36"/>
      <c r="B925" s="36"/>
      <c r="C925" s="36"/>
      <c r="D925" s="36"/>
      <c r="E925" s="36"/>
      <c r="F925" s="37"/>
      <c r="G925" s="38"/>
      <c r="H925" s="36"/>
      <c r="I925" s="36"/>
      <c r="J925" s="39"/>
      <c r="K925" s="36"/>
      <c r="L925" s="40"/>
      <c r="M925" s="40"/>
      <c r="N925" s="41"/>
      <c r="O925" s="41"/>
      <c r="P925" s="37"/>
      <c r="Q925" s="38"/>
      <c r="R925" s="36"/>
      <c r="S925" s="42"/>
      <c r="T925" s="42"/>
      <c r="U925" s="37"/>
      <c r="V925" s="43"/>
      <c r="W925" s="43"/>
      <c r="X925" s="36"/>
    </row>
    <row r="926" ht="15.75" customHeight="1">
      <c r="A926" s="36"/>
      <c r="B926" s="36"/>
      <c r="C926" s="36"/>
      <c r="D926" s="36"/>
      <c r="E926" s="36"/>
      <c r="F926" s="37"/>
      <c r="G926" s="38"/>
      <c r="H926" s="36"/>
      <c r="I926" s="36"/>
      <c r="J926" s="39"/>
      <c r="K926" s="36"/>
      <c r="L926" s="40"/>
      <c r="M926" s="40"/>
      <c r="N926" s="41"/>
      <c r="O926" s="41"/>
      <c r="P926" s="37"/>
      <c r="Q926" s="38"/>
      <c r="R926" s="36"/>
      <c r="S926" s="42"/>
      <c r="T926" s="42"/>
      <c r="U926" s="37"/>
      <c r="V926" s="43"/>
      <c r="W926" s="43"/>
      <c r="X926" s="36"/>
    </row>
    <row r="927" ht="15.75" customHeight="1">
      <c r="A927" s="36"/>
      <c r="B927" s="36"/>
      <c r="C927" s="36"/>
      <c r="D927" s="36"/>
      <c r="E927" s="36"/>
      <c r="F927" s="37"/>
      <c r="G927" s="38"/>
      <c r="H927" s="36"/>
      <c r="I927" s="36"/>
      <c r="J927" s="39"/>
      <c r="K927" s="36"/>
      <c r="L927" s="40"/>
      <c r="M927" s="40"/>
      <c r="N927" s="41"/>
      <c r="O927" s="41"/>
      <c r="P927" s="37"/>
      <c r="Q927" s="38"/>
      <c r="R927" s="36"/>
      <c r="S927" s="42"/>
      <c r="T927" s="42"/>
      <c r="U927" s="37"/>
      <c r="V927" s="43"/>
      <c r="W927" s="43"/>
      <c r="X927" s="36"/>
    </row>
    <row r="928" ht="15.75" customHeight="1">
      <c r="A928" s="36"/>
      <c r="B928" s="36"/>
      <c r="C928" s="36"/>
      <c r="D928" s="36"/>
      <c r="E928" s="36"/>
      <c r="F928" s="37"/>
      <c r="G928" s="38"/>
      <c r="H928" s="36"/>
      <c r="I928" s="36"/>
      <c r="J928" s="39"/>
      <c r="K928" s="36"/>
      <c r="L928" s="40"/>
      <c r="M928" s="40"/>
      <c r="N928" s="41"/>
      <c r="O928" s="41"/>
      <c r="P928" s="37"/>
      <c r="Q928" s="38"/>
      <c r="R928" s="36"/>
      <c r="S928" s="42"/>
      <c r="T928" s="42"/>
      <c r="U928" s="37"/>
      <c r="V928" s="43"/>
      <c r="W928" s="43"/>
      <c r="X928" s="36"/>
    </row>
    <row r="929" ht="15.75" customHeight="1">
      <c r="A929" s="36"/>
      <c r="B929" s="36"/>
      <c r="C929" s="36"/>
      <c r="D929" s="36"/>
      <c r="E929" s="36"/>
      <c r="F929" s="37"/>
      <c r="G929" s="38"/>
      <c r="H929" s="36"/>
      <c r="I929" s="36"/>
      <c r="J929" s="39"/>
      <c r="K929" s="36"/>
      <c r="L929" s="40"/>
      <c r="M929" s="40"/>
      <c r="N929" s="41"/>
      <c r="O929" s="41"/>
      <c r="P929" s="37"/>
      <c r="Q929" s="38"/>
      <c r="R929" s="36"/>
      <c r="S929" s="42"/>
      <c r="T929" s="42"/>
      <c r="U929" s="37"/>
      <c r="V929" s="43"/>
      <c r="W929" s="43"/>
      <c r="X929" s="36"/>
    </row>
    <row r="930" ht="15.75" customHeight="1">
      <c r="A930" s="36"/>
      <c r="B930" s="36"/>
      <c r="C930" s="36"/>
      <c r="D930" s="36"/>
      <c r="E930" s="36"/>
      <c r="F930" s="37"/>
      <c r="G930" s="38"/>
      <c r="H930" s="36"/>
      <c r="I930" s="36"/>
      <c r="J930" s="39"/>
      <c r="K930" s="36"/>
      <c r="L930" s="40"/>
      <c r="M930" s="40"/>
      <c r="N930" s="41"/>
      <c r="O930" s="41"/>
      <c r="P930" s="37"/>
      <c r="Q930" s="38"/>
      <c r="R930" s="36"/>
      <c r="S930" s="42"/>
      <c r="T930" s="42"/>
      <c r="U930" s="37"/>
      <c r="V930" s="43"/>
      <c r="W930" s="43"/>
      <c r="X930" s="36"/>
    </row>
    <row r="931" ht="15.75" customHeight="1">
      <c r="A931" s="36"/>
      <c r="B931" s="36"/>
      <c r="C931" s="36"/>
      <c r="D931" s="36"/>
      <c r="E931" s="36"/>
      <c r="F931" s="37"/>
      <c r="G931" s="38"/>
      <c r="H931" s="36"/>
      <c r="I931" s="36"/>
      <c r="J931" s="39"/>
      <c r="K931" s="36"/>
      <c r="L931" s="40"/>
      <c r="M931" s="40"/>
      <c r="N931" s="41"/>
      <c r="O931" s="41"/>
      <c r="P931" s="37"/>
      <c r="Q931" s="38"/>
      <c r="R931" s="36"/>
      <c r="S931" s="42"/>
      <c r="T931" s="42"/>
      <c r="U931" s="37"/>
      <c r="V931" s="43"/>
      <c r="W931" s="43"/>
      <c r="X931" s="36"/>
    </row>
    <row r="932" ht="15.75" customHeight="1">
      <c r="A932" s="36"/>
      <c r="B932" s="36"/>
      <c r="C932" s="36"/>
      <c r="D932" s="36"/>
      <c r="E932" s="36"/>
      <c r="F932" s="37"/>
      <c r="G932" s="38"/>
      <c r="H932" s="36"/>
      <c r="I932" s="36"/>
      <c r="J932" s="39"/>
      <c r="K932" s="36"/>
      <c r="L932" s="40"/>
      <c r="M932" s="40"/>
      <c r="N932" s="41"/>
      <c r="O932" s="41"/>
      <c r="P932" s="37"/>
      <c r="Q932" s="38"/>
      <c r="R932" s="36"/>
      <c r="S932" s="42"/>
      <c r="T932" s="42"/>
      <c r="U932" s="37"/>
      <c r="V932" s="43"/>
      <c r="W932" s="43"/>
      <c r="X932" s="36"/>
    </row>
    <row r="933" ht="15.75" customHeight="1">
      <c r="A933" s="36"/>
      <c r="B933" s="36"/>
      <c r="C933" s="36"/>
      <c r="D933" s="36"/>
      <c r="E933" s="36"/>
      <c r="F933" s="37"/>
      <c r="G933" s="38"/>
      <c r="H933" s="36"/>
      <c r="I933" s="36"/>
      <c r="J933" s="39"/>
      <c r="K933" s="36"/>
      <c r="L933" s="40"/>
      <c r="M933" s="40"/>
      <c r="N933" s="41"/>
      <c r="O933" s="41"/>
      <c r="P933" s="37"/>
      <c r="Q933" s="38"/>
      <c r="R933" s="36"/>
      <c r="S933" s="42"/>
      <c r="T933" s="42"/>
      <c r="U933" s="37"/>
      <c r="V933" s="43"/>
      <c r="W933" s="43"/>
      <c r="X933" s="36"/>
    </row>
    <row r="934" ht="15.75" customHeight="1">
      <c r="A934" s="36"/>
      <c r="B934" s="36"/>
      <c r="C934" s="36"/>
      <c r="D934" s="36"/>
      <c r="E934" s="36"/>
      <c r="F934" s="37"/>
      <c r="G934" s="38"/>
      <c r="H934" s="36"/>
      <c r="I934" s="36"/>
      <c r="J934" s="39"/>
      <c r="K934" s="36"/>
      <c r="L934" s="40"/>
      <c r="M934" s="40"/>
      <c r="N934" s="41"/>
      <c r="O934" s="41"/>
      <c r="P934" s="37"/>
      <c r="Q934" s="38"/>
      <c r="R934" s="36"/>
      <c r="S934" s="42"/>
      <c r="T934" s="42"/>
      <c r="U934" s="37"/>
      <c r="V934" s="43"/>
      <c r="W934" s="43"/>
      <c r="X934" s="36"/>
    </row>
    <row r="935" ht="15.75" customHeight="1">
      <c r="A935" s="36"/>
      <c r="B935" s="36"/>
      <c r="C935" s="36"/>
      <c r="D935" s="36"/>
      <c r="E935" s="36"/>
      <c r="F935" s="37"/>
      <c r="G935" s="38"/>
      <c r="H935" s="36"/>
      <c r="I935" s="36"/>
      <c r="J935" s="39"/>
      <c r="K935" s="36"/>
      <c r="L935" s="40"/>
      <c r="M935" s="40"/>
      <c r="N935" s="41"/>
      <c r="O935" s="41"/>
      <c r="P935" s="37"/>
      <c r="Q935" s="38"/>
      <c r="R935" s="36"/>
      <c r="S935" s="42"/>
      <c r="T935" s="42"/>
      <c r="U935" s="37"/>
      <c r="V935" s="43"/>
      <c r="W935" s="43"/>
      <c r="X935" s="36"/>
    </row>
    <row r="936" ht="15.75" customHeight="1">
      <c r="A936" s="36"/>
      <c r="B936" s="36"/>
      <c r="C936" s="36"/>
      <c r="D936" s="36"/>
      <c r="E936" s="36"/>
      <c r="F936" s="37"/>
      <c r="G936" s="38"/>
      <c r="H936" s="36"/>
      <c r="I936" s="36"/>
      <c r="J936" s="39"/>
      <c r="K936" s="36"/>
      <c r="L936" s="40"/>
      <c r="M936" s="40"/>
      <c r="N936" s="41"/>
      <c r="O936" s="41"/>
      <c r="P936" s="37"/>
      <c r="Q936" s="38"/>
      <c r="R936" s="36"/>
      <c r="S936" s="42"/>
      <c r="T936" s="42"/>
      <c r="U936" s="37"/>
      <c r="V936" s="43"/>
      <c r="W936" s="43"/>
      <c r="X936" s="36"/>
    </row>
    <row r="937" ht="15.75" customHeight="1">
      <c r="A937" s="36"/>
      <c r="B937" s="36"/>
      <c r="C937" s="36"/>
      <c r="D937" s="36"/>
      <c r="E937" s="36"/>
      <c r="F937" s="37"/>
      <c r="G937" s="38"/>
      <c r="H937" s="36"/>
      <c r="I937" s="36"/>
      <c r="J937" s="39"/>
      <c r="K937" s="36"/>
      <c r="L937" s="40"/>
      <c r="M937" s="40"/>
      <c r="N937" s="41"/>
      <c r="O937" s="41"/>
      <c r="P937" s="37"/>
      <c r="Q937" s="38"/>
      <c r="R937" s="36"/>
      <c r="S937" s="42"/>
      <c r="T937" s="42"/>
      <c r="U937" s="37"/>
      <c r="V937" s="43"/>
      <c r="W937" s="43"/>
      <c r="X937" s="36"/>
    </row>
    <row r="938" ht="15.75" customHeight="1">
      <c r="A938" s="36"/>
      <c r="B938" s="36"/>
      <c r="C938" s="36"/>
      <c r="D938" s="36"/>
      <c r="E938" s="36"/>
      <c r="F938" s="37"/>
      <c r="G938" s="38"/>
      <c r="H938" s="36"/>
      <c r="I938" s="36"/>
      <c r="J938" s="39"/>
      <c r="K938" s="36"/>
      <c r="L938" s="40"/>
      <c r="M938" s="40"/>
      <c r="N938" s="41"/>
      <c r="O938" s="41"/>
      <c r="P938" s="37"/>
      <c r="Q938" s="38"/>
      <c r="R938" s="36"/>
      <c r="S938" s="42"/>
      <c r="T938" s="42"/>
      <c r="U938" s="37"/>
      <c r="V938" s="43"/>
      <c r="W938" s="43"/>
      <c r="X938" s="36"/>
    </row>
    <row r="939" ht="15.75" customHeight="1">
      <c r="A939" s="36"/>
      <c r="B939" s="36"/>
      <c r="C939" s="36"/>
      <c r="D939" s="36"/>
      <c r="E939" s="36"/>
      <c r="F939" s="37"/>
      <c r="G939" s="38"/>
      <c r="H939" s="36"/>
      <c r="I939" s="36"/>
      <c r="J939" s="39"/>
      <c r="K939" s="36"/>
      <c r="L939" s="40"/>
      <c r="M939" s="40"/>
      <c r="N939" s="41"/>
      <c r="O939" s="41"/>
      <c r="P939" s="37"/>
      <c r="Q939" s="38"/>
      <c r="R939" s="36"/>
      <c r="S939" s="42"/>
      <c r="T939" s="42"/>
      <c r="U939" s="37"/>
      <c r="V939" s="43"/>
      <c r="W939" s="43"/>
      <c r="X939" s="36"/>
    </row>
    <row r="940" ht="15.75" customHeight="1">
      <c r="A940" s="36"/>
      <c r="B940" s="36"/>
      <c r="C940" s="36"/>
      <c r="D940" s="36"/>
      <c r="E940" s="36"/>
      <c r="F940" s="37"/>
      <c r="G940" s="38"/>
      <c r="H940" s="36"/>
      <c r="I940" s="36"/>
      <c r="J940" s="39"/>
      <c r="K940" s="36"/>
      <c r="L940" s="40"/>
      <c r="M940" s="40"/>
      <c r="N940" s="41"/>
      <c r="O940" s="41"/>
      <c r="P940" s="37"/>
      <c r="Q940" s="38"/>
      <c r="R940" s="36"/>
      <c r="S940" s="42"/>
      <c r="T940" s="42"/>
      <c r="U940" s="37"/>
      <c r="V940" s="43"/>
      <c r="W940" s="43"/>
      <c r="X940" s="36"/>
    </row>
    <row r="941" ht="15.75" customHeight="1">
      <c r="A941" s="36"/>
      <c r="B941" s="36"/>
      <c r="C941" s="36"/>
      <c r="D941" s="36"/>
      <c r="E941" s="36"/>
      <c r="F941" s="37"/>
      <c r="G941" s="38"/>
      <c r="H941" s="36"/>
      <c r="I941" s="36"/>
      <c r="J941" s="39"/>
      <c r="K941" s="36"/>
      <c r="L941" s="40"/>
      <c r="M941" s="40"/>
      <c r="N941" s="41"/>
      <c r="O941" s="41"/>
      <c r="P941" s="37"/>
      <c r="Q941" s="38"/>
      <c r="R941" s="36"/>
      <c r="S941" s="42"/>
      <c r="T941" s="42"/>
      <c r="U941" s="37"/>
      <c r="V941" s="43"/>
      <c r="W941" s="43"/>
      <c r="X941" s="36"/>
    </row>
    <row r="942" ht="15.75" customHeight="1">
      <c r="A942" s="36"/>
      <c r="B942" s="36"/>
      <c r="C942" s="36"/>
      <c r="D942" s="36"/>
      <c r="E942" s="36"/>
      <c r="F942" s="37"/>
      <c r="G942" s="38"/>
      <c r="H942" s="36"/>
      <c r="I942" s="36"/>
      <c r="J942" s="39"/>
      <c r="K942" s="36"/>
      <c r="L942" s="40"/>
      <c r="M942" s="40"/>
      <c r="N942" s="41"/>
      <c r="O942" s="41"/>
      <c r="P942" s="37"/>
      <c r="Q942" s="38"/>
      <c r="R942" s="36"/>
      <c r="S942" s="42"/>
      <c r="T942" s="42"/>
      <c r="U942" s="37"/>
      <c r="V942" s="43"/>
      <c r="W942" s="43"/>
      <c r="X942" s="36"/>
    </row>
    <row r="943" ht="15.75" customHeight="1">
      <c r="A943" s="36"/>
      <c r="B943" s="36"/>
      <c r="C943" s="36"/>
      <c r="D943" s="36"/>
      <c r="E943" s="36"/>
      <c r="F943" s="37"/>
      <c r="G943" s="38"/>
      <c r="H943" s="36"/>
      <c r="I943" s="36"/>
      <c r="J943" s="39"/>
      <c r="K943" s="36"/>
      <c r="L943" s="40"/>
      <c r="M943" s="40"/>
      <c r="N943" s="41"/>
      <c r="O943" s="41"/>
      <c r="P943" s="37"/>
      <c r="Q943" s="38"/>
      <c r="R943" s="36"/>
      <c r="S943" s="42"/>
      <c r="T943" s="42"/>
      <c r="U943" s="37"/>
      <c r="V943" s="43"/>
      <c r="W943" s="43"/>
      <c r="X943" s="36"/>
    </row>
    <row r="944" ht="15.75" customHeight="1">
      <c r="A944" s="36"/>
      <c r="B944" s="36"/>
      <c r="C944" s="36"/>
      <c r="D944" s="36"/>
      <c r="E944" s="36"/>
      <c r="F944" s="37"/>
      <c r="G944" s="38"/>
      <c r="H944" s="36"/>
      <c r="I944" s="36"/>
      <c r="J944" s="39"/>
      <c r="K944" s="36"/>
      <c r="L944" s="40"/>
      <c r="M944" s="40"/>
      <c r="N944" s="41"/>
      <c r="O944" s="41"/>
      <c r="P944" s="37"/>
      <c r="Q944" s="38"/>
      <c r="R944" s="36"/>
      <c r="S944" s="42"/>
      <c r="T944" s="42"/>
      <c r="U944" s="37"/>
      <c r="V944" s="43"/>
      <c r="W944" s="43"/>
      <c r="X944" s="36"/>
    </row>
    <row r="945" ht="15.75" customHeight="1">
      <c r="A945" s="36"/>
      <c r="B945" s="36"/>
      <c r="C945" s="36"/>
      <c r="D945" s="36"/>
      <c r="E945" s="36"/>
      <c r="F945" s="37"/>
      <c r="G945" s="38"/>
      <c r="H945" s="36"/>
      <c r="I945" s="36"/>
      <c r="J945" s="39"/>
      <c r="K945" s="36"/>
      <c r="L945" s="40"/>
      <c r="M945" s="40"/>
      <c r="N945" s="41"/>
      <c r="O945" s="41"/>
      <c r="P945" s="37"/>
      <c r="Q945" s="38"/>
      <c r="R945" s="36"/>
      <c r="S945" s="42"/>
      <c r="T945" s="42"/>
      <c r="U945" s="37"/>
      <c r="V945" s="43"/>
      <c r="W945" s="43"/>
      <c r="X945" s="36"/>
    </row>
    <row r="946" ht="15.75" customHeight="1">
      <c r="A946" s="36"/>
      <c r="B946" s="36"/>
      <c r="C946" s="36"/>
      <c r="D946" s="36"/>
      <c r="E946" s="36"/>
      <c r="F946" s="37"/>
      <c r="G946" s="38"/>
      <c r="H946" s="36"/>
      <c r="I946" s="36"/>
      <c r="J946" s="39"/>
      <c r="K946" s="36"/>
      <c r="L946" s="40"/>
      <c r="M946" s="40"/>
      <c r="N946" s="41"/>
      <c r="O946" s="41"/>
      <c r="P946" s="37"/>
      <c r="Q946" s="38"/>
      <c r="R946" s="36"/>
      <c r="S946" s="42"/>
      <c r="T946" s="42"/>
      <c r="U946" s="37"/>
      <c r="V946" s="43"/>
      <c r="W946" s="43"/>
      <c r="X946" s="36"/>
    </row>
    <row r="947" ht="15.75" customHeight="1">
      <c r="A947" s="36"/>
      <c r="B947" s="36"/>
      <c r="C947" s="36"/>
      <c r="D947" s="36"/>
      <c r="E947" s="36"/>
      <c r="F947" s="37"/>
      <c r="G947" s="38"/>
      <c r="H947" s="36"/>
      <c r="I947" s="36"/>
      <c r="J947" s="39"/>
      <c r="K947" s="36"/>
      <c r="L947" s="40"/>
      <c r="M947" s="40"/>
      <c r="N947" s="41"/>
      <c r="O947" s="41"/>
      <c r="P947" s="37"/>
      <c r="Q947" s="38"/>
      <c r="R947" s="36"/>
      <c r="S947" s="42"/>
      <c r="T947" s="42"/>
      <c r="U947" s="37"/>
      <c r="V947" s="43"/>
      <c r="W947" s="43"/>
      <c r="X947" s="36"/>
    </row>
    <row r="948" ht="15.75" customHeight="1">
      <c r="A948" s="36"/>
      <c r="B948" s="36"/>
      <c r="C948" s="36"/>
      <c r="D948" s="36"/>
      <c r="E948" s="36"/>
      <c r="F948" s="37"/>
      <c r="G948" s="38"/>
      <c r="H948" s="36"/>
      <c r="I948" s="36"/>
      <c r="J948" s="39"/>
      <c r="K948" s="36"/>
      <c r="L948" s="40"/>
      <c r="M948" s="40"/>
      <c r="N948" s="41"/>
      <c r="O948" s="41"/>
      <c r="P948" s="37"/>
      <c r="Q948" s="38"/>
      <c r="R948" s="36"/>
      <c r="S948" s="42"/>
      <c r="T948" s="42"/>
      <c r="U948" s="37"/>
      <c r="V948" s="43"/>
      <c r="W948" s="43"/>
      <c r="X948" s="36"/>
    </row>
    <row r="949" ht="15.75" customHeight="1">
      <c r="A949" s="36"/>
      <c r="B949" s="36"/>
      <c r="C949" s="36"/>
      <c r="D949" s="36"/>
      <c r="E949" s="36"/>
      <c r="F949" s="37"/>
      <c r="G949" s="38"/>
      <c r="H949" s="36"/>
      <c r="I949" s="36"/>
      <c r="J949" s="39"/>
      <c r="K949" s="36"/>
      <c r="L949" s="40"/>
      <c r="M949" s="40"/>
      <c r="N949" s="41"/>
      <c r="O949" s="41"/>
      <c r="P949" s="37"/>
      <c r="Q949" s="38"/>
      <c r="R949" s="36"/>
      <c r="S949" s="42"/>
      <c r="T949" s="42"/>
      <c r="U949" s="37"/>
      <c r="V949" s="43"/>
      <c r="W949" s="43"/>
      <c r="X949" s="36"/>
    </row>
    <row r="950" ht="15.75" customHeight="1">
      <c r="A950" s="36"/>
      <c r="B950" s="36"/>
      <c r="C950" s="36"/>
      <c r="D950" s="36"/>
      <c r="E950" s="36"/>
      <c r="F950" s="37"/>
      <c r="G950" s="38"/>
      <c r="H950" s="36"/>
      <c r="I950" s="36"/>
      <c r="J950" s="39"/>
      <c r="K950" s="36"/>
      <c r="L950" s="40"/>
      <c r="M950" s="40"/>
      <c r="N950" s="41"/>
      <c r="O950" s="41"/>
      <c r="P950" s="37"/>
      <c r="Q950" s="38"/>
      <c r="R950" s="36"/>
      <c r="S950" s="42"/>
      <c r="T950" s="42"/>
      <c r="U950" s="37"/>
      <c r="V950" s="43"/>
      <c r="W950" s="43"/>
      <c r="X950" s="36"/>
    </row>
    <row r="951" ht="15.75" customHeight="1">
      <c r="A951" s="36"/>
      <c r="B951" s="36"/>
      <c r="C951" s="36"/>
      <c r="D951" s="36"/>
      <c r="E951" s="36"/>
      <c r="F951" s="37"/>
      <c r="G951" s="38"/>
      <c r="H951" s="36"/>
      <c r="I951" s="36"/>
      <c r="J951" s="39"/>
      <c r="K951" s="36"/>
      <c r="L951" s="40"/>
      <c r="M951" s="40"/>
      <c r="N951" s="41"/>
      <c r="O951" s="41"/>
      <c r="P951" s="37"/>
      <c r="Q951" s="38"/>
      <c r="R951" s="36"/>
      <c r="S951" s="42"/>
      <c r="T951" s="42"/>
      <c r="U951" s="37"/>
      <c r="V951" s="43"/>
      <c r="W951" s="43"/>
      <c r="X951" s="36"/>
    </row>
    <row r="952" ht="15.75" customHeight="1">
      <c r="A952" s="36"/>
      <c r="B952" s="36"/>
      <c r="C952" s="36"/>
      <c r="D952" s="36"/>
      <c r="E952" s="36"/>
      <c r="F952" s="37"/>
      <c r="G952" s="38"/>
      <c r="H952" s="36"/>
      <c r="I952" s="36"/>
      <c r="J952" s="39"/>
      <c r="K952" s="36"/>
      <c r="L952" s="40"/>
      <c r="M952" s="40"/>
      <c r="N952" s="41"/>
      <c r="O952" s="41"/>
      <c r="P952" s="37"/>
      <c r="Q952" s="38"/>
      <c r="R952" s="36"/>
      <c r="S952" s="42"/>
      <c r="T952" s="42"/>
      <c r="U952" s="37"/>
      <c r="V952" s="43"/>
      <c r="W952" s="43"/>
      <c r="X952" s="36"/>
    </row>
    <row r="953" ht="15.75" customHeight="1">
      <c r="A953" s="36"/>
      <c r="B953" s="36"/>
      <c r="C953" s="36"/>
      <c r="D953" s="36"/>
      <c r="E953" s="36"/>
      <c r="F953" s="37"/>
      <c r="G953" s="38"/>
      <c r="H953" s="36"/>
      <c r="I953" s="36"/>
      <c r="J953" s="39"/>
      <c r="K953" s="36"/>
      <c r="L953" s="40"/>
      <c r="M953" s="40"/>
      <c r="N953" s="41"/>
      <c r="O953" s="41"/>
      <c r="P953" s="37"/>
      <c r="Q953" s="38"/>
      <c r="R953" s="36"/>
      <c r="S953" s="42"/>
      <c r="T953" s="42"/>
      <c r="U953" s="37"/>
      <c r="V953" s="43"/>
      <c r="W953" s="43"/>
      <c r="X953" s="36"/>
    </row>
    <row r="954" ht="15.75" customHeight="1">
      <c r="A954" s="36"/>
      <c r="B954" s="36"/>
      <c r="C954" s="36"/>
      <c r="D954" s="36"/>
      <c r="E954" s="36"/>
      <c r="F954" s="37"/>
      <c r="G954" s="38"/>
      <c r="H954" s="36"/>
      <c r="I954" s="36"/>
      <c r="J954" s="39"/>
      <c r="K954" s="36"/>
      <c r="L954" s="40"/>
      <c r="M954" s="40"/>
      <c r="N954" s="41"/>
      <c r="O954" s="41"/>
      <c r="P954" s="37"/>
      <c r="Q954" s="38"/>
      <c r="R954" s="36"/>
      <c r="S954" s="42"/>
      <c r="T954" s="42"/>
      <c r="U954" s="37"/>
      <c r="V954" s="43"/>
      <c r="W954" s="43"/>
      <c r="X954" s="36"/>
    </row>
    <row r="955" ht="15.75" customHeight="1">
      <c r="A955" s="36"/>
      <c r="B955" s="36"/>
      <c r="C955" s="36"/>
      <c r="D955" s="36"/>
      <c r="E955" s="36"/>
      <c r="F955" s="37"/>
      <c r="G955" s="38"/>
      <c r="H955" s="36"/>
      <c r="I955" s="36"/>
      <c r="J955" s="39"/>
      <c r="K955" s="36"/>
      <c r="L955" s="40"/>
      <c r="M955" s="40"/>
      <c r="N955" s="41"/>
      <c r="O955" s="41"/>
      <c r="P955" s="37"/>
      <c r="Q955" s="38"/>
      <c r="R955" s="36"/>
      <c r="S955" s="42"/>
      <c r="T955" s="42"/>
      <c r="U955" s="37"/>
      <c r="V955" s="43"/>
      <c r="W955" s="43"/>
      <c r="X955" s="36"/>
    </row>
    <row r="956" ht="15.75" customHeight="1">
      <c r="A956" s="36"/>
      <c r="B956" s="36"/>
      <c r="C956" s="36"/>
      <c r="D956" s="36"/>
      <c r="E956" s="36"/>
      <c r="F956" s="37"/>
      <c r="G956" s="38"/>
      <c r="H956" s="36"/>
      <c r="I956" s="36"/>
      <c r="J956" s="39"/>
      <c r="K956" s="36"/>
      <c r="L956" s="40"/>
      <c r="M956" s="40"/>
      <c r="N956" s="41"/>
      <c r="O956" s="41"/>
      <c r="P956" s="37"/>
      <c r="Q956" s="38"/>
      <c r="R956" s="36"/>
      <c r="S956" s="42"/>
      <c r="T956" s="42"/>
      <c r="U956" s="37"/>
      <c r="V956" s="43"/>
      <c r="W956" s="43"/>
      <c r="X956" s="36"/>
    </row>
    <row r="957" ht="15.75" customHeight="1">
      <c r="A957" s="36"/>
      <c r="B957" s="36"/>
      <c r="C957" s="36"/>
      <c r="D957" s="36"/>
      <c r="E957" s="36"/>
      <c r="F957" s="37"/>
      <c r="G957" s="38"/>
      <c r="H957" s="36"/>
      <c r="I957" s="36"/>
      <c r="J957" s="39"/>
      <c r="K957" s="36"/>
      <c r="L957" s="40"/>
      <c r="M957" s="40"/>
      <c r="N957" s="41"/>
      <c r="O957" s="41"/>
      <c r="P957" s="37"/>
      <c r="Q957" s="38"/>
      <c r="R957" s="36"/>
      <c r="S957" s="42"/>
      <c r="T957" s="42"/>
      <c r="U957" s="37"/>
      <c r="V957" s="43"/>
      <c r="W957" s="43"/>
      <c r="X957" s="36"/>
    </row>
    <row r="958" ht="15.75" customHeight="1">
      <c r="A958" s="36"/>
      <c r="B958" s="36"/>
      <c r="C958" s="36"/>
      <c r="D958" s="36"/>
      <c r="E958" s="36"/>
      <c r="F958" s="37"/>
      <c r="G958" s="38"/>
      <c r="H958" s="36"/>
      <c r="I958" s="36"/>
      <c r="J958" s="39"/>
      <c r="K958" s="36"/>
      <c r="L958" s="40"/>
      <c r="M958" s="40"/>
      <c r="N958" s="41"/>
      <c r="O958" s="41"/>
      <c r="P958" s="37"/>
      <c r="Q958" s="38"/>
      <c r="R958" s="36"/>
      <c r="S958" s="42"/>
      <c r="T958" s="42"/>
      <c r="U958" s="37"/>
      <c r="V958" s="43"/>
      <c r="W958" s="43"/>
      <c r="X958" s="36"/>
    </row>
    <row r="959" ht="15.75" customHeight="1">
      <c r="A959" s="36"/>
      <c r="B959" s="36"/>
      <c r="C959" s="36"/>
      <c r="D959" s="36"/>
      <c r="E959" s="36"/>
      <c r="F959" s="37"/>
      <c r="G959" s="38"/>
      <c r="H959" s="36"/>
      <c r="I959" s="36"/>
      <c r="J959" s="39"/>
      <c r="K959" s="36"/>
      <c r="L959" s="40"/>
      <c r="M959" s="40"/>
      <c r="N959" s="41"/>
      <c r="O959" s="41"/>
      <c r="P959" s="37"/>
      <c r="Q959" s="38"/>
      <c r="R959" s="36"/>
      <c r="S959" s="42"/>
      <c r="T959" s="42"/>
      <c r="U959" s="37"/>
      <c r="V959" s="43"/>
      <c r="W959" s="43"/>
      <c r="X959" s="36"/>
    </row>
    <row r="960" ht="15.75" customHeight="1">
      <c r="A960" s="36"/>
      <c r="B960" s="36"/>
      <c r="C960" s="36"/>
      <c r="D960" s="36"/>
      <c r="E960" s="36"/>
      <c r="F960" s="37"/>
      <c r="G960" s="38"/>
      <c r="H960" s="36"/>
      <c r="I960" s="36"/>
      <c r="J960" s="39"/>
      <c r="K960" s="36"/>
      <c r="L960" s="40"/>
      <c r="M960" s="40"/>
      <c r="N960" s="41"/>
      <c r="O960" s="41"/>
      <c r="P960" s="37"/>
      <c r="Q960" s="38"/>
      <c r="R960" s="36"/>
      <c r="S960" s="42"/>
      <c r="T960" s="42"/>
      <c r="U960" s="37"/>
      <c r="V960" s="43"/>
      <c r="W960" s="43"/>
      <c r="X960" s="36"/>
    </row>
    <row r="961" ht="15.75" customHeight="1">
      <c r="A961" s="36"/>
      <c r="B961" s="36"/>
      <c r="C961" s="36"/>
      <c r="D961" s="36"/>
      <c r="E961" s="36"/>
      <c r="F961" s="37"/>
      <c r="G961" s="38"/>
      <c r="H961" s="36"/>
      <c r="I961" s="36"/>
      <c r="J961" s="39"/>
      <c r="K961" s="36"/>
      <c r="L961" s="40"/>
      <c r="M961" s="40"/>
      <c r="N961" s="41"/>
      <c r="O961" s="41"/>
      <c r="P961" s="37"/>
      <c r="Q961" s="38"/>
      <c r="R961" s="36"/>
      <c r="S961" s="42"/>
      <c r="T961" s="42"/>
      <c r="U961" s="37"/>
      <c r="V961" s="43"/>
      <c r="W961" s="43"/>
      <c r="X961" s="36"/>
    </row>
    <row r="962" ht="15.75" customHeight="1">
      <c r="A962" s="36"/>
      <c r="B962" s="36"/>
      <c r="C962" s="36"/>
      <c r="D962" s="36"/>
      <c r="E962" s="36"/>
      <c r="F962" s="37"/>
      <c r="G962" s="38"/>
      <c r="H962" s="36"/>
      <c r="I962" s="36"/>
      <c r="J962" s="39"/>
      <c r="K962" s="36"/>
      <c r="L962" s="40"/>
      <c r="M962" s="40"/>
      <c r="N962" s="41"/>
      <c r="O962" s="41"/>
      <c r="P962" s="37"/>
      <c r="Q962" s="38"/>
      <c r="R962" s="36"/>
      <c r="S962" s="42"/>
      <c r="T962" s="42"/>
      <c r="U962" s="37"/>
      <c r="V962" s="43"/>
      <c r="W962" s="43"/>
      <c r="X962" s="36"/>
    </row>
    <row r="963" ht="15.75" customHeight="1">
      <c r="A963" s="36"/>
      <c r="B963" s="36"/>
      <c r="C963" s="36"/>
      <c r="D963" s="36"/>
      <c r="E963" s="36"/>
      <c r="F963" s="37"/>
      <c r="G963" s="38"/>
      <c r="H963" s="36"/>
      <c r="I963" s="36"/>
      <c r="J963" s="39"/>
      <c r="K963" s="36"/>
      <c r="L963" s="40"/>
      <c r="M963" s="40"/>
      <c r="N963" s="41"/>
      <c r="O963" s="41"/>
      <c r="P963" s="37"/>
      <c r="Q963" s="38"/>
      <c r="R963" s="36"/>
      <c r="S963" s="42"/>
      <c r="T963" s="42"/>
      <c r="U963" s="37"/>
      <c r="V963" s="43"/>
      <c r="W963" s="43"/>
      <c r="X963" s="36"/>
    </row>
    <row r="964" ht="15.75" customHeight="1">
      <c r="A964" s="36"/>
      <c r="B964" s="36"/>
      <c r="C964" s="36"/>
      <c r="D964" s="36"/>
      <c r="E964" s="36"/>
      <c r="F964" s="37"/>
      <c r="G964" s="38"/>
      <c r="H964" s="36"/>
      <c r="I964" s="36"/>
      <c r="J964" s="39"/>
      <c r="K964" s="36"/>
      <c r="L964" s="40"/>
      <c r="M964" s="40"/>
      <c r="N964" s="41"/>
      <c r="O964" s="41"/>
      <c r="P964" s="37"/>
      <c r="Q964" s="38"/>
      <c r="R964" s="36"/>
      <c r="S964" s="42"/>
      <c r="T964" s="42"/>
      <c r="U964" s="37"/>
      <c r="V964" s="43"/>
      <c r="W964" s="43"/>
      <c r="X964" s="36"/>
    </row>
    <row r="965" ht="15.75" customHeight="1">
      <c r="A965" s="36"/>
      <c r="B965" s="36"/>
      <c r="C965" s="36"/>
      <c r="D965" s="36"/>
      <c r="E965" s="36"/>
      <c r="F965" s="37"/>
      <c r="G965" s="38"/>
      <c r="H965" s="36"/>
      <c r="I965" s="36"/>
      <c r="J965" s="39"/>
      <c r="K965" s="36"/>
      <c r="L965" s="40"/>
      <c r="M965" s="40"/>
      <c r="N965" s="41"/>
      <c r="O965" s="41"/>
      <c r="P965" s="37"/>
      <c r="Q965" s="38"/>
      <c r="R965" s="36"/>
      <c r="S965" s="42"/>
      <c r="T965" s="42"/>
      <c r="U965" s="37"/>
      <c r="V965" s="43"/>
      <c r="W965" s="43"/>
      <c r="X965" s="36"/>
    </row>
    <row r="966" ht="15.75" customHeight="1">
      <c r="A966" s="36"/>
      <c r="B966" s="36"/>
      <c r="C966" s="36"/>
      <c r="D966" s="36"/>
      <c r="E966" s="36"/>
      <c r="F966" s="37"/>
      <c r="G966" s="38"/>
      <c r="H966" s="36"/>
      <c r="I966" s="36"/>
      <c r="J966" s="39"/>
      <c r="K966" s="36"/>
      <c r="L966" s="40"/>
      <c r="M966" s="40"/>
      <c r="N966" s="41"/>
      <c r="O966" s="41"/>
      <c r="P966" s="37"/>
      <c r="Q966" s="38"/>
      <c r="R966" s="36"/>
      <c r="S966" s="42"/>
      <c r="T966" s="42"/>
      <c r="U966" s="37"/>
      <c r="V966" s="43"/>
      <c r="W966" s="43"/>
      <c r="X966" s="36"/>
    </row>
    <row r="967" ht="15.75" customHeight="1">
      <c r="A967" s="36"/>
      <c r="B967" s="36"/>
      <c r="C967" s="36"/>
      <c r="D967" s="36"/>
      <c r="E967" s="36"/>
      <c r="F967" s="37"/>
      <c r="G967" s="38"/>
      <c r="H967" s="36"/>
      <c r="I967" s="36"/>
      <c r="J967" s="39"/>
      <c r="K967" s="36"/>
      <c r="L967" s="40"/>
      <c r="M967" s="40"/>
      <c r="N967" s="41"/>
      <c r="O967" s="41"/>
      <c r="P967" s="37"/>
      <c r="Q967" s="38"/>
      <c r="R967" s="36"/>
      <c r="S967" s="42"/>
      <c r="T967" s="42"/>
      <c r="U967" s="37"/>
      <c r="V967" s="43"/>
      <c r="W967" s="43"/>
      <c r="X967" s="36"/>
    </row>
    <row r="968" ht="15.75" customHeight="1">
      <c r="A968" s="36"/>
      <c r="B968" s="36"/>
      <c r="C968" s="36"/>
      <c r="D968" s="36"/>
      <c r="E968" s="36"/>
      <c r="F968" s="37"/>
      <c r="G968" s="38"/>
      <c r="H968" s="36"/>
      <c r="I968" s="36"/>
      <c r="J968" s="39"/>
      <c r="K968" s="36"/>
      <c r="L968" s="40"/>
      <c r="M968" s="40"/>
      <c r="N968" s="41"/>
      <c r="O968" s="41"/>
      <c r="P968" s="37"/>
      <c r="Q968" s="38"/>
      <c r="R968" s="36"/>
      <c r="S968" s="42"/>
      <c r="T968" s="42"/>
      <c r="U968" s="37"/>
      <c r="V968" s="43"/>
      <c r="W968" s="43"/>
      <c r="X968" s="36"/>
    </row>
    <row r="969" ht="15.75" customHeight="1">
      <c r="A969" s="36"/>
      <c r="B969" s="36"/>
      <c r="C969" s="36"/>
      <c r="D969" s="36"/>
      <c r="E969" s="36"/>
      <c r="F969" s="37"/>
      <c r="G969" s="38"/>
      <c r="H969" s="36"/>
      <c r="I969" s="36"/>
      <c r="J969" s="39"/>
      <c r="K969" s="36"/>
      <c r="L969" s="40"/>
      <c r="M969" s="40"/>
      <c r="N969" s="41"/>
      <c r="O969" s="41"/>
      <c r="P969" s="37"/>
      <c r="Q969" s="38"/>
      <c r="R969" s="36"/>
      <c r="S969" s="42"/>
      <c r="T969" s="42"/>
      <c r="U969" s="37"/>
      <c r="V969" s="43"/>
      <c r="W969" s="43"/>
      <c r="X969" s="36"/>
    </row>
    <row r="970" ht="15.75" customHeight="1">
      <c r="A970" s="36"/>
      <c r="B970" s="36"/>
      <c r="C970" s="36"/>
      <c r="D970" s="36"/>
      <c r="E970" s="36"/>
      <c r="F970" s="37"/>
      <c r="G970" s="38"/>
      <c r="H970" s="36"/>
      <c r="I970" s="36"/>
      <c r="J970" s="39"/>
      <c r="K970" s="36"/>
      <c r="L970" s="40"/>
      <c r="M970" s="40"/>
      <c r="N970" s="41"/>
      <c r="O970" s="41"/>
      <c r="P970" s="37"/>
      <c r="Q970" s="38"/>
      <c r="R970" s="36"/>
      <c r="S970" s="42"/>
      <c r="T970" s="42"/>
      <c r="U970" s="37"/>
      <c r="V970" s="43"/>
      <c r="W970" s="43"/>
      <c r="X970" s="36"/>
    </row>
    <row r="971" ht="15.75" customHeight="1">
      <c r="A971" s="36"/>
      <c r="B971" s="36"/>
      <c r="C971" s="36"/>
      <c r="D971" s="36"/>
      <c r="E971" s="36"/>
      <c r="F971" s="37"/>
      <c r="G971" s="38"/>
      <c r="H971" s="36"/>
      <c r="I971" s="36"/>
      <c r="J971" s="39"/>
      <c r="K971" s="36"/>
      <c r="L971" s="40"/>
      <c r="M971" s="40"/>
      <c r="N971" s="41"/>
      <c r="O971" s="41"/>
      <c r="P971" s="37"/>
      <c r="Q971" s="38"/>
      <c r="R971" s="36"/>
      <c r="S971" s="42"/>
      <c r="T971" s="42"/>
      <c r="U971" s="37"/>
      <c r="V971" s="43"/>
      <c r="W971" s="43"/>
      <c r="X971" s="36"/>
    </row>
    <row r="972" ht="15.75" customHeight="1">
      <c r="A972" s="36"/>
      <c r="B972" s="36"/>
      <c r="C972" s="36"/>
      <c r="D972" s="36"/>
      <c r="E972" s="36"/>
      <c r="F972" s="37"/>
      <c r="G972" s="38"/>
      <c r="H972" s="36"/>
      <c r="I972" s="36"/>
      <c r="J972" s="39"/>
      <c r="K972" s="36"/>
      <c r="L972" s="40"/>
      <c r="M972" s="40"/>
      <c r="N972" s="41"/>
      <c r="O972" s="41"/>
      <c r="P972" s="37"/>
      <c r="Q972" s="38"/>
      <c r="R972" s="36"/>
      <c r="S972" s="42"/>
      <c r="T972" s="42"/>
      <c r="U972" s="37"/>
      <c r="V972" s="43"/>
      <c r="W972" s="43"/>
      <c r="X972" s="36"/>
    </row>
    <row r="973" ht="15.75" customHeight="1">
      <c r="A973" s="36"/>
      <c r="B973" s="36"/>
      <c r="C973" s="36"/>
      <c r="D973" s="36"/>
      <c r="E973" s="36"/>
      <c r="F973" s="37"/>
      <c r="G973" s="38"/>
      <c r="H973" s="36"/>
      <c r="I973" s="36"/>
      <c r="J973" s="39"/>
      <c r="K973" s="36"/>
      <c r="L973" s="40"/>
      <c r="M973" s="40"/>
      <c r="N973" s="41"/>
      <c r="O973" s="41"/>
      <c r="P973" s="37"/>
      <c r="Q973" s="38"/>
      <c r="R973" s="36"/>
      <c r="S973" s="42"/>
      <c r="T973" s="42"/>
      <c r="U973" s="37"/>
      <c r="V973" s="43"/>
      <c r="W973" s="43"/>
      <c r="X973" s="36"/>
    </row>
    <row r="974" ht="15.75" customHeight="1">
      <c r="A974" s="36"/>
      <c r="B974" s="36"/>
      <c r="C974" s="36"/>
      <c r="D974" s="36"/>
      <c r="E974" s="36"/>
      <c r="F974" s="37"/>
      <c r="G974" s="38"/>
      <c r="H974" s="36"/>
      <c r="I974" s="36"/>
      <c r="J974" s="39"/>
      <c r="K974" s="36"/>
      <c r="L974" s="40"/>
      <c r="M974" s="40"/>
      <c r="N974" s="41"/>
      <c r="O974" s="41"/>
      <c r="P974" s="37"/>
      <c r="Q974" s="38"/>
      <c r="R974" s="36"/>
      <c r="S974" s="42"/>
      <c r="T974" s="42"/>
      <c r="U974" s="37"/>
      <c r="V974" s="43"/>
      <c r="W974" s="43"/>
      <c r="X974" s="36"/>
    </row>
    <row r="975" ht="15.75" customHeight="1">
      <c r="A975" s="36"/>
      <c r="B975" s="36"/>
      <c r="C975" s="36"/>
      <c r="D975" s="36"/>
      <c r="E975" s="36"/>
      <c r="F975" s="37"/>
      <c r="G975" s="38"/>
      <c r="H975" s="36"/>
      <c r="I975" s="36"/>
      <c r="J975" s="39"/>
      <c r="K975" s="36"/>
      <c r="L975" s="40"/>
      <c r="M975" s="40"/>
      <c r="N975" s="41"/>
      <c r="O975" s="41"/>
      <c r="P975" s="37"/>
      <c r="Q975" s="38"/>
      <c r="R975" s="36"/>
      <c r="S975" s="42"/>
      <c r="T975" s="42"/>
      <c r="U975" s="37"/>
      <c r="V975" s="43"/>
      <c r="W975" s="43"/>
      <c r="X975" s="36"/>
    </row>
    <row r="976" ht="15.75" customHeight="1">
      <c r="A976" s="36"/>
      <c r="B976" s="36"/>
      <c r="C976" s="36"/>
      <c r="D976" s="36"/>
      <c r="E976" s="36"/>
      <c r="F976" s="37"/>
      <c r="G976" s="38"/>
      <c r="H976" s="36"/>
      <c r="I976" s="36"/>
      <c r="J976" s="39"/>
      <c r="K976" s="36"/>
      <c r="L976" s="40"/>
      <c r="M976" s="40"/>
      <c r="N976" s="41"/>
      <c r="O976" s="41"/>
      <c r="P976" s="37"/>
      <c r="Q976" s="38"/>
      <c r="R976" s="36"/>
      <c r="S976" s="42"/>
      <c r="T976" s="42"/>
      <c r="U976" s="37"/>
      <c r="V976" s="43"/>
      <c r="W976" s="43"/>
      <c r="X976" s="36"/>
    </row>
    <row r="977" ht="15.75" customHeight="1">
      <c r="A977" s="36"/>
      <c r="B977" s="36"/>
      <c r="C977" s="36"/>
      <c r="D977" s="36"/>
      <c r="E977" s="36"/>
      <c r="F977" s="37"/>
      <c r="G977" s="38"/>
      <c r="H977" s="36"/>
      <c r="I977" s="36"/>
      <c r="J977" s="39"/>
      <c r="K977" s="36"/>
      <c r="L977" s="40"/>
      <c r="M977" s="40"/>
      <c r="N977" s="41"/>
      <c r="O977" s="41"/>
      <c r="P977" s="37"/>
      <c r="Q977" s="38"/>
      <c r="R977" s="36"/>
      <c r="S977" s="42"/>
      <c r="T977" s="42"/>
      <c r="U977" s="37"/>
      <c r="V977" s="43"/>
      <c r="W977" s="43"/>
      <c r="X977" s="36"/>
    </row>
    <row r="978" ht="15.75" customHeight="1">
      <c r="A978" s="36"/>
      <c r="B978" s="36"/>
      <c r="C978" s="36"/>
      <c r="D978" s="36"/>
      <c r="E978" s="36"/>
      <c r="F978" s="37"/>
      <c r="G978" s="38"/>
      <c r="H978" s="36"/>
      <c r="I978" s="36"/>
      <c r="J978" s="39"/>
      <c r="K978" s="36"/>
      <c r="L978" s="40"/>
      <c r="M978" s="40"/>
      <c r="N978" s="41"/>
      <c r="O978" s="41"/>
      <c r="P978" s="37"/>
      <c r="Q978" s="38"/>
      <c r="R978" s="36"/>
      <c r="S978" s="42"/>
      <c r="T978" s="42"/>
      <c r="U978" s="37"/>
      <c r="V978" s="43"/>
      <c r="W978" s="43"/>
      <c r="X978" s="36"/>
    </row>
    <row r="979" ht="15.75" customHeight="1">
      <c r="A979" s="36"/>
      <c r="B979" s="36"/>
      <c r="C979" s="36"/>
      <c r="D979" s="36"/>
      <c r="E979" s="36"/>
      <c r="F979" s="37"/>
      <c r="G979" s="38"/>
      <c r="H979" s="36"/>
      <c r="I979" s="36"/>
      <c r="J979" s="39"/>
      <c r="K979" s="36"/>
      <c r="L979" s="40"/>
      <c r="M979" s="40"/>
      <c r="N979" s="41"/>
      <c r="O979" s="41"/>
      <c r="P979" s="37"/>
      <c r="Q979" s="38"/>
      <c r="R979" s="36"/>
      <c r="S979" s="42"/>
      <c r="T979" s="42"/>
      <c r="U979" s="37"/>
      <c r="V979" s="43"/>
      <c r="W979" s="43"/>
      <c r="X979" s="36"/>
    </row>
    <row r="980" ht="15.75" customHeight="1">
      <c r="A980" s="36"/>
      <c r="B980" s="36"/>
      <c r="C980" s="36"/>
      <c r="D980" s="36"/>
      <c r="E980" s="36"/>
      <c r="F980" s="37"/>
      <c r="G980" s="38"/>
      <c r="H980" s="36"/>
      <c r="I980" s="36"/>
      <c r="J980" s="39"/>
      <c r="K980" s="36"/>
      <c r="L980" s="40"/>
      <c r="M980" s="40"/>
      <c r="N980" s="41"/>
      <c r="O980" s="41"/>
      <c r="P980" s="37"/>
      <c r="Q980" s="38"/>
      <c r="R980" s="36"/>
      <c r="S980" s="42"/>
      <c r="T980" s="42"/>
      <c r="U980" s="37"/>
      <c r="V980" s="43"/>
      <c r="W980" s="43"/>
      <c r="X980" s="36"/>
    </row>
    <row r="981" ht="15.75" customHeight="1">
      <c r="A981" s="36"/>
      <c r="B981" s="36"/>
      <c r="C981" s="36"/>
      <c r="D981" s="36"/>
      <c r="E981" s="36"/>
      <c r="F981" s="37"/>
      <c r="G981" s="38"/>
      <c r="H981" s="36"/>
      <c r="I981" s="36"/>
      <c r="J981" s="39"/>
      <c r="K981" s="36"/>
      <c r="L981" s="40"/>
      <c r="M981" s="40"/>
      <c r="N981" s="41"/>
      <c r="O981" s="41"/>
      <c r="P981" s="37"/>
      <c r="Q981" s="38"/>
      <c r="R981" s="36"/>
      <c r="S981" s="42"/>
      <c r="T981" s="42"/>
      <c r="U981" s="37"/>
      <c r="V981" s="43"/>
      <c r="W981" s="43"/>
      <c r="X981" s="36"/>
    </row>
    <row r="982" ht="15.75" customHeight="1">
      <c r="A982" s="36"/>
      <c r="B982" s="36"/>
      <c r="C982" s="36"/>
      <c r="D982" s="36"/>
      <c r="E982" s="36"/>
      <c r="F982" s="37"/>
      <c r="G982" s="38"/>
      <c r="H982" s="36"/>
      <c r="I982" s="36"/>
      <c r="J982" s="39"/>
      <c r="K982" s="36"/>
      <c r="L982" s="40"/>
      <c r="M982" s="40"/>
      <c r="N982" s="41"/>
      <c r="O982" s="41"/>
      <c r="P982" s="37"/>
      <c r="Q982" s="38"/>
      <c r="R982" s="36"/>
      <c r="S982" s="42"/>
      <c r="T982" s="42"/>
      <c r="U982" s="37"/>
      <c r="V982" s="43"/>
      <c r="W982" s="43"/>
      <c r="X982" s="36"/>
    </row>
    <row r="983" ht="15.75" customHeight="1">
      <c r="A983" s="36"/>
      <c r="B983" s="36"/>
      <c r="C983" s="36"/>
      <c r="D983" s="36"/>
      <c r="E983" s="36"/>
      <c r="F983" s="37"/>
      <c r="G983" s="38"/>
      <c r="H983" s="36"/>
      <c r="I983" s="36"/>
      <c r="J983" s="39"/>
      <c r="K983" s="36"/>
      <c r="L983" s="40"/>
      <c r="M983" s="40"/>
      <c r="N983" s="41"/>
      <c r="O983" s="41"/>
      <c r="P983" s="37"/>
      <c r="Q983" s="38"/>
      <c r="R983" s="36"/>
      <c r="S983" s="42"/>
      <c r="T983" s="42"/>
      <c r="U983" s="37"/>
      <c r="V983" s="43"/>
      <c r="W983" s="43"/>
      <c r="X983" s="36"/>
    </row>
    <row r="984" ht="15.75" customHeight="1">
      <c r="A984" s="36"/>
      <c r="B984" s="36"/>
      <c r="C984" s="36"/>
      <c r="D984" s="36"/>
      <c r="E984" s="36"/>
      <c r="F984" s="37"/>
      <c r="G984" s="38"/>
      <c r="H984" s="36"/>
      <c r="I984" s="36"/>
      <c r="J984" s="39"/>
      <c r="K984" s="36"/>
      <c r="L984" s="40"/>
      <c r="M984" s="40"/>
      <c r="N984" s="41"/>
      <c r="O984" s="41"/>
      <c r="P984" s="37"/>
      <c r="Q984" s="38"/>
      <c r="R984" s="36"/>
      <c r="S984" s="42"/>
      <c r="T984" s="42"/>
      <c r="U984" s="37"/>
      <c r="V984" s="43"/>
      <c r="W984" s="43"/>
      <c r="X984" s="36"/>
    </row>
    <row r="985" ht="15.75" customHeight="1">
      <c r="A985" s="36"/>
      <c r="B985" s="36"/>
      <c r="C985" s="36"/>
      <c r="D985" s="36"/>
      <c r="E985" s="36"/>
      <c r="F985" s="37"/>
      <c r="G985" s="38"/>
      <c r="H985" s="36"/>
      <c r="I985" s="36"/>
      <c r="J985" s="39"/>
      <c r="K985" s="36"/>
      <c r="L985" s="40"/>
      <c r="M985" s="40"/>
      <c r="N985" s="41"/>
      <c r="O985" s="41"/>
      <c r="P985" s="37"/>
      <c r="Q985" s="38"/>
      <c r="R985" s="36"/>
      <c r="S985" s="42"/>
      <c r="T985" s="42"/>
      <c r="U985" s="37"/>
      <c r="V985" s="43"/>
      <c r="W985" s="43"/>
      <c r="X985" s="36"/>
    </row>
    <row r="986" ht="15.75" customHeight="1">
      <c r="A986" s="36"/>
      <c r="B986" s="36"/>
      <c r="C986" s="36"/>
      <c r="D986" s="36"/>
      <c r="E986" s="36"/>
      <c r="F986" s="37"/>
      <c r="G986" s="38"/>
      <c r="H986" s="36"/>
      <c r="I986" s="36"/>
      <c r="J986" s="39"/>
      <c r="K986" s="36"/>
      <c r="L986" s="40"/>
      <c r="M986" s="40"/>
      <c r="N986" s="41"/>
      <c r="O986" s="41"/>
      <c r="P986" s="37"/>
      <c r="Q986" s="38"/>
      <c r="R986" s="36"/>
      <c r="S986" s="42"/>
      <c r="T986" s="42"/>
      <c r="U986" s="37"/>
      <c r="V986" s="43"/>
      <c r="W986" s="43"/>
      <c r="X986" s="36"/>
    </row>
    <row r="987" ht="15.75" customHeight="1">
      <c r="A987" s="36"/>
      <c r="B987" s="36"/>
      <c r="C987" s="36"/>
      <c r="D987" s="36"/>
      <c r="E987" s="36"/>
      <c r="F987" s="37"/>
      <c r="G987" s="38"/>
      <c r="H987" s="36"/>
      <c r="I987" s="36"/>
      <c r="J987" s="39"/>
      <c r="K987" s="36"/>
      <c r="L987" s="40"/>
      <c r="M987" s="40"/>
      <c r="N987" s="41"/>
      <c r="O987" s="41"/>
      <c r="P987" s="37"/>
      <c r="Q987" s="38"/>
      <c r="R987" s="36"/>
      <c r="S987" s="42"/>
      <c r="T987" s="42"/>
      <c r="U987" s="37"/>
      <c r="V987" s="43"/>
      <c r="W987" s="43"/>
      <c r="X987" s="36"/>
    </row>
    <row r="988" ht="15.75" customHeight="1">
      <c r="A988" s="36"/>
      <c r="B988" s="36"/>
      <c r="C988" s="36"/>
      <c r="D988" s="36"/>
      <c r="E988" s="36"/>
      <c r="F988" s="37"/>
      <c r="G988" s="38"/>
      <c r="H988" s="36"/>
      <c r="I988" s="36"/>
      <c r="J988" s="39"/>
      <c r="K988" s="36"/>
      <c r="L988" s="40"/>
      <c r="M988" s="40"/>
      <c r="N988" s="41"/>
      <c r="O988" s="41"/>
      <c r="P988" s="37"/>
      <c r="Q988" s="38"/>
      <c r="R988" s="36"/>
      <c r="S988" s="42"/>
      <c r="T988" s="42"/>
      <c r="U988" s="37"/>
      <c r="V988" s="43"/>
      <c r="W988" s="43"/>
      <c r="X988" s="36"/>
    </row>
    <row r="989" ht="15.75" customHeight="1">
      <c r="A989" s="36"/>
      <c r="B989" s="36"/>
      <c r="C989" s="36"/>
      <c r="D989" s="36"/>
      <c r="E989" s="36"/>
      <c r="F989" s="37"/>
      <c r="G989" s="38"/>
      <c r="H989" s="36"/>
      <c r="I989" s="36"/>
      <c r="J989" s="39"/>
      <c r="K989" s="36"/>
      <c r="L989" s="40"/>
      <c r="M989" s="40"/>
      <c r="N989" s="41"/>
      <c r="O989" s="41"/>
      <c r="P989" s="37"/>
      <c r="Q989" s="38"/>
      <c r="R989" s="36"/>
      <c r="S989" s="42"/>
      <c r="T989" s="42"/>
      <c r="U989" s="37"/>
      <c r="V989" s="43"/>
      <c r="W989" s="43"/>
      <c r="X989" s="36"/>
    </row>
    <row r="990" ht="15.75" customHeight="1">
      <c r="A990" s="36"/>
      <c r="B990" s="36"/>
      <c r="C990" s="36"/>
      <c r="D990" s="36"/>
      <c r="E990" s="36"/>
      <c r="F990" s="37"/>
      <c r="G990" s="38"/>
      <c r="H990" s="36"/>
      <c r="I990" s="36"/>
      <c r="J990" s="39"/>
      <c r="K990" s="36"/>
      <c r="L990" s="40"/>
      <c r="M990" s="40"/>
      <c r="N990" s="41"/>
      <c r="O990" s="41"/>
      <c r="P990" s="37"/>
      <c r="Q990" s="38"/>
      <c r="R990" s="36"/>
      <c r="S990" s="42"/>
      <c r="T990" s="42"/>
      <c r="U990" s="37"/>
      <c r="V990" s="43"/>
      <c r="W990" s="43"/>
      <c r="X990" s="36"/>
    </row>
    <row r="991" ht="15.75" customHeight="1">
      <c r="A991" s="36"/>
      <c r="B991" s="36"/>
      <c r="C991" s="36"/>
      <c r="D991" s="36"/>
      <c r="E991" s="36"/>
      <c r="F991" s="37"/>
      <c r="G991" s="38"/>
      <c r="H991" s="36"/>
      <c r="I991" s="36"/>
      <c r="J991" s="39"/>
      <c r="K991" s="36"/>
      <c r="L991" s="40"/>
      <c r="M991" s="40"/>
      <c r="N991" s="41"/>
      <c r="O991" s="41"/>
      <c r="P991" s="37"/>
      <c r="Q991" s="38"/>
      <c r="R991" s="36"/>
      <c r="S991" s="42"/>
      <c r="T991" s="42"/>
      <c r="U991" s="37"/>
      <c r="V991" s="43"/>
      <c r="W991" s="43"/>
      <c r="X991" s="36"/>
    </row>
    <row r="992" ht="15.75" customHeight="1">
      <c r="A992" s="36"/>
      <c r="B992" s="36"/>
      <c r="C992" s="36"/>
      <c r="D992" s="36"/>
      <c r="E992" s="36"/>
      <c r="F992" s="37"/>
      <c r="G992" s="38"/>
      <c r="H992" s="36"/>
      <c r="I992" s="36"/>
      <c r="J992" s="39"/>
      <c r="K992" s="36"/>
      <c r="L992" s="40"/>
      <c r="M992" s="40"/>
      <c r="N992" s="41"/>
      <c r="O992" s="41"/>
      <c r="P992" s="37"/>
      <c r="Q992" s="38"/>
      <c r="R992" s="36"/>
      <c r="S992" s="42"/>
      <c r="T992" s="42"/>
      <c r="U992" s="37"/>
      <c r="V992" s="43"/>
      <c r="W992" s="43"/>
      <c r="X992" s="36"/>
    </row>
    <row r="993" ht="15.75" customHeight="1">
      <c r="A993" s="36"/>
      <c r="B993" s="36"/>
      <c r="C993" s="36"/>
      <c r="D993" s="36"/>
      <c r="E993" s="36"/>
      <c r="F993" s="37"/>
      <c r="G993" s="38"/>
      <c r="H993" s="36"/>
      <c r="I993" s="36"/>
      <c r="J993" s="39"/>
      <c r="K993" s="36"/>
      <c r="L993" s="40"/>
      <c r="M993" s="40"/>
      <c r="N993" s="41"/>
      <c r="O993" s="41"/>
      <c r="P993" s="37"/>
      <c r="Q993" s="38"/>
      <c r="R993" s="36"/>
      <c r="S993" s="42"/>
      <c r="T993" s="42"/>
      <c r="U993" s="37"/>
      <c r="V993" s="43"/>
      <c r="W993" s="43"/>
      <c r="X993" s="36"/>
    </row>
    <row r="994" ht="15.75" customHeight="1">
      <c r="A994" s="36"/>
      <c r="B994" s="36"/>
      <c r="C994" s="36"/>
      <c r="D994" s="36"/>
      <c r="E994" s="36"/>
      <c r="F994" s="37"/>
      <c r="G994" s="38"/>
      <c r="H994" s="36"/>
      <c r="I994" s="36"/>
      <c r="J994" s="39"/>
      <c r="K994" s="36"/>
      <c r="L994" s="40"/>
      <c r="M994" s="40"/>
      <c r="N994" s="41"/>
      <c r="O994" s="41"/>
      <c r="P994" s="37"/>
      <c r="Q994" s="38"/>
      <c r="R994" s="36"/>
      <c r="S994" s="42"/>
      <c r="T994" s="42"/>
      <c r="U994" s="37"/>
      <c r="V994" s="43"/>
      <c r="W994" s="43"/>
      <c r="X994" s="36"/>
    </row>
    <row r="995" ht="15.75" customHeight="1">
      <c r="A995" s="36"/>
      <c r="B995" s="36"/>
      <c r="C995" s="36"/>
      <c r="D995" s="36"/>
      <c r="E995" s="36"/>
      <c r="F995" s="37"/>
      <c r="G995" s="38"/>
      <c r="H995" s="36"/>
      <c r="I995" s="36"/>
      <c r="J995" s="39"/>
      <c r="K995" s="36"/>
      <c r="L995" s="40"/>
      <c r="M995" s="40"/>
      <c r="N995" s="41"/>
      <c r="O995" s="41"/>
      <c r="P995" s="37"/>
      <c r="Q995" s="38"/>
      <c r="R995" s="36"/>
      <c r="S995" s="42"/>
      <c r="T995" s="42"/>
      <c r="U995" s="37"/>
      <c r="V995" s="43"/>
      <c r="W995" s="43"/>
      <c r="X995" s="36"/>
    </row>
    <row r="996" ht="15.75" customHeight="1">
      <c r="A996" s="36"/>
      <c r="B996" s="36"/>
      <c r="C996" s="36"/>
      <c r="D996" s="36"/>
      <c r="E996" s="36"/>
      <c r="F996" s="37"/>
      <c r="G996" s="38"/>
      <c r="H996" s="36"/>
      <c r="I996" s="36"/>
      <c r="J996" s="39"/>
      <c r="K996" s="36"/>
      <c r="L996" s="40"/>
      <c r="M996" s="40"/>
      <c r="N996" s="41"/>
      <c r="O996" s="41"/>
      <c r="P996" s="37"/>
      <c r="Q996" s="38"/>
      <c r="R996" s="36"/>
      <c r="S996" s="42"/>
      <c r="T996" s="42"/>
      <c r="U996" s="37"/>
      <c r="V996" s="43"/>
      <c r="W996" s="43"/>
      <c r="X996" s="36"/>
    </row>
    <row r="997" ht="15.75" customHeight="1">
      <c r="A997" s="36"/>
      <c r="B997" s="36"/>
      <c r="C997" s="36"/>
      <c r="D997" s="36"/>
      <c r="E997" s="36"/>
      <c r="F997" s="37"/>
      <c r="G997" s="38"/>
      <c r="H997" s="36"/>
      <c r="I997" s="36"/>
      <c r="J997" s="39"/>
      <c r="K997" s="36"/>
      <c r="L997" s="40"/>
      <c r="M997" s="40"/>
      <c r="N997" s="41"/>
      <c r="O997" s="41"/>
      <c r="P997" s="37"/>
      <c r="Q997" s="38"/>
      <c r="R997" s="36"/>
      <c r="S997" s="42"/>
      <c r="T997" s="42"/>
      <c r="U997" s="37"/>
      <c r="V997" s="43"/>
      <c r="W997" s="43"/>
      <c r="X997" s="36"/>
    </row>
    <row r="998" ht="15.75" customHeight="1">
      <c r="A998" s="36"/>
      <c r="B998" s="36"/>
      <c r="C998" s="36"/>
      <c r="D998" s="36"/>
      <c r="E998" s="36"/>
      <c r="F998" s="37"/>
      <c r="G998" s="38"/>
      <c r="H998" s="36"/>
      <c r="I998" s="36"/>
      <c r="J998" s="39"/>
      <c r="K998" s="36"/>
      <c r="L998" s="40"/>
      <c r="M998" s="40"/>
      <c r="N998" s="41"/>
      <c r="O998" s="41"/>
      <c r="P998" s="37"/>
      <c r="Q998" s="38"/>
      <c r="R998" s="36"/>
      <c r="S998" s="42"/>
      <c r="T998" s="42"/>
      <c r="U998" s="37"/>
      <c r="V998" s="43"/>
      <c r="W998" s="43"/>
      <c r="X998" s="36"/>
    </row>
    <row r="999" ht="15.75" customHeight="1">
      <c r="A999" s="36"/>
      <c r="B999" s="36"/>
      <c r="C999" s="36"/>
      <c r="D999" s="36"/>
      <c r="E999" s="36"/>
      <c r="F999" s="37"/>
      <c r="G999" s="38"/>
      <c r="H999" s="36"/>
      <c r="I999" s="36"/>
      <c r="J999" s="39"/>
      <c r="K999" s="36"/>
      <c r="L999" s="40"/>
      <c r="M999" s="40"/>
      <c r="N999" s="41"/>
      <c r="O999" s="41"/>
      <c r="P999" s="37"/>
      <c r="Q999" s="38"/>
      <c r="R999" s="36"/>
      <c r="S999" s="42"/>
      <c r="T999" s="42"/>
      <c r="U999" s="37"/>
      <c r="V999" s="43"/>
      <c r="W999" s="43"/>
      <c r="X999" s="36"/>
    </row>
    <row r="1000" ht="15.75" customHeight="1">
      <c r="A1000" s="36"/>
      <c r="B1000" s="36"/>
      <c r="C1000" s="36"/>
      <c r="D1000" s="36"/>
      <c r="E1000" s="36"/>
      <c r="F1000" s="37"/>
      <c r="G1000" s="38"/>
      <c r="H1000" s="36"/>
      <c r="I1000" s="36"/>
      <c r="J1000" s="39"/>
      <c r="K1000" s="36"/>
      <c r="L1000" s="40"/>
      <c r="M1000" s="40"/>
      <c r="N1000" s="41"/>
      <c r="O1000" s="41"/>
      <c r="P1000" s="37"/>
      <c r="Q1000" s="38"/>
      <c r="R1000" s="36"/>
      <c r="S1000" s="42"/>
      <c r="T1000" s="42"/>
      <c r="U1000" s="37"/>
      <c r="V1000" s="43"/>
      <c r="W1000" s="43"/>
      <c r="X1000" s="36"/>
    </row>
  </sheetData>
  <printOptions/>
  <pageMargins bottom="0.75" footer="0.0" header="0.0" left="0.25" right="0.25" top="0.75"/>
  <pageSetup paperSize="3" orientation="landscape"/>
  <headerFooter>
    <oddHeader>&amp;CMONTHLY STATUS REPORT FOR ALL CONTRACTS</oddHeader>
    <oddFooter>&amp;L&amp;F</oddFooter>
  </headerFooter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38"/>
    <col customWidth="1" min="2" max="2" width="13.88"/>
    <col customWidth="1" min="3" max="3" width="17.63"/>
    <col customWidth="1" min="4" max="5" width="13.63"/>
    <col customWidth="1" min="6" max="7" width="13.13"/>
    <col customWidth="1" min="8" max="18" width="8.63"/>
  </cols>
  <sheetData>
    <row r="1" ht="12.75" customHeight="1">
      <c r="A1" s="44" t="s">
        <v>630</v>
      </c>
      <c r="B1" s="44" t="s">
        <v>631</v>
      </c>
      <c r="C1" s="44" t="s">
        <v>632</v>
      </c>
      <c r="D1" s="44" t="s">
        <v>15</v>
      </c>
      <c r="E1" s="45" t="s">
        <v>633</v>
      </c>
      <c r="F1" s="46" t="s">
        <v>20</v>
      </c>
      <c r="G1" s="44" t="s">
        <v>634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2.75" customHeight="1">
      <c r="A2" s="1" t="s">
        <v>178</v>
      </c>
      <c r="B2" s="1" t="s">
        <v>45</v>
      </c>
      <c r="C2" s="1" t="s">
        <v>49</v>
      </c>
      <c r="D2" s="47">
        <v>85451.0</v>
      </c>
      <c r="E2" s="48" t="s">
        <v>46</v>
      </c>
      <c r="F2" s="1" t="s">
        <v>7</v>
      </c>
      <c r="G2" s="1" t="s">
        <v>635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2.75" customHeight="1">
      <c r="A3" s="1" t="s">
        <v>298</v>
      </c>
      <c r="B3" s="1" t="s">
        <v>53</v>
      </c>
      <c r="C3" s="1" t="s">
        <v>32</v>
      </c>
      <c r="D3" s="47">
        <v>86933.0</v>
      </c>
      <c r="E3" s="48">
        <v>133460.0</v>
      </c>
      <c r="F3" s="1" t="s">
        <v>7</v>
      </c>
      <c r="G3" s="1" t="s">
        <v>635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ht="12.75" customHeight="1">
      <c r="A4" s="1" t="s">
        <v>342</v>
      </c>
      <c r="B4" s="1" t="s">
        <v>636</v>
      </c>
      <c r="C4" s="1" t="s">
        <v>32</v>
      </c>
      <c r="D4" s="47">
        <v>88731.0</v>
      </c>
      <c r="E4" s="48">
        <v>135678.0</v>
      </c>
      <c r="F4" s="1" t="s">
        <v>7</v>
      </c>
      <c r="G4" s="1" t="s">
        <v>635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ht="12.75" customHeight="1">
      <c r="A5" s="1" t="s">
        <v>268</v>
      </c>
      <c r="B5" s="1" t="s">
        <v>28</v>
      </c>
      <c r="C5" s="1" t="s">
        <v>32</v>
      </c>
      <c r="D5" s="47">
        <v>93632.0</v>
      </c>
      <c r="E5" s="48">
        <v>141149.0</v>
      </c>
      <c r="F5" s="1" t="s">
        <v>7</v>
      </c>
      <c r="G5" s="1" t="s">
        <v>635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ht="12.75" customHeight="1">
      <c r="A6" s="1" t="s">
        <v>358</v>
      </c>
      <c r="B6" s="1" t="s">
        <v>60</v>
      </c>
      <c r="C6" s="1" t="s">
        <v>32</v>
      </c>
      <c r="D6" s="47">
        <v>94758.0</v>
      </c>
      <c r="E6" s="48">
        <v>141770.0</v>
      </c>
      <c r="F6" s="1" t="s">
        <v>7</v>
      </c>
      <c r="G6" s="1" t="s">
        <v>635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ht="12.75" customHeight="1">
      <c r="A7" s="2"/>
      <c r="B7" s="2"/>
      <c r="C7" s="2"/>
      <c r="D7" s="49"/>
      <c r="E7" s="5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ht="12.75" customHeight="1">
      <c r="A8" s="2"/>
      <c r="B8" s="2"/>
      <c r="C8" s="2"/>
      <c r="D8" s="49"/>
      <c r="E8" s="5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ht="12.75" customHeight="1">
      <c r="A9" s="2"/>
      <c r="B9" s="2"/>
      <c r="C9" s="2"/>
      <c r="D9" s="49"/>
      <c r="E9" s="5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ht="12.75" customHeight="1">
      <c r="A10" s="2"/>
      <c r="B10" s="2"/>
      <c r="C10" s="2"/>
      <c r="D10" s="49"/>
      <c r="E10" s="5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ht="12.75" customHeight="1">
      <c r="A11" s="2"/>
      <c r="B11" s="2"/>
      <c r="C11" s="2"/>
      <c r="D11" s="49"/>
      <c r="E11" s="5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ht="12.75" customHeight="1">
      <c r="A12" s="2"/>
      <c r="B12" s="2"/>
      <c r="C12" s="2"/>
      <c r="D12" s="49"/>
      <c r="E12" s="5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ht="12.75" customHeight="1">
      <c r="A13" s="2"/>
      <c r="B13" s="2"/>
      <c r="C13" s="2"/>
      <c r="D13" s="49"/>
      <c r="E13" s="5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ht="12.75" customHeight="1">
      <c r="A14" s="2"/>
      <c r="B14" s="2"/>
      <c r="C14" s="2"/>
      <c r="D14" s="49"/>
      <c r="E14" s="5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ht="12.75" customHeight="1">
      <c r="A15" s="2"/>
      <c r="B15" s="2"/>
      <c r="C15" s="2"/>
      <c r="D15" s="49"/>
      <c r="E15" s="5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ht="12.75" customHeight="1">
      <c r="A16" s="2"/>
      <c r="B16" s="2"/>
      <c r="C16" s="2"/>
      <c r="D16" s="49"/>
      <c r="E16" s="5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ht="12.75" customHeight="1">
      <c r="A17" s="2"/>
      <c r="B17" s="2"/>
      <c r="C17" s="2"/>
      <c r="D17" s="49"/>
      <c r="E17" s="5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ht="12.75" customHeight="1">
      <c r="A18" s="2"/>
      <c r="B18" s="2"/>
      <c r="C18" s="2"/>
      <c r="D18" s="49"/>
      <c r="E18" s="5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ht="12.75" customHeight="1">
      <c r="A19" s="2"/>
      <c r="B19" s="2"/>
      <c r="C19" s="2"/>
      <c r="D19" s="49"/>
      <c r="E19" s="50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ht="12.75" customHeight="1">
      <c r="A20" s="2"/>
      <c r="B20" s="2"/>
      <c r="C20" s="2"/>
      <c r="D20" s="49"/>
      <c r="E20" s="5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ht="12.75" customHeight="1">
      <c r="A21" s="2"/>
      <c r="B21" s="2"/>
      <c r="C21" s="2"/>
      <c r="D21" s="49"/>
      <c r="E21" s="5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ht="12.75" customHeight="1">
      <c r="A22" s="2"/>
      <c r="B22" s="2"/>
      <c r="C22" s="2"/>
      <c r="D22" s="49"/>
      <c r="E22" s="50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ht="12.75" customHeight="1">
      <c r="A23" s="2"/>
      <c r="B23" s="2"/>
      <c r="C23" s="2"/>
      <c r="D23" s="49"/>
      <c r="E23" s="50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ht="12.75" customHeight="1">
      <c r="A24" s="2"/>
      <c r="B24" s="2"/>
      <c r="C24" s="2"/>
      <c r="D24" s="49"/>
      <c r="E24" s="50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ht="12.75" customHeight="1">
      <c r="A25" s="2"/>
      <c r="B25" s="2"/>
      <c r="C25" s="2"/>
      <c r="D25" s="49"/>
      <c r="E25" s="50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ht="12.75" customHeight="1">
      <c r="A26" s="2"/>
      <c r="B26" s="2"/>
      <c r="C26" s="2"/>
      <c r="D26" s="49"/>
      <c r="E26" s="50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ht="12.75" customHeight="1">
      <c r="A27" s="2"/>
      <c r="B27" s="2"/>
      <c r="C27" s="2"/>
      <c r="D27" s="49"/>
      <c r="E27" s="50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ht="12.75" customHeight="1">
      <c r="A28" s="2"/>
      <c r="B28" s="2"/>
      <c r="C28" s="2"/>
      <c r="D28" s="49"/>
      <c r="E28" s="50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ht="12.75" customHeight="1">
      <c r="A29" s="2"/>
      <c r="B29" s="2"/>
      <c r="C29" s="2"/>
      <c r="D29" s="49"/>
      <c r="E29" s="50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ht="12.75" customHeight="1">
      <c r="A30" s="2"/>
      <c r="B30" s="2"/>
      <c r="C30" s="2"/>
      <c r="D30" s="49"/>
      <c r="E30" s="50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ht="12.75" customHeight="1">
      <c r="A31" s="2"/>
      <c r="B31" s="2"/>
      <c r="C31" s="2"/>
      <c r="D31" s="49"/>
      <c r="E31" s="5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ht="12.75" customHeight="1">
      <c r="A32" s="2"/>
      <c r="B32" s="2"/>
      <c r="C32" s="2"/>
      <c r="D32" s="49"/>
      <c r="E32" s="5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ht="12.75" customHeight="1">
      <c r="A33" s="2"/>
      <c r="B33" s="2"/>
      <c r="C33" s="2"/>
      <c r="D33" s="49"/>
      <c r="E33" s="5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ht="12.75" customHeight="1">
      <c r="A34" s="2"/>
      <c r="B34" s="2"/>
      <c r="C34" s="2"/>
      <c r="D34" s="49"/>
      <c r="E34" s="5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ht="12.75" customHeight="1">
      <c r="A35" s="2"/>
      <c r="B35" s="2"/>
      <c r="C35" s="2"/>
      <c r="D35" s="49"/>
      <c r="E35" s="50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ht="12.75" customHeight="1">
      <c r="A36" s="2"/>
      <c r="B36" s="2"/>
      <c r="C36" s="2"/>
      <c r="D36" s="49"/>
      <c r="E36" s="5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ht="12.75" customHeight="1">
      <c r="A37" s="2"/>
      <c r="B37" s="2"/>
      <c r="C37" s="2"/>
      <c r="D37" s="49"/>
      <c r="E37" s="50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ht="12.75" customHeight="1">
      <c r="A38" s="2"/>
      <c r="B38" s="2"/>
      <c r="C38" s="2"/>
      <c r="D38" s="49"/>
      <c r="E38" s="50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ht="12.75" customHeight="1">
      <c r="A39" s="2"/>
      <c r="B39" s="2"/>
      <c r="C39" s="2"/>
      <c r="D39" s="49"/>
      <c r="E39" s="50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ht="12.75" customHeight="1">
      <c r="A40" s="2"/>
      <c r="B40" s="2"/>
      <c r="C40" s="2"/>
      <c r="D40" s="49"/>
      <c r="E40" s="50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ht="12.75" customHeight="1">
      <c r="A41" s="2"/>
      <c r="B41" s="2"/>
      <c r="C41" s="2"/>
      <c r="D41" s="49"/>
      <c r="E41" s="50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ht="12.75" customHeight="1">
      <c r="A42" s="2"/>
      <c r="B42" s="2"/>
      <c r="C42" s="2"/>
      <c r="D42" s="49"/>
      <c r="E42" s="50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ht="12.75" customHeight="1">
      <c r="A43" s="2"/>
      <c r="B43" s="2"/>
      <c r="C43" s="2"/>
      <c r="D43" s="49"/>
      <c r="E43" s="50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ht="12.75" customHeight="1">
      <c r="A44" s="2"/>
      <c r="B44" s="2"/>
      <c r="C44" s="2"/>
      <c r="D44" s="49"/>
      <c r="E44" s="5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ht="12.75" customHeight="1">
      <c r="A45" s="2"/>
      <c r="B45" s="2"/>
      <c r="C45" s="2"/>
      <c r="D45" s="49"/>
      <c r="E45" s="50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ht="12.75" customHeight="1">
      <c r="A46" s="2"/>
      <c r="B46" s="2"/>
      <c r="C46" s="2"/>
      <c r="D46" s="49"/>
      <c r="E46" s="50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ht="12.75" customHeight="1">
      <c r="A47" s="2"/>
      <c r="B47" s="2"/>
      <c r="C47" s="2"/>
      <c r="D47" s="49"/>
      <c r="E47" s="50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ht="12.75" customHeight="1">
      <c r="A48" s="2"/>
      <c r="B48" s="2"/>
      <c r="C48" s="2"/>
      <c r="D48" s="49"/>
      <c r="E48" s="50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ht="12.75" customHeight="1">
      <c r="A49" s="2"/>
      <c r="B49" s="2"/>
      <c r="C49" s="2"/>
      <c r="D49" s="49"/>
      <c r="E49" s="50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ht="12.75" customHeight="1">
      <c r="A50" s="2"/>
      <c r="B50" s="2"/>
      <c r="C50" s="2"/>
      <c r="D50" s="49"/>
      <c r="E50" s="50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ht="12.75" customHeight="1">
      <c r="A51" s="2"/>
      <c r="B51" s="2"/>
      <c r="C51" s="2"/>
      <c r="D51" s="49"/>
      <c r="E51" s="50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ht="12.75" customHeight="1">
      <c r="A52" s="2"/>
      <c r="B52" s="2"/>
      <c r="C52" s="2"/>
      <c r="D52" s="49"/>
      <c r="E52" s="50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ht="12.75" customHeight="1">
      <c r="A53" s="2"/>
      <c r="B53" s="2"/>
      <c r="C53" s="2"/>
      <c r="D53" s="49"/>
      <c r="E53" s="50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ht="12.75" customHeight="1">
      <c r="A54" s="2"/>
      <c r="B54" s="2"/>
      <c r="C54" s="2"/>
      <c r="D54" s="49"/>
      <c r="E54" s="50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ht="12.75" customHeight="1">
      <c r="A55" s="2"/>
      <c r="B55" s="2"/>
      <c r="C55" s="2"/>
      <c r="D55" s="49"/>
      <c r="E55" s="50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ht="12.75" customHeight="1">
      <c r="A56" s="2"/>
      <c r="B56" s="2"/>
      <c r="C56" s="2"/>
      <c r="D56" s="49"/>
      <c r="E56" s="50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ht="12.75" customHeight="1">
      <c r="A57" s="2"/>
      <c r="B57" s="2"/>
      <c r="C57" s="2"/>
      <c r="D57" s="49"/>
      <c r="E57" s="50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ht="12.75" customHeight="1">
      <c r="A58" s="2"/>
      <c r="B58" s="2"/>
      <c r="C58" s="2"/>
      <c r="D58" s="49"/>
      <c r="E58" s="50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ht="12.75" customHeight="1">
      <c r="A59" s="2"/>
      <c r="B59" s="2"/>
      <c r="C59" s="2"/>
      <c r="D59" s="49"/>
      <c r="E59" s="50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ht="12.75" customHeight="1">
      <c r="A60" s="2"/>
      <c r="B60" s="2"/>
      <c r="C60" s="2"/>
      <c r="D60" s="49"/>
      <c r="E60" s="50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ht="12.75" customHeight="1">
      <c r="A61" s="2"/>
      <c r="B61" s="2"/>
      <c r="C61" s="2"/>
      <c r="D61" s="49"/>
      <c r="E61" s="50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ht="12.75" customHeight="1">
      <c r="A62" s="2"/>
      <c r="B62" s="2"/>
      <c r="C62" s="2"/>
      <c r="D62" s="49"/>
      <c r="E62" s="50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ht="12.75" customHeight="1">
      <c r="A63" s="2"/>
      <c r="B63" s="2"/>
      <c r="C63" s="2"/>
      <c r="D63" s="49"/>
      <c r="E63" s="50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ht="12.75" customHeight="1">
      <c r="A64" s="2"/>
      <c r="B64" s="2"/>
      <c r="C64" s="2"/>
      <c r="D64" s="49"/>
      <c r="E64" s="50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ht="12.75" customHeight="1">
      <c r="A65" s="2"/>
      <c r="B65" s="2"/>
      <c r="C65" s="2"/>
      <c r="D65" s="49"/>
      <c r="E65" s="50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ht="12.75" customHeight="1">
      <c r="A66" s="2"/>
      <c r="B66" s="2"/>
      <c r="C66" s="2"/>
      <c r="D66" s="49"/>
      <c r="E66" s="50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ht="12.75" customHeight="1">
      <c r="A67" s="2"/>
      <c r="B67" s="2"/>
      <c r="C67" s="2"/>
      <c r="D67" s="49"/>
      <c r="E67" s="50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ht="12.75" customHeight="1">
      <c r="A68" s="2"/>
      <c r="B68" s="2"/>
      <c r="C68" s="2"/>
      <c r="D68" s="49"/>
      <c r="E68" s="50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ht="12.75" customHeight="1">
      <c r="A69" s="2"/>
      <c r="B69" s="2"/>
      <c r="C69" s="2"/>
      <c r="D69" s="49"/>
      <c r="E69" s="50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ht="12.75" customHeight="1">
      <c r="A70" s="2"/>
      <c r="B70" s="2"/>
      <c r="C70" s="2"/>
      <c r="D70" s="49"/>
      <c r="E70" s="50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ht="12.75" customHeight="1">
      <c r="A71" s="2"/>
      <c r="B71" s="2"/>
      <c r="C71" s="2"/>
      <c r="D71" s="49"/>
      <c r="E71" s="50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ht="12.75" customHeight="1">
      <c r="A72" s="2"/>
      <c r="B72" s="2"/>
      <c r="C72" s="2"/>
      <c r="D72" s="49"/>
      <c r="E72" s="50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ht="12.75" customHeight="1">
      <c r="A73" s="2"/>
      <c r="B73" s="2"/>
      <c r="C73" s="2"/>
      <c r="D73" s="49"/>
      <c r="E73" s="50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ht="12.75" customHeight="1">
      <c r="A74" s="2"/>
      <c r="B74" s="2"/>
      <c r="C74" s="2"/>
      <c r="D74" s="49"/>
      <c r="E74" s="50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ht="12.75" customHeight="1">
      <c r="A75" s="2"/>
      <c r="B75" s="2"/>
      <c r="C75" s="2"/>
      <c r="D75" s="49"/>
      <c r="E75" s="50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ht="12.75" customHeight="1">
      <c r="A76" s="2"/>
      <c r="B76" s="2"/>
      <c r="C76" s="2"/>
      <c r="D76" s="49"/>
      <c r="E76" s="50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ht="12.75" customHeight="1">
      <c r="A77" s="2"/>
      <c r="B77" s="2"/>
      <c r="C77" s="2"/>
      <c r="D77" s="49"/>
      <c r="E77" s="50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ht="12.75" customHeight="1">
      <c r="A78" s="2"/>
      <c r="B78" s="2"/>
      <c r="C78" s="2"/>
      <c r="D78" s="49"/>
      <c r="E78" s="5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ht="12.75" customHeight="1">
      <c r="A79" s="2"/>
      <c r="B79" s="2"/>
      <c r="C79" s="2"/>
      <c r="D79" s="49"/>
      <c r="E79" s="5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ht="12.75" customHeight="1">
      <c r="A80" s="2"/>
      <c r="B80" s="2"/>
      <c r="C80" s="2"/>
      <c r="D80" s="49"/>
      <c r="E80" s="5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ht="12.75" customHeight="1">
      <c r="A81" s="2"/>
      <c r="B81" s="2"/>
      <c r="C81" s="2"/>
      <c r="D81" s="49"/>
      <c r="E81" s="50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ht="12.75" customHeight="1">
      <c r="A82" s="2"/>
      <c r="B82" s="2"/>
      <c r="C82" s="2"/>
      <c r="D82" s="49"/>
      <c r="E82" s="50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ht="12.75" customHeight="1">
      <c r="A83" s="2"/>
      <c r="B83" s="2"/>
      <c r="C83" s="2"/>
      <c r="D83" s="49"/>
      <c r="E83" s="50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ht="12.75" customHeight="1">
      <c r="A84" s="2"/>
      <c r="B84" s="2"/>
      <c r="C84" s="2"/>
      <c r="D84" s="49"/>
      <c r="E84" s="50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ht="12.75" customHeight="1">
      <c r="A85" s="2"/>
      <c r="B85" s="2"/>
      <c r="C85" s="2"/>
      <c r="D85" s="49"/>
      <c r="E85" s="50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ht="12.75" customHeight="1">
      <c r="A86" s="2"/>
      <c r="B86" s="2"/>
      <c r="C86" s="2"/>
      <c r="D86" s="49"/>
      <c r="E86" s="50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ht="12.75" customHeight="1">
      <c r="A87" s="2"/>
      <c r="B87" s="2"/>
      <c r="C87" s="2"/>
      <c r="D87" s="49"/>
      <c r="E87" s="50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ht="12.75" customHeight="1">
      <c r="A88" s="2"/>
      <c r="B88" s="2"/>
      <c r="C88" s="2"/>
      <c r="D88" s="49"/>
      <c r="E88" s="50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ht="12.75" customHeight="1">
      <c r="A89" s="2"/>
      <c r="B89" s="2"/>
      <c r="C89" s="2"/>
      <c r="D89" s="49"/>
      <c r="E89" s="50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ht="12.75" customHeight="1">
      <c r="A90" s="2"/>
      <c r="B90" s="2"/>
      <c r="C90" s="2"/>
      <c r="D90" s="49"/>
      <c r="E90" s="50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ht="12.75" customHeight="1">
      <c r="A91" s="2"/>
      <c r="B91" s="2"/>
      <c r="C91" s="2"/>
      <c r="D91" s="49"/>
      <c r="E91" s="50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ht="12.75" customHeight="1">
      <c r="A92" s="2"/>
      <c r="B92" s="2"/>
      <c r="C92" s="2"/>
      <c r="D92" s="49"/>
      <c r="E92" s="50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ht="12.75" customHeight="1">
      <c r="A93" s="2"/>
      <c r="B93" s="2"/>
      <c r="C93" s="2"/>
      <c r="D93" s="49"/>
      <c r="E93" s="50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ht="12.75" customHeight="1">
      <c r="A94" s="2"/>
      <c r="B94" s="2"/>
      <c r="C94" s="2"/>
      <c r="D94" s="49"/>
      <c r="E94" s="50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ht="12.75" customHeight="1">
      <c r="A95" s="2"/>
      <c r="B95" s="2"/>
      <c r="C95" s="2"/>
      <c r="D95" s="49"/>
      <c r="E95" s="50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ht="12.75" customHeight="1">
      <c r="A96" s="2"/>
      <c r="B96" s="2"/>
      <c r="C96" s="2"/>
      <c r="D96" s="49"/>
      <c r="E96" s="50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ht="12.75" customHeight="1">
      <c r="A97" s="2"/>
      <c r="B97" s="2"/>
      <c r="C97" s="2"/>
      <c r="D97" s="49"/>
      <c r="E97" s="50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ht="12.75" customHeight="1">
      <c r="A98" s="2"/>
      <c r="B98" s="2"/>
      <c r="C98" s="2"/>
      <c r="D98" s="49"/>
      <c r="E98" s="50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ht="12.75" customHeight="1">
      <c r="A99" s="2"/>
      <c r="B99" s="2"/>
      <c r="C99" s="2"/>
      <c r="D99" s="49"/>
      <c r="E99" s="50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ht="12.75" customHeight="1">
      <c r="A100" s="2"/>
      <c r="B100" s="2"/>
      <c r="C100" s="2"/>
      <c r="D100" s="49"/>
      <c r="E100" s="50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ht="12.75" customHeight="1">
      <c r="A101" s="2"/>
      <c r="B101" s="2"/>
      <c r="C101" s="2"/>
      <c r="D101" s="49"/>
      <c r="E101" s="50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ht="12.75" customHeight="1">
      <c r="A102" s="2"/>
      <c r="B102" s="2"/>
      <c r="C102" s="2"/>
      <c r="D102" s="49"/>
      <c r="E102" s="50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ht="12.75" customHeight="1">
      <c r="A103" s="2"/>
      <c r="B103" s="2"/>
      <c r="C103" s="2"/>
      <c r="D103" s="49"/>
      <c r="E103" s="50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ht="12.75" customHeight="1">
      <c r="A104" s="2"/>
      <c r="B104" s="2"/>
      <c r="C104" s="2"/>
      <c r="D104" s="49"/>
      <c r="E104" s="50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ht="12.75" customHeight="1">
      <c r="A105" s="2"/>
      <c r="B105" s="2"/>
      <c r="C105" s="2"/>
      <c r="D105" s="49"/>
      <c r="E105" s="50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ht="12.75" customHeight="1">
      <c r="A106" s="2"/>
      <c r="B106" s="2"/>
      <c r="C106" s="2"/>
      <c r="D106" s="49"/>
      <c r="E106" s="50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ht="12.75" customHeight="1">
      <c r="A107" s="2"/>
      <c r="B107" s="2"/>
      <c r="C107" s="2"/>
      <c r="D107" s="49"/>
      <c r="E107" s="50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ht="12.75" customHeight="1">
      <c r="A108" s="2"/>
      <c r="B108" s="2"/>
      <c r="C108" s="2"/>
      <c r="D108" s="49"/>
      <c r="E108" s="50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ht="12.75" customHeight="1">
      <c r="A109" s="2"/>
      <c r="B109" s="2"/>
      <c r="C109" s="2"/>
      <c r="D109" s="49"/>
      <c r="E109" s="50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ht="12.75" customHeight="1">
      <c r="A110" s="2"/>
      <c r="B110" s="2"/>
      <c r="C110" s="2"/>
      <c r="D110" s="49"/>
      <c r="E110" s="50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ht="12.75" customHeight="1">
      <c r="A111" s="2"/>
      <c r="B111" s="2"/>
      <c r="C111" s="2"/>
      <c r="D111" s="49"/>
      <c r="E111" s="50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ht="12.75" customHeight="1">
      <c r="A112" s="2"/>
      <c r="B112" s="2"/>
      <c r="C112" s="2"/>
      <c r="D112" s="49"/>
      <c r="E112" s="50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ht="12.75" customHeight="1">
      <c r="A113" s="2"/>
      <c r="B113" s="2"/>
      <c r="C113" s="2"/>
      <c r="D113" s="49"/>
      <c r="E113" s="50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ht="12.75" customHeight="1">
      <c r="A114" s="2"/>
      <c r="B114" s="2"/>
      <c r="C114" s="2"/>
      <c r="D114" s="49"/>
      <c r="E114" s="50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ht="12.75" customHeight="1">
      <c r="A115" s="2"/>
      <c r="B115" s="2"/>
      <c r="C115" s="2"/>
      <c r="D115" s="49"/>
      <c r="E115" s="50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ht="12.75" customHeight="1">
      <c r="A116" s="2"/>
      <c r="B116" s="2"/>
      <c r="C116" s="2"/>
      <c r="D116" s="49"/>
      <c r="E116" s="50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ht="12.75" customHeight="1">
      <c r="A117" s="2"/>
      <c r="B117" s="2"/>
      <c r="C117" s="2"/>
      <c r="D117" s="49"/>
      <c r="E117" s="50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ht="12.75" customHeight="1">
      <c r="A118" s="2"/>
      <c r="B118" s="2"/>
      <c r="C118" s="2"/>
      <c r="D118" s="49"/>
      <c r="E118" s="50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ht="12.75" customHeight="1">
      <c r="A119" s="2"/>
      <c r="B119" s="2"/>
      <c r="C119" s="2"/>
      <c r="D119" s="49"/>
      <c r="E119" s="50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ht="12.75" customHeight="1">
      <c r="A120" s="2"/>
      <c r="B120" s="2"/>
      <c r="C120" s="2"/>
      <c r="D120" s="49"/>
      <c r="E120" s="50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ht="12.75" customHeight="1">
      <c r="A121" s="2"/>
      <c r="B121" s="2"/>
      <c r="C121" s="2"/>
      <c r="D121" s="49"/>
      <c r="E121" s="50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ht="12.75" customHeight="1">
      <c r="A122" s="2"/>
      <c r="B122" s="2"/>
      <c r="C122" s="2"/>
      <c r="D122" s="49"/>
      <c r="E122" s="50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ht="12.75" customHeight="1">
      <c r="A123" s="2"/>
      <c r="B123" s="2"/>
      <c r="C123" s="2"/>
      <c r="D123" s="49"/>
      <c r="E123" s="50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ht="12.75" customHeight="1">
      <c r="A124" s="2"/>
      <c r="B124" s="2"/>
      <c r="C124" s="2"/>
      <c r="D124" s="49"/>
      <c r="E124" s="50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ht="12.75" customHeight="1">
      <c r="A125" s="2"/>
      <c r="B125" s="2"/>
      <c r="C125" s="2"/>
      <c r="D125" s="49"/>
      <c r="E125" s="50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ht="12.75" customHeight="1">
      <c r="A126" s="2"/>
      <c r="B126" s="2"/>
      <c r="C126" s="2"/>
      <c r="D126" s="49"/>
      <c r="E126" s="50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ht="12.75" customHeight="1">
      <c r="A127" s="2"/>
      <c r="B127" s="2"/>
      <c r="C127" s="2"/>
      <c r="D127" s="49"/>
      <c r="E127" s="50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ht="12.75" customHeight="1">
      <c r="A128" s="2"/>
      <c r="B128" s="2"/>
      <c r="C128" s="2"/>
      <c r="D128" s="49"/>
      <c r="E128" s="50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ht="12.75" customHeight="1">
      <c r="A129" s="2"/>
      <c r="B129" s="2"/>
      <c r="C129" s="2"/>
      <c r="D129" s="49"/>
      <c r="E129" s="50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ht="12.75" customHeight="1">
      <c r="A130" s="2"/>
      <c r="B130" s="2"/>
      <c r="C130" s="2"/>
      <c r="D130" s="49"/>
      <c r="E130" s="50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ht="12.75" customHeight="1">
      <c r="A131" s="2"/>
      <c r="B131" s="2"/>
      <c r="C131" s="2"/>
      <c r="D131" s="49"/>
      <c r="E131" s="50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ht="12.75" customHeight="1">
      <c r="A132" s="2"/>
      <c r="B132" s="2"/>
      <c r="C132" s="2"/>
      <c r="D132" s="49"/>
      <c r="E132" s="50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ht="12.75" customHeight="1">
      <c r="A133" s="2"/>
      <c r="B133" s="2"/>
      <c r="C133" s="2"/>
      <c r="D133" s="49"/>
      <c r="E133" s="50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ht="12.75" customHeight="1">
      <c r="A134" s="2"/>
      <c r="B134" s="2"/>
      <c r="C134" s="2"/>
      <c r="D134" s="49"/>
      <c r="E134" s="50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ht="12.75" customHeight="1">
      <c r="A135" s="2"/>
      <c r="B135" s="2"/>
      <c r="C135" s="2"/>
      <c r="D135" s="49"/>
      <c r="E135" s="50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ht="12.75" customHeight="1">
      <c r="A136" s="2"/>
      <c r="B136" s="2"/>
      <c r="C136" s="2"/>
      <c r="D136" s="49"/>
      <c r="E136" s="50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ht="12.75" customHeight="1">
      <c r="A137" s="2"/>
      <c r="B137" s="2"/>
      <c r="C137" s="2"/>
      <c r="D137" s="49"/>
      <c r="E137" s="50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ht="12.75" customHeight="1">
      <c r="A138" s="2"/>
      <c r="B138" s="2"/>
      <c r="C138" s="2"/>
      <c r="D138" s="49"/>
      <c r="E138" s="50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ht="12.75" customHeight="1">
      <c r="A139" s="2"/>
      <c r="B139" s="2"/>
      <c r="C139" s="2"/>
      <c r="D139" s="49"/>
      <c r="E139" s="50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ht="12.75" customHeight="1">
      <c r="A140" s="2"/>
      <c r="B140" s="2"/>
      <c r="C140" s="2"/>
      <c r="D140" s="49"/>
      <c r="E140" s="50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ht="12.75" customHeight="1">
      <c r="A141" s="2"/>
      <c r="B141" s="2"/>
      <c r="C141" s="2"/>
      <c r="D141" s="49"/>
      <c r="E141" s="50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ht="12.75" customHeight="1">
      <c r="A142" s="2"/>
      <c r="B142" s="2"/>
      <c r="C142" s="2"/>
      <c r="D142" s="49"/>
      <c r="E142" s="50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ht="12.75" customHeight="1">
      <c r="A143" s="2"/>
      <c r="B143" s="2"/>
      <c r="C143" s="2"/>
      <c r="D143" s="49"/>
      <c r="E143" s="50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ht="12.75" customHeight="1">
      <c r="A144" s="2"/>
      <c r="B144" s="2"/>
      <c r="C144" s="2"/>
      <c r="D144" s="49"/>
      <c r="E144" s="50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ht="12.75" customHeight="1">
      <c r="A145" s="2"/>
      <c r="B145" s="2"/>
      <c r="C145" s="2"/>
      <c r="D145" s="49"/>
      <c r="E145" s="50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ht="12.75" customHeight="1">
      <c r="A146" s="2"/>
      <c r="B146" s="2"/>
      <c r="C146" s="2"/>
      <c r="D146" s="49"/>
      <c r="E146" s="50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ht="12.75" customHeight="1">
      <c r="A147" s="2"/>
      <c r="B147" s="2"/>
      <c r="C147" s="2"/>
      <c r="D147" s="49"/>
      <c r="E147" s="50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ht="12.75" customHeight="1">
      <c r="A148" s="2"/>
      <c r="B148" s="2"/>
      <c r="C148" s="2"/>
      <c r="D148" s="49"/>
      <c r="E148" s="50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ht="12.75" customHeight="1">
      <c r="A149" s="2"/>
      <c r="B149" s="2"/>
      <c r="C149" s="2"/>
      <c r="D149" s="49"/>
      <c r="E149" s="50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ht="12.75" customHeight="1">
      <c r="A150" s="2"/>
      <c r="B150" s="2"/>
      <c r="C150" s="2"/>
      <c r="D150" s="49"/>
      <c r="E150" s="50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ht="12.75" customHeight="1">
      <c r="A151" s="2"/>
      <c r="B151" s="2"/>
      <c r="C151" s="2"/>
      <c r="D151" s="49"/>
      <c r="E151" s="50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ht="12.75" customHeight="1">
      <c r="A152" s="2"/>
      <c r="B152" s="2"/>
      <c r="C152" s="2"/>
      <c r="D152" s="49"/>
      <c r="E152" s="50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ht="12.75" customHeight="1">
      <c r="A153" s="2"/>
      <c r="B153" s="2"/>
      <c r="C153" s="2"/>
      <c r="D153" s="49"/>
      <c r="E153" s="50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ht="12.75" customHeight="1">
      <c r="A154" s="2"/>
      <c r="B154" s="2"/>
      <c r="C154" s="2"/>
      <c r="D154" s="49"/>
      <c r="E154" s="50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ht="12.75" customHeight="1">
      <c r="A155" s="2"/>
      <c r="B155" s="2"/>
      <c r="C155" s="2"/>
      <c r="D155" s="49"/>
      <c r="E155" s="50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ht="12.75" customHeight="1">
      <c r="A156" s="2"/>
      <c r="B156" s="2"/>
      <c r="C156" s="2"/>
      <c r="D156" s="49"/>
      <c r="E156" s="50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ht="12.75" customHeight="1">
      <c r="A157" s="2"/>
      <c r="B157" s="2"/>
      <c r="C157" s="2"/>
      <c r="D157" s="49"/>
      <c r="E157" s="50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ht="12.75" customHeight="1">
      <c r="A158" s="2"/>
      <c r="B158" s="2"/>
      <c r="C158" s="2"/>
      <c r="D158" s="49"/>
      <c r="E158" s="50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ht="12.75" customHeight="1">
      <c r="A159" s="2"/>
      <c r="B159" s="2"/>
      <c r="C159" s="2"/>
      <c r="D159" s="49"/>
      <c r="E159" s="50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ht="12.75" customHeight="1">
      <c r="A160" s="2"/>
      <c r="B160" s="2"/>
      <c r="C160" s="2"/>
      <c r="D160" s="49"/>
      <c r="E160" s="50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ht="12.75" customHeight="1">
      <c r="A161" s="2"/>
      <c r="B161" s="2"/>
      <c r="C161" s="2"/>
      <c r="D161" s="49"/>
      <c r="E161" s="50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ht="12.75" customHeight="1">
      <c r="A162" s="2"/>
      <c r="B162" s="2"/>
      <c r="C162" s="2"/>
      <c r="D162" s="49"/>
      <c r="E162" s="50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ht="12.75" customHeight="1">
      <c r="A163" s="2"/>
      <c r="B163" s="2"/>
      <c r="C163" s="2"/>
      <c r="D163" s="49"/>
      <c r="E163" s="50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ht="12.75" customHeight="1">
      <c r="A164" s="2"/>
      <c r="B164" s="2"/>
      <c r="C164" s="2"/>
      <c r="D164" s="49"/>
      <c r="E164" s="50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ht="12.75" customHeight="1">
      <c r="A165" s="2"/>
      <c r="B165" s="2"/>
      <c r="C165" s="2"/>
      <c r="D165" s="49"/>
      <c r="E165" s="50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ht="12.75" customHeight="1">
      <c r="A166" s="2"/>
      <c r="B166" s="2"/>
      <c r="C166" s="2"/>
      <c r="D166" s="49"/>
      <c r="E166" s="50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ht="12.75" customHeight="1">
      <c r="A167" s="2"/>
      <c r="B167" s="2"/>
      <c r="C167" s="2"/>
      <c r="D167" s="49"/>
      <c r="E167" s="50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ht="12.75" customHeight="1">
      <c r="A168" s="2"/>
      <c r="B168" s="2"/>
      <c r="C168" s="2"/>
      <c r="D168" s="49"/>
      <c r="E168" s="50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ht="12.75" customHeight="1">
      <c r="A169" s="2"/>
      <c r="B169" s="2"/>
      <c r="C169" s="2"/>
      <c r="D169" s="49"/>
      <c r="E169" s="50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ht="12.75" customHeight="1">
      <c r="A170" s="2"/>
      <c r="B170" s="2"/>
      <c r="C170" s="2"/>
      <c r="D170" s="49"/>
      <c r="E170" s="50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ht="12.75" customHeight="1">
      <c r="A171" s="2"/>
      <c r="B171" s="2"/>
      <c r="C171" s="2"/>
      <c r="D171" s="49"/>
      <c r="E171" s="50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ht="12.75" customHeight="1">
      <c r="A172" s="2"/>
      <c r="B172" s="2"/>
      <c r="C172" s="2"/>
      <c r="D172" s="49"/>
      <c r="E172" s="50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ht="12.75" customHeight="1">
      <c r="A173" s="2"/>
      <c r="B173" s="2"/>
      <c r="C173" s="2"/>
      <c r="D173" s="49"/>
      <c r="E173" s="50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ht="12.75" customHeight="1">
      <c r="A174" s="2"/>
      <c r="B174" s="2"/>
      <c r="C174" s="2"/>
      <c r="D174" s="49"/>
      <c r="E174" s="50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ht="12.75" customHeight="1">
      <c r="A175" s="2"/>
      <c r="B175" s="2"/>
      <c r="C175" s="2"/>
      <c r="D175" s="49"/>
      <c r="E175" s="50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ht="12.75" customHeight="1">
      <c r="A176" s="2"/>
      <c r="B176" s="2"/>
      <c r="C176" s="2"/>
      <c r="D176" s="49"/>
      <c r="E176" s="50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ht="12.75" customHeight="1">
      <c r="A177" s="2"/>
      <c r="B177" s="2"/>
      <c r="C177" s="2"/>
      <c r="D177" s="49"/>
      <c r="E177" s="50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ht="12.75" customHeight="1">
      <c r="A178" s="2"/>
      <c r="B178" s="2"/>
      <c r="C178" s="2"/>
      <c r="D178" s="49"/>
      <c r="E178" s="50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ht="12.75" customHeight="1">
      <c r="A179" s="2"/>
      <c r="B179" s="2"/>
      <c r="C179" s="2"/>
      <c r="D179" s="49"/>
      <c r="E179" s="50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ht="12.75" customHeight="1">
      <c r="A180" s="2"/>
      <c r="B180" s="2"/>
      <c r="C180" s="2"/>
      <c r="D180" s="49"/>
      <c r="E180" s="50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ht="12.75" customHeight="1">
      <c r="A181" s="2"/>
      <c r="B181" s="2"/>
      <c r="C181" s="2"/>
      <c r="D181" s="49"/>
      <c r="E181" s="50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ht="12.75" customHeight="1">
      <c r="A182" s="2"/>
      <c r="B182" s="2"/>
      <c r="C182" s="2"/>
      <c r="D182" s="49"/>
      <c r="E182" s="50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ht="12.75" customHeight="1">
      <c r="A183" s="2"/>
      <c r="B183" s="2"/>
      <c r="C183" s="2"/>
      <c r="D183" s="49"/>
      <c r="E183" s="50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ht="12.75" customHeight="1">
      <c r="A184" s="2"/>
      <c r="B184" s="2"/>
      <c r="C184" s="2"/>
      <c r="D184" s="49"/>
      <c r="E184" s="50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ht="12.75" customHeight="1">
      <c r="A185" s="2"/>
      <c r="B185" s="2"/>
      <c r="C185" s="2"/>
      <c r="D185" s="49"/>
      <c r="E185" s="50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ht="12.75" customHeight="1">
      <c r="A186" s="2"/>
      <c r="B186" s="2"/>
      <c r="C186" s="2"/>
      <c r="D186" s="49"/>
      <c r="E186" s="50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ht="12.75" customHeight="1">
      <c r="A187" s="2"/>
      <c r="B187" s="2"/>
      <c r="C187" s="2"/>
      <c r="D187" s="49"/>
      <c r="E187" s="50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ht="12.75" customHeight="1">
      <c r="A188" s="2"/>
      <c r="B188" s="2"/>
      <c r="C188" s="2"/>
      <c r="D188" s="49"/>
      <c r="E188" s="50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ht="12.75" customHeight="1">
      <c r="A189" s="2"/>
      <c r="B189" s="2"/>
      <c r="C189" s="2"/>
      <c r="D189" s="49"/>
      <c r="E189" s="50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ht="12.75" customHeight="1">
      <c r="A190" s="2"/>
      <c r="B190" s="2"/>
      <c r="C190" s="2"/>
      <c r="D190" s="49"/>
      <c r="E190" s="50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ht="12.75" customHeight="1">
      <c r="A191" s="2"/>
      <c r="B191" s="2"/>
      <c r="C191" s="2"/>
      <c r="D191" s="49"/>
      <c r="E191" s="50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ht="12.75" customHeight="1">
      <c r="A192" s="2"/>
      <c r="B192" s="2"/>
      <c r="C192" s="2"/>
      <c r="D192" s="49"/>
      <c r="E192" s="50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ht="12.75" customHeight="1">
      <c r="A193" s="2"/>
      <c r="B193" s="2"/>
      <c r="C193" s="2"/>
      <c r="D193" s="49"/>
      <c r="E193" s="50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ht="12.75" customHeight="1">
      <c r="A194" s="2"/>
      <c r="B194" s="2"/>
      <c r="C194" s="2"/>
      <c r="D194" s="49"/>
      <c r="E194" s="50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ht="12.75" customHeight="1">
      <c r="A195" s="2"/>
      <c r="B195" s="2"/>
      <c r="C195" s="2"/>
      <c r="D195" s="49"/>
      <c r="E195" s="50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ht="12.75" customHeight="1">
      <c r="A196" s="2"/>
      <c r="B196" s="2"/>
      <c r="C196" s="2"/>
      <c r="D196" s="49"/>
      <c r="E196" s="50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ht="12.75" customHeight="1">
      <c r="A197" s="2"/>
      <c r="B197" s="2"/>
      <c r="C197" s="2"/>
      <c r="D197" s="49"/>
      <c r="E197" s="50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ht="12.75" customHeight="1">
      <c r="A198" s="2"/>
      <c r="B198" s="2"/>
      <c r="C198" s="2"/>
      <c r="D198" s="49"/>
      <c r="E198" s="50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ht="12.75" customHeight="1">
      <c r="A199" s="2"/>
      <c r="B199" s="2"/>
      <c r="C199" s="2"/>
      <c r="D199" s="49"/>
      <c r="E199" s="50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ht="12.75" customHeight="1">
      <c r="A200" s="2"/>
      <c r="B200" s="2"/>
      <c r="C200" s="2"/>
      <c r="D200" s="49"/>
      <c r="E200" s="50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ht="12.75" customHeight="1">
      <c r="A201" s="2"/>
      <c r="B201" s="2"/>
      <c r="C201" s="2"/>
      <c r="D201" s="49"/>
      <c r="E201" s="50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ht="12.75" customHeight="1">
      <c r="A202" s="2"/>
      <c r="B202" s="2"/>
      <c r="C202" s="2"/>
      <c r="D202" s="49"/>
      <c r="E202" s="50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ht="12.75" customHeight="1">
      <c r="A203" s="2"/>
      <c r="B203" s="2"/>
      <c r="C203" s="2"/>
      <c r="D203" s="49"/>
      <c r="E203" s="50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ht="12.75" customHeight="1">
      <c r="A204" s="2"/>
      <c r="B204" s="2"/>
      <c r="C204" s="2"/>
      <c r="D204" s="49"/>
      <c r="E204" s="50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ht="12.75" customHeight="1">
      <c r="A205" s="2"/>
      <c r="B205" s="2"/>
      <c r="C205" s="2"/>
      <c r="D205" s="49"/>
      <c r="E205" s="50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ht="12.75" customHeight="1">
      <c r="A206" s="2"/>
      <c r="B206" s="2"/>
      <c r="C206" s="2"/>
      <c r="D206" s="49"/>
      <c r="E206" s="50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ht="12.75" customHeight="1">
      <c r="A207" s="2"/>
      <c r="B207" s="2"/>
      <c r="C207" s="2"/>
      <c r="D207" s="49"/>
      <c r="E207" s="50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ht="12.75" customHeight="1">
      <c r="A208" s="2"/>
      <c r="B208" s="2"/>
      <c r="C208" s="2"/>
      <c r="D208" s="49"/>
      <c r="E208" s="50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ht="12.75" customHeight="1">
      <c r="A209" s="2"/>
      <c r="B209" s="2"/>
      <c r="C209" s="2"/>
      <c r="D209" s="49"/>
      <c r="E209" s="50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ht="12.75" customHeight="1">
      <c r="A210" s="2"/>
      <c r="B210" s="2"/>
      <c r="C210" s="2"/>
      <c r="D210" s="49"/>
      <c r="E210" s="50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ht="12.75" customHeight="1">
      <c r="A211" s="2"/>
      <c r="B211" s="2"/>
      <c r="C211" s="2"/>
      <c r="D211" s="49"/>
      <c r="E211" s="50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ht="12.75" customHeight="1">
      <c r="A212" s="2"/>
      <c r="B212" s="2"/>
      <c r="C212" s="2"/>
      <c r="D212" s="49"/>
      <c r="E212" s="50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ht="12.75" customHeight="1">
      <c r="A213" s="2"/>
      <c r="B213" s="2"/>
      <c r="C213" s="2"/>
      <c r="D213" s="49"/>
      <c r="E213" s="50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ht="12.75" customHeight="1">
      <c r="A214" s="2"/>
      <c r="B214" s="2"/>
      <c r="C214" s="2"/>
      <c r="D214" s="49"/>
      <c r="E214" s="50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ht="12.75" customHeight="1">
      <c r="A215" s="2"/>
      <c r="B215" s="2"/>
      <c r="C215" s="2"/>
      <c r="D215" s="49"/>
      <c r="E215" s="50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ht="12.75" customHeight="1">
      <c r="A216" s="2"/>
      <c r="B216" s="2"/>
      <c r="C216" s="2"/>
      <c r="D216" s="49"/>
      <c r="E216" s="50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ht="12.75" customHeight="1">
      <c r="A217" s="2"/>
      <c r="B217" s="2"/>
      <c r="C217" s="2"/>
      <c r="D217" s="49"/>
      <c r="E217" s="50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ht="12.75" customHeight="1">
      <c r="A218" s="2"/>
      <c r="B218" s="2"/>
      <c r="C218" s="2"/>
      <c r="D218" s="49"/>
      <c r="E218" s="50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ht="12.75" customHeight="1">
      <c r="A219" s="2"/>
      <c r="B219" s="2"/>
      <c r="C219" s="2"/>
      <c r="D219" s="49"/>
      <c r="E219" s="50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ht="12.75" customHeight="1">
      <c r="A220" s="2"/>
      <c r="B220" s="2"/>
      <c r="C220" s="2"/>
      <c r="D220" s="49"/>
      <c r="E220" s="50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ht="12.75" customHeight="1">
      <c r="A221" s="2"/>
      <c r="B221" s="2"/>
      <c r="C221" s="2"/>
      <c r="D221" s="49"/>
      <c r="E221" s="50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ht="12.75" customHeight="1">
      <c r="A222" s="2"/>
      <c r="B222" s="2"/>
      <c r="C222" s="2"/>
      <c r="D222" s="49"/>
      <c r="E222" s="50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ht="12.75" customHeight="1">
      <c r="A223" s="2"/>
      <c r="B223" s="2"/>
      <c r="C223" s="2"/>
      <c r="D223" s="49"/>
      <c r="E223" s="50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ht="12.75" customHeight="1">
      <c r="A224" s="2"/>
      <c r="B224" s="2"/>
      <c r="C224" s="2"/>
      <c r="D224" s="49"/>
      <c r="E224" s="50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ht="12.75" customHeight="1">
      <c r="A225" s="2"/>
      <c r="B225" s="2"/>
      <c r="C225" s="2"/>
      <c r="D225" s="49"/>
      <c r="E225" s="50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ht="12.75" customHeight="1">
      <c r="A226" s="2"/>
      <c r="B226" s="2"/>
      <c r="C226" s="2"/>
      <c r="D226" s="49"/>
      <c r="E226" s="50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ht="12.75" customHeight="1">
      <c r="A227" s="2"/>
      <c r="B227" s="2"/>
      <c r="C227" s="2"/>
      <c r="D227" s="49"/>
      <c r="E227" s="50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ht="12.75" customHeight="1">
      <c r="A228" s="2"/>
      <c r="B228" s="2"/>
      <c r="C228" s="2"/>
      <c r="D228" s="49"/>
      <c r="E228" s="50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ht="12.75" customHeight="1">
      <c r="A229" s="2"/>
      <c r="B229" s="2"/>
      <c r="C229" s="2"/>
      <c r="D229" s="49"/>
      <c r="E229" s="50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ht="12.75" customHeight="1">
      <c r="A230" s="2"/>
      <c r="B230" s="2"/>
      <c r="C230" s="2"/>
      <c r="D230" s="49"/>
      <c r="E230" s="50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ht="12.75" customHeight="1">
      <c r="A231" s="2"/>
      <c r="B231" s="2"/>
      <c r="C231" s="2"/>
      <c r="D231" s="49"/>
      <c r="E231" s="50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ht="12.75" customHeight="1">
      <c r="A232" s="2"/>
      <c r="B232" s="2"/>
      <c r="C232" s="2"/>
      <c r="D232" s="49"/>
      <c r="E232" s="50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ht="12.75" customHeight="1">
      <c r="A233" s="2"/>
      <c r="B233" s="2"/>
      <c r="C233" s="2"/>
      <c r="D233" s="49"/>
      <c r="E233" s="50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ht="12.75" customHeight="1">
      <c r="A234" s="2"/>
      <c r="B234" s="2"/>
      <c r="C234" s="2"/>
      <c r="D234" s="49"/>
      <c r="E234" s="50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ht="12.75" customHeight="1">
      <c r="A235" s="2"/>
      <c r="B235" s="2"/>
      <c r="C235" s="2"/>
      <c r="D235" s="49"/>
      <c r="E235" s="50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ht="12.75" customHeight="1">
      <c r="A236" s="2"/>
      <c r="B236" s="2"/>
      <c r="C236" s="2"/>
      <c r="D236" s="49"/>
      <c r="E236" s="50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ht="12.75" customHeight="1">
      <c r="A237" s="2"/>
      <c r="B237" s="2"/>
      <c r="C237" s="2"/>
      <c r="D237" s="49"/>
      <c r="E237" s="50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ht="12.75" customHeight="1">
      <c r="A238" s="2"/>
      <c r="B238" s="2"/>
      <c r="C238" s="2"/>
      <c r="D238" s="49"/>
      <c r="E238" s="50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ht="12.75" customHeight="1">
      <c r="A239" s="2"/>
      <c r="B239" s="2"/>
      <c r="C239" s="2"/>
      <c r="D239" s="49"/>
      <c r="E239" s="50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ht="12.75" customHeight="1">
      <c r="A240" s="2"/>
      <c r="B240" s="2"/>
      <c r="C240" s="2"/>
      <c r="D240" s="49"/>
      <c r="E240" s="50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ht="12.75" customHeight="1">
      <c r="A241" s="2"/>
      <c r="B241" s="2"/>
      <c r="C241" s="2"/>
      <c r="D241" s="49"/>
      <c r="E241" s="50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ht="12.75" customHeight="1">
      <c r="A242" s="2"/>
      <c r="B242" s="2"/>
      <c r="C242" s="2"/>
      <c r="D242" s="49"/>
      <c r="E242" s="50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ht="12.75" customHeight="1">
      <c r="A243" s="2"/>
      <c r="B243" s="2"/>
      <c r="C243" s="2"/>
      <c r="D243" s="49"/>
      <c r="E243" s="50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ht="12.75" customHeight="1">
      <c r="A244" s="2"/>
      <c r="B244" s="2"/>
      <c r="C244" s="2"/>
      <c r="D244" s="49"/>
      <c r="E244" s="50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ht="12.75" customHeight="1">
      <c r="A245" s="2"/>
      <c r="B245" s="2"/>
      <c r="C245" s="2"/>
      <c r="D245" s="49"/>
      <c r="E245" s="50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ht="12.75" customHeight="1">
      <c r="A246" s="2"/>
      <c r="B246" s="2"/>
      <c r="C246" s="2"/>
      <c r="D246" s="49"/>
      <c r="E246" s="50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ht="12.75" customHeight="1">
      <c r="A247" s="2"/>
      <c r="B247" s="2"/>
      <c r="C247" s="2"/>
      <c r="D247" s="49"/>
      <c r="E247" s="50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ht="12.75" customHeight="1">
      <c r="A248" s="2"/>
      <c r="B248" s="2"/>
      <c r="C248" s="2"/>
      <c r="D248" s="49"/>
      <c r="E248" s="50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ht="12.75" customHeight="1">
      <c r="A249" s="2"/>
      <c r="B249" s="2"/>
      <c r="C249" s="2"/>
      <c r="D249" s="49"/>
      <c r="E249" s="50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ht="12.75" customHeight="1">
      <c r="A250" s="2"/>
      <c r="B250" s="2"/>
      <c r="C250" s="2"/>
      <c r="D250" s="49"/>
      <c r="E250" s="50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ht="12.75" customHeight="1">
      <c r="A251" s="2"/>
      <c r="B251" s="2"/>
      <c r="C251" s="2"/>
      <c r="D251" s="49"/>
      <c r="E251" s="50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ht="12.75" customHeight="1">
      <c r="A252" s="2"/>
      <c r="B252" s="2"/>
      <c r="C252" s="2"/>
      <c r="D252" s="49"/>
      <c r="E252" s="50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ht="12.75" customHeight="1">
      <c r="A253" s="2"/>
      <c r="B253" s="2"/>
      <c r="C253" s="2"/>
      <c r="D253" s="49"/>
      <c r="E253" s="50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ht="12.75" customHeight="1">
      <c r="A254" s="2"/>
      <c r="B254" s="2"/>
      <c r="C254" s="2"/>
      <c r="D254" s="49"/>
      <c r="E254" s="50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ht="12.75" customHeight="1">
      <c r="A255" s="2"/>
      <c r="B255" s="2"/>
      <c r="C255" s="2"/>
      <c r="D255" s="49"/>
      <c r="E255" s="50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ht="12.75" customHeight="1">
      <c r="A256" s="2"/>
      <c r="B256" s="2"/>
      <c r="C256" s="2"/>
      <c r="D256" s="49"/>
      <c r="E256" s="50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ht="12.75" customHeight="1">
      <c r="A257" s="2"/>
      <c r="B257" s="2"/>
      <c r="C257" s="2"/>
      <c r="D257" s="49"/>
      <c r="E257" s="50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ht="12.75" customHeight="1">
      <c r="A258" s="2"/>
      <c r="B258" s="2"/>
      <c r="C258" s="2"/>
      <c r="D258" s="49"/>
      <c r="E258" s="50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ht="12.75" customHeight="1">
      <c r="A259" s="2"/>
      <c r="B259" s="2"/>
      <c r="C259" s="2"/>
      <c r="D259" s="49"/>
      <c r="E259" s="50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ht="12.75" customHeight="1">
      <c r="A260" s="2"/>
      <c r="B260" s="2"/>
      <c r="C260" s="2"/>
      <c r="D260" s="49"/>
      <c r="E260" s="50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ht="12.75" customHeight="1">
      <c r="A261" s="2"/>
      <c r="B261" s="2"/>
      <c r="C261" s="2"/>
      <c r="D261" s="49"/>
      <c r="E261" s="50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ht="12.75" customHeight="1">
      <c r="A262" s="2"/>
      <c r="B262" s="2"/>
      <c r="C262" s="2"/>
      <c r="D262" s="49"/>
      <c r="E262" s="50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ht="12.75" customHeight="1">
      <c r="A263" s="2"/>
      <c r="B263" s="2"/>
      <c r="C263" s="2"/>
      <c r="D263" s="49"/>
      <c r="E263" s="50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ht="12.75" customHeight="1">
      <c r="A264" s="2"/>
      <c r="B264" s="2"/>
      <c r="C264" s="2"/>
      <c r="D264" s="49"/>
      <c r="E264" s="50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ht="12.75" customHeight="1">
      <c r="A265" s="2"/>
      <c r="B265" s="2"/>
      <c r="C265" s="2"/>
      <c r="D265" s="49"/>
      <c r="E265" s="50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ht="12.75" customHeight="1">
      <c r="A266" s="2"/>
      <c r="B266" s="2"/>
      <c r="C266" s="2"/>
      <c r="D266" s="49"/>
      <c r="E266" s="50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ht="12.75" customHeight="1">
      <c r="A267" s="2"/>
      <c r="B267" s="2"/>
      <c r="C267" s="2"/>
      <c r="D267" s="49"/>
      <c r="E267" s="50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ht="12.75" customHeight="1">
      <c r="A268" s="2"/>
      <c r="B268" s="2"/>
      <c r="C268" s="2"/>
      <c r="D268" s="49"/>
      <c r="E268" s="50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ht="12.75" customHeight="1">
      <c r="A269" s="2"/>
      <c r="B269" s="2"/>
      <c r="C269" s="2"/>
      <c r="D269" s="49"/>
      <c r="E269" s="50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ht="12.75" customHeight="1">
      <c r="A270" s="2"/>
      <c r="B270" s="2"/>
      <c r="C270" s="2"/>
      <c r="D270" s="49"/>
      <c r="E270" s="50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ht="12.75" customHeight="1">
      <c r="A271" s="2"/>
      <c r="B271" s="2"/>
      <c r="C271" s="2"/>
      <c r="D271" s="49"/>
      <c r="E271" s="50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ht="12.75" customHeight="1">
      <c r="A272" s="2"/>
      <c r="B272" s="2"/>
      <c r="C272" s="2"/>
      <c r="D272" s="49"/>
      <c r="E272" s="50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ht="12.75" customHeight="1">
      <c r="A273" s="2"/>
      <c r="B273" s="2"/>
      <c r="C273" s="2"/>
      <c r="D273" s="49"/>
      <c r="E273" s="50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ht="12.75" customHeight="1">
      <c r="A274" s="2"/>
      <c r="B274" s="2"/>
      <c r="C274" s="2"/>
      <c r="D274" s="49"/>
      <c r="E274" s="50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ht="12.75" customHeight="1">
      <c r="A275" s="2"/>
      <c r="B275" s="2"/>
      <c r="C275" s="2"/>
      <c r="D275" s="49"/>
      <c r="E275" s="50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ht="12.75" customHeight="1">
      <c r="A276" s="2"/>
      <c r="B276" s="2"/>
      <c r="C276" s="2"/>
      <c r="D276" s="49"/>
      <c r="E276" s="50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ht="12.75" customHeight="1">
      <c r="A277" s="2"/>
      <c r="B277" s="2"/>
      <c r="C277" s="2"/>
      <c r="D277" s="49"/>
      <c r="E277" s="50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ht="12.75" customHeight="1">
      <c r="A278" s="2"/>
      <c r="B278" s="2"/>
      <c r="C278" s="2"/>
      <c r="D278" s="49"/>
      <c r="E278" s="50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ht="12.75" customHeight="1">
      <c r="A279" s="2"/>
      <c r="B279" s="2"/>
      <c r="C279" s="2"/>
      <c r="D279" s="49"/>
      <c r="E279" s="50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ht="12.75" customHeight="1">
      <c r="A280" s="2"/>
      <c r="B280" s="2"/>
      <c r="C280" s="2"/>
      <c r="D280" s="49"/>
      <c r="E280" s="50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ht="12.75" customHeight="1">
      <c r="A281" s="2"/>
      <c r="B281" s="2"/>
      <c r="C281" s="2"/>
      <c r="D281" s="49"/>
      <c r="E281" s="50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ht="12.75" customHeight="1">
      <c r="A282" s="2"/>
      <c r="B282" s="2"/>
      <c r="C282" s="2"/>
      <c r="D282" s="49"/>
      <c r="E282" s="50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ht="12.75" customHeight="1">
      <c r="A283" s="2"/>
      <c r="B283" s="2"/>
      <c r="C283" s="2"/>
      <c r="D283" s="49"/>
      <c r="E283" s="50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ht="12.75" customHeight="1">
      <c r="A284" s="2"/>
      <c r="B284" s="2"/>
      <c r="C284" s="2"/>
      <c r="D284" s="49"/>
      <c r="E284" s="50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ht="12.75" customHeight="1">
      <c r="A285" s="2"/>
      <c r="B285" s="2"/>
      <c r="C285" s="2"/>
      <c r="D285" s="49"/>
      <c r="E285" s="50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ht="12.75" customHeight="1">
      <c r="A286" s="2"/>
      <c r="B286" s="2"/>
      <c r="C286" s="2"/>
      <c r="D286" s="49"/>
      <c r="E286" s="50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ht="12.75" customHeight="1">
      <c r="A287" s="2"/>
      <c r="B287" s="2"/>
      <c r="C287" s="2"/>
      <c r="D287" s="49"/>
      <c r="E287" s="50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ht="12.75" customHeight="1">
      <c r="A288" s="2"/>
      <c r="B288" s="2"/>
      <c r="C288" s="2"/>
      <c r="D288" s="49"/>
      <c r="E288" s="50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ht="12.75" customHeight="1">
      <c r="A289" s="2"/>
      <c r="B289" s="2"/>
      <c r="C289" s="2"/>
      <c r="D289" s="49"/>
      <c r="E289" s="50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ht="12.75" customHeight="1">
      <c r="A290" s="2"/>
      <c r="B290" s="2"/>
      <c r="C290" s="2"/>
      <c r="D290" s="49"/>
      <c r="E290" s="50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ht="12.75" customHeight="1">
      <c r="A291" s="2"/>
      <c r="B291" s="2"/>
      <c r="C291" s="2"/>
      <c r="D291" s="49"/>
      <c r="E291" s="50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ht="12.75" customHeight="1">
      <c r="A292" s="2"/>
      <c r="B292" s="2"/>
      <c r="C292" s="2"/>
      <c r="D292" s="49"/>
      <c r="E292" s="50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ht="12.75" customHeight="1">
      <c r="A293" s="2"/>
      <c r="B293" s="2"/>
      <c r="C293" s="2"/>
      <c r="D293" s="49"/>
      <c r="E293" s="50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ht="12.75" customHeight="1">
      <c r="A294" s="2"/>
      <c r="B294" s="2"/>
      <c r="C294" s="2"/>
      <c r="D294" s="49"/>
      <c r="E294" s="50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ht="12.75" customHeight="1">
      <c r="A295" s="2"/>
      <c r="B295" s="2"/>
      <c r="C295" s="2"/>
      <c r="D295" s="49"/>
      <c r="E295" s="50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ht="12.75" customHeight="1">
      <c r="A296" s="2"/>
      <c r="B296" s="2"/>
      <c r="C296" s="2"/>
      <c r="D296" s="49"/>
      <c r="E296" s="50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ht="12.75" customHeight="1">
      <c r="A297" s="2"/>
      <c r="B297" s="2"/>
      <c r="C297" s="2"/>
      <c r="D297" s="49"/>
      <c r="E297" s="50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ht="12.75" customHeight="1">
      <c r="A298" s="2"/>
      <c r="B298" s="2"/>
      <c r="C298" s="2"/>
      <c r="D298" s="49"/>
      <c r="E298" s="50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ht="12.75" customHeight="1">
      <c r="A299" s="2"/>
      <c r="B299" s="2"/>
      <c r="C299" s="2"/>
      <c r="D299" s="49"/>
      <c r="E299" s="50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ht="12.75" customHeight="1">
      <c r="A300" s="2"/>
      <c r="B300" s="2"/>
      <c r="C300" s="2"/>
      <c r="D300" s="49"/>
      <c r="E300" s="50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ht="12.75" customHeight="1">
      <c r="A301" s="2"/>
      <c r="B301" s="2"/>
      <c r="C301" s="2"/>
      <c r="D301" s="49"/>
      <c r="E301" s="50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ht="12.75" customHeight="1">
      <c r="A302" s="2"/>
      <c r="B302" s="2"/>
      <c r="C302" s="2"/>
      <c r="D302" s="49"/>
      <c r="E302" s="50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ht="12.75" customHeight="1">
      <c r="A303" s="2"/>
      <c r="B303" s="2"/>
      <c r="C303" s="2"/>
      <c r="D303" s="49"/>
      <c r="E303" s="50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ht="12.75" customHeight="1">
      <c r="A304" s="2"/>
      <c r="B304" s="2"/>
      <c r="C304" s="2"/>
      <c r="D304" s="49"/>
      <c r="E304" s="50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ht="12.75" customHeight="1">
      <c r="A305" s="2"/>
      <c r="B305" s="2"/>
      <c r="C305" s="2"/>
      <c r="D305" s="49"/>
      <c r="E305" s="50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ht="12.75" customHeight="1">
      <c r="A306" s="2"/>
      <c r="B306" s="2"/>
      <c r="C306" s="2"/>
      <c r="D306" s="49"/>
      <c r="E306" s="50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ht="12.75" customHeight="1">
      <c r="A307" s="2"/>
      <c r="B307" s="2"/>
      <c r="C307" s="2"/>
      <c r="D307" s="49"/>
      <c r="E307" s="50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ht="12.75" customHeight="1">
      <c r="A308" s="2"/>
      <c r="B308" s="2"/>
      <c r="C308" s="2"/>
      <c r="D308" s="49"/>
      <c r="E308" s="50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ht="12.75" customHeight="1">
      <c r="A309" s="2"/>
      <c r="B309" s="2"/>
      <c r="C309" s="2"/>
      <c r="D309" s="49"/>
      <c r="E309" s="50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ht="12.75" customHeight="1">
      <c r="A310" s="2"/>
      <c r="B310" s="2"/>
      <c r="C310" s="2"/>
      <c r="D310" s="49"/>
      <c r="E310" s="50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ht="12.75" customHeight="1">
      <c r="A311" s="2"/>
      <c r="B311" s="2"/>
      <c r="C311" s="2"/>
      <c r="D311" s="49"/>
      <c r="E311" s="50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ht="12.75" customHeight="1">
      <c r="A312" s="2"/>
      <c r="B312" s="2"/>
      <c r="C312" s="2"/>
      <c r="D312" s="49"/>
      <c r="E312" s="50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ht="12.75" customHeight="1">
      <c r="A313" s="2"/>
      <c r="B313" s="2"/>
      <c r="C313" s="2"/>
      <c r="D313" s="49"/>
      <c r="E313" s="50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ht="12.75" customHeight="1">
      <c r="A314" s="2"/>
      <c r="B314" s="2"/>
      <c r="C314" s="2"/>
      <c r="D314" s="49"/>
      <c r="E314" s="50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ht="12.75" customHeight="1">
      <c r="A315" s="2"/>
      <c r="B315" s="2"/>
      <c r="C315" s="2"/>
      <c r="D315" s="49"/>
      <c r="E315" s="50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ht="12.75" customHeight="1">
      <c r="A316" s="2"/>
      <c r="B316" s="2"/>
      <c r="C316" s="2"/>
      <c r="D316" s="49"/>
      <c r="E316" s="50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ht="12.75" customHeight="1">
      <c r="A317" s="2"/>
      <c r="B317" s="2"/>
      <c r="C317" s="2"/>
      <c r="D317" s="49"/>
      <c r="E317" s="50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ht="12.75" customHeight="1">
      <c r="A318" s="2"/>
      <c r="B318" s="2"/>
      <c r="C318" s="2"/>
      <c r="D318" s="49"/>
      <c r="E318" s="50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ht="12.75" customHeight="1">
      <c r="A319" s="2"/>
      <c r="B319" s="2"/>
      <c r="C319" s="2"/>
      <c r="D319" s="49"/>
      <c r="E319" s="50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ht="12.75" customHeight="1">
      <c r="A320" s="2"/>
      <c r="B320" s="2"/>
      <c r="C320" s="2"/>
      <c r="D320" s="49"/>
      <c r="E320" s="50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ht="12.75" customHeight="1">
      <c r="A321" s="2"/>
      <c r="B321" s="2"/>
      <c r="C321" s="2"/>
      <c r="D321" s="49"/>
      <c r="E321" s="50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ht="12.75" customHeight="1">
      <c r="A322" s="2"/>
      <c r="B322" s="2"/>
      <c r="C322" s="2"/>
      <c r="D322" s="49"/>
      <c r="E322" s="50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ht="12.75" customHeight="1">
      <c r="A323" s="2"/>
      <c r="B323" s="2"/>
      <c r="C323" s="2"/>
      <c r="D323" s="49"/>
      <c r="E323" s="50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ht="12.75" customHeight="1">
      <c r="A324" s="2"/>
      <c r="B324" s="2"/>
      <c r="C324" s="2"/>
      <c r="D324" s="49"/>
      <c r="E324" s="50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ht="12.75" customHeight="1">
      <c r="A325" s="2"/>
      <c r="B325" s="2"/>
      <c r="C325" s="2"/>
      <c r="D325" s="49"/>
      <c r="E325" s="50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ht="12.75" customHeight="1">
      <c r="A326" s="2"/>
      <c r="B326" s="2"/>
      <c r="C326" s="2"/>
      <c r="D326" s="49"/>
      <c r="E326" s="50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ht="12.75" customHeight="1">
      <c r="A327" s="2"/>
      <c r="B327" s="2"/>
      <c r="C327" s="2"/>
      <c r="D327" s="49"/>
      <c r="E327" s="50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ht="12.75" customHeight="1">
      <c r="A328" s="2"/>
      <c r="B328" s="2"/>
      <c r="C328" s="2"/>
      <c r="D328" s="49"/>
      <c r="E328" s="50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ht="12.75" customHeight="1">
      <c r="A329" s="2"/>
      <c r="B329" s="2"/>
      <c r="C329" s="2"/>
      <c r="D329" s="49"/>
      <c r="E329" s="50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ht="12.75" customHeight="1">
      <c r="A330" s="2"/>
      <c r="B330" s="2"/>
      <c r="C330" s="2"/>
      <c r="D330" s="49"/>
      <c r="E330" s="50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ht="12.75" customHeight="1">
      <c r="A331" s="2"/>
      <c r="B331" s="2"/>
      <c r="C331" s="2"/>
      <c r="D331" s="49"/>
      <c r="E331" s="50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ht="12.75" customHeight="1">
      <c r="A332" s="2"/>
      <c r="B332" s="2"/>
      <c r="C332" s="2"/>
      <c r="D332" s="49"/>
      <c r="E332" s="50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ht="12.75" customHeight="1">
      <c r="A333" s="2"/>
      <c r="B333" s="2"/>
      <c r="C333" s="2"/>
      <c r="D333" s="49"/>
      <c r="E333" s="50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ht="12.75" customHeight="1">
      <c r="A334" s="2"/>
      <c r="B334" s="2"/>
      <c r="C334" s="2"/>
      <c r="D334" s="49"/>
      <c r="E334" s="50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ht="12.75" customHeight="1">
      <c r="A335" s="2"/>
      <c r="B335" s="2"/>
      <c r="C335" s="2"/>
      <c r="D335" s="49"/>
      <c r="E335" s="50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ht="12.75" customHeight="1">
      <c r="A336" s="2"/>
      <c r="B336" s="2"/>
      <c r="C336" s="2"/>
      <c r="D336" s="49"/>
      <c r="E336" s="50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ht="12.75" customHeight="1">
      <c r="A337" s="2"/>
      <c r="B337" s="2"/>
      <c r="C337" s="2"/>
      <c r="D337" s="49"/>
      <c r="E337" s="50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ht="12.75" customHeight="1">
      <c r="A338" s="2"/>
      <c r="B338" s="2"/>
      <c r="C338" s="2"/>
      <c r="D338" s="49"/>
      <c r="E338" s="50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ht="12.75" customHeight="1">
      <c r="A339" s="2"/>
      <c r="B339" s="2"/>
      <c r="C339" s="2"/>
      <c r="D339" s="49"/>
      <c r="E339" s="50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ht="12.75" customHeight="1">
      <c r="A340" s="2"/>
      <c r="B340" s="2"/>
      <c r="C340" s="2"/>
      <c r="D340" s="49"/>
      <c r="E340" s="50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ht="12.75" customHeight="1">
      <c r="A341" s="2"/>
      <c r="B341" s="2"/>
      <c r="C341" s="2"/>
      <c r="D341" s="49"/>
      <c r="E341" s="50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ht="12.75" customHeight="1">
      <c r="A342" s="2"/>
      <c r="B342" s="2"/>
      <c r="C342" s="2"/>
      <c r="D342" s="49"/>
      <c r="E342" s="50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ht="12.75" customHeight="1">
      <c r="A343" s="2"/>
      <c r="B343" s="2"/>
      <c r="C343" s="2"/>
      <c r="D343" s="49"/>
      <c r="E343" s="50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ht="12.75" customHeight="1">
      <c r="A344" s="2"/>
      <c r="B344" s="2"/>
      <c r="C344" s="2"/>
      <c r="D344" s="49"/>
      <c r="E344" s="50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ht="12.75" customHeight="1">
      <c r="A345" s="2"/>
      <c r="B345" s="2"/>
      <c r="C345" s="2"/>
      <c r="D345" s="49"/>
      <c r="E345" s="50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ht="12.75" customHeight="1">
      <c r="A346" s="2"/>
      <c r="B346" s="2"/>
      <c r="C346" s="2"/>
      <c r="D346" s="49"/>
      <c r="E346" s="50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ht="12.75" customHeight="1">
      <c r="A347" s="2"/>
      <c r="B347" s="2"/>
      <c r="C347" s="2"/>
      <c r="D347" s="49"/>
      <c r="E347" s="50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ht="12.75" customHeight="1">
      <c r="A348" s="2"/>
      <c r="B348" s="2"/>
      <c r="C348" s="2"/>
      <c r="D348" s="49"/>
      <c r="E348" s="50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ht="12.75" customHeight="1">
      <c r="A349" s="2"/>
      <c r="B349" s="2"/>
      <c r="C349" s="2"/>
      <c r="D349" s="49"/>
      <c r="E349" s="50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ht="12.75" customHeight="1">
      <c r="A350" s="2"/>
      <c r="B350" s="2"/>
      <c r="C350" s="2"/>
      <c r="D350" s="49"/>
      <c r="E350" s="50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ht="12.75" customHeight="1">
      <c r="A351" s="2"/>
      <c r="B351" s="2"/>
      <c r="C351" s="2"/>
      <c r="D351" s="49"/>
      <c r="E351" s="50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ht="12.75" customHeight="1">
      <c r="A352" s="2"/>
      <c r="B352" s="2"/>
      <c r="C352" s="2"/>
      <c r="D352" s="49"/>
      <c r="E352" s="50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ht="12.75" customHeight="1">
      <c r="A353" s="2"/>
      <c r="B353" s="2"/>
      <c r="C353" s="2"/>
      <c r="D353" s="49"/>
      <c r="E353" s="50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ht="12.75" customHeight="1">
      <c r="A354" s="2"/>
      <c r="B354" s="2"/>
      <c r="C354" s="2"/>
      <c r="D354" s="49"/>
      <c r="E354" s="50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ht="12.75" customHeight="1">
      <c r="A355" s="2"/>
      <c r="B355" s="2"/>
      <c r="C355" s="2"/>
      <c r="D355" s="49"/>
      <c r="E355" s="50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ht="12.75" customHeight="1">
      <c r="A356" s="2"/>
      <c r="B356" s="2"/>
      <c r="C356" s="2"/>
      <c r="D356" s="49"/>
      <c r="E356" s="50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ht="12.75" customHeight="1">
      <c r="A357" s="2"/>
      <c r="B357" s="2"/>
      <c r="C357" s="2"/>
      <c r="D357" s="49"/>
      <c r="E357" s="50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ht="12.75" customHeight="1">
      <c r="A358" s="2"/>
      <c r="B358" s="2"/>
      <c r="C358" s="2"/>
      <c r="D358" s="49"/>
      <c r="E358" s="50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ht="12.75" customHeight="1">
      <c r="A359" s="2"/>
      <c r="B359" s="2"/>
      <c r="C359" s="2"/>
      <c r="D359" s="49"/>
      <c r="E359" s="50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ht="12.75" customHeight="1">
      <c r="A360" s="2"/>
      <c r="B360" s="2"/>
      <c r="C360" s="2"/>
      <c r="D360" s="49"/>
      <c r="E360" s="50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ht="12.75" customHeight="1">
      <c r="A361" s="2"/>
      <c r="B361" s="2"/>
      <c r="C361" s="2"/>
      <c r="D361" s="49"/>
      <c r="E361" s="50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ht="12.75" customHeight="1">
      <c r="A362" s="2"/>
      <c r="B362" s="2"/>
      <c r="C362" s="2"/>
      <c r="D362" s="49"/>
      <c r="E362" s="50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ht="12.75" customHeight="1">
      <c r="A363" s="2"/>
      <c r="B363" s="2"/>
      <c r="C363" s="2"/>
      <c r="D363" s="49"/>
      <c r="E363" s="50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ht="12.75" customHeight="1">
      <c r="A364" s="2"/>
      <c r="B364" s="2"/>
      <c r="C364" s="2"/>
      <c r="D364" s="49"/>
      <c r="E364" s="50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ht="12.75" customHeight="1">
      <c r="A365" s="2"/>
      <c r="B365" s="2"/>
      <c r="C365" s="2"/>
      <c r="D365" s="49"/>
      <c r="E365" s="50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ht="12.75" customHeight="1">
      <c r="A366" s="2"/>
      <c r="B366" s="2"/>
      <c r="C366" s="2"/>
      <c r="D366" s="49"/>
      <c r="E366" s="50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ht="12.75" customHeight="1">
      <c r="A367" s="2"/>
      <c r="B367" s="2"/>
      <c r="C367" s="2"/>
      <c r="D367" s="49"/>
      <c r="E367" s="50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ht="12.75" customHeight="1">
      <c r="A368" s="2"/>
      <c r="B368" s="2"/>
      <c r="C368" s="2"/>
      <c r="D368" s="49"/>
      <c r="E368" s="50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ht="12.75" customHeight="1">
      <c r="A369" s="2"/>
      <c r="B369" s="2"/>
      <c r="C369" s="2"/>
      <c r="D369" s="49"/>
      <c r="E369" s="50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ht="12.75" customHeight="1">
      <c r="A370" s="2"/>
      <c r="B370" s="2"/>
      <c r="C370" s="2"/>
      <c r="D370" s="49"/>
      <c r="E370" s="50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ht="12.75" customHeight="1">
      <c r="A371" s="2"/>
      <c r="B371" s="2"/>
      <c r="C371" s="2"/>
      <c r="D371" s="49"/>
      <c r="E371" s="50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ht="12.75" customHeight="1">
      <c r="A372" s="2"/>
      <c r="B372" s="2"/>
      <c r="C372" s="2"/>
      <c r="D372" s="49"/>
      <c r="E372" s="50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ht="12.75" customHeight="1">
      <c r="A373" s="2"/>
      <c r="B373" s="2"/>
      <c r="C373" s="2"/>
      <c r="D373" s="49"/>
      <c r="E373" s="50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ht="12.75" customHeight="1">
      <c r="A374" s="2"/>
      <c r="B374" s="2"/>
      <c r="C374" s="2"/>
      <c r="D374" s="49"/>
      <c r="E374" s="50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ht="12.75" customHeight="1">
      <c r="A375" s="2"/>
      <c r="B375" s="2"/>
      <c r="C375" s="2"/>
      <c r="D375" s="49"/>
      <c r="E375" s="50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ht="12.75" customHeight="1">
      <c r="A376" s="2"/>
      <c r="B376" s="2"/>
      <c r="C376" s="2"/>
      <c r="D376" s="49"/>
      <c r="E376" s="50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ht="12.75" customHeight="1">
      <c r="A377" s="2"/>
      <c r="B377" s="2"/>
      <c r="C377" s="2"/>
      <c r="D377" s="49"/>
      <c r="E377" s="50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ht="12.75" customHeight="1">
      <c r="A378" s="2"/>
      <c r="B378" s="2"/>
      <c r="C378" s="2"/>
      <c r="D378" s="49"/>
      <c r="E378" s="50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ht="12.75" customHeight="1">
      <c r="A379" s="2"/>
      <c r="B379" s="2"/>
      <c r="C379" s="2"/>
      <c r="D379" s="49"/>
      <c r="E379" s="50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ht="12.75" customHeight="1">
      <c r="A380" s="2"/>
      <c r="B380" s="2"/>
      <c r="C380" s="2"/>
      <c r="D380" s="49"/>
      <c r="E380" s="50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ht="12.75" customHeight="1">
      <c r="A381" s="2"/>
      <c r="B381" s="2"/>
      <c r="C381" s="2"/>
      <c r="D381" s="49"/>
      <c r="E381" s="50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ht="12.75" customHeight="1">
      <c r="A382" s="2"/>
      <c r="B382" s="2"/>
      <c r="C382" s="2"/>
      <c r="D382" s="49"/>
      <c r="E382" s="50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ht="12.75" customHeight="1">
      <c r="A383" s="2"/>
      <c r="B383" s="2"/>
      <c r="C383" s="2"/>
      <c r="D383" s="49"/>
      <c r="E383" s="50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ht="12.75" customHeight="1">
      <c r="A384" s="2"/>
      <c r="B384" s="2"/>
      <c r="C384" s="2"/>
      <c r="D384" s="49"/>
      <c r="E384" s="50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ht="12.75" customHeight="1">
      <c r="A385" s="2"/>
      <c r="B385" s="2"/>
      <c r="C385" s="2"/>
      <c r="D385" s="49"/>
      <c r="E385" s="50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ht="12.75" customHeight="1">
      <c r="A386" s="2"/>
      <c r="B386" s="2"/>
      <c r="C386" s="2"/>
      <c r="D386" s="49"/>
      <c r="E386" s="50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ht="12.75" customHeight="1">
      <c r="A387" s="2"/>
      <c r="B387" s="2"/>
      <c r="C387" s="2"/>
      <c r="D387" s="49"/>
      <c r="E387" s="50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ht="12.75" customHeight="1">
      <c r="A388" s="2"/>
      <c r="B388" s="2"/>
      <c r="C388" s="2"/>
      <c r="D388" s="49"/>
      <c r="E388" s="50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ht="12.75" customHeight="1">
      <c r="A389" s="2"/>
      <c r="B389" s="2"/>
      <c r="C389" s="2"/>
      <c r="D389" s="49"/>
      <c r="E389" s="50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ht="12.75" customHeight="1">
      <c r="A390" s="2"/>
      <c r="B390" s="2"/>
      <c r="C390" s="2"/>
      <c r="D390" s="49"/>
      <c r="E390" s="50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ht="12.75" customHeight="1">
      <c r="A391" s="2"/>
      <c r="B391" s="2"/>
      <c r="C391" s="2"/>
      <c r="D391" s="49"/>
      <c r="E391" s="50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ht="12.75" customHeight="1">
      <c r="A392" s="2"/>
      <c r="B392" s="2"/>
      <c r="C392" s="2"/>
      <c r="D392" s="49"/>
      <c r="E392" s="50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ht="12.75" customHeight="1">
      <c r="A393" s="2"/>
      <c r="B393" s="2"/>
      <c r="C393" s="2"/>
      <c r="D393" s="49"/>
      <c r="E393" s="50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ht="12.75" customHeight="1">
      <c r="A394" s="2"/>
      <c r="B394" s="2"/>
      <c r="C394" s="2"/>
      <c r="D394" s="49"/>
      <c r="E394" s="50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ht="12.75" customHeight="1">
      <c r="A395" s="2"/>
      <c r="B395" s="2"/>
      <c r="C395" s="2"/>
      <c r="D395" s="49"/>
      <c r="E395" s="50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ht="12.75" customHeight="1">
      <c r="A396" s="2"/>
      <c r="B396" s="2"/>
      <c r="C396" s="2"/>
      <c r="D396" s="49"/>
      <c r="E396" s="50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ht="12.75" customHeight="1">
      <c r="A397" s="2"/>
      <c r="B397" s="2"/>
      <c r="C397" s="2"/>
      <c r="D397" s="49"/>
      <c r="E397" s="50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ht="12.75" customHeight="1">
      <c r="A398" s="2"/>
      <c r="B398" s="2"/>
      <c r="C398" s="2"/>
      <c r="D398" s="49"/>
      <c r="E398" s="50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ht="12.75" customHeight="1">
      <c r="A399" s="2"/>
      <c r="B399" s="2"/>
      <c r="C399" s="2"/>
      <c r="D399" s="49"/>
      <c r="E399" s="50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ht="12.75" customHeight="1">
      <c r="A400" s="2"/>
      <c r="B400" s="2"/>
      <c r="C400" s="2"/>
      <c r="D400" s="49"/>
      <c r="E400" s="50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ht="12.75" customHeight="1">
      <c r="A401" s="2"/>
      <c r="B401" s="2"/>
      <c r="C401" s="2"/>
      <c r="D401" s="49"/>
      <c r="E401" s="50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ht="12.75" customHeight="1">
      <c r="A402" s="2"/>
      <c r="B402" s="2"/>
      <c r="C402" s="2"/>
      <c r="D402" s="49"/>
      <c r="E402" s="50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ht="12.75" customHeight="1">
      <c r="A403" s="2"/>
      <c r="B403" s="2"/>
      <c r="C403" s="2"/>
      <c r="D403" s="49"/>
      <c r="E403" s="50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ht="12.75" customHeight="1">
      <c r="A404" s="2"/>
      <c r="B404" s="2"/>
      <c r="C404" s="2"/>
      <c r="D404" s="49"/>
      <c r="E404" s="50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ht="12.75" customHeight="1">
      <c r="A405" s="2"/>
      <c r="B405" s="2"/>
      <c r="C405" s="2"/>
      <c r="D405" s="49"/>
      <c r="E405" s="50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ht="12.75" customHeight="1">
      <c r="A406" s="2"/>
      <c r="B406" s="2"/>
      <c r="C406" s="2"/>
      <c r="D406" s="49"/>
      <c r="E406" s="50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ht="12.75" customHeight="1">
      <c r="A407" s="2"/>
      <c r="B407" s="2"/>
      <c r="C407" s="2"/>
      <c r="D407" s="49"/>
      <c r="E407" s="50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ht="12.75" customHeight="1">
      <c r="A408" s="2"/>
      <c r="B408" s="2"/>
      <c r="C408" s="2"/>
      <c r="D408" s="49"/>
      <c r="E408" s="50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ht="12.75" customHeight="1">
      <c r="A409" s="2"/>
      <c r="B409" s="2"/>
      <c r="C409" s="2"/>
      <c r="D409" s="49"/>
      <c r="E409" s="50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ht="12.75" customHeight="1">
      <c r="A410" s="2"/>
      <c r="B410" s="2"/>
      <c r="C410" s="2"/>
      <c r="D410" s="49"/>
      <c r="E410" s="50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ht="12.75" customHeight="1">
      <c r="A411" s="2"/>
      <c r="B411" s="2"/>
      <c r="C411" s="2"/>
      <c r="D411" s="49"/>
      <c r="E411" s="50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ht="12.75" customHeight="1">
      <c r="A412" s="2"/>
      <c r="B412" s="2"/>
      <c r="C412" s="2"/>
      <c r="D412" s="49"/>
      <c r="E412" s="50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ht="12.75" customHeight="1">
      <c r="A413" s="2"/>
      <c r="B413" s="2"/>
      <c r="C413" s="2"/>
      <c r="D413" s="49"/>
      <c r="E413" s="50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ht="12.75" customHeight="1">
      <c r="A414" s="2"/>
      <c r="B414" s="2"/>
      <c r="C414" s="2"/>
      <c r="D414" s="49"/>
      <c r="E414" s="50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ht="12.75" customHeight="1">
      <c r="A415" s="2"/>
      <c r="B415" s="2"/>
      <c r="C415" s="2"/>
      <c r="D415" s="49"/>
      <c r="E415" s="50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ht="12.75" customHeight="1">
      <c r="A416" s="2"/>
      <c r="B416" s="2"/>
      <c r="C416" s="2"/>
      <c r="D416" s="49"/>
      <c r="E416" s="50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ht="12.75" customHeight="1">
      <c r="A417" s="2"/>
      <c r="B417" s="2"/>
      <c r="C417" s="2"/>
      <c r="D417" s="49"/>
      <c r="E417" s="50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ht="12.75" customHeight="1">
      <c r="A418" s="2"/>
      <c r="B418" s="2"/>
      <c r="C418" s="2"/>
      <c r="D418" s="49"/>
      <c r="E418" s="50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ht="12.75" customHeight="1">
      <c r="A419" s="2"/>
      <c r="B419" s="2"/>
      <c r="C419" s="2"/>
      <c r="D419" s="49"/>
      <c r="E419" s="50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ht="12.75" customHeight="1">
      <c r="A420" s="2"/>
      <c r="B420" s="2"/>
      <c r="C420" s="2"/>
      <c r="D420" s="49"/>
      <c r="E420" s="50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ht="12.75" customHeight="1">
      <c r="A421" s="2"/>
      <c r="B421" s="2"/>
      <c r="C421" s="2"/>
      <c r="D421" s="49"/>
      <c r="E421" s="50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ht="12.75" customHeight="1">
      <c r="A422" s="2"/>
      <c r="B422" s="2"/>
      <c r="C422" s="2"/>
      <c r="D422" s="49"/>
      <c r="E422" s="50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ht="12.75" customHeight="1">
      <c r="A423" s="2"/>
      <c r="B423" s="2"/>
      <c r="C423" s="2"/>
      <c r="D423" s="49"/>
      <c r="E423" s="50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ht="12.75" customHeight="1">
      <c r="A424" s="2"/>
      <c r="B424" s="2"/>
      <c r="C424" s="2"/>
      <c r="D424" s="49"/>
      <c r="E424" s="50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ht="12.75" customHeight="1">
      <c r="A425" s="2"/>
      <c r="B425" s="2"/>
      <c r="C425" s="2"/>
      <c r="D425" s="49"/>
      <c r="E425" s="50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ht="12.75" customHeight="1">
      <c r="A426" s="2"/>
      <c r="B426" s="2"/>
      <c r="C426" s="2"/>
      <c r="D426" s="49"/>
      <c r="E426" s="50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ht="12.75" customHeight="1">
      <c r="A427" s="2"/>
      <c r="B427" s="2"/>
      <c r="C427" s="2"/>
      <c r="D427" s="49"/>
      <c r="E427" s="50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ht="12.75" customHeight="1">
      <c r="A428" s="2"/>
      <c r="B428" s="2"/>
      <c r="C428" s="2"/>
      <c r="D428" s="49"/>
      <c r="E428" s="50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ht="12.75" customHeight="1">
      <c r="A429" s="2"/>
      <c r="B429" s="2"/>
      <c r="C429" s="2"/>
      <c r="D429" s="49"/>
      <c r="E429" s="50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ht="12.75" customHeight="1">
      <c r="A430" s="2"/>
      <c r="B430" s="2"/>
      <c r="C430" s="2"/>
      <c r="D430" s="49"/>
      <c r="E430" s="50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ht="12.75" customHeight="1">
      <c r="A431" s="2"/>
      <c r="B431" s="2"/>
      <c r="C431" s="2"/>
      <c r="D431" s="49"/>
      <c r="E431" s="50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ht="12.75" customHeight="1">
      <c r="A432" s="2"/>
      <c r="B432" s="2"/>
      <c r="C432" s="2"/>
      <c r="D432" s="49"/>
      <c r="E432" s="50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ht="12.75" customHeight="1">
      <c r="A433" s="2"/>
      <c r="B433" s="2"/>
      <c r="C433" s="2"/>
      <c r="D433" s="49"/>
      <c r="E433" s="50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ht="12.75" customHeight="1">
      <c r="A434" s="2"/>
      <c r="B434" s="2"/>
      <c r="C434" s="2"/>
      <c r="D434" s="49"/>
      <c r="E434" s="50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ht="12.75" customHeight="1">
      <c r="A435" s="2"/>
      <c r="B435" s="2"/>
      <c r="C435" s="2"/>
      <c r="D435" s="49"/>
      <c r="E435" s="50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ht="12.75" customHeight="1">
      <c r="A436" s="2"/>
      <c r="B436" s="2"/>
      <c r="C436" s="2"/>
      <c r="D436" s="49"/>
      <c r="E436" s="50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ht="12.75" customHeight="1">
      <c r="A437" s="2"/>
      <c r="B437" s="2"/>
      <c r="C437" s="2"/>
      <c r="D437" s="49"/>
      <c r="E437" s="50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ht="12.75" customHeight="1">
      <c r="A438" s="2"/>
      <c r="B438" s="2"/>
      <c r="C438" s="2"/>
      <c r="D438" s="49"/>
      <c r="E438" s="50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ht="12.75" customHeight="1">
      <c r="A439" s="2"/>
      <c r="B439" s="2"/>
      <c r="C439" s="2"/>
      <c r="D439" s="49"/>
      <c r="E439" s="50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ht="12.75" customHeight="1">
      <c r="A440" s="2"/>
      <c r="B440" s="2"/>
      <c r="C440" s="2"/>
      <c r="D440" s="49"/>
      <c r="E440" s="50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ht="12.75" customHeight="1">
      <c r="A441" s="2"/>
      <c r="B441" s="2"/>
      <c r="C441" s="2"/>
      <c r="D441" s="49"/>
      <c r="E441" s="50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ht="12.75" customHeight="1">
      <c r="A442" s="2"/>
      <c r="B442" s="2"/>
      <c r="C442" s="2"/>
      <c r="D442" s="49"/>
      <c r="E442" s="50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ht="12.75" customHeight="1">
      <c r="A443" s="2"/>
      <c r="B443" s="2"/>
      <c r="C443" s="2"/>
      <c r="D443" s="49"/>
      <c r="E443" s="50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ht="12.75" customHeight="1">
      <c r="A444" s="2"/>
      <c r="B444" s="2"/>
      <c r="C444" s="2"/>
      <c r="D444" s="49"/>
      <c r="E444" s="50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ht="12.75" customHeight="1">
      <c r="A445" s="2"/>
      <c r="B445" s="2"/>
      <c r="C445" s="2"/>
      <c r="D445" s="49"/>
      <c r="E445" s="50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ht="12.75" customHeight="1">
      <c r="A446" s="2"/>
      <c r="B446" s="2"/>
      <c r="C446" s="2"/>
      <c r="D446" s="49"/>
      <c r="E446" s="50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ht="12.75" customHeight="1">
      <c r="A447" s="2"/>
      <c r="B447" s="2"/>
      <c r="C447" s="2"/>
      <c r="D447" s="49"/>
      <c r="E447" s="50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ht="12.75" customHeight="1">
      <c r="A448" s="2"/>
      <c r="B448" s="2"/>
      <c r="C448" s="2"/>
      <c r="D448" s="49"/>
      <c r="E448" s="50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ht="12.75" customHeight="1">
      <c r="A449" s="2"/>
      <c r="B449" s="2"/>
      <c r="C449" s="2"/>
      <c r="D449" s="49"/>
      <c r="E449" s="50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ht="12.75" customHeight="1">
      <c r="A450" s="2"/>
      <c r="B450" s="2"/>
      <c r="C450" s="2"/>
      <c r="D450" s="49"/>
      <c r="E450" s="50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ht="12.75" customHeight="1">
      <c r="A451" s="2"/>
      <c r="B451" s="2"/>
      <c r="C451" s="2"/>
      <c r="D451" s="49"/>
      <c r="E451" s="50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ht="12.75" customHeight="1">
      <c r="A452" s="2"/>
      <c r="B452" s="2"/>
      <c r="C452" s="2"/>
      <c r="D452" s="49"/>
      <c r="E452" s="50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ht="12.75" customHeight="1">
      <c r="A453" s="2"/>
      <c r="B453" s="2"/>
      <c r="C453" s="2"/>
      <c r="D453" s="49"/>
      <c r="E453" s="50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ht="12.75" customHeight="1">
      <c r="A454" s="2"/>
      <c r="B454" s="2"/>
      <c r="C454" s="2"/>
      <c r="D454" s="49"/>
      <c r="E454" s="50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ht="12.75" customHeight="1">
      <c r="A455" s="2"/>
      <c r="B455" s="2"/>
      <c r="C455" s="2"/>
      <c r="D455" s="49"/>
      <c r="E455" s="50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ht="12.75" customHeight="1">
      <c r="A456" s="2"/>
      <c r="B456" s="2"/>
      <c r="C456" s="2"/>
      <c r="D456" s="49"/>
      <c r="E456" s="50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ht="12.75" customHeight="1">
      <c r="A457" s="2"/>
      <c r="B457" s="2"/>
      <c r="C457" s="2"/>
      <c r="D457" s="49"/>
      <c r="E457" s="50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ht="12.75" customHeight="1">
      <c r="A458" s="2"/>
      <c r="B458" s="2"/>
      <c r="C458" s="2"/>
      <c r="D458" s="49"/>
      <c r="E458" s="50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ht="12.75" customHeight="1">
      <c r="A459" s="2"/>
      <c r="B459" s="2"/>
      <c r="C459" s="2"/>
      <c r="D459" s="49"/>
      <c r="E459" s="50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ht="12.75" customHeight="1">
      <c r="A460" s="2"/>
      <c r="B460" s="2"/>
      <c r="C460" s="2"/>
      <c r="D460" s="49"/>
      <c r="E460" s="50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ht="12.75" customHeight="1">
      <c r="A461" s="2"/>
      <c r="B461" s="2"/>
      <c r="C461" s="2"/>
      <c r="D461" s="49"/>
      <c r="E461" s="50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ht="12.75" customHeight="1">
      <c r="A462" s="2"/>
      <c r="B462" s="2"/>
      <c r="C462" s="2"/>
      <c r="D462" s="49"/>
      <c r="E462" s="50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ht="12.75" customHeight="1">
      <c r="A463" s="2"/>
      <c r="B463" s="2"/>
      <c r="C463" s="2"/>
      <c r="D463" s="49"/>
      <c r="E463" s="50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ht="12.75" customHeight="1">
      <c r="A464" s="2"/>
      <c r="B464" s="2"/>
      <c r="C464" s="2"/>
      <c r="D464" s="49"/>
      <c r="E464" s="50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ht="12.75" customHeight="1">
      <c r="A465" s="2"/>
      <c r="B465" s="2"/>
      <c r="C465" s="2"/>
      <c r="D465" s="49"/>
      <c r="E465" s="50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ht="12.75" customHeight="1">
      <c r="A466" s="2"/>
      <c r="B466" s="2"/>
      <c r="C466" s="2"/>
      <c r="D466" s="49"/>
      <c r="E466" s="50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ht="12.75" customHeight="1">
      <c r="A467" s="2"/>
      <c r="B467" s="2"/>
      <c r="C467" s="2"/>
      <c r="D467" s="49"/>
      <c r="E467" s="50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ht="12.75" customHeight="1">
      <c r="A468" s="2"/>
      <c r="B468" s="2"/>
      <c r="C468" s="2"/>
      <c r="D468" s="49"/>
      <c r="E468" s="50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ht="12.75" customHeight="1">
      <c r="A469" s="2"/>
      <c r="B469" s="2"/>
      <c r="C469" s="2"/>
      <c r="D469" s="49"/>
      <c r="E469" s="50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ht="12.75" customHeight="1">
      <c r="A470" s="2"/>
      <c r="B470" s="2"/>
      <c r="C470" s="2"/>
      <c r="D470" s="49"/>
      <c r="E470" s="50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ht="12.75" customHeight="1">
      <c r="A471" s="2"/>
      <c r="B471" s="2"/>
      <c r="C471" s="2"/>
      <c r="D471" s="49"/>
      <c r="E471" s="50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ht="12.75" customHeight="1">
      <c r="A472" s="2"/>
      <c r="B472" s="2"/>
      <c r="C472" s="2"/>
      <c r="D472" s="49"/>
      <c r="E472" s="50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ht="12.75" customHeight="1">
      <c r="A473" s="2"/>
      <c r="B473" s="2"/>
      <c r="C473" s="2"/>
      <c r="D473" s="49"/>
      <c r="E473" s="50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ht="12.75" customHeight="1">
      <c r="A474" s="2"/>
      <c r="B474" s="2"/>
      <c r="C474" s="2"/>
      <c r="D474" s="49"/>
      <c r="E474" s="50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ht="12.75" customHeight="1">
      <c r="A475" s="2"/>
      <c r="B475" s="2"/>
      <c r="C475" s="2"/>
      <c r="D475" s="49"/>
      <c r="E475" s="50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ht="12.75" customHeight="1">
      <c r="A476" s="2"/>
      <c r="B476" s="2"/>
      <c r="C476" s="2"/>
      <c r="D476" s="49"/>
      <c r="E476" s="50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ht="12.75" customHeight="1">
      <c r="A477" s="2"/>
      <c r="B477" s="2"/>
      <c r="C477" s="2"/>
      <c r="D477" s="49"/>
      <c r="E477" s="50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ht="12.75" customHeight="1">
      <c r="A478" s="2"/>
      <c r="B478" s="2"/>
      <c r="C478" s="2"/>
      <c r="D478" s="49"/>
      <c r="E478" s="50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ht="12.75" customHeight="1">
      <c r="A479" s="2"/>
      <c r="B479" s="2"/>
      <c r="C479" s="2"/>
      <c r="D479" s="49"/>
      <c r="E479" s="50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ht="12.75" customHeight="1">
      <c r="A480" s="2"/>
      <c r="B480" s="2"/>
      <c r="C480" s="2"/>
      <c r="D480" s="49"/>
      <c r="E480" s="50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ht="12.75" customHeight="1">
      <c r="A481" s="2"/>
      <c r="B481" s="2"/>
      <c r="C481" s="2"/>
      <c r="D481" s="49"/>
      <c r="E481" s="50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ht="12.75" customHeight="1">
      <c r="A482" s="2"/>
      <c r="B482" s="2"/>
      <c r="C482" s="2"/>
      <c r="D482" s="49"/>
      <c r="E482" s="50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ht="12.75" customHeight="1">
      <c r="A483" s="2"/>
      <c r="B483" s="2"/>
      <c r="C483" s="2"/>
      <c r="D483" s="49"/>
      <c r="E483" s="50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ht="12.75" customHeight="1">
      <c r="A484" s="2"/>
      <c r="B484" s="2"/>
      <c r="C484" s="2"/>
      <c r="D484" s="49"/>
      <c r="E484" s="50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ht="12.75" customHeight="1">
      <c r="A485" s="2"/>
      <c r="B485" s="2"/>
      <c r="C485" s="2"/>
      <c r="D485" s="49"/>
      <c r="E485" s="50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ht="12.75" customHeight="1">
      <c r="A486" s="2"/>
      <c r="B486" s="2"/>
      <c r="C486" s="2"/>
      <c r="D486" s="49"/>
      <c r="E486" s="50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ht="12.75" customHeight="1">
      <c r="A487" s="2"/>
      <c r="B487" s="2"/>
      <c r="C487" s="2"/>
      <c r="D487" s="49"/>
      <c r="E487" s="50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ht="12.75" customHeight="1">
      <c r="A488" s="2"/>
      <c r="B488" s="2"/>
      <c r="C488" s="2"/>
      <c r="D488" s="49"/>
      <c r="E488" s="50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ht="12.75" customHeight="1">
      <c r="A489" s="2"/>
      <c r="B489" s="2"/>
      <c r="C489" s="2"/>
      <c r="D489" s="49"/>
      <c r="E489" s="50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ht="12.75" customHeight="1">
      <c r="A490" s="2"/>
      <c r="B490" s="2"/>
      <c r="C490" s="2"/>
      <c r="D490" s="49"/>
      <c r="E490" s="50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ht="12.75" customHeight="1">
      <c r="A491" s="2"/>
      <c r="B491" s="2"/>
      <c r="C491" s="2"/>
      <c r="D491" s="49"/>
      <c r="E491" s="50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ht="12.75" customHeight="1">
      <c r="A492" s="2"/>
      <c r="B492" s="2"/>
      <c r="C492" s="2"/>
      <c r="D492" s="49"/>
      <c r="E492" s="50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ht="12.75" customHeight="1">
      <c r="A493" s="2"/>
      <c r="B493" s="2"/>
      <c r="C493" s="2"/>
      <c r="D493" s="49"/>
      <c r="E493" s="50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ht="12.75" customHeight="1">
      <c r="A494" s="2"/>
      <c r="B494" s="2"/>
      <c r="C494" s="2"/>
      <c r="D494" s="49"/>
      <c r="E494" s="50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ht="12.75" customHeight="1">
      <c r="A495" s="2"/>
      <c r="B495" s="2"/>
      <c r="C495" s="2"/>
      <c r="D495" s="49"/>
      <c r="E495" s="50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ht="12.75" customHeight="1">
      <c r="A496" s="2"/>
      <c r="B496" s="2"/>
      <c r="C496" s="2"/>
      <c r="D496" s="49"/>
      <c r="E496" s="50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ht="12.75" customHeight="1">
      <c r="A497" s="2"/>
      <c r="B497" s="2"/>
      <c r="C497" s="2"/>
      <c r="D497" s="49"/>
      <c r="E497" s="50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ht="12.75" customHeight="1">
      <c r="A498" s="2"/>
      <c r="B498" s="2"/>
      <c r="C498" s="2"/>
      <c r="D498" s="49"/>
      <c r="E498" s="50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ht="12.75" customHeight="1">
      <c r="A499" s="2"/>
      <c r="B499" s="2"/>
      <c r="C499" s="2"/>
      <c r="D499" s="49"/>
      <c r="E499" s="50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ht="12.75" customHeight="1">
      <c r="A500" s="2"/>
      <c r="B500" s="2"/>
      <c r="C500" s="2"/>
      <c r="D500" s="49"/>
      <c r="E500" s="50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ht="12.75" customHeight="1">
      <c r="A501" s="2"/>
      <c r="B501" s="2"/>
      <c r="C501" s="2"/>
      <c r="D501" s="49"/>
      <c r="E501" s="50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ht="12.75" customHeight="1">
      <c r="A502" s="2"/>
      <c r="B502" s="2"/>
      <c r="C502" s="2"/>
      <c r="D502" s="49"/>
      <c r="E502" s="50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ht="12.75" customHeight="1">
      <c r="A503" s="2"/>
      <c r="B503" s="2"/>
      <c r="C503" s="2"/>
      <c r="D503" s="49"/>
      <c r="E503" s="50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ht="12.75" customHeight="1">
      <c r="A504" s="2"/>
      <c r="B504" s="2"/>
      <c r="C504" s="2"/>
      <c r="D504" s="49"/>
      <c r="E504" s="50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ht="12.75" customHeight="1">
      <c r="A505" s="2"/>
      <c r="B505" s="2"/>
      <c r="C505" s="2"/>
      <c r="D505" s="49"/>
      <c r="E505" s="50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ht="12.75" customHeight="1">
      <c r="A506" s="2"/>
      <c r="B506" s="2"/>
      <c r="C506" s="2"/>
      <c r="D506" s="49"/>
      <c r="E506" s="50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ht="12.75" customHeight="1">
      <c r="A507" s="2"/>
      <c r="B507" s="2"/>
      <c r="C507" s="2"/>
      <c r="D507" s="49"/>
      <c r="E507" s="50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ht="12.75" customHeight="1">
      <c r="A508" s="2"/>
      <c r="B508" s="2"/>
      <c r="C508" s="2"/>
      <c r="D508" s="49"/>
      <c r="E508" s="50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ht="12.75" customHeight="1">
      <c r="A509" s="2"/>
      <c r="B509" s="2"/>
      <c r="C509" s="2"/>
      <c r="D509" s="49"/>
      <c r="E509" s="50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ht="12.75" customHeight="1">
      <c r="A510" s="2"/>
      <c r="B510" s="2"/>
      <c r="C510" s="2"/>
      <c r="D510" s="49"/>
      <c r="E510" s="50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ht="12.75" customHeight="1">
      <c r="A511" s="2"/>
      <c r="B511" s="2"/>
      <c r="C511" s="2"/>
      <c r="D511" s="49"/>
      <c r="E511" s="50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ht="12.75" customHeight="1">
      <c r="A512" s="2"/>
      <c r="B512" s="2"/>
      <c r="C512" s="2"/>
      <c r="D512" s="49"/>
      <c r="E512" s="50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ht="12.75" customHeight="1">
      <c r="A513" s="2"/>
      <c r="B513" s="2"/>
      <c r="C513" s="2"/>
      <c r="D513" s="49"/>
      <c r="E513" s="50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ht="12.75" customHeight="1">
      <c r="A514" s="2"/>
      <c r="B514" s="2"/>
      <c r="C514" s="2"/>
      <c r="D514" s="49"/>
      <c r="E514" s="50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ht="12.75" customHeight="1">
      <c r="A515" s="2"/>
      <c r="B515" s="2"/>
      <c r="C515" s="2"/>
      <c r="D515" s="49"/>
      <c r="E515" s="50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ht="12.75" customHeight="1">
      <c r="A516" s="2"/>
      <c r="B516" s="2"/>
      <c r="C516" s="2"/>
      <c r="D516" s="49"/>
      <c r="E516" s="50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ht="12.75" customHeight="1">
      <c r="A517" s="2"/>
      <c r="B517" s="2"/>
      <c r="C517" s="2"/>
      <c r="D517" s="49"/>
      <c r="E517" s="50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ht="12.75" customHeight="1">
      <c r="A518" s="2"/>
      <c r="B518" s="2"/>
      <c r="C518" s="2"/>
      <c r="D518" s="49"/>
      <c r="E518" s="50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ht="12.75" customHeight="1">
      <c r="A519" s="2"/>
      <c r="B519" s="2"/>
      <c r="C519" s="2"/>
      <c r="D519" s="49"/>
      <c r="E519" s="50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ht="12.75" customHeight="1">
      <c r="A520" s="2"/>
      <c r="B520" s="2"/>
      <c r="C520" s="2"/>
      <c r="D520" s="49"/>
      <c r="E520" s="50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ht="12.75" customHeight="1">
      <c r="A521" s="2"/>
      <c r="B521" s="2"/>
      <c r="C521" s="2"/>
      <c r="D521" s="49"/>
      <c r="E521" s="50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ht="12.75" customHeight="1">
      <c r="A522" s="2"/>
      <c r="B522" s="2"/>
      <c r="C522" s="2"/>
      <c r="D522" s="49"/>
      <c r="E522" s="50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ht="12.75" customHeight="1">
      <c r="A523" s="2"/>
      <c r="B523" s="2"/>
      <c r="C523" s="2"/>
      <c r="D523" s="49"/>
      <c r="E523" s="50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ht="12.75" customHeight="1">
      <c r="A524" s="2"/>
      <c r="B524" s="2"/>
      <c r="C524" s="2"/>
      <c r="D524" s="49"/>
      <c r="E524" s="50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ht="12.75" customHeight="1">
      <c r="A525" s="2"/>
      <c r="B525" s="2"/>
      <c r="C525" s="2"/>
      <c r="D525" s="49"/>
      <c r="E525" s="50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ht="12.75" customHeight="1">
      <c r="A526" s="2"/>
      <c r="B526" s="2"/>
      <c r="C526" s="2"/>
      <c r="D526" s="49"/>
      <c r="E526" s="50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ht="12.75" customHeight="1">
      <c r="A527" s="2"/>
      <c r="B527" s="2"/>
      <c r="C527" s="2"/>
      <c r="D527" s="49"/>
      <c r="E527" s="50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ht="12.75" customHeight="1">
      <c r="A528" s="2"/>
      <c r="B528" s="2"/>
      <c r="C528" s="2"/>
      <c r="D528" s="49"/>
      <c r="E528" s="50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ht="12.75" customHeight="1">
      <c r="A529" s="2"/>
      <c r="B529" s="2"/>
      <c r="C529" s="2"/>
      <c r="D529" s="49"/>
      <c r="E529" s="50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ht="12.75" customHeight="1">
      <c r="A530" s="2"/>
      <c r="B530" s="2"/>
      <c r="C530" s="2"/>
      <c r="D530" s="49"/>
      <c r="E530" s="50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ht="12.75" customHeight="1">
      <c r="A531" s="2"/>
      <c r="B531" s="2"/>
      <c r="C531" s="2"/>
      <c r="D531" s="49"/>
      <c r="E531" s="50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ht="12.75" customHeight="1">
      <c r="A532" s="2"/>
      <c r="B532" s="2"/>
      <c r="C532" s="2"/>
      <c r="D532" s="49"/>
      <c r="E532" s="50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ht="12.75" customHeight="1">
      <c r="A533" s="2"/>
      <c r="B533" s="2"/>
      <c r="C533" s="2"/>
      <c r="D533" s="49"/>
      <c r="E533" s="50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ht="12.75" customHeight="1">
      <c r="A534" s="2"/>
      <c r="B534" s="2"/>
      <c r="C534" s="2"/>
      <c r="D534" s="49"/>
      <c r="E534" s="50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ht="12.75" customHeight="1">
      <c r="A535" s="2"/>
      <c r="B535" s="2"/>
      <c r="C535" s="2"/>
      <c r="D535" s="49"/>
      <c r="E535" s="50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ht="12.75" customHeight="1">
      <c r="A536" s="2"/>
      <c r="B536" s="2"/>
      <c r="C536" s="2"/>
      <c r="D536" s="49"/>
      <c r="E536" s="50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ht="12.75" customHeight="1">
      <c r="A537" s="2"/>
      <c r="B537" s="2"/>
      <c r="C537" s="2"/>
      <c r="D537" s="49"/>
      <c r="E537" s="50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ht="12.75" customHeight="1">
      <c r="A538" s="2"/>
      <c r="B538" s="2"/>
      <c r="C538" s="2"/>
      <c r="D538" s="49"/>
      <c r="E538" s="50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ht="12.75" customHeight="1">
      <c r="A539" s="2"/>
      <c r="B539" s="2"/>
      <c r="C539" s="2"/>
      <c r="D539" s="49"/>
      <c r="E539" s="50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ht="12.75" customHeight="1">
      <c r="A540" s="2"/>
      <c r="B540" s="2"/>
      <c r="C540" s="2"/>
      <c r="D540" s="49"/>
      <c r="E540" s="50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ht="12.75" customHeight="1">
      <c r="A541" s="2"/>
      <c r="B541" s="2"/>
      <c r="C541" s="2"/>
      <c r="D541" s="49"/>
      <c r="E541" s="50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ht="12.75" customHeight="1">
      <c r="A542" s="2"/>
      <c r="B542" s="2"/>
      <c r="C542" s="2"/>
      <c r="D542" s="49"/>
      <c r="E542" s="50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ht="12.75" customHeight="1">
      <c r="A543" s="2"/>
      <c r="B543" s="2"/>
      <c r="C543" s="2"/>
      <c r="D543" s="49"/>
      <c r="E543" s="50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ht="12.75" customHeight="1">
      <c r="A544" s="2"/>
      <c r="B544" s="2"/>
      <c r="C544" s="2"/>
      <c r="D544" s="49"/>
      <c r="E544" s="50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ht="12.75" customHeight="1">
      <c r="A545" s="2"/>
      <c r="B545" s="2"/>
      <c r="C545" s="2"/>
      <c r="D545" s="49"/>
      <c r="E545" s="50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ht="12.75" customHeight="1">
      <c r="A546" s="2"/>
      <c r="B546" s="2"/>
      <c r="C546" s="2"/>
      <c r="D546" s="49"/>
      <c r="E546" s="50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ht="12.75" customHeight="1">
      <c r="A547" s="2"/>
      <c r="B547" s="2"/>
      <c r="C547" s="2"/>
      <c r="D547" s="49"/>
      <c r="E547" s="50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ht="12.75" customHeight="1">
      <c r="A548" s="2"/>
      <c r="B548" s="2"/>
      <c r="C548" s="2"/>
      <c r="D548" s="49"/>
      <c r="E548" s="50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ht="12.75" customHeight="1">
      <c r="A549" s="2"/>
      <c r="B549" s="2"/>
      <c r="C549" s="2"/>
      <c r="D549" s="49"/>
      <c r="E549" s="50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ht="12.75" customHeight="1">
      <c r="A550" s="2"/>
      <c r="B550" s="2"/>
      <c r="C550" s="2"/>
      <c r="D550" s="49"/>
      <c r="E550" s="50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ht="12.75" customHeight="1">
      <c r="A551" s="2"/>
      <c r="B551" s="2"/>
      <c r="C551" s="2"/>
      <c r="D551" s="49"/>
      <c r="E551" s="50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ht="12.75" customHeight="1">
      <c r="A552" s="2"/>
      <c r="B552" s="2"/>
      <c r="C552" s="2"/>
      <c r="D552" s="49"/>
      <c r="E552" s="50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ht="12.75" customHeight="1">
      <c r="A553" s="2"/>
      <c r="B553" s="2"/>
      <c r="C553" s="2"/>
      <c r="D553" s="49"/>
      <c r="E553" s="50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ht="12.75" customHeight="1">
      <c r="A554" s="2"/>
      <c r="B554" s="2"/>
      <c r="C554" s="2"/>
      <c r="D554" s="49"/>
      <c r="E554" s="50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ht="12.75" customHeight="1">
      <c r="A555" s="2"/>
      <c r="B555" s="2"/>
      <c r="C555" s="2"/>
      <c r="D555" s="49"/>
      <c r="E555" s="50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ht="12.75" customHeight="1">
      <c r="A556" s="2"/>
      <c r="B556" s="2"/>
      <c r="C556" s="2"/>
      <c r="D556" s="49"/>
      <c r="E556" s="50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ht="12.75" customHeight="1">
      <c r="A557" s="2"/>
      <c r="B557" s="2"/>
      <c r="C557" s="2"/>
      <c r="D557" s="49"/>
      <c r="E557" s="50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ht="12.75" customHeight="1">
      <c r="A558" s="2"/>
      <c r="B558" s="2"/>
      <c r="C558" s="2"/>
      <c r="D558" s="49"/>
      <c r="E558" s="50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ht="12.75" customHeight="1">
      <c r="A559" s="2"/>
      <c r="B559" s="2"/>
      <c r="C559" s="2"/>
      <c r="D559" s="49"/>
      <c r="E559" s="50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ht="12.75" customHeight="1">
      <c r="A560" s="2"/>
      <c r="B560" s="2"/>
      <c r="C560" s="2"/>
      <c r="D560" s="49"/>
      <c r="E560" s="50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ht="12.75" customHeight="1">
      <c r="A561" s="2"/>
      <c r="B561" s="2"/>
      <c r="C561" s="2"/>
      <c r="D561" s="49"/>
      <c r="E561" s="50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ht="12.75" customHeight="1">
      <c r="A562" s="2"/>
      <c r="B562" s="2"/>
      <c r="C562" s="2"/>
      <c r="D562" s="49"/>
      <c r="E562" s="50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ht="12.75" customHeight="1">
      <c r="A563" s="2"/>
      <c r="B563" s="2"/>
      <c r="C563" s="2"/>
      <c r="D563" s="49"/>
      <c r="E563" s="50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ht="12.75" customHeight="1">
      <c r="A564" s="2"/>
      <c r="B564" s="2"/>
      <c r="C564" s="2"/>
      <c r="D564" s="49"/>
      <c r="E564" s="50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ht="12.75" customHeight="1">
      <c r="A565" s="2"/>
      <c r="B565" s="2"/>
      <c r="C565" s="2"/>
      <c r="D565" s="49"/>
      <c r="E565" s="50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ht="12.75" customHeight="1">
      <c r="A566" s="2"/>
      <c r="B566" s="2"/>
      <c r="C566" s="2"/>
      <c r="D566" s="49"/>
      <c r="E566" s="50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ht="12.75" customHeight="1">
      <c r="A567" s="2"/>
      <c r="B567" s="2"/>
      <c r="C567" s="2"/>
      <c r="D567" s="49"/>
      <c r="E567" s="50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ht="12.75" customHeight="1">
      <c r="A568" s="2"/>
      <c r="B568" s="2"/>
      <c r="C568" s="2"/>
      <c r="D568" s="49"/>
      <c r="E568" s="50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ht="12.75" customHeight="1">
      <c r="A569" s="2"/>
      <c r="B569" s="2"/>
      <c r="C569" s="2"/>
      <c r="D569" s="49"/>
      <c r="E569" s="50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ht="12.75" customHeight="1">
      <c r="A570" s="2"/>
      <c r="B570" s="2"/>
      <c r="C570" s="2"/>
      <c r="D570" s="49"/>
      <c r="E570" s="50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ht="12.75" customHeight="1">
      <c r="A571" s="2"/>
      <c r="B571" s="2"/>
      <c r="C571" s="2"/>
      <c r="D571" s="49"/>
      <c r="E571" s="50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ht="12.75" customHeight="1">
      <c r="A572" s="2"/>
      <c r="B572" s="2"/>
      <c r="C572" s="2"/>
      <c r="D572" s="49"/>
      <c r="E572" s="50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ht="12.75" customHeight="1">
      <c r="A573" s="2"/>
      <c r="B573" s="2"/>
      <c r="C573" s="2"/>
      <c r="D573" s="49"/>
      <c r="E573" s="50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ht="12.75" customHeight="1">
      <c r="A574" s="2"/>
      <c r="B574" s="2"/>
      <c r="C574" s="2"/>
      <c r="D574" s="49"/>
      <c r="E574" s="50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ht="12.75" customHeight="1">
      <c r="A575" s="2"/>
      <c r="B575" s="2"/>
      <c r="C575" s="2"/>
      <c r="D575" s="49"/>
      <c r="E575" s="50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ht="12.75" customHeight="1">
      <c r="A576" s="2"/>
      <c r="B576" s="2"/>
      <c r="C576" s="2"/>
      <c r="D576" s="49"/>
      <c r="E576" s="50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ht="12.75" customHeight="1">
      <c r="A577" s="2"/>
      <c r="B577" s="2"/>
      <c r="C577" s="2"/>
      <c r="D577" s="49"/>
      <c r="E577" s="50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ht="12.75" customHeight="1">
      <c r="A578" s="2"/>
      <c r="B578" s="2"/>
      <c r="C578" s="2"/>
      <c r="D578" s="49"/>
      <c r="E578" s="50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ht="12.75" customHeight="1">
      <c r="A579" s="2"/>
      <c r="B579" s="2"/>
      <c r="C579" s="2"/>
      <c r="D579" s="49"/>
      <c r="E579" s="50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ht="12.75" customHeight="1">
      <c r="A580" s="2"/>
      <c r="B580" s="2"/>
      <c r="C580" s="2"/>
      <c r="D580" s="49"/>
      <c r="E580" s="50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ht="12.75" customHeight="1">
      <c r="A581" s="2"/>
      <c r="B581" s="2"/>
      <c r="C581" s="2"/>
      <c r="D581" s="49"/>
      <c r="E581" s="50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ht="12.75" customHeight="1">
      <c r="A582" s="2"/>
      <c r="B582" s="2"/>
      <c r="C582" s="2"/>
      <c r="D582" s="49"/>
      <c r="E582" s="50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ht="12.75" customHeight="1">
      <c r="A583" s="2"/>
      <c r="B583" s="2"/>
      <c r="C583" s="2"/>
      <c r="D583" s="49"/>
      <c r="E583" s="50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ht="12.75" customHeight="1">
      <c r="A584" s="2"/>
      <c r="B584" s="2"/>
      <c r="C584" s="2"/>
      <c r="D584" s="49"/>
      <c r="E584" s="50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ht="12.75" customHeight="1">
      <c r="A585" s="2"/>
      <c r="B585" s="2"/>
      <c r="C585" s="2"/>
      <c r="D585" s="49"/>
      <c r="E585" s="50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ht="12.75" customHeight="1">
      <c r="A586" s="2"/>
      <c r="B586" s="2"/>
      <c r="C586" s="2"/>
      <c r="D586" s="49"/>
      <c r="E586" s="50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ht="12.75" customHeight="1">
      <c r="A587" s="2"/>
      <c r="B587" s="2"/>
      <c r="C587" s="2"/>
      <c r="D587" s="49"/>
      <c r="E587" s="50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ht="12.75" customHeight="1">
      <c r="A588" s="2"/>
      <c r="B588" s="2"/>
      <c r="C588" s="2"/>
      <c r="D588" s="49"/>
      <c r="E588" s="50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ht="12.75" customHeight="1">
      <c r="A589" s="2"/>
      <c r="B589" s="2"/>
      <c r="C589" s="2"/>
      <c r="D589" s="49"/>
      <c r="E589" s="50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ht="12.75" customHeight="1">
      <c r="A590" s="2"/>
      <c r="B590" s="2"/>
      <c r="C590" s="2"/>
      <c r="D590" s="49"/>
      <c r="E590" s="50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ht="12.75" customHeight="1">
      <c r="A591" s="2"/>
      <c r="B591" s="2"/>
      <c r="C591" s="2"/>
      <c r="D591" s="49"/>
      <c r="E591" s="50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ht="12.75" customHeight="1">
      <c r="A592" s="2"/>
      <c r="B592" s="2"/>
      <c r="C592" s="2"/>
      <c r="D592" s="49"/>
      <c r="E592" s="50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ht="12.75" customHeight="1">
      <c r="A593" s="2"/>
      <c r="B593" s="2"/>
      <c r="C593" s="2"/>
      <c r="D593" s="49"/>
      <c r="E593" s="50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ht="12.75" customHeight="1">
      <c r="A594" s="2"/>
      <c r="B594" s="2"/>
      <c r="C594" s="2"/>
      <c r="D594" s="49"/>
      <c r="E594" s="50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ht="12.75" customHeight="1">
      <c r="A595" s="2"/>
      <c r="B595" s="2"/>
      <c r="C595" s="2"/>
      <c r="D595" s="49"/>
      <c r="E595" s="50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ht="12.75" customHeight="1">
      <c r="A596" s="2"/>
      <c r="B596" s="2"/>
      <c r="C596" s="2"/>
      <c r="D596" s="49"/>
      <c r="E596" s="50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ht="12.75" customHeight="1">
      <c r="A597" s="2"/>
      <c r="B597" s="2"/>
      <c r="C597" s="2"/>
      <c r="D597" s="49"/>
      <c r="E597" s="50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ht="12.75" customHeight="1">
      <c r="A598" s="2"/>
      <c r="B598" s="2"/>
      <c r="C598" s="2"/>
      <c r="D598" s="49"/>
      <c r="E598" s="50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ht="12.75" customHeight="1">
      <c r="A599" s="2"/>
      <c r="B599" s="2"/>
      <c r="C599" s="2"/>
      <c r="D599" s="49"/>
      <c r="E599" s="50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ht="12.75" customHeight="1">
      <c r="A600" s="2"/>
      <c r="B600" s="2"/>
      <c r="C600" s="2"/>
      <c r="D600" s="49"/>
      <c r="E600" s="50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ht="12.75" customHeight="1">
      <c r="A601" s="2"/>
      <c r="B601" s="2"/>
      <c r="C601" s="2"/>
      <c r="D601" s="49"/>
      <c r="E601" s="50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ht="12.75" customHeight="1">
      <c r="A602" s="2"/>
      <c r="B602" s="2"/>
      <c r="C602" s="2"/>
      <c r="D602" s="49"/>
      <c r="E602" s="50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ht="12.75" customHeight="1">
      <c r="A603" s="2"/>
      <c r="B603" s="2"/>
      <c r="C603" s="2"/>
      <c r="D603" s="49"/>
      <c r="E603" s="50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ht="12.75" customHeight="1">
      <c r="A604" s="2"/>
      <c r="B604" s="2"/>
      <c r="C604" s="2"/>
      <c r="D604" s="49"/>
      <c r="E604" s="50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ht="12.75" customHeight="1">
      <c r="A605" s="2"/>
      <c r="B605" s="2"/>
      <c r="C605" s="2"/>
      <c r="D605" s="49"/>
      <c r="E605" s="50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ht="12.75" customHeight="1">
      <c r="A606" s="2"/>
      <c r="B606" s="2"/>
      <c r="C606" s="2"/>
      <c r="D606" s="49"/>
      <c r="E606" s="50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ht="12.75" customHeight="1">
      <c r="A607" s="2"/>
      <c r="B607" s="2"/>
      <c r="C607" s="2"/>
      <c r="D607" s="49"/>
      <c r="E607" s="50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ht="12.75" customHeight="1">
      <c r="A608" s="2"/>
      <c r="B608" s="2"/>
      <c r="C608" s="2"/>
      <c r="D608" s="49"/>
      <c r="E608" s="50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ht="12.75" customHeight="1">
      <c r="A609" s="2"/>
      <c r="B609" s="2"/>
      <c r="C609" s="2"/>
      <c r="D609" s="49"/>
      <c r="E609" s="50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ht="12.75" customHeight="1">
      <c r="A610" s="2"/>
      <c r="B610" s="2"/>
      <c r="C610" s="2"/>
      <c r="D610" s="49"/>
      <c r="E610" s="50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ht="12.75" customHeight="1">
      <c r="A611" s="2"/>
      <c r="B611" s="2"/>
      <c r="C611" s="2"/>
      <c r="D611" s="49"/>
      <c r="E611" s="50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ht="12.75" customHeight="1">
      <c r="A612" s="2"/>
      <c r="B612" s="2"/>
      <c r="C612" s="2"/>
      <c r="D612" s="49"/>
      <c r="E612" s="50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ht="12.75" customHeight="1">
      <c r="A613" s="2"/>
      <c r="B613" s="2"/>
      <c r="C613" s="2"/>
      <c r="D613" s="49"/>
      <c r="E613" s="50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ht="12.75" customHeight="1">
      <c r="A614" s="2"/>
      <c r="B614" s="2"/>
      <c r="C614" s="2"/>
      <c r="D614" s="49"/>
      <c r="E614" s="50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ht="12.75" customHeight="1">
      <c r="A615" s="2"/>
      <c r="B615" s="2"/>
      <c r="C615" s="2"/>
      <c r="D615" s="49"/>
      <c r="E615" s="50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ht="12.75" customHeight="1">
      <c r="A616" s="2"/>
      <c r="B616" s="2"/>
      <c r="C616" s="2"/>
      <c r="D616" s="49"/>
      <c r="E616" s="50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ht="12.75" customHeight="1">
      <c r="A617" s="2"/>
      <c r="B617" s="2"/>
      <c r="C617" s="2"/>
      <c r="D617" s="49"/>
      <c r="E617" s="50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ht="12.75" customHeight="1">
      <c r="A618" s="2"/>
      <c r="B618" s="2"/>
      <c r="C618" s="2"/>
      <c r="D618" s="49"/>
      <c r="E618" s="50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ht="12.75" customHeight="1">
      <c r="A619" s="2"/>
      <c r="B619" s="2"/>
      <c r="C619" s="2"/>
      <c r="D619" s="49"/>
      <c r="E619" s="50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ht="12.75" customHeight="1">
      <c r="A620" s="2"/>
      <c r="B620" s="2"/>
      <c r="C620" s="2"/>
      <c r="D620" s="49"/>
      <c r="E620" s="50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ht="12.75" customHeight="1">
      <c r="A621" s="2"/>
      <c r="B621" s="2"/>
      <c r="C621" s="2"/>
      <c r="D621" s="49"/>
      <c r="E621" s="50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ht="12.75" customHeight="1">
      <c r="A622" s="2"/>
      <c r="B622" s="2"/>
      <c r="C622" s="2"/>
      <c r="D622" s="49"/>
      <c r="E622" s="50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ht="12.75" customHeight="1">
      <c r="A623" s="2"/>
      <c r="B623" s="2"/>
      <c r="C623" s="2"/>
      <c r="D623" s="49"/>
      <c r="E623" s="50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ht="12.75" customHeight="1">
      <c r="A624" s="2"/>
      <c r="B624" s="2"/>
      <c r="C624" s="2"/>
      <c r="D624" s="49"/>
      <c r="E624" s="50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ht="12.75" customHeight="1">
      <c r="A625" s="2"/>
      <c r="B625" s="2"/>
      <c r="C625" s="2"/>
      <c r="D625" s="49"/>
      <c r="E625" s="50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ht="12.75" customHeight="1">
      <c r="A626" s="2"/>
      <c r="B626" s="2"/>
      <c r="C626" s="2"/>
      <c r="D626" s="49"/>
      <c r="E626" s="50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ht="12.75" customHeight="1">
      <c r="A627" s="2"/>
      <c r="B627" s="2"/>
      <c r="C627" s="2"/>
      <c r="D627" s="49"/>
      <c r="E627" s="50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ht="12.75" customHeight="1">
      <c r="A628" s="2"/>
      <c r="B628" s="2"/>
      <c r="C628" s="2"/>
      <c r="D628" s="49"/>
      <c r="E628" s="50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ht="12.75" customHeight="1">
      <c r="A629" s="2"/>
      <c r="B629" s="2"/>
      <c r="C629" s="2"/>
      <c r="D629" s="49"/>
      <c r="E629" s="50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ht="12.75" customHeight="1">
      <c r="A630" s="2"/>
      <c r="B630" s="2"/>
      <c r="C630" s="2"/>
      <c r="D630" s="49"/>
      <c r="E630" s="50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ht="12.75" customHeight="1">
      <c r="A631" s="2"/>
      <c r="B631" s="2"/>
      <c r="C631" s="2"/>
      <c r="D631" s="49"/>
      <c r="E631" s="50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ht="12.75" customHeight="1">
      <c r="A632" s="2"/>
      <c r="B632" s="2"/>
      <c r="C632" s="2"/>
      <c r="D632" s="49"/>
      <c r="E632" s="50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ht="12.75" customHeight="1">
      <c r="A633" s="2"/>
      <c r="B633" s="2"/>
      <c r="C633" s="2"/>
      <c r="D633" s="49"/>
      <c r="E633" s="50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ht="12.75" customHeight="1">
      <c r="A634" s="2"/>
      <c r="B634" s="2"/>
      <c r="C634" s="2"/>
      <c r="D634" s="49"/>
      <c r="E634" s="50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ht="12.75" customHeight="1">
      <c r="A635" s="2"/>
      <c r="B635" s="2"/>
      <c r="C635" s="2"/>
      <c r="D635" s="49"/>
      <c r="E635" s="50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ht="12.75" customHeight="1">
      <c r="A636" s="2"/>
      <c r="B636" s="2"/>
      <c r="C636" s="2"/>
      <c r="D636" s="49"/>
      <c r="E636" s="50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ht="12.75" customHeight="1">
      <c r="A637" s="2"/>
      <c r="B637" s="2"/>
      <c r="C637" s="2"/>
      <c r="D637" s="49"/>
      <c r="E637" s="50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ht="12.75" customHeight="1">
      <c r="A638" s="2"/>
      <c r="B638" s="2"/>
      <c r="C638" s="2"/>
      <c r="D638" s="49"/>
      <c r="E638" s="50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ht="12.75" customHeight="1">
      <c r="A639" s="2"/>
      <c r="B639" s="2"/>
      <c r="C639" s="2"/>
      <c r="D639" s="49"/>
      <c r="E639" s="50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ht="12.75" customHeight="1">
      <c r="A640" s="2"/>
      <c r="B640" s="2"/>
      <c r="C640" s="2"/>
      <c r="D640" s="49"/>
      <c r="E640" s="50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ht="12.75" customHeight="1">
      <c r="A641" s="2"/>
      <c r="B641" s="2"/>
      <c r="C641" s="2"/>
      <c r="D641" s="49"/>
      <c r="E641" s="50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ht="12.75" customHeight="1">
      <c r="A642" s="2"/>
      <c r="B642" s="2"/>
      <c r="C642" s="2"/>
      <c r="D642" s="49"/>
      <c r="E642" s="50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ht="12.75" customHeight="1">
      <c r="A643" s="2"/>
      <c r="B643" s="2"/>
      <c r="C643" s="2"/>
      <c r="D643" s="49"/>
      <c r="E643" s="50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ht="12.75" customHeight="1">
      <c r="A644" s="2"/>
      <c r="B644" s="2"/>
      <c r="C644" s="2"/>
      <c r="D644" s="49"/>
      <c r="E644" s="50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ht="12.75" customHeight="1">
      <c r="A645" s="2"/>
      <c r="B645" s="2"/>
      <c r="C645" s="2"/>
      <c r="D645" s="49"/>
      <c r="E645" s="50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ht="12.75" customHeight="1">
      <c r="A646" s="2"/>
      <c r="B646" s="2"/>
      <c r="C646" s="2"/>
      <c r="D646" s="49"/>
      <c r="E646" s="50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ht="12.75" customHeight="1">
      <c r="A647" s="2"/>
      <c r="B647" s="2"/>
      <c r="C647" s="2"/>
      <c r="D647" s="49"/>
      <c r="E647" s="50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ht="12.75" customHeight="1">
      <c r="A648" s="2"/>
      <c r="B648" s="2"/>
      <c r="C648" s="2"/>
      <c r="D648" s="49"/>
      <c r="E648" s="50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ht="12.75" customHeight="1">
      <c r="A649" s="2"/>
      <c r="B649" s="2"/>
      <c r="C649" s="2"/>
      <c r="D649" s="49"/>
      <c r="E649" s="50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ht="12.75" customHeight="1">
      <c r="A650" s="2"/>
      <c r="B650" s="2"/>
      <c r="C650" s="2"/>
      <c r="D650" s="49"/>
      <c r="E650" s="50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ht="12.75" customHeight="1">
      <c r="A651" s="2"/>
      <c r="B651" s="2"/>
      <c r="C651" s="2"/>
      <c r="D651" s="49"/>
      <c r="E651" s="50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ht="12.75" customHeight="1">
      <c r="A652" s="2"/>
      <c r="B652" s="2"/>
      <c r="C652" s="2"/>
      <c r="D652" s="49"/>
      <c r="E652" s="50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ht="12.75" customHeight="1">
      <c r="A653" s="2"/>
      <c r="B653" s="2"/>
      <c r="C653" s="2"/>
      <c r="D653" s="49"/>
      <c r="E653" s="50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ht="12.75" customHeight="1">
      <c r="A654" s="2"/>
      <c r="B654" s="2"/>
      <c r="C654" s="2"/>
      <c r="D654" s="49"/>
      <c r="E654" s="50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ht="12.75" customHeight="1">
      <c r="A655" s="2"/>
      <c r="B655" s="2"/>
      <c r="C655" s="2"/>
      <c r="D655" s="49"/>
      <c r="E655" s="50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ht="12.75" customHeight="1">
      <c r="A656" s="2"/>
      <c r="B656" s="2"/>
      <c r="C656" s="2"/>
      <c r="D656" s="49"/>
      <c r="E656" s="50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ht="12.75" customHeight="1">
      <c r="A657" s="2"/>
      <c r="B657" s="2"/>
      <c r="C657" s="2"/>
      <c r="D657" s="49"/>
      <c r="E657" s="50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ht="12.75" customHeight="1">
      <c r="A658" s="2"/>
      <c r="B658" s="2"/>
      <c r="C658" s="2"/>
      <c r="D658" s="49"/>
      <c r="E658" s="50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ht="12.75" customHeight="1">
      <c r="A659" s="2"/>
      <c r="B659" s="2"/>
      <c r="C659" s="2"/>
      <c r="D659" s="49"/>
      <c r="E659" s="50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ht="12.75" customHeight="1">
      <c r="A660" s="2"/>
      <c r="B660" s="2"/>
      <c r="C660" s="2"/>
      <c r="D660" s="49"/>
      <c r="E660" s="50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ht="12.75" customHeight="1">
      <c r="A661" s="2"/>
      <c r="B661" s="2"/>
      <c r="C661" s="2"/>
      <c r="D661" s="49"/>
      <c r="E661" s="50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ht="12.75" customHeight="1">
      <c r="A662" s="2"/>
      <c r="B662" s="2"/>
      <c r="C662" s="2"/>
      <c r="D662" s="49"/>
      <c r="E662" s="50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ht="12.75" customHeight="1">
      <c r="A663" s="2"/>
      <c r="B663" s="2"/>
      <c r="C663" s="2"/>
      <c r="D663" s="49"/>
      <c r="E663" s="50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ht="12.75" customHeight="1">
      <c r="A664" s="2"/>
      <c r="B664" s="2"/>
      <c r="C664" s="2"/>
      <c r="D664" s="49"/>
      <c r="E664" s="50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ht="12.75" customHeight="1">
      <c r="A665" s="2"/>
      <c r="B665" s="2"/>
      <c r="C665" s="2"/>
      <c r="D665" s="49"/>
      <c r="E665" s="50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ht="12.75" customHeight="1">
      <c r="A666" s="2"/>
      <c r="B666" s="2"/>
      <c r="C666" s="2"/>
      <c r="D666" s="49"/>
      <c r="E666" s="50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ht="12.75" customHeight="1">
      <c r="A667" s="2"/>
      <c r="B667" s="2"/>
      <c r="C667" s="2"/>
      <c r="D667" s="49"/>
      <c r="E667" s="50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ht="12.75" customHeight="1">
      <c r="A668" s="2"/>
      <c r="B668" s="2"/>
      <c r="C668" s="2"/>
      <c r="D668" s="49"/>
      <c r="E668" s="50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ht="12.75" customHeight="1">
      <c r="A669" s="2"/>
      <c r="B669" s="2"/>
      <c r="C669" s="2"/>
      <c r="D669" s="49"/>
      <c r="E669" s="50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ht="12.75" customHeight="1">
      <c r="A670" s="2"/>
      <c r="B670" s="2"/>
      <c r="C670" s="2"/>
      <c r="D670" s="49"/>
      <c r="E670" s="50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ht="12.75" customHeight="1">
      <c r="A671" s="2"/>
      <c r="B671" s="2"/>
      <c r="C671" s="2"/>
      <c r="D671" s="49"/>
      <c r="E671" s="50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ht="12.75" customHeight="1">
      <c r="A672" s="2"/>
      <c r="B672" s="2"/>
      <c r="C672" s="2"/>
      <c r="D672" s="49"/>
      <c r="E672" s="50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ht="12.75" customHeight="1">
      <c r="A673" s="2"/>
      <c r="B673" s="2"/>
      <c r="C673" s="2"/>
      <c r="D673" s="49"/>
      <c r="E673" s="50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ht="12.75" customHeight="1">
      <c r="A674" s="2"/>
      <c r="B674" s="2"/>
      <c r="C674" s="2"/>
      <c r="D674" s="49"/>
      <c r="E674" s="50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ht="12.75" customHeight="1">
      <c r="A675" s="2"/>
      <c r="B675" s="2"/>
      <c r="C675" s="2"/>
      <c r="D675" s="49"/>
      <c r="E675" s="50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ht="12.75" customHeight="1">
      <c r="A676" s="2"/>
      <c r="B676" s="2"/>
      <c r="C676" s="2"/>
      <c r="D676" s="49"/>
      <c r="E676" s="50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ht="12.75" customHeight="1">
      <c r="A677" s="2"/>
      <c r="B677" s="2"/>
      <c r="C677" s="2"/>
      <c r="D677" s="49"/>
      <c r="E677" s="50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ht="12.75" customHeight="1">
      <c r="A678" s="2"/>
      <c r="B678" s="2"/>
      <c r="C678" s="2"/>
      <c r="D678" s="49"/>
      <c r="E678" s="50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ht="12.75" customHeight="1">
      <c r="A679" s="2"/>
      <c r="B679" s="2"/>
      <c r="C679" s="2"/>
      <c r="D679" s="49"/>
      <c r="E679" s="50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ht="12.75" customHeight="1">
      <c r="A680" s="2"/>
      <c r="B680" s="2"/>
      <c r="C680" s="2"/>
      <c r="D680" s="49"/>
      <c r="E680" s="50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ht="12.75" customHeight="1">
      <c r="A681" s="2"/>
      <c r="B681" s="2"/>
      <c r="C681" s="2"/>
      <c r="D681" s="49"/>
      <c r="E681" s="50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ht="12.75" customHeight="1">
      <c r="A682" s="2"/>
      <c r="B682" s="2"/>
      <c r="C682" s="2"/>
      <c r="D682" s="49"/>
      <c r="E682" s="50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ht="12.75" customHeight="1">
      <c r="A683" s="2"/>
      <c r="B683" s="2"/>
      <c r="C683" s="2"/>
      <c r="D683" s="49"/>
      <c r="E683" s="50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ht="12.75" customHeight="1">
      <c r="A684" s="2"/>
      <c r="B684" s="2"/>
      <c r="C684" s="2"/>
      <c r="D684" s="49"/>
      <c r="E684" s="50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ht="12.75" customHeight="1">
      <c r="A685" s="2"/>
      <c r="B685" s="2"/>
      <c r="C685" s="2"/>
      <c r="D685" s="49"/>
      <c r="E685" s="50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ht="12.75" customHeight="1">
      <c r="A686" s="2"/>
      <c r="B686" s="2"/>
      <c r="C686" s="2"/>
      <c r="D686" s="49"/>
      <c r="E686" s="50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ht="12.75" customHeight="1">
      <c r="A687" s="2"/>
      <c r="B687" s="2"/>
      <c r="C687" s="2"/>
      <c r="D687" s="49"/>
      <c r="E687" s="50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ht="12.75" customHeight="1">
      <c r="A688" s="2"/>
      <c r="B688" s="2"/>
      <c r="C688" s="2"/>
      <c r="D688" s="49"/>
      <c r="E688" s="50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ht="12.75" customHeight="1">
      <c r="A689" s="2"/>
      <c r="B689" s="2"/>
      <c r="C689" s="2"/>
      <c r="D689" s="49"/>
      <c r="E689" s="50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ht="12.75" customHeight="1">
      <c r="A690" s="2"/>
      <c r="B690" s="2"/>
      <c r="C690" s="2"/>
      <c r="D690" s="49"/>
      <c r="E690" s="50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ht="12.75" customHeight="1">
      <c r="A691" s="2"/>
      <c r="B691" s="2"/>
      <c r="C691" s="2"/>
      <c r="D691" s="49"/>
      <c r="E691" s="50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ht="12.75" customHeight="1">
      <c r="A692" s="2"/>
      <c r="B692" s="2"/>
      <c r="C692" s="2"/>
      <c r="D692" s="49"/>
      <c r="E692" s="50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ht="12.75" customHeight="1">
      <c r="A693" s="2"/>
      <c r="B693" s="2"/>
      <c r="C693" s="2"/>
      <c r="D693" s="49"/>
      <c r="E693" s="50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ht="12.75" customHeight="1">
      <c r="A694" s="2"/>
      <c r="B694" s="2"/>
      <c r="C694" s="2"/>
      <c r="D694" s="49"/>
      <c r="E694" s="50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ht="12.75" customHeight="1">
      <c r="A695" s="2"/>
      <c r="B695" s="2"/>
      <c r="C695" s="2"/>
      <c r="D695" s="49"/>
      <c r="E695" s="50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ht="12.75" customHeight="1">
      <c r="A696" s="2"/>
      <c r="B696" s="2"/>
      <c r="C696" s="2"/>
      <c r="D696" s="49"/>
      <c r="E696" s="50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ht="12.75" customHeight="1">
      <c r="A697" s="2"/>
      <c r="B697" s="2"/>
      <c r="C697" s="2"/>
      <c r="D697" s="49"/>
      <c r="E697" s="50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ht="12.75" customHeight="1">
      <c r="A698" s="2"/>
      <c r="B698" s="2"/>
      <c r="C698" s="2"/>
      <c r="D698" s="49"/>
      <c r="E698" s="50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ht="12.75" customHeight="1">
      <c r="A699" s="2"/>
      <c r="B699" s="2"/>
      <c r="C699" s="2"/>
      <c r="D699" s="49"/>
      <c r="E699" s="50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ht="12.75" customHeight="1">
      <c r="A700" s="2"/>
      <c r="B700" s="2"/>
      <c r="C700" s="2"/>
      <c r="D700" s="49"/>
      <c r="E700" s="50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ht="12.75" customHeight="1">
      <c r="A701" s="2"/>
      <c r="B701" s="2"/>
      <c r="C701" s="2"/>
      <c r="D701" s="49"/>
      <c r="E701" s="50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ht="12.75" customHeight="1">
      <c r="A702" s="2"/>
      <c r="B702" s="2"/>
      <c r="C702" s="2"/>
      <c r="D702" s="49"/>
      <c r="E702" s="50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ht="12.75" customHeight="1">
      <c r="A703" s="2"/>
      <c r="B703" s="2"/>
      <c r="C703" s="2"/>
      <c r="D703" s="49"/>
      <c r="E703" s="50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ht="12.75" customHeight="1">
      <c r="A704" s="2"/>
      <c r="B704" s="2"/>
      <c r="C704" s="2"/>
      <c r="D704" s="49"/>
      <c r="E704" s="50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ht="12.75" customHeight="1">
      <c r="A705" s="2"/>
      <c r="B705" s="2"/>
      <c r="C705" s="2"/>
      <c r="D705" s="49"/>
      <c r="E705" s="50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ht="12.75" customHeight="1">
      <c r="A706" s="2"/>
      <c r="B706" s="2"/>
      <c r="C706" s="2"/>
      <c r="D706" s="49"/>
      <c r="E706" s="50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ht="12.75" customHeight="1">
      <c r="A707" s="2"/>
      <c r="B707" s="2"/>
      <c r="C707" s="2"/>
      <c r="D707" s="49"/>
      <c r="E707" s="50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ht="12.75" customHeight="1">
      <c r="A708" s="2"/>
      <c r="B708" s="2"/>
      <c r="C708" s="2"/>
      <c r="D708" s="49"/>
      <c r="E708" s="50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ht="12.75" customHeight="1">
      <c r="A709" s="2"/>
      <c r="B709" s="2"/>
      <c r="C709" s="2"/>
      <c r="D709" s="49"/>
      <c r="E709" s="50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ht="12.75" customHeight="1">
      <c r="A710" s="2"/>
      <c r="B710" s="2"/>
      <c r="C710" s="2"/>
      <c r="D710" s="49"/>
      <c r="E710" s="50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ht="12.75" customHeight="1">
      <c r="A711" s="2"/>
      <c r="B711" s="2"/>
      <c r="C711" s="2"/>
      <c r="D711" s="49"/>
      <c r="E711" s="50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ht="12.75" customHeight="1">
      <c r="A712" s="2"/>
      <c r="B712" s="2"/>
      <c r="C712" s="2"/>
      <c r="D712" s="49"/>
      <c r="E712" s="50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ht="12.75" customHeight="1">
      <c r="A713" s="2"/>
      <c r="B713" s="2"/>
      <c r="C713" s="2"/>
      <c r="D713" s="49"/>
      <c r="E713" s="50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ht="12.75" customHeight="1">
      <c r="A714" s="2"/>
      <c r="B714" s="2"/>
      <c r="C714" s="2"/>
      <c r="D714" s="49"/>
      <c r="E714" s="50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ht="12.75" customHeight="1">
      <c r="A715" s="2"/>
      <c r="B715" s="2"/>
      <c r="C715" s="2"/>
      <c r="D715" s="49"/>
      <c r="E715" s="50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ht="12.75" customHeight="1">
      <c r="A716" s="2"/>
      <c r="B716" s="2"/>
      <c r="C716" s="2"/>
      <c r="D716" s="49"/>
      <c r="E716" s="50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ht="12.75" customHeight="1">
      <c r="A717" s="2"/>
      <c r="B717" s="2"/>
      <c r="C717" s="2"/>
      <c r="D717" s="49"/>
      <c r="E717" s="50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ht="12.75" customHeight="1">
      <c r="A718" s="2"/>
      <c r="B718" s="2"/>
      <c r="C718" s="2"/>
      <c r="D718" s="49"/>
      <c r="E718" s="50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ht="12.75" customHeight="1">
      <c r="A719" s="2"/>
      <c r="B719" s="2"/>
      <c r="C719" s="2"/>
      <c r="D719" s="49"/>
      <c r="E719" s="50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ht="12.75" customHeight="1">
      <c r="A720" s="2"/>
      <c r="B720" s="2"/>
      <c r="C720" s="2"/>
      <c r="D720" s="49"/>
      <c r="E720" s="50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ht="12.75" customHeight="1">
      <c r="A721" s="2"/>
      <c r="B721" s="2"/>
      <c r="C721" s="2"/>
      <c r="D721" s="49"/>
      <c r="E721" s="50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ht="12.75" customHeight="1">
      <c r="A722" s="2"/>
      <c r="B722" s="2"/>
      <c r="C722" s="2"/>
      <c r="D722" s="49"/>
      <c r="E722" s="50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ht="12.75" customHeight="1">
      <c r="A723" s="2"/>
      <c r="B723" s="2"/>
      <c r="C723" s="2"/>
      <c r="D723" s="49"/>
      <c r="E723" s="50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ht="12.75" customHeight="1">
      <c r="A724" s="2"/>
      <c r="B724" s="2"/>
      <c r="C724" s="2"/>
      <c r="D724" s="49"/>
      <c r="E724" s="50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ht="12.75" customHeight="1">
      <c r="A725" s="2"/>
      <c r="B725" s="2"/>
      <c r="C725" s="2"/>
      <c r="D725" s="49"/>
      <c r="E725" s="50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ht="12.75" customHeight="1">
      <c r="A726" s="2"/>
      <c r="B726" s="2"/>
      <c r="C726" s="2"/>
      <c r="D726" s="49"/>
      <c r="E726" s="50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ht="12.75" customHeight="1">
      <c r="A727" s="2"/>
      <c r="B727" s="2"/>
      <c r="C727" s="2"/>
      <c r="D727" s="49"/>
      <c r="E727" s="50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ht="12.75" customHeight="1">
      <c r="A728" s="2"/>
      <c r="B728" s="2"/>
      <c r="C728" s="2"/>
      <c r="D728" s="49"/>
      <c r="E728" s="50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ht="12.75" customHeight="1">
      <c r="A729" s="2"/>
      <c r="B729" s="2"/>
      <c r="C729" s="2"/>
      <c r="D729" s="49"/>
      <c r="E729" s="50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ht="12.75" customHeight="1">
      <c r="A730" s="2"/>
      <c r="B730" s="2"/>
      <c r="C730" s="2"/>
      <c r="D730" s="49"/>
      <c r="E730" s="50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ht="12.75" customHeight="1">
      <c r="A731" s="2"/>
      <c r="B731" s="2"/>
      <c r="C731" s="2"/>
      <c r="D731" s="49"/>
      <c r="E731" s="50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ht="12.75" customHeight="1">
      <c r="A732" s="2"/>
      <c r="B732" s="2"/>
      <c r="C732" s="2"/>
      <c r="D732" s="49"/>
      <c r="E732" s="50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ht="12.75" customHeight="1">
      <c r="A733" s="2"/>
      <c r="B733" s="2"/>
      <c r="C733" s="2"/>
      <c r="D733" s="49"/>
      <c r="E733" s="50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ht="12.75" customHeight="1">
      <c r="A734" s="2"/>
      <c r="B734" s="2"/>
      <c r="C734" s="2"/>
      <c r="D734" s="49"/>
      <c r="E734" s="50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ht="12.75" customHeight="1">
      <c r="A735" s="2"/>
      <c r="B735" s="2"/>
      <c r="C735" s="2"/>
      <c r="D735" s="49"/>
      <c r="E735" s="50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ht="12.75" customHeight="1">
      <c r="A736" s="2"/>
      <c r="B736" s="2"/>
      <c r="C736" s="2"/>
      <c r="D736" s="49"/>
      <c r="E736" s="50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ht="12.75" customHeight="1">
      <c r="A737" s="2"/>
      <c r="B737" s="2"/>
      <c r="C737" s="2"/>
      <c r="D737" s="49"/>
      <c r="E737" s="50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ht="12.75" customHeight="1">
      <c r="A738" s="2"/>
      <c r="B738" s="2"/>
      <c r="C738" s="2"/>
      <c r="D738" s="49"/>
      <c r="E738" s="50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ht="12.75" customHeight="1">
      <c r="A739" s="2"/>
      <c r="B739" s="2"/>
      <c r="C739" s="2"/>
      <c r="D739" s="49"/>
      <c r="E739" s="50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ht="12.75" customHeight="1">
      <c r="A740" s="2"/>
      <c r="B740" s="2"/>
      <c r="C740" s="2"/>
      <c r="D740" s="49"/>
      <c r="E740" s="50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ht="12.75" customHeight="1">
      <c r="A741" s="2"/>
      <c r="B741" s="2"/>
      <c r="C741" s="2"/>
      <c r="D741" s="49"/>
      <c r="E741" s="50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ht="12.75" customHeight="1">
      <c r="A742" s="2"/>
      <c r="B742" s="2"/>
      <c r="C742" s="2"/>
      <c r="D742" s="49"/>
      <c r="E742" s="50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ht="12.75" customHeight="1">
      <c r="A743" s="2"/>
      <c r="B743" s="2"/>
      <c r="C743" s="2"/>
      <c r="D743" s="49"/>
      <c r="E743" s="50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ht="12.75" customHeight="1">
      <c r="A744" s="2"/>
      <c r="B744" s="2"/>
      <c r="C744" s="2"/>
      <c r="D744" s="49"/>
      <c r="E744" s="50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ht="12.75" customHeight="1">
      <c r="A745" s="2"/>
      <c r="B745" s="2"/>
      <c r="C745" s="2"/>
      <c r="D745" s="49"/>
      <c r="E745" s="50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ht="12.75" customHeight="1">
      <c r="A746" s="2"/>
      <c r="B746" s="2"/>
      <c r="C746" s="2"/>
      <c r="D746" s="49"/>
      <c r="E746" s="50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ht="12.75" customHeight="1">
      <c r="A747" s="2"/>
      <c r="B747" s="2"/>
      <c r="C747" s="2"/>
      <c r="D747" s="49"/>
      <c r="E747" s="50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ht="12.75" customHeight="1">
      <c r="A748" s="2"/>
      <c r="B748" s="2"/>
      <c r="C748" s="2"/>
      <c r="D748" s="49"/>
      <c r="E748" s="50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ht="12.75" customHeight="1">
      <c r="A749" s="2"/>
      <c r="B749" s="2"/>
      <c r="C749" s="2"/>
      <c r="D749" s="49"/>
      <c r="E749" s="50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ht="12.75" customHeight="1">
      <c r="A750" s="2"/>
      <c r="B750" s="2"/>
      <c r="C750" s="2"/>
      <c r="D750" s="49"/>
      <c r="E750" s="50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ht="12.75" customHeight="1">
      <c r="A751" s="2"/>
      <c r="B751" s="2"/>
      <c r="C751" s="2"/>
      <c r="D751" s="49"/>
      <c r="E751" s="50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ht="12.75" customHeight="1">
      <c r="A752" s="2"/>
      <c r="B752" s="2"/>
      <c r="C752" s="2"/>
      <c r="D752" s="49"/>
      <c r="E752" s="50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ht="12.75" customHeight="1">
      <c r="A753" s="2"/>
      <c r="B753" s="2"/>
      <c r="C753" s="2"/>
      <c r="D753" s="49"/>
      <c r="E753" s="50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ht="12.75" customHeight="1">
      <c r="A754" s="2"/>
      <c r="B754" s="2"/>
      <c r="C754" s="2"/>
      <c r="D754" s="49"/>
      <c r="E754" s="50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ht="12.75" customHeight="1">
      <c r="A755" s="2"/>
      <c r="B755" s="2"/>
      <c r="C755" s="2"/>
      <c r="D755" s="49"/>
      <c r="E755" s="50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ht="12.75" customHeight="1">
      <c r="A756" s="2"/>
      <c r="B756" s="2"/>
      <c r="C756" s="2"/>
      <c r="D756" s="49"/>
      <c r="E756" s="50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ht="12.75" customHeight="1">
      <c r="A757" s="2"/>
      <c r="B757" s="2"/>
      <c r="C757" s="2"/>
      <c r="D757" s="49"/>
      <c r="E757" s="50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ht="12.75" customHeight="1">
      <c r="A758" s="2"/>
      <c r="B758" s="2"/>
      <c r="C758" s="2"/>
      <c r="D758" s="49"/>
      <c r="E758" s="50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ht="12.75" customHeight="1">
      <c r="A759" s="2"/>
      <c r="B759" s="2"/>
      <c r="C759" s="2"/>
      <c r="D759" s="49"/>
      <c r="E759" s="50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ht="12.75" customHeight="1">
      <c r="A760" s="2"/>
      <c r="B760" s="2"/>
      <c r="C760" s="2"/>
      <c r="D760" s="49"/>
      <c r="E760" s="50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ht="12.75" customHeight="1">
      <c r="A761" s="2"/>
      <c r="B761" s="2"/>
      <c r="C761" s="2"/>
      <c r="D761" s="49"/>
      <c r="E761" s="50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ht="12.75" customHeight="1">
      <c r="A762" s="2"/>
      <c r="B762" s="2"/>
      <c r="C762" s="2"/>
      <c r="D762" s="49"/>
      <c r="E762" s="50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ht="12.75" customHeight="1">
      <c r="A763" s="2"/>
      <c r="B763" s="2"/>
      <c r="C763" s="2"/>
      <c r="D763" s="49"/>
      <c r="E763" s="50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ht="12.75" customHeight="1">
      <c r="A764" s="2"/>
      <c r="B764" s="2"/>
      <c r="C764" s="2"/>
      <c r="D764" s="49"/>
      <c r="E764" s="50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ht="12.75" customHeight="1">
      <c r="A765" s="2"/>
      <c r="B765" s="2"/>
      <c r="C765" s="2"/>
      <c r="D765" s="49"/>
      <c r="E765" s="50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ht="12.75" customHeight="1">
      <c r="A766" s="2"/>
      <c r="B766" s="2"/>
      <c r="C766" s="2"/>
      <c r="D766" s="49"/>
      <c r="E766" s="50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ht="12.75" customHeight="1">
      <c r="A767" s="2"/>
      <c r="B767" s="2"/>
      <c r="C767" s="2"/>
      <c r="D767" s="49"/>
      <c r="E767" s="50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ht="12.75" customHeight="1">
      <c r="A768" s="2"/>
      <c r="B768" s="2"/>
      <c r="C768" s="2"/>
      <c r="D768" s="49"/>
      <c r="E768" s="50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ht="12.75" customHeight="1">
      <c r="A769" s="2"/>
      <c r="B769" s="2"/>
      <c r="C769" s="2"/>
      <c r="D769" s="49"/>
      <c r="E769" s="50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ht="12.75" customHeight="1">
      <c r="A770" s="2"/>
      <c r="B770" s="2"/>
      <c r="C770" s="2"/>
      <c r="D770" s="49"/>
      <c r="E770" s="50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ht="12.75" customHeight="1">
      <c r="A771" s="2"/>
      <c r="B771" s="2"/>
      <c r="C771" s="2"/>
      <c r="D771" s="49"/>
      <c r="E771" s="50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ht="12.75" customHeight="1">
      <c r="A772" s="2"/>
      <c r="B772" s="2"/>
      <c r="C772" s="2"/>
      <c r="D772" s="49"/>
      <c r="E772" s="50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ht="12.75" customHeight="1">
      <c r="A773" s="2"/>
      <c r="B773" s="2"/>
      <c r="C773" s="2"/>
      <c r="D773" s="49"/>
      <c r="E773" s="50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ht="12.75" customHeight="1">
      <c r="A774" s="2"/>
      <c r="B774" s="2"/>
      <c r="C774" s="2"/>
      <c r="D774" s="49"/>
      <c r="E774" s="50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ht="12.75" customHeight="1">
      <c r="A775" s="2"/>
      <c r="B775" s="2"/>
      <c r="C775" s="2"/>
      <c r="D775" s="49"/>
      <c r="E775" s="50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ht="12.75" customHeight="1">
      <c r="A776" s="2"/>
      <c r="B776" s="2"/>
      <c r="C776" s="2"/>
      <c r="D776" s="49"/>
      <c r="E776" s="50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ht="12.75" customHeight="1">
      <c r="A777" s="2"/>
      <c r="B777" s="2"/>
      <c r="C777" s="2"/>
      <c r="D777" s="49"/>
      <c r="E777" s="50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ht="12.75" customHeight="1">
      <c r="A778" s="2"/>
      <c r="B778" s="2"/>
      <c r="C778" s="2"/>
      <c r="D778" s="49"/>
      <c r="E778" s="50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ht="12.75" customHeight="1">
      <c r="A779" s="2"/>
      <c r="B779" s="2"/>
      <c r="C779" s="2"/>
      <c r="D779" s="49"/>
      <c r="E779" s="50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ht="12.75" customHeight="1">
      <c r="A780" s="2"/>
      <c r="B780" s="2"/>
      <c r="C780" s="2"/>
      <c r="D780" s="49"/>
      <c r="E780" s="50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ht="12.75" customHeight="1">
      <c r="A781" s="2"/>
      <c r="B781" s="2"/>
      <c r="C781" s="2"/>
      <c r="D781" s="49"/>
      <c r="E781" s="50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ht="12.75" customHeight="1">
      <c r="A782" s="2"/>
      <c r="B782" s="2"/>
      <c r="C782" s="2"/>
      <c r="D782" s="49"/>
      <c r="E782" s="50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ht="12.75" customHeight="1">
      <c r="A783" s="2"/>
      <c r="B783" s="2"/>
      <c r="C783" s="2"/>
      <c r="D783" s="49"/>
      <c r="E783" s="50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ht="12.75" customHeight="1">
      <c r="A784" s="2"/>
      <c r="B784" s="2"/>
      <c r="C784" s="2"/>
      <c r="D784" s="49"/>
      <c r="E784" s="50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ht="12.75" customHeight="1">
      <c r="A785" s="2"/>
      <c r="B785" s="2"/>
      <c r="C785" s="2"/>
      <c r="D785" s="49"/>
      <c r="E785" s="50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ht="12.75" customHeight="1">
      <c r="A786" s="2"/>
      <c r="B786" s="2"/>
      <c r="C786" s="2"/>
      <c r="D786" s="49"/>
      <c r="E786" s="50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ht="12.75" customHeight="1">
      <c r="A787" s="2"/>
      <c r="B787" s="2"/>
      <c r="C787" s="2"/>
      <c r="D787" s="49"/>
      <c r="E787" s="50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ht="12.75" customHeight="1">
      <c r="A788" s="2"/>
      <c r="B788" s="2"/>
      <c r="C788" s="2"/>
      <c r="D788" s="49"/>
      <c r="E788" s="50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ht="12.75" customHeight="1">
      <c r="A789" s="2"/>
      <c r="B789" s="2"/>
      <c r="C789" s="2"/>
      <c r="D789" s="49"/>
      <c r="E789" s="50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ht="12.75" customHeight="1">
      <c r="A790" s="2"/>
      <c r="B790" s="2"/>
      <c r="C790" s="2"/>
      <c r="D790" s="49"/>
      <c r="E790" s="50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ht="12.75" customHeight="1">
      <c r="A791" s="2"/>
      <c r="B791" s="2"/>
      <c r="C791" s="2"/>
      <c r="D791" s="49"/>
      <c r="E791" s="50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ht="12.75" customHeight="1">
      <c r="A792" s="2"/>
      <c r="B792" s="2"/>
      <c r="C792" s="2"/>
      <c r="D792" s="49"/>
      <c r="E792" s="50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ht="12.75" customHeight="1">
      <c r="A793" s="2"/>
      <c r="B793" s="2"/>
      <c r="C793" s="2"/>
      <c r="D793" s="49"/>
      <c r="E793" s="50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ht="12.75" customHeight="1">
      <c r="A794" s="2"/>
      <c r="B794" s="2"/>
      <c r="C794" s="2"/>
      <c r="D794" s="49"/>
      <c r="E794" s="50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ht="12.75" customHeight="1">
      <c r="A795" s="2"/>
      <c r="B795" s="2"/>
      <c r="C795" s="2"/>
      <c r="D795" s="49"/>
      <c r="E795" s="50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ht="12.75" customHeight="1">
      <c r="A796" s="2"/>
      <c r="B796" s="2"/>
      <c r="C796" s="2"/>
      <c r="D796" s="49"/>
      <c r="E796" s="50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ht="12.75" customHeight="1">
      <c r="A797" s="2"/>
      <c r="B797" s="2"/>
      <c r="C797" s="2"/>
      <c r="D797" s="49"/>
      <c r="E797" s="50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ht="12.75" customHeight="1">
      <c r="A798" s="2"/>
      <c r="B798" s="2"/>
      <c r="C798" s="2"/>
      <c r="D798" s="49"/>
      <c r="E798" s="50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ht="12.75" customHeight="1">
      <c r="A799" s="2"/>
      <c r="B799" s="2"/>
      <c r="C799" s="2"/>
      <c r="D799" s="49"/>
      <c r="E799" s="50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ht="12.75" customHeight="1">
      <c r="A800" s="2"/>
      <c r="B800" s="2"/>
      <c r="C800" s="2"/>
      <c r="D800" s="49"/>
      <c r="E800" s="50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ht="12.75" customHeight="1">
      <c r="A801" s="2"/>
      <c r="B801" s="2"/>
      <c r="C801" s="2"/>
      <c r="D801" s="49"/>
      <c r="E801" s="50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ht="12.75" customHeight="1">
      <c r="A802" s="2"/>
      <c r="B802" s="2"/>
      <c r="C802" s="2"/>
      <c r="D802" s="49"/>
      <c r="E802" s="50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ht="12.75" customHeight="1">
      <c r="A803" s="2"/>
      <c r="B803" s="2"/>
      <c r="C803" s="2"/>
      <c r="D803" s="49"/>
      <c r="E803" s="50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ht="12.75" customHeight="1">
      <c r="A804" s="2"/>
      <c r="B804" s="2"/>
      <c r="C804" s="2"/>
      <c r="D804" s="49"/>
      <c r="E804" s="50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ht="12.75" customHeight="1">
      <c r="A805" s="2"/>
      <c r="B805" s="2"/>
      <c r="C805" s="2"/>
      <c r="D805" s="49"/>
      <c r="E805" s="50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ht="12.75" customHeight="1">
      <c r="A806" s="2"/>
      <c r="B806" s="2"/>
      <c r="C806" s="2"/>
      <c r="D806" s="49"/>
      <c r="E806" s="50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ht="12.75" customHeight="1">
      <c r="A807" s="2"/>
      <c r="B807" s="2"/>
      <c r="C807" s="2"/>
      <c r="D807" s="49"/>
      <c r="E807" s="50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ht="12.75" customHeight="1">
      <c r="A808" s="2"/>
      <c r="B808" s="2"/>
      <c r="C808" s="2"/>
      <c r="D808" s="49"/>
      <c r="E808" s="50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ht="12.75" customHeight="1">
      <c r="A809" s="2"/>
      <c r="B809" s="2"/>
      <c r="C809" s="2"/>
      <c r="D809" s="49"/>
      <c r="E809" s="50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ht="12.75" customHeight="1">
      <c r="A810" s="2"/>
      <c r="B810" s="2"/>
      <c r="C810" s="2"/>
      <c r="D810" s="49"/>
      <c r="E810" s="50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ht="12.75" customHeight="1">
      <c r="A811" s="2"/>
      <c r="B811" s="2"/>
      <c r="C811" s="2"/>
      <c r="D811" s="49"/>
      <c r="E811" s="50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ht="12.75" customHeight="1">
      <c r="A812" s="2"/>
      <c r="B812" s="2"/>
      <c r="C812" s="2"/>
      <c r="D812" s="49"/>
      <c r="E812" s="50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ht="12.75" customHeight="1">
      <c r="A813" s="2"/>
      <c r="B813" s="2"/>
      <c r="C813" s="2"/>
      <c r="D813" s="49"/>
      <c r="E813" s="50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ht="12.75" customHeight="1">
      <c r="A814" s="2"/>
      <c r="B814" s="2"/>
      <c r="C814" s="2"/>
      <c r="D814" s="49"/>
      <c r="E814" s="50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ht="12.75" customHeight="1">
      <c r="A815" s="2"/>
      <c r="B815" s="2"/>
      <c r="C815" s="2"/>
      <c r="D815" s="49"/>
      <c r="E815" s="50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ht="12.75" customHeight="1">
      <c r="A816" s="2"/>
      <c r="B816" s="2"/>
      <c r="C816" s="2"/>
      <c r="D816" s="49"/>
      <c r="E816" s="50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ht="12.75" customHeight="1">
      <c r="A817" s="2"/>
      <c r="B817" s="2"/>
      <c r="C817" s="2"/>
      <c r="D817" s="49"/>
      <c r="E817" s="50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ht="12.75" customHeight="1">
      <c r="A818" s="2"/>
      <c r="B818" s="2"/>
      <c r="C818" s="2"/>
      <c r="D818" s="49"/>
      <c r="E818" s="50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ht="12.75" customHeight="1">
      <c r="A819" s="2"/>
      <c r="B819" s="2"/>
      <c r="C819" s="2"/>
      <c r="D819" s="49"/>
      <c r="E819" s="50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ht="12.75" customHeight="1">
      <c r="A820" s="2"/>
      <c r="B820" s="2"/>
      <c r="C820" s="2"/>
      <c r="D820" s="49"/>
      <c r="E820" s="50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ht="12.75" customHeight="1">
      <c r="A821" s="2"/>
      <c r="B821" s="2"/>
      <c r="C821" s="2"/>
      <c r="D821" s="49"/>
      <c r="E821" s="50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ht="12.75" customHeight="1">
      <c r="A822" s="2"/>
      <c r="B822" s="2"/>
      <c r="C822" s="2"/>
      <c r="D822" s="49"/>
      <c r="E822" s="50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ht="12.75" customHeight="1">
      <c r="A823" s="2"/>
      <c r="B823" s="2"/>
      <c r="C823" s="2"/>
      <c r="D823" s="49"/>
      <c r="E823" s="50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ht="12.75" customHeight="1">
      <c r="A824" s="2"/>
      <c r="B824" s="2"/>
      <c r="C824" s="2"/>
      <c r="D824" s="49"/>
      <c r="E824" s="50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ht="12.75" customHeight="1">
      <c r="A825" s="2"/>
      <c r="B825" s="2"/>
      <c r="C825" s="2"/>
      <c r="D825" s="49"/>
      <c r="E825" s="50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ht="12.75" customHeight="1">
      <c r="A826" s="2"/>
      <c r="B826" s="2"/>
      <c r="C826" s="2"/>
      <c r="D826" s="49"/>
      <c r="E826" s="50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ht="12.75" customHeight="1">
      <c r="A827" s="2"/>
      <c r="B827" s="2"/>
      <c r="C827" s="2"/>
      <c r="D827" s="49"/>
      <c r="E827" s="50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ht="12.75" customHeight="1">
      <c r="A828" s="2"/>
      <c r="B828" s="2"/>
      <c r="C828" s="2"/>
      <c r="D828" s="49"/>
      <c r="E828" s="50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ht="12.75" customHeight="1">
      <c r="A829" s="2"/>
      <c r="B829" s="2"/>
      <c r="C829" s="2"/>
      <c r="D829" s="49"/>
      <c r="E829" s="50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ht="12.75" customHeight="1">
      <c r="A830" s="2"/>
      <c r="B830" s="2"/>
      <c r="C830" s="2"/>
      <c r="D830" s="49"/>
      <c r="E830" s="50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ht="12.75" customHeight="1">
      <c r="A831" s="2"/>
      <c r="B831" s="2"/>
      <c r="C831" s="2"/>
      <c r="D831" s="49"/>
      <c r="E831" s="50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ht="12.75" customHeight="1">
      <c r="A832" s="2"/>
      <c r="B832" s="2"/>
      <c r="C832" s="2"/>
      <c r="D832" s="49"/>
      <c r="E832" s="50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ht="12.75" customHeight="1">
      <c r="A833" s="2"/>
      <c r="B833" s="2"/>
      <c r="C833" s="2"/>
      <c r="D833" s="49"/>
      <c r="E833" s="50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ht="12.75" customHeight="1">
      <c r="A834" s="2"/>
      <c r="B834" s="2"/>
      <c r="C834" s="2"/>
      <c r="D834" s="49"/>
      <c r="E834" s="50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ht="12.75" customHeight="1">
      <c r="A835" s="2"/>
      <c r="B835" s="2"/>
      <c r="C835" s="2"/>
      <c r="D835" s="49"/>
      <c r="E835" s="50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ht="12.75" customHeight="1">
      <c r="A836" s="2"/>
      <c r="B836" s="2"/>
      <c r="C836" s="2"/>
      <c r="D836" s="49"/>
      <c r="E836" s="50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ht="12.75" customHeight="1">
      <c r="A837" s="2"/>
      <c r="B837" s="2"/>
      <c r="C837" s="2"/>
      <c r="D837" s="49"/>
      <c r="E837" s="50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ht="12.75" customHeight="1">
      <c r="A838" s="2"/>
      <c r="B838" s="2"/>
      <c r="C838" s="2"/>
      <c r="D838" s="49"/>
      <c r="E838" s="50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ht="12.75" customHeight="1">
      <c r="A839" s="2"/>
      <c r="B839" s="2"/>
      <c r="C839" s="2"/>
      <c r="D839" s="49"/>
      <c r="E839" s="50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ht="12.75" customHeight="1">
      <c r="A840" s="2"/>
      <c r="B840" s="2"/>
      <c r="C840" s="2"/>
      <c r="D840" s="49"/>
      <c r="E840" s="50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ht="12.75" customHeight="1">
      <c r="A841" s="2"/>
      <c r="B841" s="2"/>
      <c r="C841" s="2"/>
      <c r="D841" s="49"/>
      <c r="E841" s="50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ht="12.75" customHeight="1">
      <c r="A842" s="2"/>
      <c r="B842" s="2"/>
      <c r="C842" s="2"/>
      <c r="D842" s="49"/>
      <c r="E842" s="50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ht="12.75" customHeight="1">
      <c r="A843" s="2"/>
      <c r="B843" s="2"/>
      <c r="C843" s="2"/>
      <c r="D843" s="49"/>
      <c r="E843" s="50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ht="12.75" customHeight="1">
      <c r="A844" s="2"/>
      <c r="B844" s="2"/>
      <c r="C844" s="2"/>
      <c r="D844" s="49"/>
      <c r="E844" s="50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ht="12.75" customHeight="1">
      <c r="A845" s="2"/>
      <c r="B845" s="2"/>
      <c r="C845" s="2"/>
      <c r="D845" s="49"/>
      <c r="E845" s="50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ht="12.75" customHeight="1">
      <c r="A846" s="2"/>
      <c r="B846" s="2"/>
      <c r="C846" s="2"/>
      <c r="D846" s="49"/>
      <c r="E846" s="50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ht="12.75" customHeight="1">
      <c r="A847" s="2"/>
      <c r="B847" s="2"/>
      <c r="C847" s="2"/>
      <c r="D847" s="49"/>
      <c r="E847" s="50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ht="12.75" customHeight="1">
      <c r="A848" s="2"/>
      <c r="B848" s="2"/>
      <c r="C848" s="2"/>
      <c r="D848" s="49"/>
      <c r="E848" s="50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ht="12.75" customHeight="1">
      <c r="A849" s="2"/>
      <c r="B849" s="2"/>
      <c r="C849" s="2"/>
      <c r="D849" s="49"/>
      <c r="E849" s="50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ht="12.75" customHeight="1">
      <c r="A850" s="2"/>
      <c r="B850" s="2"/>
      <c r="C850" s="2"/>
      <c r="D850" s="49"/>
      <c r="E850" s="50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ht="12.75" customHeight="1">
      <c r="A851" s="2"/>
      <c r="B851" s="2"/>
      <c r="C851" s="2"/>
      <c r="D851" s="49"/>
      <c r="E851" s="50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ht="12.75" customHeight="1">
      <c r="A852" s="2"/>
      <c r="B852" s="2"/>
      <c r="C852" s="2"/>
      <c r="D852" s="49"/>
      <c r="E852" s="50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ht="12.75" customHeight="1">
      <c r="A853" s="2"/>
      <c r="B853" s="2"/>
      <c r="C853" s="2"/>
      <c r="D853" s="49"/>
      <c r="E853" s="50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ht="12.75" customHeight="1">
      <c r="A854" s="2"/>
      <c r="B854" s="2"/>
      <c r="C854" s="2"/>
      <c r="D854" s="49"/>
      <c r="E854" s="50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ht="12.75" customHeight="1">
      <c r="A855" s="2"/>
      <c r="B855" s="2"/>
      <c r="C855" s="2"/>
      <c r="D855" s="49"/>
      <c r="E855" s="50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ht="12.75" customHeight="1">
      <c r="A856" s="2"/>
      <c r="B856" s="2"/>
      <c r="C856" s="2"/>
      <c r="D856" s="49"/>
      <c r="E856" s="50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ht="12.75" customHeight="1">
      <c r="A857" s="2"/>
      <c r="B857" s="2"/>
      <c r="C857" s="2"/>
      <c r="D857" s="49"/>
      <c r="E857" s="50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ht="12.75" customHeight="1">
      <c r="A858" s="2"/>
      <c r="B858" s="2"/>
      <c r="C858" s="2"/>
      <c r="D858" s="49"/>
      <c r="E858" s="50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ht="12.75" customHeight="1">
      <c r="A859" s="2"/>
      <c r="B859" s="2"/>
      <c r="C859" s="2"/>
      <c r="D859" s="49"/>
      <c r="E859" s="50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ht="12.75" customHeight="1">
      <c r="A860" s="2"/>
      <c r="B860" s="2"/>
      <c r="C860" s="2"/>
      <c r="D860" s="49"/>
      <c r="E860" s="50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ht="12.75" customHeight="1">
      <c r="A861" s="2"/>
      <c r="B861" s="2"/>
      <c r="C861" s="2"/>
      <c r="D861" s="49"/>
      <c r="E861" s="50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ht="12.75" customHeight="1">
      <c r="A862" s="2"/>
      <c r="B862" s="2"/>
      <c r="C862" s="2"/>
      <c r="D862" s="49"/>
      <c r="E862" s="50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ht="12.75" customHeight="1">
      <c r="A863" s="2"/>
      <c r="B863" s="2"/>
      <c r="C863" s="2"/>
      <c r="D863" s="49"/>
      <c r="E863" s="50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ht="12.75" customHeight="1">
      <c r="A864" s="2"/>
      <c r="B864" s="2"/>
      <c r="C864" s="2"/>
      <c r="D864" s="49"/>
      <c r="E864" s="50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ht="12.75" customHeight="1">
      <c r="A865" s="2"/>
      <c r="B865" s="2"/>
      <c r="C865" s="2"/>
      <c r="D865" s="49"/>
      <c r="E865" s="50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ht="12.75" customHeight="1">
      <c r="A866" s="2"/>
      <c r="B866" s="2"/>
      <c r="C866" s="2"/>
      <c r="D866" s="49"/>
      <c r="E866" s="50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ht="12.75" customHeight="1">
      <c r="A867" s="2"/>
      <c r="B867" s="2"/>
      <c r="C867" s="2"/>
      <c r="D867" s="49"/>
      <c r="E867" s="50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ht="12.75" customHeight="1">
      <c r="A868" s="2"/>
      <c r="B868" s="2"/>
      <c r="C868" s="2"/>
      <c r="D868" s="49"/>
      <c r="E868" s="50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ht="12.75" customHeight="1">
      <c r="A869" s="2"/>
      <c r="B869" s="2"/>
      <c r="C869" s="2"/>
      <c r="D869" s="49"/>
      <c r="E869" s="50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ht="12.75" customHeight="1">
      <c r="A870" s="2"/>
      <c r="B870" s="2"/>
      <c r="C870" s="2"/>
      <c r="D870" s="49"/>
      <c r="E870" s="50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ht="12.75" customHeight="1">
      <c r="A871" s="2"/>
      <c r="B871" s="2"/>
      <c r="C871" s="2"/>
      <c r="D871" s="49"/>
      <c r="E871" s="50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ht="12.75" customHeight="1">
      <c r="A872" s="2"/>
      <c r="B872" s="2"/>
      <c r="C872" s="2"/>
      <c r="D872" s="49"/>
      <c r="E872" s="50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ht="12.75" customHeight="1">
      <c r="A873" s="2"/>
      <c r="B873" s="2"/>
      <c r="C873" s="2"/>
      <c r="D873" s="49"/>
      <c r="E873" s="50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ht="12.75" customHeight="1">
      <c r="A874" s="2"/>
      <c r="B874" s="2"/>
      <c r="C874" s="2"/>
      <c r="D874" s="49"/>
      <c r="E874" s="50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ht="12.75" customHeight="1">
      <c r="A875" s="2"/>
      <c r="B875" s="2"/>
      <c r="C875" s="2"/>
      <c r="D875" s="49"/>
      <c r="E875" s="50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ht="12.75" customHeight="1">
      <c r="A876" s="2"/>
      <c r="B876" s="2"/>
      <c r="C876" s="2"/>
      <c r="D876" s="49"/>
      <c r="E876" s="50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ht="12.75" customHeight="1">
      <c r="A877" s="2"/>
      <c r="B877" s="2"/>
      <c r="C877" s="2"/>
      <c r="D877" s="49"/>
      <c r="E877" s="50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ht="12.75" customHeight="1">
      <c r="A878" s="2"/>
      <c r="B878" s="2"/>
      <c r="C878" s="2"/>
      <c r="D878" s="49"/>
      <c r="E878" s="50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ht="12.75" customHeight="1">
      <c r="A879" s="2"/>
      <c r="B879" s="2"/>
      <c r="C879" s="2"/>
      <c r="D879" s="49"/>
      <c r="E879" s="50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ht="12.75" customHeight="1">
      <c r="A880" s="2"/>
      <c r="B880" s="2"/>
      <c r="C880" s="2"/>
      <c r="D880" s="49"/>
      <c r="E880" s="50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ht="12.75" customHeight="1">
      <c r="A881" s="2"/>
      <c r="B881" s="2"/>
      <c r="C881" s="2"/>
      <c r="D881" s="49"/>
      <c r="E881" s="50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ht="12.75" customHeight="1">
      <c r="A882" s="2"/>
      <c r="B882" s="2"/>
      <c r="C882" s="2"/>
      <c r="D882" s="49"/>
      <c r="E882" s="50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ht="12.75" customHeight="1">
      <c r="A883" s="2"/>
      <c r="B883" s="2"/>
      <c r="C883" s="2"/>
      <c r="D883" s="49"/>
      <c r="E883" s="50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ht="12.75" customHeight="1">
      <c r="A884" s="2"/>
      <c r="B884" s="2"/>
      <c r="C884" s="2"/>
      <c r="D884" s="49"/>
      <c r="E884" s="50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ht="12.75" customHeight="1">
      <c r="A885" s="2"/>
      <c r="B885" s="2"/>
      <c r="C885" s="2"/>
      <c r="D885" s="49"/>
      <c r="E885" s="50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ht="12.75" customHeight="1">
      <c r="A886" s="2"/>
      <c r="B886" s="2"/>
      <c r="C886" s="2"/>
      <c r="D886" s="49"/>
      <c r="E886" s="50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ht="12.75" customHeight="1">
      <c r="A887" s="2"/>
      <c r="B887" s="2"/>
      <c r="C887" s="2"/>
      <c r="D887" s="49"/>
      <c r="E887" s="50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ht="12.75" customHeight="1">
      <c r="A888" s="2"/>
      <c r="B888" s="2"/>
      <c r="C888" s="2"/>
      <c r="D888" s="49"/>
      <c r="E888" s="50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ht="12.75" customHeight="1">
      <c r="A889" s="2"/>
      <c r="B889" s="2"/>
      <c r="C889" s="2"/>
      <c r="D889" s="49"/>
      <c r="E889" s="50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ht="12.75" customHeight="1">
      <c r="A890" s="2"/>
      <c r="B890" s="2"/>
      <c r="C890" s="2"/>
      <c r="D890" s="49"/>
      <c r="E890" s="50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ht="12.75" customHeight="1">
      <c r="A891" s="2"/>
      <c r="B891" s="2"/>
      <c r="C891" s="2"/>
      <c r="D891" s="49"/>
      <c r="E891" s="50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ht="12.75" customHeight="1">
      <c r="A892" s="2"/>
      <c r="B892" s="2"/>
      <c r="C892" s="2"/>
      <c r="D892" s="49"/>
      <c r="E892" s="50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ht="12.75" customHeight="1">
      <c r="A893" s="2"/>
      <c r="B893" s="2"/>
      <c r="C893" s="2"/>
      <c r="D893" s="49"/>
      <c r="E893" s="50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ht="12.75" customHeight="1">
      <c r="A894" s="2"/>
      <c r="B894" s="2"/>
      <c r="C894" s="2"/>
      <c r="D894" s="49"/>
      <c r="E894" s="50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ht="12.75" customHeight="1">
      <c r="A895" s="2"/>
      <c r="B895" s="2"/>
      <c r="C895" s="2"/>
      <c r="D895" s="49"/>
      <c r="E895" s="50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ht="12.75" customHeight="1">
      <c r="A896" s="2"/>
      <c r="B896" s="2"/>
      <c r="C896" s="2"/>
      <c r="D896" s="49"/>
      <c r="E896" s="50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ht="12.75" customHeight="1">
      <c r="A897" s="2"/>
      <c r="B897" s="2"/>
      <c r="C897" s="2"/>
      <c r="D897" s="49"/>
      <c r="E897" s="50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ht="12.75" customHeight="1">
      <c r="A898" s="2"/>
      <c r="B898" s="2"/>
      <c r="C898" s="2"/>
      <c r="D898" s="49"/>
      <c r="E898" s="50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ht="12.75" customHeight="1">
      <c r="A899" s="2"/>
      <c r="B899" s="2"/>
      <c r="C899" s="2"/>
      <c r="D899" s="49"/>
      <c r="E899" s="50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ht="12.75" customHeight="1">
      <c r="A900" s="2"/>
      <c r="B900" s="2"/>
      <c r="C900" s="2"/>
      <c r="D900" s="49"/>
      <c r="E900" s="50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ht="12.75" customHeight="1">
      <c r="A901" s="2"/>
      <c r="B901" s="2"/>
      <c r="C901" s="2"/>
      <c r="D901" s="49"/>
      <c r="E901" s="50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ht="12.75" customHeight="1">
      <c r="A902" s="2"/>
      <c r="B902" s="2"/>
      <c r="C902" s="2"/>
      <c r="D902" s="49"/>
      <c r="E902" s="50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ht="12.75" customHeight="1">
      <c r="A903" s="2"/>
      <c r="B903" s="2"/>
      <c r="C903" s="2"/>
      <c r="D903" s="49"/>
      <c r="E903" s="50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ht="12.75" customHeight="1">
      <c r="A904" s="2"/>
      <c r="B904" s="2"/>
      <c r="C904" s="2"/>
      <c r="D904" s="49"/>
      <c r="E904" s="50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ht="12.75" customHeight="1">
      <c r="A905" s="2"/>
      <c r="B905" s="2"/>
      <c r="C905" s="2"/>
      <c r="D905" s="49"/>
      <c r="E905" s="50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ht="12.75" customHeight="1">
      <c r="A906" s="2"/>
      <c r="B906" s="2"/>
      <c r="C906" s="2"/>
      <c r="D906" s="49"/>
      <c r="E906" s="50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ht="12.75" customHeight="1">
      <c r="A907" s="2"/>
      <c r="B907" s="2"/>
      <c r="C907" s="2"/>
      <c r="D907" s="49"/>
      <c r="E907" s="50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ht="12.75" customHeight="1">
      <c r="A908" s="2"/>
      <c r="B908" s="2"/>
      <c r="C908" s="2"/>
      <c r="D908" s="49"/>
      <c r="E908" s="50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ht="12.75" customHeight="1">
      <c r="A909" s="2"/>
      <c r="B909" s="2"/>
      <c r="C909" s="2"/>
      <c r="D909" s="49"/>
      <c r="E909" s="50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ht="12.75" customHeight="1">
      <c r="A910" s="2"/>
      <c r="B910" s="2"/>
      <c r="C910" s="2"/>
      <c r="D910" s="49"/>
      <c r="E910" s="50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ht="12.75" customHeight="1">
      <c r="A911" s="2"/>
      <c r="B911" s="2"/>
      <c r="C911" s="2"/>
      <c r="D911" s="49"/>
      <c r="E911" s="50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ht="12.75" customHeight="1">
      <c r="A912" s="2"/>
      <c r="B912" s="2"/>
      <c r="C912" s="2"/>
      <c r="D912" s="49"/>
      <c r="E912" s="50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ht="12.75" customHeight="1">
      <c r="A913" s="2"/>
      <c r="B913" s="2"/>
      <c r="C913" s="2"/>
      <c r="D913" s="49"/>
      <c r="E913" s="50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ht="12.75" customHeight="1">
      <c r="A914" s="2"/>
      <c r="B914" s="2"/>
      <c r="C914" s="2"/>
      <c r="D914" s="49"/>
      <c r="E914" s="50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ht="12.75" customHeight="1">
      <c r="A915" s="2"/>
      <c r="B915" s="2"/>
      <c r="C915" s="2"/>
      <c r="D915" s="49"/>
      <c r="E915" s="50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ht="12.75" customHeight="1">
      <c r="A916" s="2"/>
      <c r="B916" s="2"/>
      <c r="C916" s="2"/>
      <c r="D916" s="49"/>
      <c r="E916" s="50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ht="12.75" customHeight="1">
      <c r="A917" s="2"/>
      <c r="B917" s="2"/>
      <c r="C917" s="2"/>
      <c r="D917" s="49"/>
      <c r="E917" s="50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ht="12.75" customHeight="1">
      <c r="A918" s="2"/>
      <c r="B918" s="2"/>
      <c r="C918" s="2"/>
      <c r="D918" s="49"/>
      <c r="E918" s="50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ht="12.75" customHeight="1">
      <c r="A919" s="2"/>
      <c r="B919" s="2"/>
      <c r="C919" s="2"/>
      <c r="D919" s="49"/>
      <c r="E919" s="50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ht="12.75" customHeight="1">
      <c r="A920" s="2"/>
      <c r="B920" s="2"/>
      <c r="C920" s="2"/>
      <c r="D920" s="49"/>
      <c r="E920" s="50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ht="12.75" customHeight="1">
      <c r="A921" s="2"/>
      <c r="B921" s="2"/>
      <c r="C921" s="2"/>
      <c r="D921" s="49"/>
      <c r="E921" s="50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ht="12.75" customHeight="1">
      <c r="A922" s="2"/>
      <c r="B922" s="2"/>
      <c r="C922" s="2"/>
      <c r="D922" s="49"/>
      <c r="E922" s="50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ht="12.75" customHeight="1">
      <c r="A923" s="2"/>
      <c r="B923" s="2"/>
      <c r="C923" s="2"/>
      <c r="D923" s="49"/>
      <c r="E923" s="50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ht="12.75" customHeight="1">
      <c r="A924" s="2"/>
      <c r="B924" s="2"/>
      <c r="C924" s="2"/>
      <c r="D924" s="49"/>
      <c r="E924" s="50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ht="12.75" customHeight="1">
      <c r="A925" s="2"/>
      <c r="B925" s="2"/>
      <c r="C925" s="2"/>
      <c r="D925" s="49"/>
      <c r="E925" s="50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ht="12.75" customHeight="1">
      <c r="A926" s="2"/>
      <c r="B926" s="2"/>
      <c r="C926" s="2"/>
      <c r="D926" s="49"/>
      <c r="E926" s="50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ht="12.75" customHeight="1">
      <c r="A927" s="2"/>
      <c r="B927" s="2"/>
      <c r="C927" s="2"/>
      <c r="D927" s="49"/>
      <c r="E927" s="50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ht="12.75" customHeight="1">
      <c r="A928" s="2"/>
      <c r="B928" s="2"/>
      <c r="C928" s="2"/>
      <c r="D928" s="49"/>
      <c r="E928" s="50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ht="12.75" customHeight="1">
      <c r="A929" s="2"/>
      <c r="B929" s="2"/>
      <c r="C929" s="2"/>
      <c r="D929" s="49"/>
      <c r="E929" s="50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ht="12.75" customHeight="1">
      <c r="A930" s="2"/>
      <c r="B930" s="2"/>
      <c r="C930" s="2"/>
      <c r="D930" s="49"/>
      <c r="E930" s="50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ht="12.75" customHeight="1">
      <c r="A931" s="2"/>
      <c r="B931" s="2"/>
      <c r="C931" s="2"/>
      <c r="D931" s="49"/>
      <c r="E931" s="50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ht="12.75" customHeight="1">
      <c r="A932" s="2"/>
      <c r="B932" s="2"/>
      <c r="C932" s="2"/>
      <c r="D932" s="49"/>
      <c r="E932" s="50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ht="12.75" customHeight="1">
      <c r="A933" s="2"/>
      <c r="B933" s="2"/>
      <c r="C933" s="2"/>
      <c r="D933" s="49"/>
      <c r="E933" s="50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ht="12.75" customHeight="1">
      <c r="A934" s="2"/>
      <c r="B934" s="2"/>
      <c r="C934" s="2"/>
      <c r="D934" s="49"/>
      <c r="E934" s="50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ht="12.75" customHeight="1">
      <c r="A935" s="2"/>
      <c r="B935" s="2"/>
      <c r="C935" s="2"/>
      <c r="D935" s="49"/>
      <c r="E935" s="50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ht="12.75" customHeight="1">
      <c r="A936" s="2"/>
      <c r="B936" s="2"/>
      <c r="C936" s="2"/>
      <c r="D936" s="49"/>
      <c r="E936" s="50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ht="12.75" customHeight="1">
      <c r="A937" s="2"/>
      <c r="B937" s="2"/>
      <c r="C937" s="2"/>
      <c r="D937" s="49"/>
      <c r="E937" s="50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ht="12.75" customHeight="1">
      <c r="A938" s="2"/>
      <c r="B938" s="2"/>
      <c r="C938" s="2"/>
      <c r="D938" s="49"/>
      <c r="E938" s="50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ht="12.75" customHeight="1">
      <c r="A939" s="2"/>
      <c r="B939" s="2"/>
      <c r="C939" s="2"/>
      <c r="D939" s="49"/>
      <c r="E939" s="50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ht="12.75" customHeight="1">
      <c r="A940" s="2"/>
      <c r="B940" s="2"/>
      <c r="C940" s="2"/>
      <c r="D940" s="49"/>
      <c r="E940" s="50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ht="12.75" customHeight="1">
      <c r="A941" s="2"/>
      <c r="B941" s="2"/>
      <c r="C941" s="2"/>
      <c r="D941" s="49"/>
      <c r="E941" s="50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ht="12.75" customHeight="1">
      <c r="A942" s="2"/>
      <c r="B942" s="2"/>
      <c r="C942" s="2"/>
      <c r="D942" s="49"/>
      <c r="E942" s="50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ht="12.75" customHeight="1">
      <c r="A943" s="2"/>
      <c r="B943" s="2"/>
      <c r="C943" s="2"/>
      <c r="D943" s="49"/>
      <c r="E943" s="50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ht="12.75" customHeight="1">
      <c r="A944" s="2"/>
      <c r="B944" s="2"/>
      <c r="C944" s="2"/>
      <c r="D944" s="49"/>
      <c r="E944" s="50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ht="12.75" customHeight="1">
      <c r="A945" s="2"/>
      <c r="B945" s="2"/>
      <c r="C945" s="2"/>
      <c r="D945" s="49"/>
      <c r="E945" s="50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ht="12.75" customHeight="1">
      <c r="A946" s="2"/>
      <c r="B946" s="2"/>
      <c r="C946" s="2"/>
      <c r="D946" s="49"/>
      <c r="E946" s="50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ht="12.75" customHeight="1">
      <c r="A947" s="2"/>
      <c r="B947" s="2"/>
      <c r="C947" s="2"/>
      <c r="D947" s="49"/>
      <c r="E947" s="50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ht="12.75" customHeight="1">
      <c r="A948" s="2"/>
      <c r="B948" s="2"/>
      <c r="C948" s="2"/>
      <c r="D948" s="49"/>
      <c r="E948" s="50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ht="12.75" customHeight="1">
      <c r="A949" s="2"/>
      <c r="B949" s="2"/>
      <c r="C949" s="2"/>
      <c r="D949" s="49"/>
      <c r="E949" s="50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ht="12.75" customHeight="1">
      <c r="A950" s="2"/>
      <c r="B950" s="2"/>
      <c r="C950" s="2"/>
      <c r="D950" s="49"/>
      <c r="E950" s="50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ht="12.75" customHeight="1">
      <c r="A951" s="2"/>
      <c r="B951" s="2"/>
      <c r="C951" s="2"/>
      <c r="D951" s="49"/>
      <c r="E951" s="50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ht="12.75" customHeight="1">
      <c r="A952" s="2"/>
      <c r="B952" s="2"/>
      <c r="C952" s="2"/>
      <c r="D952" s="49"/>
      <c r="E952" s="50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ht="12.75" customHeight="1">
      <c r="A953" s="2"/>
      <c r="B953" s="2"/>
      <c r="C953" s="2"/>
      <c r="D953" s="49"/>
      <c r="E953" s="50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ht="12.75" customHeight="1">
      <c r="A954" s="2"/>
      <c r="B954" s="2"/>
      <c r="C954" s="2"/>
      <c r="D954" s="49"/>
      <c r="E954" s="50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ht="12.75" customHeight="1">
      <c r="A955" s="2"/>
      <c r="B955" s="2"/>
      <c r="C955" s="2"/>
      <c r="D955" s="49"/>
      <c r="E955" s="50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ht="12.75" customHeight="1">
      <c r="A956" s="2"/>
      <c r="B956" s="2"/>
      <c r="C956" s="2"/>
      <c r="D956" s="49"/>
      <c r="E956" s="50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ht="12.75" customHeight="1">
      <c r="A957" s="2"/>
      <c r="B957" s="2"/>
      <c r="C957" s="2"/>
      <c r="D957" s="49"/>
      <c r="E957" s="50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ht="12.75" customHeight="1">
      <c r="A958" s="2"/>
      <c r="B958" s="2"/>
      <c r="C958" s="2"/>
      <c r="D958" s="49"/>
      <c r="E958" s="50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ht="12.75" customHeight="1">
      <c r="A959" s="2"/>
      <c r="B959" s="2"/>
      <c r="C959" s="2"/>
      <c r="D959" s="49"/>
      <c r="E959" s="50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ht="12.75" customHeight="1">
      <c r="A960" s="2"/>
      <c r="B960" s="2"/>
      <c r="C960" s="2"/>
      <c r="D960" s="49"/>
      <c r="E960" s="50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ht="12.75" customHeight="1">
      <c r="A961" s="2"/>
      <c r="B961" s="2"/>
      <c r="C961" s="2"/>
      <c r="D961" s="49"/>
      <c r="E961" s="50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ht="12.75" customHeight="1">
      <c r="A962" s="2"/>
      <c r="B962" s="2"/>
      <c r="C962" s="2"/>
      <c r="D962" s="49"/>
      <c r="E962" s="50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ht="12.75" customHeight="1">
      <c r="A963" s="2"/>
      <c r="B963" s="2"/>
      <c r="C963" s="2"/>
      <c r="D963" s="49"/>
      <c r="E963" s="50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ht="12.75" customHeight="1">
      <c r="A964" s="2"/>
      <c r="B964" s="2"/>
      <c r="C964" s="2"/>
      <c r="D964" s="49"/>
      <c r="E964" s="50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ht="12.75" customHeight="1">
      <c r="A965" s="2"/>
      <c r="B965" s="2"/>
      <c r="C965" s="2"/>
      <c r="D965" s="49"/>
      <c r="E965" s="50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ht="12.75" customHeight="1">
      <c r="A966" s="2"/>
      <c r="B966" s="2"/>
      <c r="C966" s="2"/>
      <c r="D966" s="49"/>
      <c r="E966" s="50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ht="12.75" customHeight="1">
      <c r="A967" s="2"/>
      <c r="B967" s="2"/>
      <c r="C967" s="2"/>
      <c r="D967" s="49"/>
      <c r="E967" s="50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ht="12.75" customHeight="1">
      <c r="A968" s="2"/>
      <c r="B968" s="2"/>
      <c r="C968" s="2"/>
      <c r="D968" s="49"/>
      <c r="E968" s="50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ht="12.75" customHeight="1">
      <c r="A969" s="2"/>
      <c r="B969" s="2"/>
      <c r="C969" s="2"/>
      <c r="D969" s="49"/>
      <c r="E969" s="50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ht="12.75" customHeight="1">
      <c r="A970" s="2"/>
      <c r="B970" s="2"/>
      <c r="C970" s="2"/>
      <c r="D970" s="49"/>
      <c r="E970" s="50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ht="12.75" customHeight="1">
      <c r="A971" s="2"/>
      <c r="B971" s="2"/>
      <c r="C971" s="2"/>
      <c r="D971" s="49"/>
      <c r="E971" s="50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ht="12.75" customHeight="1">
      <c r="A972" s="2"/>
      <c r="B972" s="2"/>
      <c r="C972" s="2"/>
      <c r="D972" s="49"/>
      <c r="E972" s="50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ht="12.75" customHeight="1">
      <c r="A973" s="2"/>
      <c r="B973" s="2"/>
      <c r="C973" s="2"/>
      <c r="D973" s="49"/>
      <c r="E973" s="50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ht="12.75" customHeight="1">
      <c r="A974" s="2"/>
      <c r="B974" s="2"/>
      <c r="C974" s="2"/>
      <c r="D974" s="49"/>
      <c r="E974" s="50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ht="12.75" customHeight="1">
      <c r="A975" s="2"/>
      <c r="B975" s="2"/>
      <c r="C975" s="2"/>
      <c r="D975" s="49"/>
      <c r="E975" s="50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ht="12.75" customHeight="1">
      <c r="A976" s="2"/>
      <c r="B976" s="2"/>
      <c r="C976" s="2"/>
      <c r="D976" s="49"/>
      <c r="E976" s="50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ht="12.75" customHeight="1">
      <c r="A977" s="2"/>
      <c r="B977" s="2"/>
      <c r="C977" s="2"/>
      <c r="D977" s="49"/>
      <c r="E977" s="50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ht="12.75" customHeight="1">
      <c r="A978" s="2"/>
      <c r="B978" s="2"/>
      <c r="C978" s="2"/>
      <c r="D978" s="49"/>
      <c r="E978" s="50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ht="12.75" customHeight="1">
      <c r="A979" s="2"/>
      <c r="B979" s="2"/>
      <c r="C979" s="2"/>
      <c r="D979" s="49"/>
      <c r="E979" s="50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ht="12.75" customHeight="1">
      <c r="A980" s="2"/>
      <c r="B980" s="2"/>
      <c r="C980" s="2"/>
      <c r="D980" s="49"/>
      <c r="E980" s="50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ht="12.75" customHeight="1">
      <c r="A981" s="2"/>
      <c r="B981" s="2"/>
      <c r="C981" s="2"/>
      <c r="D981" s="49"/>
      <c r="E981" s="50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ht="12.75" customHeight="1">
      <c r="A982" s="2"/>
      <c r="B982" s="2"/>
      <c r="C982" s="2"/>
      <c r="D982" s="49"/>
      <c r="E982" s="50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ht="12.75" customHeight="1">
      <c r="A983" s="2"/>
      <c r="B983" s="2"/>
      <c r="C983" s="2"/>
      <c r="D983" s="49"/>
      <c r="E983" s="50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ht="12.75" customHeight="1">
      <c r="A984" s="2"/>
      <c r="B984" s="2"/>
      <c r="C984" s="2"/>
      <c r="D984" s="49"/>
      <c r="E984" s="50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ht="12.75" customHeight="1">
      <c r="A985" s="2"/>
      <c r="B985" s="2"/>
      <c r="C985" s="2"/>
      <c r="D985" s="49"/>
      <c r="E985" s="50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ht="12.75" customHeight="1">
      <c r="A986" s="2"/>
      <c r="B986" s="2"/>
      <c r="C986" s="2"/>
      <c r="D986" s="49"/>
      <c r="E986" s="50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ht="12.75" customHeight="1">
      <c r="A987" s="2"/>
      <c r="B987" s="2"/>
      <c r="C987" s="2"/>
      <c r="D987" s="49"/>
      <c r="E987" s="50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ht="12.75" customHeight="1">
      <c r="A988" s="2"/>
      <c r="B988" s="2"/>
      <c r="C988" s="2"/>
      <c r="D988" s="49"/>
      <c r="E988" s="50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ht="12.75" customHeight="1">
      <c r="A989" s="2"/>
      <c r="B989" s="2"/>
      <c r="C989" s="2"/>
      <c r="D989" s="49"/>
      <c r="E989" s="50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ht="12.75" customHeight="1">
      <c r="A990" s="2"/>
      <c r="B990" s="2"/>
      <c r="C990" s="2"/>
      <c r="D990" s="49"/>
      <c r="E990" s="50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ht="12.75" customHeight="1">
      <c r="A991" s="2"/>
      <c r="B991" s="2"/>
      <c r="C991" s="2"/>
      <c r="D991" s="49"/>
      <c r="E991" s="50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ht="12.75" customHeight="1">
      <c r="A992" s="2"/>
      <c r="B992" s="2"/>
      <c r="C992" s="2"/>
      <c r="D992" s="49"/>
      <c r="E992" s="50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ht="12.75" customHeight="1">
      <c r="A993" s="2"/>
      <c r="B993" s="2"/>
      <c r="C993" s="2"/>
      <c r="D993" s="49"/>
      <c r="E993" s="50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ht="12.75" customHeight="1">
      <c r="A994" s="2"/>
      <c r="B994" s="2"/>
      <c r="C994" s="2"/>
      <c r="D994" s="49"/>
      <c r="E994" s="50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 ht="12.75" customHeight="1">
      <c r="A995" s="2"/>
      <c r="B995" s="2"/>
      <c r="C995" s="2"/>
      <c r="D995" s="49"/>
      <c r="E995" s="50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 ht="12.75" customHeight="1">
      <c r="A996" s="2"/>
      <c r="B996" s="2"/>
      <c r="C996" s="2"/>
      <c r="D996" s="49"/>
      <c r="E996" s="50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 ht="12.75" customHeight="1">
      <c r="A997" s="2"/>
      <c r="B997" s="2"/>
      <c r="C997" s="2"/>
      <c r="D997" s="49"/>
      <c r="E997" s="50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 ht="12.75" customHeight="1">
      <c r="A998" s="2"/>
      <c r="B998" s="2"/>
      <c r="C998" s="2"/>
      <c r="D998" s="49"/>
      <c r="E998" s="50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 ht="12.75" customHeight="1">
      <c r="A999" s="2"/>
      <c r="B999" s="2"/>
      <c r="C999" s="2"/>
      <c r="D999" s="49"/>
      <c r="E999" s="50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 ht="12.75" customHeight="1">
      <c r="A1000" s="2"/>
      <c r="B1000" s="2"/>
      <c r="C1000" s="2"/>
      <c r="D1000" s="49"/>
      <c r="E1000" s="50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13"/>
    <col customWidth="1" min="2" max="2" width="9.13"/>
    <col customWidth="1" min="3" max="3" width="15.0"/>
    <col customWidth="1" min="4" max="4" width="17.13"/>
    <col customWidth="1" min="5" max="5" width="16.0"/>
    <col customWidth="1" min="6" max="6" width="20.63"/>
    <col customWidth="1" min="7" max="7" width="17.63"/>
    <col customWidth="1" min="8" max="8" width="9.13"/>
    <col customWidth="1" min="9" max="9" width="12.63"/>
    <col customWidth="1" min="10" max="10" width="11.88"/>
    <col customWidth="1" min="11" max="11" width="11.0"/>
    <col customWidth="1" min="12" max="12" width="19.13"/>
    <col customWidth="1" min="13" max="21" width="8.63"/>
  </cols>
  <sheetData>
    <row r="1">
      <c r="A1" s="6" t="s">
        <v>637</v>
      </c>
      <c r="B1" s="51" t="s">
        <v>638</v>
      </c>
      <c r="C1" s="6" t="s">
        <v>639</v>
      </c>
      <c r="D1" s="52" t="s">
        <v>152</v>
      </c>
      <c r="E1" s="52" t="s">
        <v>640</v>
      </c>
      <c r="F1" s="52" t="s">
        <v>641</v>
      </c>
      <c r="G1" s="6" t="s">
        <v>642</v>
      </c>
      <c r="H1" s="6" t="s">
        <v>630</v>
      </c>
      <c r="I1" s="6" t="s">
        <v>643</v>
      </c>
      <c r="J1" s="53" t="s">
        <v>644</v>
      </c>
      <c r="K1" s="6" t="s">
        <v>645</v>
      </c>
      <c r="L1" s="54" t="s">
        <v>646</v>
      </c>
      <c r="M1" s="7"/>
      <c r="N1" s="7"/>
      <c r="O1" s="7"/>
      <c r="P1" s="7"/>
      <c r="Q1" s="7"/>
      <c r="R1" s="7"/>
      <c r="S1" s="7"/>
      <c r="T1" s="7"/>
      <c r="U1" s="7"/>
    </row>
    <row r="2">
      <c r="A2" s="6" t="s">
        <v>647</v>
      </c>
      <c r="B2" s="51">
        <v>1.0</v>
      </c>
      <c r="C2" s="55">
        <v>38.0</v>
      </c>
      <c r="D2" s="52">
        <v>44961.0</v>
      </c>
      <c r="E2" s="52">
        <v>44910.0</v>
      </c>
      <c r="F2" s="52">
        <v>44912.0</v>
      </c>
      <c r="G2" s="56">
        <v>6.5</v>
      </c>
      <c r="H2" s="57" t="s">
        <v>298</v>
      </c>
      <c r="I2" s="57" t="s">
        <v>169</v>
      </c>
      <c r="J2" s="53"/>
      <c r="K2" s="57" t="s">
        <v>648</v>
      </c>
      <c r="L2" s="6" t="str">
        <f>LOWER(SUBSTITUTE(stg_payroll!$A2," ","") &amp; TEXT(stg_payroll!$B2,"00"))</f>
        <v>igorgroysman01</v>
      </c>
      <c r="M2" s="7"/>
      <c r="N2" s="7"/>
      <c r="O2" s="7"/>
      <c r="P2" s="7"/>
      <c r="Q2" s="7"/>
      <c r="R2" s="7"/>
      <c r="S2" s="7"/>
      <c r="T2" s="7"/>
      <c r="U2" s="7"/>
    </row>
    <row r="3">
      <c r="A3" s="6" t="s">
        <v>647</v>
      </c>
      <c r="B3" s="51">
        <v>1.0</v>
      </c>
      <c r="C3" s="55">
        <v>38.0</v>
      </c>
      <c r="D3" s="52">
        <v>44961.0</v>
      </c>
      <c r="E3" s="52">
        <v>44911.0</v>
      </c>
      <c r="F3" s="52">
        <v>44912.0</v>
      </c>
      <c r="G3" s="56">
        <v>4.5</v>
      </c>
      <c r="H3" s="57" t="s">
        <v>298</v>
      </c>
      <c r="I3" s="57" t="s">
        <v>169</v>
      </c>
      <c r="J3" s="53"/>
      <c r="K3" s="57" t="s">
        <v>648</v>
      </c>
      <c r="L3" s="6" t="str">
        <f>LOWER(SUBSTITUTE(stg_payroll!$A3," ","") &amp; TEXT(stg_payroll!$B3,"00"))</f>
        <v>igorgroysman01</v>
      </c>
      <c r="M3" s="7"/>
      <c r="N3" s="7"/>
      <c r="O3" s="7"/>
      <c r="P3" s="7"/>
      <c r="Q3" s="7"/>
      <c r="R3" s="7"/>
      <c r="S3" s="7"/>
      <c r="T3" s="7"/>
      <c r="U3" s="7"/>
    </row>
    <row r="4">
      <c r="A4" s="6" t="s">
        <v>649</v>
      </c>
      <c r="B4" s="51">
        <v>1.0</v>
      </c>
      <c r="C4" s="55">
        <v>38.0</v>
      </c>
      <c r="D4" s="52">
        <v>45129.0</v>
      </c>
      <c r="E4" s="52">
        <v>45120.0</v>
      </c>
      <c r="F4" s="52">
        <v>45122.0</v>
      </c>
      <c r="G4" s="56">
        <v>11.0</v>
      </c>
      <c r="H4" s="57" t="s">
        <v>342</v>
      </c>
      <c r="I4" s="57" t="s">
        <v>38</v>
      </c>
      <c r="J4" s="53">
        <v>6.55</v>
      </c>
      <c r="K4" s="57" t="s">
        <v>648</v>
      </c>
      <c r="L4" s="6" t="str">
        <f>LOWER(SUBSTITUTE(stg_payroll!$A4," ","") &amp; TEXT(stg_payroll!$B4,"00"))</f>
        <v>ricardovilchez01</v>
      </c>
      <c r="M4" s="7"/>
      <c r="N4" s="7"/>
      <c r="O4" s="7"/>
      <c r="P4" s="7"/>
      <c r="Q4" s="7"/>
      <c r="R4" s="7"/>
      <c r="S4" s="7"/>
      <c r="T4" s="7"/>
      <c r="U4" s="7"/>
    </row>
    <row r="5">
      <c r="A5" s="6" t="s">
        <v>650</v>
      </c>
      <c r="B5" s="51">
        <v>1.0</v>
      </c>
      <c r="C5" s="55">
        <v>38.0</v>
      </c>
      <c r="D5" s="52">
        <v>45597.0</v>
      </c>
      <c r="E5" s="52">
        <v>45583.0</v>
      </c>
      <c r="F5" s="52">
        <v>45584.0</v>
      </c>
      <c r="G5" s="56">
        <v>7.5</v>
      </c>
      <c r="H5" s="57" t="s">
        <v>268</v>
      </c>
      <c r="I5" s="57" t="s">
        <v>28</v>
      </c>
      <c r="J5" s="53"/>
      <c r="K5" s="57" t="s">
        <v>648</v>
      </c>
      <c r="L5" s="6" t="str">
        <f>LOWER(SUBSTITUTE(stg_payroll!$A5," ","") &amp; TEXT(stg_payroll!$B5,"00"))</f>
        <v>cornelalbu01</v>
      </c>
      <c r="M5" s="7"/>
      <c r="N5" s="7"/>
      <c r="O5" s="7"/>
      <c r="P5" s="7"/>
      <c r="Q5" s="7"/>
      <c r="R5" s="7"/>
      <c r="S5" s="7"/>
      <c r="T5" s="7"/>
      <c r="U5" s="7"/>
    </row>
    <row r="6">
      <c r="A6" s="6" t="s">
        <v>650</v>
      </c>
      <c r="B6" s="51">
        <v>1.0</v>
      </c>
      <c r="C6" s="55">
        <v>38.0</v>
      </c>
      <c r="D6" s="52">
        <v>45597.0</v>
      </c>
      <c r="E6" s="52">
        <v>45584.0</v>
      </c>
      <c r="F6" s="52">
        <v>45584.0</v>
      </c>
      <c r="G6" s="56">
        <v>18.5</v>
      </c>
      <c r="H6" s="57" t="s">
        <v>268</v>
      </c>
      <c r="I6" s="57" t="s">
        <v>28</v>
      </c>
      <c r="J6" s="53"/>
      <c r="K6" s="57" t="s">
        <v>648</v>
      </c>
      <c r="L6" s="6" t="str">
        <f>LOWER(SUBSTITUTE(stg_payroll!$A6," ","") &amp; TEXT(stg_payroll!$B6,"00"))</f>
        <v>cornelalbu01</v>
      </c>
      <c r="M6" s="7"/>
      <c r="N6" s="7"/>
      <c r="O6" s="7"/>
      <c r="P6" s="7"/>
      <c r="Q6" s="7"/>
      <c r="R6" s="7"/>
      <c r="S6" s="7"/>
      <c r="T6" s="7"/>
      <c r="U6" s="7"/>
    </row>
    <row r="7">
      <c r="A7" s="6" t="s">
        <v>650</v>
      </c>
      <c r="B7" s="51">
        <v>3.0</v>
      </c>
      <c r="C7" s="55">
        <v>45.0</v>
      </c>
      <c r="D7" s="52">
        <v>45717.0</v>
      </c>
      <c r="E7" s="52">
        <v>45698.0</v>
      </c>
      <c r="F7" s="52">
        <v>45703.0</v>
      </c>
      <c r="G7" s="56">
        <v>9.0</v>
      </c>
      <c r="H7" s="57" t="s">
        <v>358</v>
      </c>
      <c r="I7" s="57" t="s">
        <v>60</v>
      </c>
      <c r="J7" s="53"/>
      <c r="K7" s="57" t="s">
        <v>648</v>
      </c>
      <c r="L7" s="6" t="str">
        <f>LOWER(SUBSTITUTE(stg_payroll!$A7," ","") &amp; TEXT(stg_payroll!$B7,"00"))</f>
        <v>cornelalbu03</v>
      </c>
      <c r="M7" s="7"/>
      <c r="N7" s="7"/>
      <c r="O7" s="7"/>
      <c r="P7" s="7"/>
      <c r="Q7" s="7"/>
      <c r="R7" s="7"/>
      <c r="S7" s="7"/>
      <c r="T7" s="7"/>
      <c r="U7" s="7"/>
    </row>
    <row r="8">
      <c r="A8" s="6" t="s">
        <v>650</v>
      </c>
      <c r="B8" s="51">
        <v>1.0</v>
      </c>
      <c r="C8" s="55">
        <v>38.0</v>
      </c>
      <c r="D8" s="52">
        <v>45759.0</v>
      </c>
      <c r="E8" s="52">
        <v>45743.0</v>
      </c>
      <c r="F8" s="52">
        <v>45745.0</v>
      </c>
      <c r="G8" s="56">
        <v>5.0</v>
      </c>
      <c r="H8" s="57" t="s">
        <v>358</v>
      </c>
      <c r="I8" s="57" t="s">
        <v>60</v>
      </c>
      <c r="J8" s="53"/>
      <c r="K8" s="57" t="s">
        <v>648</v>
      </c>
      <c r="L8" s="6" t="str">
        <f>LOWER(SUBSTITUTE(stg_payroll!$A8," ","") &amp; TEXT(stg_payroll!$B8,"00"))</f>
        <v>cornelalbu01</v>
      </c>
      <c r="M8" s="7"/>
      <c r="N8" s="7"/>
      <c r="O8" s="7"/>
      <c r="P8" s="7"/>
      <c r="Q8" s="7"/>
      <c r="R8" s="7"/>
      <c r="S8" s="7"/>
      <c r="T8" s="7"/>
      <c r="U8" s="7"/>
    </row>
    <row r="9">
      <c r="A9" s="6" t="s">
        <v>650</v>
      </c>
      <c r="B9" s="51">
        <v>1.0</v>
      </c>
      <c r="C9" s="55">
        <v>38.0</v>
      </c>
      <c r="D9" s="52">
        <v>45759.0</v>
      </c>
      <c r="E9" s="52">
        <v>45744.0</v>
      </c>
      <c r="F9" s="52">
        <v>45745.0</v>
      </c>
      <c r="G9" s="56">
        <v>6.5</v>
      </c>
      <c r="H9" s="57" t="s">
        <v>358</v>
      </c>
      <c r="I9" s="57" t="s">
        <v>60</v>
      </c>
      <c r="J9" s="53"/>
      <c r="K9" s="57" t="s">
        <v>648</v>
      </c>
      <c r="L9" s="6" t="str">
        <f>LOWER(SUBSTITUTE(stg_payroll!$A9," ","") &amp; TEXT(stg_payroll!$B9,"00"))</f>
        <v>cornelalbu01</v>
      </c>
      <c r="M9" s="7"/>
      <c r="N9" s="7"/>
      <c r="O9" s="7"/>
      <c r="P9" s="7"/>
      <c r="Q9" s="7"/>
      <c r="R9" s="7"/>
      <c r="S9" s="7"/>
      <c r="T9" s="7"/>
      <c r="U9" s="7"/>
    </row>
    <row r="10">
      <c r="A10" s="6" t="s">
        <v>650</v>
      </c>
      <c r="B10" s="51">
        <v>1.0</v>
      </c>
      <c r="C10" s="55">
        <v>38.0</v>
      </c>
      <c r="D10" s="52">
        <v>45759.0</v>
      </c>
      <c r="E10" s="52">
        <v>45745.0</v>
      </c>
      <c r="F10" s="52">
        <v>45745.0</v>
      </c>
      <c r="G10" s="56">
        <v>21.0</v>
      </c>
      <c r="H10" s="57" t="s">
        <v>358</v>
      </c>
      <c r="I10" s="57" t="s">
        <v>60</v>
      </c>
      <c r="J10" s="53">
        <v>27.76</v>
      </c>
      <c r="K10" s="57" t="s">
        <v>648</v>
      </c>
      <c r="L10" s="6" t="str">
        <f>LOWER(SUBSTITUTE(stg_payroll!$A10," ","") &amp; TEXT(stg_payroll!$B10,"00"))</f>
        <v>cornelalbu01</v>
      </c>
      <c r="M10" s="7"/>
      <c r="N10" s="7"/>
      <c r="O10" s="7"/>
      <c r="P10" s="7"/>
      <c r="Q10" s="7"/>
      <c r="R10" s="7"/>
      <c r="S10" s="7"/>
      <c r="T10" s="7"/>
      <c r="U10" s="7"/>
    </row>
    <row r="11">
      <c r="A11" s="6" t="s">
        <v>650</v>
      </c>
      <c r="B11" s="51">
        <v>1.0</v>
      </c>
      <c r="C11" s="55">
        <v>38.0</v>
      </c>
      <c r="D11" s="52">
        <v>45759.0</v>
      </c>
      <c r="E11" s="52">
        <v>45750.0</v>
      </c>
      <c r="F11" s="52">
        <v>45752.0</v>
      </c>
      <c r="G11" s="56">
        <v>6.0</v>
      </c>
      <c r="H11" s="57" t="s">
        <v>358</v>
      </c>
      <c r="I11" s="57" t="s">
        <v>60</v>
      </c>
      <c r="J11" s="53"/>
      <c r="K11" s="57" t="s">
        <v>648</v>
      </c>
      <c r="L11" s="6" t="str">
        <f>LOWER(SUBSTITUTE(stg_payroll!$A11," ","") &amp; TEXT(stg_payroll!$B11,"00"))</f>
        <v>cornelalbu01</v>
      </c>
      <c r="M11" s="7"/>
      <c r="N11" s="7"/>
      <c r="O11" s="7"/>
      <c r="P11" s="7"/>
      <c r="Q11" s="7"/>
      <c r="R11" s="7"/>
      <c r="S11" s="7"/>
      <c r="T11" s="7"/>
      <c r="U11" s="7"/>
    </row>
    <row r="12">
      <c r="A12" s="6" t="s">
        <v>650</v>
      </c>
      <c r="B12" s="51">
        <v>1.0</v>
      </c>
      <c r="C12" s="55">
        <v>38.0</v>
      </c>
      <c r="D12" s="52">
        <v>45759.0</v>
      </c>
      <c r="E12" s="52">
        <v>45751.0</v>
      </c>
      <c r="F12" s="52">
        <v>45752.0</v>
      </c>
      <c r="G12" s="56">
        <v>6.5</v>
      </c>
      <c r="H12" s="57" t="s">
        <v>358</v>
      </c>
      <c r="I12" s="57" t="s">
        <v>60</v>
      </c>
      <c r="J12" s="53"/>
      <c r="K12" s="57" t="s">
        <v>648</v>
      </c>
      <c r="L12" s="6" t="str">
        <f>LOWER(SUBSTITUTE(stg_payroll!$A12," ","") &amp; TEXT(stg_payroll!$B12,"00"))</f>
        <v>cornelalbu01</v>
      </c>
      <c r="M12" s="7"/>
      <c r="N12" s="7"/>
      <c r="O12" s="7"/>
      <c r="P12" s="7"/>
      <c r="Q12" s="7"/>
      <c r="R12" s="7"/>
      <c r="S12" s="7"/>
      <c r="T12" s="7"/>
      <c r="U12" s="7"/>
    </row>
    <row r="13">
      <c r="A13" s="6" t="s">
        <v>650</v>
      </c>
      <c r="B13" s="51">
        <v>1.0</v>
      </c>
      <c r="C13" s="55">
        <v>38.0</v>
      </c>
      <c r="D13" s="52">
        <v>45759.0</v>
      </c>
      <c r="E13" s="52">
        <v>45752.0</v>
      </c>
      <c r="F13" s="52">
        <v>45752.0</v>
      </c>
      <c r="G13" s="56">
        <v>20.5</v>
      </c>
      <c r="H13" s="57" t="s">
        <v>358</v>
      </c>
      <c r="I13" s="57" t="s">
        <v>60</v>
      </c>
      <c r="J13" s="53">
        <v>34.7</v>
      </c>
      <c r="K13" s="57" t="s">
        <v>648</v>
      </c>
      <c r="L13" s="6" t="str">
        <f>LOWER(SUBSTITUTE(stg_payroll!$A13," ","") &amp; TEXT(stg_payroll!$B13,"00"))</f>
        <v>cornelalbu01</v>
      </c>
      <c r="M13" s="7"/>
      <c r="N13" s="7"/>
      <c r="O13" s="7"/>
      <c r="P13" s="7"/>
      <c r="Q13" s="7"/>
      <c r="R13" s="7"/>
      <c r="S13" s="7"/>
      <c r="T13" s="7"/>
      <c r="U13" s="7"/>
    </row>
    <row r="14">
      <c r="A14" s="6" t="s">
        <v>651</v>
      </c>
      <c r="B14" s="51">
        <v>1.0</v>
      </c>
      <c r="C14" s="55">
        <v>33.0</v>
      </c>
      <c r="D14" s="52">
        <v>45780.0</v>
      </c>
      <c r="E14" s="52">
        <v>45744.0</v>
      </c>
      <c r="F14" s="52">
        <v>45745.0</v>
      </c>
      <c r="G14" s="56">
        <v>5.0</v>
      </c>
      <c r="H14" s="57" t="s">
        <v>358</v>
      </c>
      <c r="I14" s="57" t="s">
        <v>60</v>
      </c>
      <c r="J14" s="53"/>
      <c r="K14" s="57" t="s">
        <v>648</v>
      </c>
      <c r="L14" s="6" t="str">
        <f>LOWER(SUBSTITUTE(stg_payroll!$A14," ","") &amp; TEXT(stg_payroll!$B14,"00"))</f>
        <v>soslanlazarov01</v>
      </c>
      <c r="M14" s="7"/>
      <c r="N14" s="7"/>
      <c r="O14" s="7"/>
      <c r="P14" s="7"/>
      <c r="Q14" s="7"/>
      <c r="R14" s="7"/>
      <c r="S14" s="7"/>
      <c r="T14" s="7"/>
      <c r="U14" s="7"/>
    </row>
    <row r="15">
      <c r="A15" s="6" t="s">
        <v>651</v>
      </c>
      <c r="B15" s="51">
        <v>1.0</v>
      </c>
      <c r="C15" s="55">
        <v>33.0</v>
      </c>
      <c r="D15" s="52">
        <v>45780.0</v>
      </c>
      <c r="E15" s="52">
        <v>45745.0</v>
      </c>
      <c r="F15" s="52">
        <v>45745.0</v>
      </c>
      <c r="G15" s="56">
        <v>14.0</v>
      </c>
      <c r="H15" s="57" t="s">
        <v>358</v>
      </c>
      <c r="I15" s="57" t="s">
        <v>60</v>
      </c>
      <c r="J15" s="53"/>
      <c r="K15" s="57" t="s">
        <v>648</v>
      </c>
      <c r="L15" s="6" t="str">
        <f>LOWER(SUBSTITUTE(stg_payroll!$A15," ","") &amp; TEXT(stg_payroll!$B15,"00"))</f>
        <v>soslanlazarov01</v>
      </c>
      <c r="M15" s="7"/>
      <c r="N15" s="7"/>
      <c r="O15" s="7"/>
      <c r="P15" s="7"/>
      <c r="Q15" s="7"/>
      <c r="R15" s="7"/>
      <c r="S15" s="7"/>
      <c r="T15" s="7"/>
      <c r="U15" s="7"/>
    </row>
    <row r="16">
      <c r="A16" s="6" t="s">
        <v>651</v>
      </c>
      <c r="B16" s="51">
        <v>1.0</v>
      </c>
      <c r="C16" s="55">
        <v>33.0</v>
      </c>
      <c r="D16" s="52">
        <v>45780.0</v>
      </c>
      <c r="E16" s="52">
        <v>45746.0</v>
      </c>
      <c r="F16" s="52">
        <v>45752.0</v>
      </c>
      <c r="G16" s="56">
        <v>15.0</v>
      </c>
      <c r="H16" s="57" t="s">
        <v>358</v>
      </c>
      <c r="I16" s="57" t="s">
        <v>60</v>
      </c>
      <c r="J16" s="53">
        <v>9.0</v>
      </c>
      <c r="K16" s="57" t="s">
        <v>648</v>
      </c>
      <c r="L16" s="6" t="str">
        <f>LOWER(SUBSTITUTE(stg_payroll!$A16," ","") &amp; TEXT(stg_payroll!$B16,"00"))</f>
        <v>soslanlazarov01</v>
      </c>
      <c r="M16" s="7"/>
      <c r="N16" s="7"/>
      <c r="O16" s="7"/>
      <c r="P16" s="7"/>
      <c r="Q16" s="7"/>
      <c r="R16" s="7"/>
      <c r="S16" s="7"/>
      <c r="T16" s="7"/>
      <c r="U16" s="7"/>
    </row>
    <row r="17">
      <c r="A17" s="6" t="s">
        <v>651</v>
      </c>
      <c r="B17" s="51">
        <v>1.0</v>
      </c>
      <c r="C17" s="55">
        <v>33.0</v>
      </c>
      <c r="D17" s="52">
        <v>45780.0</v>
      </c>
      <c r="E17" s="52">
        <v>45752.0</v>
      </c>
      <c r="F17" s="52">
        <v>45752.0</v>
      </c>
      <c r="G17" s="56">
        <v>14.0</v>
      </c>
      <c r="H17" s="57" t="s">
        <v>358</v>
      </c>
      <c r="I17" s="57" t="s">
        <v>60</v>
      </c>
      <c r="J17" s="53"/>
      <c r="K17" s="57" t="s">
        <v>648</v>
      </c>
      <c r="L17" s="6" t="str">
        <f>LOWER(SUBSTITUTE(stg_payroll!$A17," ","") &amp; TEXT(stg_payroll!$B17,"00"))</f>
        <v>soslanlazarov01</v>
      </c>
      <c r="M17" s="7"/>
      <c r="N17" s="7"/>
      <c r="O17" s="7"/>
      <c r="P17" s="7"/>
      <c r="Q17" s="7"/>
      <c r="R17" s="7"/>
      <c r="S17" s="7"/>
      <c r="T17" s="7"/>
      <c r="U17" s="7"/>
    </row>
    <row r="18">
      <c r="A18" s="6" t="s">
        <v>651</v>
      </c>
      <c r="B18" s="51">
        <v>1.0</v>
      </c>
      <c r="C18" s="55">
        <v>33.0</v>
      </c>
      <c r="D18" s="52">
        <v>45780.0</v>
      </c>
      <c r="E18" s="52">
        <v>45753.0</v>
      </c>
      <c r="F18" s="52">
        <v>45759.0</v>
      </c>
      <c r="G18" s="56">
        <v>15.0</v>
      </c>
      <c r="H18" s="57" t="s">
        <v>358</v>
      </c>
      <c r="I18" s="57" t="s">
        <v>60</v>
      </c>
      <c r="J18" s="53">
        <v>9.0</v>
      </c>
      <c r="K18" s="57" t="s">
        <v>648</v>
      </c>
      <c r="L18" s="6" t="str">
        <f>LOWER(SUBSTITUTE(stg_payroll!$A18," ","") &amp; TEXT(stg_payroll!$B18,"00"))</f>
        <v>soslanlazarov01</v>
      </c>
      <c r="M18" s="7"/>
      <c r="N18" s="7"/>
      <c r="O18" s="7"/>
      <c r="P18" s="7"/>
      <c r="Q18" s="7"/>
      <c r="R18" s="7"/>
      <c r="S18" s="7"/>
      <c r="T18" s="7"/>
      <c r="U18" s="7"/>
    </row>
    <row r="19">
      <c r="A19" s="6" t="s">
        <v>651</v>
      </c>
      <c r="B19" s="51">
        <v>1.0</v>
      </c>
      <c r="C19" s="55">
        <v>33.0</v>
      </c>
      <c r="D19" s="52">
        <v>45780.0</v>
      </c>
      <c r="E19" s="52">
        <v>45757.0</v>
      </c>
      <c r="F19" s="52">
        <v>45759.0</v>
      </c>
      <c r="G19" s="56">
        <v>5.0</v>
      </c>
      <c r="H19" s="57" t="s">
        <v>358</v>
      </c>
      <c r="I19" s="57" t="s">
        <v>60</v>
      </c>
      <c r="J19" s="53"/>
      <c r="K19" s="57" t="s">
        <v>648</v>
      </c>
      <c r="L19" s="6" t="str">
        <f>LOWER(SUBSTITUTE(stg_payroll!$A19," ","") &amp; TEXT(stg_payroll!$B19,"00"))</f>
        <v>soslanlazarov01</v>
      </c>
      <c r="M19" s="7"/>
      <c r="N19" s="7"/>
      <c r="O19" s="7"/>
      <c r="P19" s="7"/>
      <c r="Q19" s="7"/>
      <c r="R19" s="7"/>
      <c r="S19" s="7"/>
      <c r="T19" s="7"/>
      <c r="U19" s="7"/>
    </row>
    <row r="20">
      <c r="A20" s="6" t="s">
        <v>651</v>
      </c>
      <c r="B20" s="51">
        <v>1.0</v>
      </c>
      <c r="C20" s="55">
        <v>33.0</v>
      </c>
      <c r="D20" s="52">
        <v>45780.0</v>
      </c>
      <c r="E20" s="52">
        <v>45758.0</v>
      </c>
      <c r="F20" s="52">
        <v>45759.0</v>
      </c>
      <c r="G20" s="56">
        <v>5.5</v>
      </c>
      <c r="H20" s="57" t="s">
        <v>358</v>
      </c>
      <c r="I20" s="57" t="s">
        <v>60</v>
      </c>
      <c r="J20" s="53"/>
      <c r="K20" s="57" t="s">
        <v>648</v>
      </c>
      <c r="L20" s="6" t="str">
        <f>LOWER(SUBSTITUTE(stg_payroll!$A20," ","") &amp; TEXT(stg_payroll!$B20,"00"))</f>
        <v>soslanlazarov01</v>
      </c>
      <c r="M20" s="7"/>
      <c r="N20" s="7"/>
      <c r="O20" s="7"/>
      <c r="P20" s="7"/>
      <c r="Q20" s="7"/>
      <c r="R20" s="7"/>
      <c r="S20" s="7"/>
      <c r="T20" s="7"/>
      <c r="U20" s="7"/>
    </row>
    <row r="21" ht="15.75" customHeight="1">
      <c r="A21" s="6" t="s">
        <v>651</v>
      </c>
      <c r="B21" s="51">
        <v>1.0</v>
      </c>
      <c r="C21" s="55">
        <v>33.0</v>
      </c>
      <c r="D21" s="52">
        <v>45780.0</v>
      </c>
      <c r="E21" s="52">
        <v>45759.0</v>
      </c>
      <c r="F21" s="52">
        <v>45759.0</v>
      </c>
      <c r="G21" s="56">
        <v>16.5</v>
      </c>
      <c r="H21" s="57" t="s">
        <v>358</v>
      </c>
      <c r="I21" s="57" t="s">
        <v>60</v>
      </c>
      <c r="J21" s="53"/>
      <c r="K21" s="57" t="s">
        <v>648</v>
      </c>
      <c r="L21" s="6" t="str">
        <f>LOWER(SUBSTITUTE(stg_payroll!$A21," ","") &amp; TEXT(stg_payroll!$B21,"00"))</f>
        <v>soslanlazarov01</v>
      </c>
      <c r="M21" s="7"/>
      <c r="N21" s="7"/>
      <c r="O21" s="7"/>
      <c r="P21" s="7"/>
      <c r="Q21" s="7"/>
      <c r="R21" s="7"/>
      <c r="S21" s="7"/>
      <c r="T21" s="7"/>
      <c r="U21" s="7"/>
    </row>
    <row r="22" ht="15.75" customHeight="1">
      <c r="A22" s="6" t="s">
        <v>652</v>
      </c>
      <c r="B22" s="51">
        <v>1.0</v>
      </c>
      <c r="C22" s="55">
        <v>30.0</v>
      </c>
      <c r="D22" s="52">
        <v>45800.0</v>
      </c>
      <c r="E22" s="52">
        <v>45696.0</v>
      </c>
      <c r="F22" s="52">
        <v>45696.0</v>
      </c>
      <c r="G22" s="56">
        <v>7.5</v>
      </c>
      <c r="H22" s="57" t="s">
        <v>358</v>
      </c>
      <c r="I22" s="57" t="s">
        <v>60</v>
      </c>
      <c r="J22" s="53">
        <v>6.95</v>
      </c>
      <c r="K22" s="57" t="s">
        <v>648</v>
      </c>
      <c r="L22" s="6" t="str">
        <f>LOWER(SUBSTITUTE(stg_payroll!$A22," ","") &amp; TEXT(stg_payroll!$B22,"00"))</f>
        <v>leongroysman01</v>
      </c>
      <c r="M22" s="7"/>
      <c r="N22" s="7"/>
      <c r="O22" s="7"/>
      <c r="P22" s="7"/>
      <c r="Q22" s="7"/>
      <c r="R22" s="7"/>
      <c r="S22" s="7"/>
      <c r="T22" s="7"/>
      <c r="U22" s="7"/>
    </row>
    <row r="23" ht="15.75" customHeight="1">
      <c r="A23" s="6" t="s">
        <v>652</v>
      </c>
      <c r="B23" s="51">
        <v>1.0</v>
      </c>
      <c r="C23" s="55">
        <v>30.0</v>
      </c>
      <c r="D23" s="52">
        <v>45800.0</v>
      </c>
      <c r="E23" s="52">
        <v>45697.0</v>
      </c>
      <c r="F23" s="52">
        <v>45703.0</v>
      </c>
      <c r="G23" s="56">
        <v>8.5</v>
      </c>
      <c r="H23" s="57" t="s">
        <v>358</v>
      </c>
      <c r="I23" s="57" t="s">
        <v>60</v>
      </c>
      <c r="J23" s="53">
        <v>6.95</v>
      </c>
      <c r="K23" s="57" t="s">
        <v>648</v>
      </c>
      <c r="L23" s="6" t="str">
        <f>LOWER(SUBSTITUTE(stg_payroll!$A23," ","") &amp; TEXT(stg_payroll!$B23,"00"))</f>
        <v>leongroysman01</v>
      </c>
      <c r="M23" s="7"/>
      <c r="N23" s="7"/>
      <c r="O23" s="7"/>
      <c r="P23" s="7"/>
      <c r="Q23" s="7"/>
      <c r="R23" s="7"/>
      <c r="S23" s="7"/>
      <c r="T23" s="7"/>
      <c r="U23" s="7"/>
    </row>
    <row r="24" ht="15.75" customHeight="1">
      <c r="A24" s="6" t="s">
        <v>652</v>
      </c>
      <c r="B24" s="51">
        <v>1.0</v>
      </c>
      <c r="C24" s="55">
        <v>35.0</v>
      </c>
      <c r="D24" s="52">
        <v>46073.0</v>
      </c>
      <c r="E24" s="52">
        <v>45759.0</v>
      </c>
      <c r="F24" s="52">
        <v>45759.0</v>
      </c>
      <c r="G24" s="56">
        <v>16.5</v>
      </c>
      <c r="H24" s="57" t="s">
        <v>358</v>
      </c>
      <c r="I24" s="57" t="s">
        <v>60</v>
      </c>
      <c r="J24" s="53">
        <v>13.9</v>
      </c>
      <c r="K24" s="57" t="s">
        <v>648</v>
      </c>
      <c r="L24" s="6" t="str">
        <f>LOWER(SUBSTITUTE(stg_payroll!$A24," ","") &amp; TEXT(stg_payroll!$B24,"00"))</f>
        <v>leongroysman01</v>
      </c>
      <c r="M24" s="7"/>
      <c r="N24" s="7"/>
      <c r="O24" s="7"/>
      <c r="P24" s="7"/>
      <c r="Q24" s="7"/>
      <c r="R24" s="7"/>
      <c r="S24" s="7"/>
      <c r="T24" s="7"/>
      <c r="U24" s="7"/>
    </row>
    <row r="25" ht="15.75" customHeight="1">
      <c r="A25" s="6" t="s">
        <v>652</v>
      </c>
      <c r="B25" s="51">
        <v>1.0</v>
      </c>
      <c r="C25" s="55">
        <v>35.0</v>
      </c>
      <c r="D25" s="52">
        <v>46073.0</v>
      </c>
      <c r="E25" s="52">
        <v>45760.0</v>
      </c>
      <c r="F25" s="52">
        <v>45766.0</v>
      </c>
      <c r="G25" s="56">
        <v>16.0</v>
      </c>
      <c r="H25" s="57" t="s">
        <v>358</v>
      </c>
      <c r="I25" s="57" t="s">
        <v>60</v>
      </c>
      <c r="J25" s="53">
        <v>13.9</v>
      </c>
      <c r="K25" s="57" t="s">
        <v>648</v>
      </c>
      <c r="L25" s="6" t="str">
        <f>LOWER(SUBSTITUTE(stg_payroll!$A25," ","") &amp; TEXT(stg_payroll!$B25,"00"))</f>
        <v>leongroysman01</v>
      </c>
      <c r="M25" s="7"/>
      <c r="N25" s="7"/>
      <c r="O25" s="7"/>
      <c r="P25" s="7"/>
      <c r="Q25" s="7"/>
      <c r="R25" s="7"/>
      <c r="S25" s="7"/>
      <c r="T25" s="7"/>
      <c r="U25" s="7"/>
    </row>
    <row r="26" ht="15.75" customHeight="1">
      <c r="A26" s="6" t="s">
        <v>650</v>
      </c>
      <c r="B26" s="51">
        <v>1.0</v>
      </c>
      <c r="C26" s="55">
        <v>38.0</v>
      </c>
      <c r="D26" s="52"/>
      <c r="E26" s="52">
        <v>45675.0</v>
      </c>
      <c r="F26" s="52"/>
      <c r="G26" s="56">
        <v>6.0</v>
      </c>
      <c r="H26" s="57" t="s">
        <v>653</v>
      </c>
      <c r="I26" s="57" t="s">
        <v>654</v>
      </c>
      <c r="J26" s="53"/>
      <c r="K26" s="57" t="s">
        <v>648</v>
      </c>
      <c r="L26" s="6" t="str">
        <f>LOWER(SUBSTITUTE(stg_payroll!$A26," ","") &amp; TEXT(stg_payroll!$B26,"00"))</f>
        <v>cornelalbu01</v>
      </c>
      <c r="M26" s="7"/>
      <c r="N26" s="7"/>
      <c r="O26" s="7"/>
      <c r="P26" s="7"/>
      <c r="Q26" s="7"/>
      <c r="R26" s="7"/>
      <c r="S26" s="7"/>
      <c r="T26" s="7"/>
      <c r="U26" s="7"/>
    </row>
    <row r="27" ht="15.75" customHeight="1">
      <c r="A27" s="6" t="s">
        <v>650</v>
      </c>
      <c r="B27" s="51">
        <v>1.0</v>
      </c>
      <c r="C27" s="55">
        <v>38.0</v>
      </c>
      <c r="D27" s="52"/>
      <c r="E27" s="52">
        <v>45676.0</v>
      </c>
      <c r="F27" s="52"/>
      <c r="G27" s="56">
        <v>6.5</v>
      </c>
      <c r="H27" s="57" t="s">
        <v>653</v>
      </c>
      <c r="I27" s="57" t="s">
        <v>654</v>
      </c>
      <c r="J27" s="53"/>
      <c r="K27" s="57" t="s">
        <v>648</v>
      </c>
      <c r="L27" s="6" t="str">
        <f>LOWER(SUBSTITUTE(stg_payroll!$A27," ","") &amp; TEXT(stg_payroll!$B27,"00"))</f>
        <v>cornelalbu01</v>
      </c>
      <c r="M27" s="7"/>
      <c r="N27" s="7"/>
      <c r="O27" s="7"/>
      <c r="P27" s="7"/>
      <c r="Q27" s="7"/>
      <c r="R27" s="7"/>
      <c r="S27" s="7"/>
      <c r="T27" s="7"/>
      <c r="U27" s="7"/>
    </row>
    <row r="28" ht="15.75" customHeight="1">
      <c r="A28" s="6" t="s">
        <v>647</v>
      </c>
      <c r="B28" s="51">
        <v>1.0</v>
      </c>
      <c r="C28" s="55">
        <v>38.0</v>
      </c>
      <c r="D28" s="52"/>
      <c r="E28" s="52">
        <v>44757.0</v>
      </c>
      <c r="F28" s="52"/>
      <c r="G28" s="56">
        <v>10.5</v>
      </c>
      <c r="H28" s="57" t="s">
        <v>178</v>
      </c>
      <c r="I28" s="57" t="s">
        <v>45</v>
      </c>
      <c r="J28" s="53"/>
      <c r="K28" s="57" t="s">
        <v>648</v>
      </c>
      <c r="L28" s="6" t="str">
        <f>LOWER(SUBSTITUTE(stg_payroll!$A28," ","") &amp; TEXT(stg_payroll!$B28,"00"))</f>
        <v>igorgroysman01</v>
      </c>
      <c r="M28" s="7"/>
      <c r="N28" s="7"/>
      <c r="O28" s="7"/>
      <c r="P28" s="7"/>
      <c r="Q28" s="7"/>
      <c r="R28" s="7"/>
      <c r="S28" s="7"/>
      <c r="T28" s="7"/>
      <c r="U28" s="7"/>
    </row>
    <row r="29" ht="15.75" customHeight="1">
      <c r="A29" s="6" t="s">
        <v>655</v>
      </c>
      <c r="B29" s="51">
        <v>3.0</v>
      </c>
      <c r="C29" s="55">
        <v>89.0</v>
      </c>
      <c r="D29" s="52"/>
      <c r="E29" s="52">
        <v>44749.0</v>
      </c>
      <c r="F29" s="52"/>
      <c r="G29" s="56">
        <v>6.0</v>
      </c>
      <c r="H29" s="57" t="s">
        <v>178</v>
      </c>
      <c r="I29" s="57" t="s">
        <v>45</v>
      </c>
      <c r="J29" s="53"/>
      <c r="K29" s="57" t="s">
        <v>648</v>
      </c>
      <c r="L29" s="6" t="str">
        <f>LOWER(SUBSTITUTE(stg_payroll!$A29," ","") &amp; TEXT(stg_payroll!$B29,"00"))</f>
        <v>dimitribellos03</v>
      </c>
      <c r="M29" s="7"/>
      <c r="N29" s="7"/>
      <c r="O29" s="7"/>
      <c r="P29" s="7"/>
      <c r="Q29" s="7"/>
      <c r="R29" s="7"/>
      <c r="S29" s="7"/>
      <c r="T29" s="7"/>
      <c r="U29" s="7"/>
    </row>
    <row r="30" ht="15.75" customHeight="1">
      <c r="A30" s="7"/>
      <c r="B30" s="58"/>
      <c r="C30" s="7"/>
      <c r="D30" s="59"/>
      <c r="E30" s="59"/>
      <c r="F30" s="59"/>
      <c r="G30" s="7"/>
      <c r="H30" s="7"/>
      <c r="I30" s="7"/>
      <c r="J30" s="60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ht="15.75" customHeight="1">
      <c r="A31" s="7"/>
      <c r="B31" s="58"/>
      <c r="C31" s="7"/>
      <c r="D31" s="59"/>
      <c r="E31" s="59"/>
      <c r="F31" s="59"/>
      <c r="G31" s="7"/>
      <c r="H31" s="7"/>
      <c r="I31" s="7"/>
      <c r="J31" s="60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ht="15.75" customHeight="1">
      <c r="A32" s="7"/>
      <c r="B32" s="58"/>
      <c r="C32" s="7"/>
      <c r="D32" s="59"/>
      <c r="E32" s="59"/>
      <c r="F32" s="59"/>
      <c r="G32" s="7"/>
      <c r="H32" s="7"/>
      <c r="I32" s="7"/>
      <c r="J32" s="60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ht="15.75" customHeight="1">
      <c r="A33" s="7"/>
      <c r="B33" s="58"/>
      <c r="C33" s="7"/>
      <c r="D33" s="59"/>
      <c r="E33" s="59"/>
      <c r="F33" s="59"/>
      <c r="G33" s="7"/>
      <c r="H33" s="7"/>
      <c r="I33" s="7"/>
      <c r="J33" s="60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ht="15.75" customHeight="1">
      <c r="A34" s="7"/>
      <c r="B34" s="58"/>
      <c r="C34" s="7"/>
      <c r="D34" s="59"/>
      <c r="E34" s="59"/>
      <c r="F34" s="59"/>
      <c r="G34" s="7"/>
      <c r="H34" s="7"/>
      <c r="I34" s="7"/>
      <c r="J34" s="60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ht="15.75" customHeight="1">
      <c r="A35" s="7"/>
      <c r="B35" s="58"/>
      <c r="C35" s="7"/>
      <c r="D35" s="59"/>
      <c r="E35" s="59"/>
      <c r="F35" s="59"/>
      <c r="G35" s="7"/>
      <c r="H35" s="7"/>
      <c r="I35" s="7"/>
      <c r="J35" s="60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ht="15.75" customHeight="1">
      <c r="A36" s="7"/>
      <c r="B36" s="58"/>
      <c r="C36" s="7"/>
      <c r="D36" s="59"/>
      <c r="E36" s="59"/>
      <c r="F36" s="59"/>
      <c r="G36" s="7"/>
      <c r="H36" s="7"/>
      <c r="I36" s="7"/>
      <c r="J36" s="60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ht="15.75" customHeight="1">
      <c r="A37" s="7"/>
      <c r="B37" s="58"/>
      <c r="C37" s="7"/>
      <c r="D37" s="59"/>
      <c r="E37" s="59"/>
      <c r="F37" s="59"/>
      <c r="G37" s="7"/>
      <c r="H37" s="7"/>
      <c r="I37" s="7"/>
      <c r="J37" s="60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ht="15.75" customHeight="1">
      <c r="A38" s="7"/>
      <c r="B38" s="58"/>
      <c r="C38" s="7"/>
      <c r="D38" s="59"/>
      <c r="E38" s="59"/>
      <c r="F38" s="59"/>
      <c r="G38" s="7"/>
      <c r="H38" s="7"/>
      <c r="I38" s="7"/>
      <c r="J38" s="60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ht="15.75" customHeight="1">
      <c r="A39" s="7"/>
      <c r="B39" s="58"/>
      <c r="C39" s="7"/>
      <c r="D39" s="59"/>
      <c r="E39" s="59"/>
      <c r="F39" s="59"/>
      <c r="G39" s="7"/>
      <c r="H39" s="7"/>
      <c r="I39" s="7"/>
      <c r="J39" s="60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ht="15.75" customHeight="1">
      <c r="A40" s="7"/>
      <c r="B40" s="58"/>
      <c r="C40" s="7"/>
      <c r="D40" s="59"/>
      <c r="E40" s="59"/>
      <c r="F40" s="59"/>
      <c r="G40" s="7"/>
      <c r="H40" s="7"/>
      <c r="I40" s="7"/>
      <c r="J40" s="60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ht="15.75" customHeight="1">
      <c r="A41" s="7"/>
      <c r="B41" s="58"/>
      <c r="C41" s="7"/>
      <c r="D41" s="59"/>
      <c r="E41" s="59"/>
      <c r="F41" s="59"/>
      <c r="G41" s="7"/>
      <c r="H41" s="7"/>
      <c r="I41" s="7"/>
      <c r="J41" s="60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ht="15.75" customHeight="1">
      <c r="A42" s="7"/>
      <c r="B42" s="58"/>
      <c r="C42" s="7"/>
      <c r="D42" s="59"/>
      <c r="E42" s="59"/>
      <c r="F42" s="59"/>
      <c r="G42" s="7"/>
      <c r="H42" s="7"/>
      <c r="I42" s="7"/>
      <c r="J42" s="60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ht="15.75" customHeight="1">
      <c r="A43" s="7"/>
      <c r="B43" s="58"/>
      <c r="C43" s="7"/>
      <c r="D43" s="59"/>
      <c r="E43" s="59"/>
      <c r="F43" s="59"/>
      <c r="G43" s="7"/>
      <c r="H43" s="7"/>
      <c r="I43" s="7"/>
      <c r="J43" s="60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ht="15.75" customHeight="1">
      <c r="A44" s="7"/>
      <c r="B44" s="58"/>
      <c r="C44" s="7"/>
      <c r="D44" s="59"/>
      <c r="E44" s="59"/>
      <c r="F44" s="59"/>
      <c r="G44" s="7"/>
      <c r="H44" s="7"/>
      <c r="I44" s="7"/>
      <c r="J44" s="60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ht="15.75" customHeight="1">
      <c r="A45" s="7"/>
      <c r="B45" s="58"/>
      <c r="C45" s="7"/>
      <c r="D45" s="59"/>
      <c r="E45" s="59"/>
      <c r="F45" s="59"/>
      <c r="G45" s="7"/>
      <c r="H45" s="7"/>
      <c r="I45" s="7"/>
      <c r="J45" s="60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ht="15.75" customHeight="1">
      <c r="A46" s="7"/>
      <c r="B46" s="58"/>
      <c r="C46" s="7"/>
      <c r="D46" s="59"/>
      <c r="E46" s="59"/>
      <c r="F46" s="59"/>
      <c r="G46" s="7"/>
      <c r="H46" s="7"/>
      <c r="I46" s="7"/>
      <c r="J46" s="60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ht="15.75" customHeight="1">
      <c r="A47" s="7"/>
      <c r="B47" s="58"/>
      <c r="C47" s="7"/>
      <c r="D47" s="59"/>
      <c r="E47" s="59"/>
      <c r="F47" s="59"/>
      <c r="G47" s="7"/>
      <c r="H47" s="7"/>
      <c r="I47" s="7"/>
      <c r="J47" s="60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ht="15.75" customHeight="1">
      <c r="A48" s="7"/>
      <c r="B48" s="58"/>
      <c r="C48" s="7"/>
      <c r="D48" s="59"/>
      <c r="E48" s="59"/>
      <c r="F48" s="59"/>
      <c r="G48" s="7"/>
      <c r="H48" s="7"/>
      <c r="I48" s="7"/>
      <c r="J48" s="60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 ht="15.75" customHeight="1">
      <c r="A49" s="7"/>
      <c r="B49" s="58"/>
      <c r="C49" s="7"/>
      <c r="D49" s="59"/>
      <c r="E49" s="59"/>
      <c r="F49" s="59"/>
      <c r="G49" s="7"/>
      <c r="H49" s="7"/>
      <c r="I49" s="7"/>
      <c r="J49" s="60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ht="15.75" customHeight="1">
      <c r="A50" s="7"/>
      <c r="B50" s="58"/>
      <c r="C50" s="7"/>
      <c r="D50" s="59"/>
      <c r="E50" s="59"/>
      <c r="F50" s="59"/>
      <c r="G50" s="7"/>
      <c r="H50" s="7"/>
      <c r="I50" s="7"/>
      <c r="J50" s="60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ht="15.75" customHeight="1">
      <c r="A51" s="7"/>
      <c r="B51" s="58"/>
      <c r="C51" s="7"/>
      <c r="D51" s="59"/>
      <c r="E51" s="59"/>
      <c r="F51" s="59"/>
      <c r="G51" s="7"/>
      <c r="H51" s="7"/>
      <c r="I51" s="7"/>
      <c r="J51" s="60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ht="15.75" customHeight="1">
      <c r="A52" s="7"/>
      <c r="B52" s="58"/>
      <c r="C52" s="7"/>
      <c r="D52" s="59"/>
      <c r="E52" s="59"/>
      <c r="F52" s="59"/>
      <c r="G52" s="7"/>
      <c r="H52" s="7"/>
      <c r="I52" s="7"/>
      <c r="J52" s="60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ht="15.75" customHeight="1">
      <c r="A53" s="7"/>
      <c r="B53" s="58"/>
      <c r="C53" s="7"/>
      <c r="D53" s="59"/>
      <c r="E53" s="59"/>
      <c r="F53" s="59"/>
      <c r="G53" s="7"/>
      <c r="H53" s="7"/>
      <c r="I53" s="7"/>
      <c r="J53" s="60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ht="15.75" customHeight="1">
      <c r="A54" s="7"/>
      <c r="B54" s="58"/>
      <c r="C54" s="7"/>
      <c r="D54" s="59"/>
      <c r="E54" s="59"/>
      <c r="F54" s="59"/>
      <c r="G54" s="7"/>
      <c r="H54" s="7"/>
      <c r="I54" s="7"/>
      <c r="J54" s="60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ht="15.75" customHeight="1">
      <c r="A55" s="7"/>
      <c r="B55" s="58"/>
      <c r="C55" s="7"/>
      <c r="D55" s="59"/>
      <c r="E55" s="59"/>
      <c r="F55" s="59"/>
      <c r="G55" s="7"/>
      <c r="H55" s="7"/>
      <c r="I55" s="7"/>
      <c r="J55" s="60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ht="15.75" customHeight="1">
      <c r="A56" s="7"/>
      <c r="B56" s="58"/>
      <c r="C56" s="7"/>
      <c r="D56" s="59"/>
      <c r="E56" s="59"/>
      <c r="F56" s="59"/>
      <c r="G56" s="7"/>
      <c r="H56" s="7"/>
      <c r="I56" s="7"/>
      <c r="J56" s="60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ht="15.75" customHeight="1">
      <c r="A57" s="7"/>
      <c r="B57" s="58"/>
      <c r="C57" s="7"/>
      <c r="D57" s="59"/>
      <c r="E57" s="59"/>
      <c r="F57" s="59"/>
      <c r="G57" s="7"/>
      <c r="H57" s="7"/>
      <c r="I57" s="7"/>
      <c r="J57" s="60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ht="15.75" customHeight="1">
      <c r="A58" s="7"/>
      <c r="B58" s="58"/>
      <c r="C58" s="7"/>
      <c r="D58" s="59"/>
      <c r="E58" s="59"/>
      <c r="F58" s="59"/>
      <c r="G58" s="7"/>
      <c r="H58" s="7"/>
      <c r="I58" s="7"/>
      <c r="J58" s="60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ht="15.75" customHeight="1">
      <c r="A59" s="7"/>
      <c r="B59" s="58"/>
      <c r="C59" s="7"/>
      <c r="D59" s="59"/>
      <c r="E59" s="59"/>
      <c r="F59" s="59"/>
      <c r="G59" s="7"/>
      <c r="H59" s="7"/>
      <c r="I59" s="7"/>
      <c r="J59" s="60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ht="15.75" customHeight="1">
      <c r="A60" s="7"/>
      <c r="B60" s="58"/>
      <c r="C60" s="7"/>
      <c r="D60" s="59"/>
      <c r="E60" s="59"/>
      <c r="F60" s="59"/>
      <c r="G60" s="7"/>
      <c r="H60" s="7"/>
      <c r="I60" s="7"/>
      <c r="J60" s="60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ht="15.75" customHeight="1">
      <c r="A61" s="7"/>
      <c r="B61" s="58"/>
      <c r="C61" s="7"/>
      <c r="D61" s="59"/>
      <c r="E61" s="59"/>
      <c r="F61" s="59"/>
      <c r="G61" s="7"/>
      <c r="H61" s="7"/>
      <c r="I61" s="7"/>
      <c r="J61" s="60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ht="15.75" customHeight="1">
      <c r="A62" s="7"/>
      <c r="B62" s="58"/>
      <c r="C62" s="7"/>
      <c r="D62" s="59"/>
      <c r="E62" s="59"/>
      <c r="F62" s="59"/>
      <c r="G62" s="7"/>
      <c r="H62" s="7"/>
      <c r="I62" s="7"/>
      <c r="J62" s="60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ht="15.75" customHeight="1">
      <c r="A63" s="7"/>
      <c r="B63" s="58"/>
      <c r="C63" s="7"/>
      <c r="D63" s="59"/>
      <c r="E63" s="59"/>
      <c r="F63" s="59"/>
      <c r="G63" s="7"/>
      <c r="H63" s="7"/>
      <c r="I63" s="7"/>
      <c r="J63" s="60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ht="15.75" customHeight="1">
      <c r="A64" s="7"/>
      <c r="B64" s="58"/>
      <c r="C64" s="7"/>
      <c r="D64" s="59"/>
      <c r="E64" s="59"/>
      <c r="F64" s="59"/>
      <c r="G64" s="7"/>
      <c r="H64" s="7"/>
      <c r="I64" s="7"/>
      <c r="J64" s="60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ht="15.75" customHeight="1">
      <c r="A65" s="7"/>
      <c r="B65" s="58"/>
      <c r="C65" s="7"/>
      <c r="D65" s="59"/>
      <c r="E65" s="59"/>
      <c r="F65" s="59"/>
      <c r="G65" s="7"/>
      <c r="H65" s="7"/>
      <c r="I65" s="7"/>
      <c r="J65" s="60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ht="15.75" customHeight="1">
      <c r="A66" s="7"/>
      <c r="B66" s="58"/>
      <c r="C66" s="7"/>
      <c r="D66" s="59"/>
      <c r="E66" s="59"/>
      <c r="F66" s="59"/>
      <c r="G66" s="7"/>
      <c r="H66" s="7"/>
      <c r="I66" s="7"/>
      <c r="J66" s="60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ht="15.75" customHeight="1">
      <c r="A67" s="7"/>
      <c r="B67" s="58"/>
      <c r="C67" s="7"/>
      <c r="D67" s="59"/>
      <c r="E67" s="59"/>
      <c r="F67" s="59"/>
      <c r="G67" s="7"/>
      <c r="H67" s="7"/>
      <c r="I67" s="7"/>
      <c r="J67" s="60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ht="15.75" customHeight="1">
      <c r="A68" s="7"/>
      <c r="B68" s="58"/>
      <c r="C68" s="7"/>
      <c r="D68" s="59"/>
      <c r="E68" s="59"/>
      <c r="F68" s="59"/>
      <c r="G68" s="7"/>
      <c r="H68" s="7"/>
      <c r="I68" s="7"/>
      <c r="J68" s="60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ht="15.75" customHeight="1">
      <c r="A69" s="7"/>
      <c r="B69" s="58"/>
      <c r="C69" s="7"/>
      <c r="D69" s="59"/>
      <c r="E69" s="59"/>
      <c r="F69" s="59"/>
      <c r="G69" s="7"/>
      <c r="H69" s="7"/>
      <c r="I69" s="7"/>
      <c r="J69" s="60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ht="15.75" customHeight="1">
      <c r="A70" s="7"/>
      <c r="B70" s="58"/>
      <c r="C70" s="7"/>
      <c r="D70" s="59"/>
      <c r="E70" s="59"/>
      <c r="F70" s="59"/>
      <c r="G70" s="7"/>
      <c r="H70" s="7"/>
      <c r="I70" s="7"/>
      <c r="J70" s="60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ht="15.75" customHeight="1">
      <c r="A71" s="7"/>
      <c r="B71" s="58"/>
      <c r="C71" s="7"/>
      <c r="D71" s="59"/>
      <c r="E71" s="59"/>
      <c r="F71" s="59"/>
      <c r="G71" s="7"/>
      <c r="H71" s="7"/>
      <c r="I71" s="7"/>
      <c r="J71" s="60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ht="15.75" customHeight="1">
      <c r="A72" s="7"/>
      <c r="B72" s="58"/>
      <c r="C72" s="7"/>
      <c r="D72" s="59"/>
      <c r="E72" s="59"/>
      <c r="F72" s="59"/>
      <c r="G72" s="7"/>
      <c r="H72" s="7"/>
      <c r="I72" s="7"/>
      <c r="J72" s="60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ht="15.75" customHeight="1">
      <c r="A73" s="7"/>
      <c r="B73" s="58"/>
      <c r="C73" s="7"/>
      <c r="D73" s="59"/>
      <c r="E73" s="59"/>
      <c r="F73" s="59"/>
      <c r="G73" s="7"/>
      <c r="H73" s="7"/>
      <c r="I73" s="7"/>
      <c r="J73" s="60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ht="15.75" customHeight="1">
      <c r="A74" s="7"/>
      <c r="B74" s="58"/>
      <c r="C74" s="7"/>
      <c r="D74" s="59"/>
      <c r="E74" s="59"/>
      <c r="F74" s="59"/>
      <c r="G74" s="7"/>
      <c r="H74" s="7"/>
      <c r="I74" s="7"/>
      <c r="J74" s="60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ht="15.75" customHeight="1">
      <c r="A75" s="7"/>
      <c r="B75" s="58"/>
      <c r="C75" s="7"/>
      <c r="D75" s="59"/>
      <c r="E75" s="59"/>
      <c r="F75" s="59"/>
      <c r="G75" s="7"/>
      <c r="H75" s="7"/>
      <c r="I75" s="7"/>
      <c r="J75" s="60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ht="15.75" customHeight="1">
      <c r="A76" s="7"/>
      <c r="B76" s="58"/>
      <c r="C76" s="7"/>
      <c r="D76" s="59"/>
      <c r="E76" s="59"/>
      <c r="F76" s="59"/>
      <c r="G76" s="7"/>
      <c r="H76" s="7"/>
      <c r="I76" s="7"/>
      <c r="J76" s="60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 ht="15.75" customHeight="1">
      <c r="A77" s="7"/>
      <c r="B77" s="58"/>
      <c r="C77" s="7"/>
      <c r="D77" s="59"/>
      <c r="E77" s="59"/>
      <c r="F77" s="59"/>
      <c r="G77" s="7"/>
      <c r="H77" s="7"/>
      <c r="I77" s="7"/>
      <c r="J77" s="60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ht="15.75" customHeight="1">
      <c r="A78" s="7"/>
      <c r="B78" s="58"/>
      <c r="C78" s="7"/>
      <c r="D78" s="59"/>
      <c r="E78" s="59"/>
      <c r="F78" s="59"/>
      <c r="G78" s="7"/>
      <c r="H78" s="7"/>
      <c r="I78" s="7"/>
      <c r="J78" s="60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ht="15.75" customHeight="1">
      <c r="A79" s="7"/>
      <c r="B79" s="58"/>
      <c r="C79" s="7"/>
      <c r="D79" s="59"/>
      <c r="E79" s="59"/>
      <c r="F79" s="59"/>
      <c r="G79" s="7"/>
      <c r="H79" s="7"/>
      <c r="I79" s="7"/>
      <c r="J79" s="60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ht="15.75" customHeight="1">
      <c r="A80" s="7"/>
      <c r="B80" s="58"/>
      <c r="C80" s="7"/>
      <c r="D80" s="59"/>
      <c r="E80" s="59"/>
      <c r="F80" s="59"/>
      <c r="G80" s="7"/>
      <c r="H80" s="7"/>
      <c r="I80" s="7"/>
      <c r="J80" s="60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ht="15.75" customHeight="1">
      <c r="A81" s="7"/>
      <c r="B81" s="58"/>
      <c r="C81" s="7"/>
      <c r="D81" s="59"/>
      <c r="E81" s="59"/>
      <c r="F81" s="59"/>
      <c r="G81" s="7"/>
      <c r="H81" s="7"/>
      <c r="I81" s="7"/>
      <c r="J81" s="60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 ht="15.75" customHeight="1">
      <c r="A82" s="7"/>
      <c r="B82" s="58"/>
      <c r="C82" s="7"/>
      <c r="D82" s="59"/>
      <c r="E82" s="59"/>
      <c r="F82" s="59"/>
      <c r="G82" s="7"/>
      <c r="H82" s="7"/>
      <c r="I82" s="7"/>
      <c r="J82" s="60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ht="15.75" customHeight="1">
      <c r="A83" s="7"/>
      <c r="B83" s="58"/>
      <c r="C83" s="7"/>
      <c r="D83" s="59"/>
      <c r="E83" s="59"/>
      <c r="F83" s="59"/>
      <c r="G83" s="7"/>
      <c r="H83" s="7"/>
      <c r="I83" s="7"/>
      <c r="J83" s="60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ht="15.75" customHeight="1">
      <c r="A84" s="7"/>
      <c r="B84" s="58"/>
      <c r="C84" s="7"/>
      <c r="D84" s="59"/>
      <c r="E84" s="59"/>
      <c r="F84" s="59"/>
      <c r="G84" s="7"/>
      <c r="H84" s="7"/>
      <c r="I84" s="7"/>
      <c r="J84" s="60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ht="15.75" customHeight="1">
      <c r="A85" s="7"/>
      <c r="B85" s="58"/>
      <c r="C85" s="7"/>
      <c r="D85" s="59"/>
      <c r="E85" s="59"/>
      <c r="F85" s="59"/>
      <c r="G85" s="7"/>
      <c r="H85" s="7"/>
      <c r="I85" s="7"/>
      <c r="J85" s="60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ht="15.75" customHeight="1">
      <c r="A86" s="7"/>
      <c r="B86" s="58"/>
      <c r="C86" s="7"/>
      <c r="D86" s="59"/>
      <c r="E86" s="59"/>
      <c r="F86" s="59"/>
      <c r="G86" s="7"/>
      <c r="H86" s="7"/>
      <c r="I86" s="7"/>
      <c r="J86" s="60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ht="15.75" customHeight="1">
      <c r="A87" s="7"/>
      <c r="B87" s="58"/>
      <c r="C87" s="7"/>
      <c r="D87" s="59"/>
      <c r="E87" s="59"/>
      <c r="F87" s="59"/>
      <c r="G87" s="7"/>
      <c r="H87" s="7"/>
      <c r="I87" s="7"/>
      <c r="J87" s="60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 ht="15.75" customHeight="1">
      <c r="A88" s="7"/>
      <c r="B88" s="58"/>
      <c r="C88" s="7"/>
      <c r="D88" s="59"/>
      <c r="E88" s="59"/>
      <c r="F88" s="59"/>
      <c r="G88" s="7"/>
      <c r="H88" s="7"/>
      <c r="I88" s="7"/>
      <c r="J88" s="60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ht="15.75" customHeight="1">
      <c r="A89" s="7"/>
      <c r="B89" s="58"/>
      <c r="C89" s="7"/>
      <c r="D89" s="59"/>
      <c r="E89" s="59"/>
      <c r="F89" s="59"/>
      <c r="G89" s="7"/>
      <c r="H89" s="7"/>
      <c r="I89" s="7"/>
      <c r="J89" s="60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 ht="15.75" customHeight="1">
      <c r="A90" s="7"/>
      <c r="B90" s="58"/>
      <c r="C90" s="7"/>
      <c r="D90" s="59"/>
      <c r="E90" s="59"/>
      <c r="F90" s="59"/>
      <c r="G90" s="7"/>
      <c r="H90" s="7"/>
      <c r="I90" s="7"/>
      <c r="J90" s="60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 ht="15.75" customHeight="1">
      <c r="A91" s="7"/>
      <c r="B91" s="58"/>
      <c r="C91" s="7"/>
      <c r="D91" s="59"/>
      <c r="E91" s="59"/>
      <c r="F91" s="59"/>
      <c r="G91" s="7"/>
      <c r="H91" s="7"/>
      <c r="I91" s="7"/>
      <c r="J91" s="60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 ht="15.75" customHeight="1">
      <c r="A92" s="7"/>
      <c r="B92" s="58"/>
      <c r="C92" s="7"/>
      <c r="D92" s="59"/>
      <c r="E92" s="59"/>
      <c r="F92" s="59"/>
      <c r="G92" s="7"/>
      <c r="H92" s="7"/>
      <c r="I92" s="7"/>
      <c r="J92" s="60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ht="15.75" customHeight="1">
      <c r="A93" s="7"/>
      <c r="B93" s="58"/>
      <c r="C93" s="7"/>
      <c r="D93" s="59"/>
      <c r="E93" s="59"/>
      <c r="F93" s="59"/>
      <c r="G93" s="7"/>
      <c r="H93" s="7"/>
      <c r="I93" s="7"/>
      <c r="J93" s="60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ht="15.75" customHeight="1">
      <c r="A94" s="7"/>
      <c r="B94" s="58"/>
      <c r="C94" s="7"/>
      <c r="D94" s="59"/>
      <c r="E94" s="59"/>
      <c r="F94" s="59"/>
      <c r="G94" s="7"/>
      <c r="H94" s="7"/>
      <c r="I94" s="7"/>
      <c r="J94" s="60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 ht="15.75" customHeight="1">
      <c r="A95" s="7"/>
      <c r="B95" s="58"/>
      <c r="C95" s="7"/>
      <c r="D95" s="59"/>
      <c r="E95" s="59"/>
      <c r="F95" s="59"/>
      <c r="G95" s="7"/>
      <c r="H95" s="7"/>
      <c r="I95" s="7"/>
      <c r="J95" s="60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 ht="15.75" customHeight="1">
      <c r="A96" s="7"/>
      <c r="B96" s="58"/>
      <c r="C96" s="7"/>
      <c r="D96" s="59"/>
      <c r="E96" s="59"/>
      <c r="F96" s="59"/>
      <c r="G96" s="7"/>
      <c r="H96" s="7"/>
      <c r="I96" s="7"/>
      <c r="J96" s="60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 ht="15.75" customHeight="1">
      <c r="A97" s="7"/>
      <c r="B97" s="58"/>
      <c r="C97" s="7"/>
      <c r="D97" s="59"/>
      <c r="E97" s="59"/>
      <c r="F97" s="59"/>
      <c r="G97" s="7"/>
      <c r="H97" s="7"/>
      <c r="I97" s="7"/>
      <c r="J97" s="60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 ht="15.75" customHeight="1">
      <c r="A98" s="7"/>
      <c r="B98" s="58"/>
      <c r="C98" s="7"/>
      <c r="D98" s="59"/>
      <c r="E98" s="59"/>
      <c r="F98" s="59"/>
      <c r="G98" s="7"/>
      <c r="H98" s="7"/>
      <c r="I98" s="7"/>
      <c r="J98" s="60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 ht="15.75" customHeight="1">
      <c r="A99" s="7"/>
      <c r="B99" s="58"/>
      <c r="C99" s="7"/>
      <c r="D99" s="59"/>
      <c r="E99" s="59"/>
      <c r="F99" s="59"/>
      <c r="G99" s="7"/>
      <c r="H99" s="7"/>
      <c r="I99" s="7"/>
      <c r="J99" s="60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 ht="15.75" customHeight="1">
      <c r="A100" s="7"/>
      <c r="B100" s="58"/>
      <c r="C100" s="7"/>
      <c r="D100" s="59"/>
      <c r="E100" s="59"/>
      <c r="F100" s="59"/>
      <c r="G100" s="7"/>
      <c r="H100" s="7"/>
      <c r="I100" s="7"/>
      <c r="J100" s="60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 ht="15.75" customHeight="1">
      <c r="A101" s="7"/>
      <c r="B101" s="58"/>
      <c r="C101" s="7"/>
      <c r="D101" s="59"/>
      <c r="E101" s="59"/>
      <c r="F101" s="59"/>
      <c r="G101" s="7"/>
      <c r="H101" s="7"/>
      <c r="I101" s="7"/>
      <c r="J101" s="60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 ht="15.75" customHeight="1">
      <c r="A102" s="7"/>
      <c r="B102" s="58"/>
      <c r="C102" s="7"/>
      <c r="D102" s="59"/>
      <c r="E102" s="59"/>
      <c r="F102" s="59"/>
      <c r="G102" s="7"/>
      <c r="H102" s="7"/>
      <c r="I102" s="7"/>
      <c r="J102" s="60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 ht="15.75" customHeight="1">
      <c r="A103" s="7"/>
      <c r="B103" s="58"/>
      <c r="C103" s="7"/>
      <c r="D103" s="59"/>
      <c r="E103" s="59"/>
      <c r="F103" s="59"/>
      <c r="G103" s="7"/>
      <c r="H103" s="7"/>
      <c r="I103" s="7"/>
      <c r="J103" s="60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 ht="15.75" customHeight="1">
      <c r="A104" s="7"/>
      <c r="B104" s="58"/>
      <c r="C104" s="7"/>
      <c r="D104" s="59"/>
      <c r="E104" s="59"/>
      <c r="F104" s="59"/>
      <c r="G104" s="7"/>
      <c r="H104" s="7"/>
      <c r="I104" s="7"/>
      <c r="J104" s="60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 ht="15.75" customHeight="1">
      <c r="A105" s="7"/>
      <c r="B105" s="58"/>
      <c r="C105" s="7"/>
      <c r="D105" s="59"/>
      <c r="E105" s="59"/>
      <c r="F105" s="59"/>
      <c r="G105" s="7"/>
      <c r="H105" s="7"/>
      <c r="I105" s="7"/>
      <c r="J105" s="60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 ht="15.75" customHeight="1">
      <c r="A106" s="7"/>
      <c r="B106" s="58"/>
      <c r="C106" s="7"/>
      <c r="D106" s="59"/>
      <c r="E106" s="59"/>
      <c r="F106" s="59"/>
      <c r="G106" s="7"/>
      <c r="H106" s="7"/>
      <c r="I106" s="7"/>
      <c r="J106" s="60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 ht="15.75" customHeight="1">
      <c r="A107" s="7"/>
      <c r="B107" s="58"/>
      <c r="C107" s="7"/>
      <c r="D107" s="59"/>
      <c r="E107" s="59"/>
      <c r="F107" s="59"/>
      <c r="G107" s="7"/>
      <c r="H107" s="7"/>
      <c r="I107" s="7"/>
      <c r="J107" s="60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 ht="15.75" customHeight="1">
      <c r="A108" s="7"/>
      <c r="B108" s="58"/>
      <c r="C108" s="7"/>
      <c r="D108" s="59"/>
      <c r="E108" s="59"/>
      <c r="F108" s="59"/>
      <c r="G108" s="7"/>
      <c r="H108" s="7"/>
      <c r="I108" s="7"/>
      <c r="J108" s="60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 ht="15.75" customHeight="1">
      <c r="A109" s="7"/>
      <c r="B109" s="58"/>
      <c r="C109" s="7"/>
      <c r="D109" s="59"/>
      <c r="E109" s="59"/>
      <c r="F109" s="59"/>
      <c r="G109" s="7"/>
      <c r="H109" s="7"/>
      <c r="I109" s="7"/>
      <c r="J109" s="60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 ht="15.75" customHeight="1">
      <c r="A110" s="7"/>
      <c r="B110" s="58"/>
      <c r="C110" s="7"/>
      <c r="D110" s="59"/>
      <c r="E110" s="59"/>
      <c r="F110" s="59"/>
      <c r="G110" s="7"/>
      <c r="H110" s="7"/>
      <c r="I110" s="7"/>
      <c r="J110" s="60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 ht="15.75" customHeight="1">
      <c r="A111" s="7"/>
      <c r="B111" s="58"/>
      <c r="C111" s="7"/>
      <c r="D111" s="59"/>
      <c r="E111" s="59"/>
      <c r="F111" s="59"/>
      <c r="G111" s="7"/>
      <c r="H111" s="7"/>
      <c r="I111" s="7"/>
      <c r="J111" s="60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 ht="15.75" customHeight="1">
      <c r="A112" s="7"/>
      <c r="B112" s="58"/>
      <c r="C112" s="7"/>
      <c r="D112" s="59"/>
      <c r="E112" s="59"/>
      <c r="F112" s="59"/>
      <c r="G112" s="7"/>
      <c r="H112" s="7"/>
      <c r="I112" s="7"/>
      <c r="J112" s="60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 ht="15.75" customHeight="1">
      <c r="A113" s="7"/>
      <c r="B113" s="58"/>
      <c r="C113" s="7"/>
      <c r="D113" s="59"/>
      <c r="E113" s="59"/>
      <c r="F113" s="59"/>
      <c r="G113" s="7"/>
      <c r="H113" s="7"/>
      <c r="I113" s="7"/>
      <c r="J113" s="60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 ht="15.75" customHeight="1">
      <c r="A114" s="7"/>
      <c r="B114" s="58"/>
      <c r="C114" s="7"/>
      <c r="D114" s="59"/>
      <c r="E114" s="59"/>
      <c r="F114" s="59"/>
      <c r="G114" s="7"/>
      <c r="H114" s="7"/>
      <c r="I114" s="7"/>
      <c r="J114" s="60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 ht="15.75" customHeight="1">
      <c r="A115" s="7"/>
      <c r="B115" s="58"/>
      <c r="C115" s="7"/>
      <c r="D115" s="59"/>
      <c r="E115" s="59"/>
      <c r="F115" s="59"/>
      <c r="G115" s="7"/>
      <c r="H115" s="7"/>
      <c r="I115" s="7"/>
      <c r="J115" s="60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 ht="15.75" customHeight="1">
      <c r="A116" s="7"/>
      <c r="B116" s="58"/>
      <c r="C116" s="7"/>
      <c r="D116" s="59"/>
      <c r="E116" s="59"/>
      <c r="F116" s="59"/>
      <c r="G116" s="7"/>
      <c r="H116" s="7"/>
      <c r="I116" s="7"/>
      <c r="J116" s="60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 ht="15.75" customHeight="1">
      <c r="A117" s="7"/>
      <c r="B117" s="58"/>
      <c r="C117" s="7"/>
      <c r="D117" s="59"/>
      <c r="E117" s="59"/>
      <c r="F117" s="59"/>
      <c r="G117" s="7"/>
      <c r="H117" s="7"/>
      <c r="I117" s="7"/>
      <c r="J117" s="60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 ht="15.75" customHeight="1">
      <c r="A118" s="7"/>
      <c r="B118" s="58"/>
      <c r="C118" s="7"/>
      <c r="D118" s="59"/>
      <c r="E118" s="59"/>
      <c r="F118" s="59"/>
      <c r="G118" s="7"/>
      <c r="H118" s="7"/>
      <c r="I118" s="7"/>
      <c r="J118" s="60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 ht="15.75" customHeight="1">
      <c r="A119" s="7"/>
      <c r="B119" s="58"/>
      <c r="C119" s="7"/>
      <c r="D119" s="59"/>
      <c r="E119" s="59"/>
      <c r="F119" s="59"/>
      <c r="G119" s="7"/>
      <c r="H119" s="7"/>
      <c r="I119" s="7"/>
      <c r="J119" s="60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 ht="15.75" customHeight="1">
      <c r="A120" s="7"/>
      <c r="B120" s="58"/>
      <c r="C120" s="7"/>
      <c r="D120" s="59"/>
      <c r="E120" s="59"/>
      <c r="F120" s="59"/>
      <c r="G120" s="7"/>
      <c r="H120" s="7"/>
      <c r="I120" s="7"/>
      <c r="J120" s="60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 ht="15.75" customHeight="1">
      <c r="A121" s="7"/>
      <c r="B121" s="58"/>
      <c r="C121" s="7"/>
      <c r="D121" s="59"/>
      <c r="E121" s="59"/>
      <c r="F121" s="59"/>
      <c r="G121" s="7"/>
      <c r="H121" s="7"/>
      <c r="I121" s="7"/>
      <c r="J121" s="60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 ht="15.75" customHeight="1">
      <c r="A122" s="7"/>
      <c r="B122" s="58"/>
      <c r="C122" s="7"/>
      <c r="D122" s="59"/>
      <c r="E122" s="59"/>
      <c r="F122" s="59"/>
      <c r="G122" s="7"/>
      <c r="H122" s="7"/>
      <c r="I122" s="7"/>
      <c r="J122" s="60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 ht="15.75" customHeight="1">
      <c r="A123" s="7"/>
      <c r="B123" s="58"/>
      <c r="C123" s="7"/>
      <c r="D123" s="59"/>
      <c r="E123" s="59"/>
      <c r="F123" s="59"/>
      <c r="G123" s="7"/>
      <c r="H123" s="7"/>
      <c r="I123" s="7"/>
      <c r="J123" s="60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 ht="15.75" customHeight="1">
      <c r="A124" s="7"/>
      <c r="B124" s="58"/>
      <c r="C124" s="7"/>
      <c r="D124" s="59"/>
      <c r="E124" s="59"/>
      <c r="F124" s="59"/>
      <c r="G124" s="7"/>
      <c r="H124" s="7"/>
      <c r="I124" s="7"/>
      <c r="J124" s="60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 ht="15.75" customHeight="1">
      <c r="A125" s="7"/>
      <c r="B125" s="58"/>
      <c r="C125" s="7"/>
      <c r="D125" s="59"/>
      <c r="E125" s="59"/>
      <c r="F125" s="59"/>
      <c r="G125" s="7"/>
      <c r="H125" s="7"/>
      <c r="I125" s="7"/>
      <c r="J125" s="60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 ht="15.75" customHeight="1">
      <c r="A126" s="7"/>
      <c r="B126" s="58"/>
      <c r="C126" s="7"/>
      <c r="D126" s="59"/>
      <c r="E126" s="59"/>
      <c r="F126" s="59"/>
      <c r="G126" s="7"/>
      <c r="H126" s="7"/>
      <c r="I126" s="7"/>
      <c r="J126" s="60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 ht="15.75" customHeight="1">
      <c r="A127" s="7"/>
      <c r="B127" s="58"/>
      <c r="C127" s="7"/>
      <c r="D127" s="59"/>
      <c r="E127" s="59"/>
      <c r="F127" s="59"/>
      <c r="G127" s="7"/>
      <c r="H127" s="7"/>
      <c r="I127" s="7"/>
      <c r="J127" s="60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 ht="15.75" customHeight="1">
      <c r="A128" s="7"/>
      <c r="B128" s="58"/>
      <c r="C128" s="7"/>
      <c r="D128" s="59"/>
      <c r="E128" s="59"/>
      <c r="F128" s="59"/>
      <c r="G128" s="7"/>
      <c r="H128" s="7"/>
      <c r="I128" s="7"/>
      <c r="J128" s="60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 ht="15.75" customHeight="1">
      <c r="A129" s="7"/>
      <c r="B129" s="58"/>
      <c r="C129" s="7"/>
      <c r="D129" s="59"/>
      <c r="E129" s="59"/>
      <c r="F129" s="59"/>
      <c r="G129" s="7"/>
      <c r="H129" s="7"/>
      <c r="I129" s="7"/>
      <c r="J129" s="60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 ht="15.75" customHeight="1">
      <c r="A130" s="7"/>
      <c r="B130" s="58"/>
      <c r="C130" s="7"/>
      <c r="D130" s="59"/>
      <c r="E130" s="59"/>
      <c r="F130" s="59"/>
      <c r="G130" s="7"/>
      <c r="H130" s="7"/>
      <c r="I130" s="7"/>
      <c r="J130" s="60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 ht="15.75" customHeight="1">
      <c r="A131" s="7"/>
      <c r="B131" s="58"/>
      <c r="C131" s="7"/>
      <c r="D131" s="59"/>
      <c r="E131" s="59"/>
      <c r="F131" s="59"/>
      <c r="G131" s="7"/>
      <c r="H131" s="7"/>
      <c r="I131" s="7"/>
      <c r="J131" s="60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 ht="15.75" customHeight="1">
      <c r="A132" s="7"/>
      <c r="B132" s="58"/>
      <c r="C132" s="7"/>
      <c r="D132" s="59"/>
      <c r="E132" s="59"/>
      <c r="F132" s="59"/>
      <c r="G132" s="7"/>
      <c r="H132" s="7"/>
      <c r="I132" s="7"/>
      <c r="J132" s="60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 ht="15.75" customHeight="1">
      <c r="A133" s="7"/>
      <c r="B133" s="58"/>
      <c r="C133" s="7"/>
      <c r="D133" s="59"/>
      <c r="E133" s="59"/>
      <c r="F133" s="59"/>
      <c r="G133" s="7"/>
      <c r="H133" s="7"/>
      <c r="I133" s="7"/>
      <c r="J133" s="60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 ht="15.75" customHeight="1">
      <c r="A134" s="7"/>
      <c r="B134" s="58"/>
      <c r="C134" s="7"/>
      <c r="D134" s="59"/>
      <c r="E134" s="59"/>
      <c r="F134" s="59"/>
      <c r="G134" s="7"/>
      <c r="H134" s="7"/>
      <c r="I134" s="7"/>
      <c r="J134" s="60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 ht="15.75" customHeight="1">
      <c r="A135" s="7"/>
      <c r="B135" s="58"/>
      <c r="C135" s="7"/>
      <c r="D135" s="59"/>
      <c r="E135" s="59"/>
      <c r="F135" s="59"/>
      <c r="G135" s="7"/>
      <c r="H135" s="7"/>
      <c r="I135" s="7"/>
      <c r="J135" s="60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 ht="15.75" customHeight="1">
      <c r="A136" s="7"/>
      <c r="B136" s="58"/>
      <c r="C136" s="7"/>
      <c r="D136" s="59"/>
      <c r="E136" s="59"/>
      <c r="F136" s="59"/>
      <c r="G136" s="7"/>
      <c r="H136" s="7"/>
      <c r="I136" s="7"/>
      <c r="J136" s="60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 ht="15.75" customHeight="1">
      <c r="A137" s="7"/>
      <c r="B137" s="58"/>
      <c r="C137" s="7"/>
      <c r="D137" s="59"/>
      <c r="E137" s="59"/>
      <c r="F137" s="59"/>
      <c r="G137" s="7"/>
      <c r="H137" s="7"/>
      <c r="I137" s="7"/>
      <c r="J137" s="60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 ht="15.75" customHeight="1">
      <c r="A138" s="7"/>
      <c r="B138" s="58"/>
      <c r="C138" s="7"/>
      <c r="D138" s="59"/>
      <c r="E138" s="59"/>
      <c r="F138" s="59"/>
      <c r="G138" s="7"/>
      <c r="H138" s="7"/>
      <c r="I138" s="7"/>
      <c r="J138" s="60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 ht="15.75" customHeight="1">
      <c r="A139" s="7"/>
      <c r="B139" s="58"/>
      <c r="C139" s="7"/>
      <c r="D139" s="59"/>
      <c r="E139" s="59"/>
      <c r="F139" s="59"/>
      <c r="G139" s="7"/>
      <c r="H139" s="7"/>
      <c r="I139" s="7"/>
      <c r="J139" s="60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 ht="15.75" customHeight="1">
      <c r="A140" s="7"/>
      <c r="B140" s="58"/>
      <c r="C140" s="7"/>
      <c r="D140" s="59"/>
      <c r="E140" s="59"/>
      <c r="F140" s="59"/>
      <c r="G140" s="7"/>
      <c r="H140" s="7"/>
      <c r="I140" s="7"/>
      <c r="J140" s="60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 ht="15.75" customHeight="1">
      <c r="A141" s="7"/>
      <c r="B141" s="58"/>
      <c r="C141" s="7"/>
      <c r="D141" s="59"/>
      <c r="E141" s="59"/>
      <c r="F141" s="59"/>
      <c r="G141" s="7"/>
      <c r="H141" s="7"/>
      <c r="I141" s="7"/>
      <c r="J141" s="60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 ht="15.75" customHeight="1">
      <c r="A142" s="7"/>
      <c r="B142" s="58"/>
      <c r="C142" s="7"/>
      <c r="D142" s="59"/>
      <c r="E142" s="59"/>
      <c r="F142" s="59"/>
      <c r="G142" s="7"/>
      <c r="H142" s="7"/>
      <c r="I142" s="7"/>
      <c r="J142" s="60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 ht="15.75" customHeight="1">
      <c r="A143" s="7"/>
      <c r="B143" s="58"/>
      <c r="C143" s="7"/>
      <c r="D143" s="59"/>
      <c r="E143" s="59"/>
      <c r="F143" s="59"/>
      <c r="G143" s="7"/>
      <c r="H143" s="7"/>
      <c r="I143" s="7"/>
      <c r="J143" s="60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 ht="15.75" customHeight="1">
      <c r="A144" s="7"/>
      <c r="B144" s="58"/>
      <c r="C144" s="7"/>
      <c r="D144" s="59"/>
      <c r="E144" s="59"/>
      <c r="F144" s="59"/>
      <c r="G144" s="7"/>
      <c r="H144" s="7"/>
      <c r="I144" s="7"/>
      <c r="J144" s="60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 ht="15.75" customHeight="1">
      <c r="A145" s="7"/>
      <c r="B145" s="58"/>
      <c r="C145" s="7"/>
      <c r="D145" s="59"/>
      <c r="E145" s="59"/>
      <c r="F145" s="59"/>
      <c r="G145" s="7"/>
      <c r="H145" s="7"/>
      <c r="I145" s="7"/>
      <c r="J145" s="60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 ht="15.75" customHeight="1">
      <c r="A146" s="7"/>
      <c r="B146" s="58"/>
      <c r="C146" s="7"/>
      <c r="D146" s="59"/>
      <c r="E146" s="59"/>
      <c r="F146" s="59"/>
      <c r="G146" s="7"/>
      <c r="H146" s="7"/>
      <c r="I146" s="7"/>
      <c r="J146" s="60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 ht="15.75" customHeight="1">
      <c r="A147" s="7"/>
      <c r="B147" s="58"/>
      <c r="C147" s="7"/>
      <c r="D147" s="59"/>
      <c r="E147" s="59"/>
      <c r="F147" s="59"/>
      <c r="G147" s="7"/>
      <c r="H147" s="7"/>
      <c r="I147" s="7"/>
      <c r="J147" s="60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 ht="15.75" customHeight="1">
      <c r="A148" s="7"/>
      <c r="B148" s="58"/>
      <c r="C148" s="7"/>
      <c r="D148" s="59"/>
      <c r="E148" s="59"/>
      <c r="F148" s="59"/>
      <c r="G148" s="7"/>
      <c r="H148" s="7"/>
      <c r="I148" s="7"/>
      <c r="J148" s="60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 ht="15.75" customHeight="1">
      <c r="A149" s="7"/>
      <c r="B149" s="58"/>
      <c r="C149" s="7"/>
      <c r="D149" s="59"/>
      <c r="E149" s="59"/>
      <c r="F149" s="59"/>
      <c r="G149" s="7"/>
      <c r="H149" s="7"/>
      <c r="I149" s="7"/>
      <c r="J149" s="60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 ht="15.75" customHeight="1">
      <c r="A150" s="7"/>
      <c r="B150" s="58"/>
      <c r="C150" s="7"/>
      <c r="D150" s="59"/>
      <c r="E150" s="59"/>
      <c r="F150" s="59"/>
      <c r="G150" s="7"/>
      <c r="H150" s="7"/>
      <c r="I150" s="7"/>
      <c r="J150" s="60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 ht="15.75" customHeight="1">
      <c r="A151" s="7"/>
      <c r="B151" s="58"/>
      <c r="C151" s="7"/>
      <c r="D151" s="59"/>
      <c r="E151" s="59"/>
      <c r="F151" s="59"/>
      <c r="G151" s="7"/>
      <c r="H151" s="7"/>
      <c r="I151" s="7"/>
      <c r="J151" s="60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 ht="15.75" customHeight="1">
      <c r="A152" s="7"/>
      <c r="B152" s="58"/>
      <c r="C152" s="7"/>
      <c r="D152" s="59"/>
      <c r="E152" s="59"/>
      <c r="F152" s="59"/>
      <c r="G152" s="7"/>
      <c r="H152" s="7"/>
      <c r="I152" s="7"/>
      <c r="J152" s="60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 ht="15.75" customHeight="1">
      <c r="A153" s="7"/>
      <c r="B153" s="58"/>
      <c r="C153" s="7"/>
      <c r="D153" s="59"/>
      <c r="E153" s="59"/>
      <c r="F153" s="59"/>
      <c r="G153" s="7"/>
      <c r="H153" s="7"/>
      <c r="I153" s="7"/>
      <c r="J153" s="60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 ht="15.75" customHeight="1">
      <c r="A154" s="7"/>
      <c r="B154" s="58"/>
      <c r="C154" s="7"/>
      <c r="D154" s="59"/>
      <c r="E154" s="59"/>
      <c r="F154" s="59"/>
      <c r="G154" s="7"/>
      <c r="H154" s="7"/>
      <c r="I154" s="7"/>
      <c r="J154" s="60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 ht="15.75" customHeight="1">
      <c r="A155" s="7"/>
      <c r="B155" s="58"/>
      <c r="C155" s="7"/>
      <c r="D155" s="59"/>
      <c r="E155" s="59"/>
      <c r="F155" s="59"/>
      <c r="G155" s="7"/>
      <c r="H155" s="7"/>
      <c r="I155" s="7"/>
      <c r="J155" s="60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 ht="15.75" customHeight="1">
      <c r="A156" s="7"/>
      <c r="B156" s="58"/>
      <c r="C156" s="7"/>
      <c r="D156" s="59"/>
      <c r="E156" s="59"/>
      <c r="F156" s="59"/>
      <c r="G156" s="7"/>
      <c r="H156" s="7"/>
      <c r="I156" s="7"/>
      <c r="J156" s="60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 ht="15.75" customHeight="1">
      <c r="A157" s="7"/>
      <c r="B157" s="58"/>
      <c r="C157" s="7"/>
      <c r="D157" s="59"/>
      <c r="E157" s="59"/>
      <c r="F157" s="59"/>
      <c r="G157" s="7"/>
      <c r="H157" s="7"/>
      <c r="I157" s="7"/>
      <c r="J157" s="60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 ht="15.75" customHeight="1">
      <c r="A158" s="7"/>
      <c r="B158" s="58"/>
      <c r="C158" s="7"/>
      <c r="D158" s="59"/>
      <c r="E158" s="59"/>
      <c r="F158" s="59"/>
      <c r="G158" s="7"/>
      <c r="H158" s="7"/>
      <c r="I158" s="7"/>
      <c r="J158" s="60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 ht="15.75" customHeight="1">
      <c r="A159" s="7"/>
      <c r="B159" s="58"/>
      <c r="C159" s="7"/>
      <c r="D159" s="59"/>
      <c r="E159" s="59"/>
      <c r="F159" s="59"/>
      <c r="G159" s="7"/>
      <c r="H159" s="7"/>
      <c r="I159" s="7"/>
      <c r="J159" s="60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 ht="15.75" customHeight="1">
      <c r="A160" s="7"/>
      <c r="B160" s="58"/>
      <c r="C160" s="7"/>
      <c r="D160" s="59"/>
      <c r="E160" s="59"/>
      <c r="F160" s="59"/>
      <c r="G160" s="7"/>
      <c r="H160" s="7"/>
      <c r="I160" s="7"/>
      <c r="J160" s="60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 ht="15.75" customHeight="1">
      <c r="A161" s="7"/>
      <c r="B161" s="58"/>
      <c r="C161" s="7"/>
      <c r="D161" s="59"/>
      <c r="E161" s="59"/>
      <c r="F161" s="59"/>
      <c r="G161" s="7"/>
      <c r="H161" s="7"/>
      <c r="I161" s="7"/>
      <c r="J161" s="60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 ht="15.75" customHeight="1">
      <c r="A162" s="7"/>
      <c r="B162" s="58"/>
      <c r="C162" s="7"/>
      <c r="D162" s="59"/>
      <c r="E162" s="59"/>
      <c r="F162" s="59"/>
      <c r="G162" s="7"/>
      <c r="H162" s="7"/>
      <c r="I162" s="7"/>
      <c r="J162" s="60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 ht="15.75" customHeight="1">
      <c r="A163" s="7"/>
      <c r="B163" s="58"/>
      <c r="C163" s="7"/>
      <c r="D163" s="59"/>
      <c r="E163" s="59"/>
      <c r="F163" s="59"/>
      <c r="G163" s="7"/>
      <c r="H163" s="7"/>
      <c r="I163" s="7"/>
      <c r="J163" s="60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 ht="15.75" customHeight="1">
      <c r="A164" s="7"/>
      <c r="B164" s="58"/>
      <c r="C164" s="7"/>
      <c r="D164" s="59"/>
      <c r="E164" s="59"/>
      <c r="F164" s="59"/>
      <c r="G164" s="7"/>
      <c r="H164" s="7"/>
      <c r="I164" s="7"/>
      <c r="J164" s="60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 ht="15.75" customHeight="1">
      <c r="A165" s="7"/>
      <c r="B165" s="58"/>
      <c r="C165" s="7"/>
      <c r="D165" s="59"/>
      <c r="E165" s="59"/>
      <c r="F165" s="59"/>
      <c r="G165" s="7"/>
      <c r="H165" s="7"/>
      <c r="I165" s="7"/>
      <c r="J165" s="60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 ht="15.75" customHeight="1">
      <c r="A166" s="7"/>
      <c r="B166" s="58"/>
      <c r="C166" s="7"/>
      <c r="D166" s="59"/>
      <c r="E166" s="59"/>
      <c r="F166" s="59"/>
      <c r="G166" s="7"/>
      <c r="H166" s="7"/>
      <c r="I166" s="7"/>
      <c r="J166" s="60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 ht="15.75" customHeight="1">
      <c r="A167" s="7"/>
      <c r="B167" s="58"/>
      <c r="C167" s="7"/>
      <c r="D167" s="59"/>
      <c r="E167" s="59"/>
      <c r="F167" s="59"/>
      <c r="G167" s="7"/>
      <c r="H167" s="7"/>
      <c r="I167" s="7"/>
      <c r="J167" s="60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 ht="15.75" customHeight="1">
      <c r="A168" s="7"/>
      <c r="B168" s="58"/>
      <c r="C168" s="7"/>
      <c r="D168" s="59"/>
      <c r="E168" s="59"/>
      <c r="F168" s="59"/>
      <c r="G168" s="7"/>
      <c r="H168" s="7"/>
      <c r="I168" s="7"/>
      <c r="J168" s="60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 ht="15.75" customHeight="1">
      <c r="A169" s="7"/>
      <c r="B169" s="58"/>
      <c r="C169" s="7"/>
      <c r="D169" s="59"/>
      <c r="E169" s="59"/>
      <c r="F169" s="59"/>
      <c r="G169" s="7"/>
      <c r="H169" s="7"/>
      <c r="I169" s="7"/>
      <c r="J169" s="60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 ht="15.75" customHeight="1">
      <c r="A170" s="7"/>
      <c r="B170" s="58"/>
      <c r="C170" s="7"/>
      <c r="D170" s="59"/>
      <c r="E170" s="59"/>
      <c r="F170" s="59"/>
      <c r="G170" s="7"/>
      <c r="H170" s="7"/>
      <c r="I170" s="7"/>
      <c r="J170" s="60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 ht="15.75" customHeight="1">
      <c r="A171" s="7"/>
      <c r="B171" s="58"/>
      <c r="C171" s="7"/>
      <c r="D171" s="59"/>
      <c r="E171" s="59"/>
      <c r="F171" s="59"/>
      <c r="G171" s="7"/>
      <c r="H171" s="7"/>
      <c r="I171" s="7"/>
      <c r="J171" s="60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r="172" ht="15.75" customHeight="1">
      <c r="A172" s="7"/>
      <c r="B172" s="58"/>
      <c r="C172" s="7"/>
      <c r="D172" s="59"/>
      <c r="E172" s="59"/>
      <c r="F172" s="59"/>
      <c r="G172" s="7"/>
      <c r="H172" s="7"/>
      <c r="I172" s="7"/>
      <c r="J172" s="60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 ht="15.75" customHeight="1">
      <c r="A173" s="7"/>
      <c r="B173" s="58"/>
      <c r="C173" s="7"/>
      <c r="D173" s="59"/>
      <c r="E173" s="59"/>
      <c r="F173" s="59"/>
      <c r="G173" s="7"/>
      <c r="H173" s="7"/>
      <c r="I173" s="7"/>
      <c r="J173" s="60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r="174" ht="15.75" customHeight="1">
      <c r="A174" s="7"/>
      <c r="B174" s="58"/>
      <c r="C174" s="7"/>
      <c r="D174" s="59"/>
      <c r="E174" s="59"/>
      <c r="F174" s="59"/>
      <c r="G174" s="7"/>
      <c r="H174" s="7"/>
      <c r="I174" s="7"/>
      <c r="J174" s="60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 ht="15.75" customHeight="1">
      <c r="A175" s="7"/>
      <c r="B175" s="58"/>
      <c r="C175" s="7"/>
      <c r="D175" s="59"/>
      <c r="E175" s="59"/>
      <c r="F175" s="59"/>
      <c r="G175" s="7"/>
      <c r="H175" s="7"/>
      <c r="I175" s="7"/>
      <c r="J175" s="60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 ht="15.75" customHeight="1">
      <c r="A176" s="7"/>
      <c r="B176" s="58"/>
      <c r="C176" s="7"/>
      <c r="D176" s="59"/>
      <c r="E176" s="59"/>
      <c r="F176" s="59"/>
      <c r="G176" s="7"/>
      <c r="H176" s="7"/>
      <c r="I176" s="7"/>
      <c r="J176" s="60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 ht="15.75" customHeight="1">
      <c r="A177" s="7"/>
      <c r="B177" s="58"/>
      <c r="C177" s="7"/>
      <c r="D177" s="59"/>
      <c r="E177" s="59"/>
      <c r="F177" s="59"/>
      <c r="G177" s="7"/>
      <c r="H177" s="7"/>
      <c r="I177" s="7"/>
      <c r="J177" s="60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 ht="15.75" customHeight="1">
      <c r="A178" s="7"/>
      <c r="B178" s="58"/>
      <c r="C178" s="7"/>
      <c r="D178" s="59"/>
      <c r="E178" s="59"/>
      <c r="F178" s="59"/>
      <c r="G178" s="7"/>
      <c r="H178" s="7"/>
      <c r="I178" s="7"/>
      <c r="J178" s="60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 ht="15.75" customHeight="1">
      <c r="A179" s="7"/>
      <c r="B179" s="58"/>
      <c r="C179" s="7"/>
      <c r="D179" s="59"/>
      <c r="E179" s="59"/>
      <c r="F179" s="59"/>
      <c r="G179" s="7"/>
      <c r="H179" s="7"/>
      <c r="I179" s="7"/>
      <c r="J179" s="60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r="180" ht="15.75" customHeight="1">
      <c r="A180" s="7"/>
      <c r="B180" s="58"/>
      <c r="C180" s="7"/>
      <c r="D180" s="59"/>
      <c r="E180" s="59"/>
      <c r="F180" s="59"/>
      <c r="G180" s="7"/>
      <c r="H180" s="7"/>
      <c r="I180" s="7"/>
      <c r="J180" s="60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r="181" ht="15.75" customHeight="1">
      <c r="A181" s="7"/>
      <c r="B181" s="58"/>
      <c r="C181" s="7"/>
      <c r="D181" s="59"/>
      <c r="E181" s="59"/>
      <c r="F181" s="59"/>
      <c r="G181" s="7"/>
      <c r="H181" s="7"/>
      <c r="I181" s="7"/>
      <c r="J181" s="60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r="182" ht="15.75" customHeight="1">
      <c r="A182" s="7"/>
      <c r="B182" s="58"/>
      <c r="C182" s="7"/>
      <c r="D182" s="59"/>
      <c r="E182" s="59"/>
      <c r="F182" s="59"/>
      <c r="G182" s="7"/>
      <c r="H182" s="7"/>
      <c r="I182" s="7"/>
      <c r="J182" s="60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 ht="15.75" customHeight="1">
      <c r="A183" s="7"/>
      <c r="B183" s="58"/>
      <c r="C183" s="7"/>
      <c r="D183" s="59"/>
      <c r="E183" s="59"/>
      <c r="F183" s="59"/>
      <c r="G183" s="7"/>
      <c r="H183" s="7"/>
      <c r="I183" s="7"/>
      <c r="J183" s="60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 ht="15.75" customHeight="1">
      <c r="A184" s="7"/>
      <c r="B184" s="58"/>
      <c r="C184" s="7"/>
      <c r="D184" s="59"/>
      <c r="E184" s="59"/>
      <c r="F184" s="59"/>
      <c r="G184" s="7"/>
      <c r="H184" s="7"/>
      <c r="I184" s="7"/>
      <c r="J184" s="60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 ht="15.75" customHeight="1">
      <c r="A185" s="7"/>
      <c r="B185" s="58"/>
      <c r="C185" s="7"/>
      <c r="D185" s="59"/>
      <c r="E185" s="59"/>
      <c r="F185" s="59"/>
      <c r="G185" s="7"/>
      <c r="H185" s="7"/>
      <c r="I185" s="7"/>
      <c r="J185" s="60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 ht="15.75" customHeight="1">
      <c r="A186" s="7"/>
      <c r="B186" s="58"/>
      <c r="C186" s="7"/>
      <c r="D186" s="59"/>
      <c r="E186" s="59"/>
      <c r="F186" s="59"/>
      <c r="G186" s="7"/>
      <c r="H186" s="7"/>
      <c r="I186" s="7"/>
      <c r="J186" s="60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 ht="15.75" customHeight="1">
      <c r="A187" s="7"/>
      <c r="B187" s="58"/>
      <c r="C187" s="7"/>
      <c r="D187" s="59"/>
      <c r="E187" s="59"/>
      <c r="F187" s="59"/>
      <c r="G187" s="7"/>
      <c r="H187" s="7"/>
      <c r="I187" s="7"/>
      <c r="J187" s="60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r="188" ht="15.75" customHeight="1">
      <c r="A188" s="7"/>
      <c r="B188" s="58"/>
      <c r="C188" s="7"/>
      <c r="D188" s="59"/>
      <c r="E188" s="59"/>
      <c r="F188" s="59"/>
      <c r="G188" s="7"/>
      <c r="H188" s="7"/>
      <c r="I188" s="7"/>
      <c r="J188" s="60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 ht="15.75" customHeight="1">
      <c r="A189" s="7"/>
      <c r="B189" s="58"/>
      <c r="C189" s="7"/>
      <c r="D189" s="59"/>
      <c r="E189" s="59"/>
      <c r="F189" s="59"/>
      <c r="G189" s="7"/>
      <c r="H189" s="7"/>
      <c r="I189" s="7"/>
      <c r="J189" s="60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 ht="15.75" customHeight="1">
      <c r="A190" s="7"/>
      <c r="B190" s="58"/>
      <c r="C190" s="7"/>
      <c r="D190" s="59"/>
      <c r="E190" s="59"/>
      <c r="F190" s="59"/>
      <c r="G190" s="7"/>
      <c r="H190" s="7"/>
      <c r="I190" s="7"/>
      <c r="J190" s="60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r="191" ht="15.75" customHeight="1">
      <c r="A191" s="7"/>
      <c r="B191" s="58"/>
      <c r="C191" s="7"/>
      <c r="D191" s="59"/>
      <c r="E191" s="59"/>
      <c r="F191" s="59"/>
      <c r="G191" s="7"/>
      <c r="H191" s="7"/>
      <c r="I191" s="7"/>
      <c r="J191" s="60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 ht="15.75" customHeight="1">
      <c r="A192" s="7"/>
      <c r="B192" s="58"/>
      <c r="C192" s="7"/>
      <c r="D192" s="59"/>
      <c r="E192" s="59"/>
      <c r="F192" s="59"/>
      <c r="G192" s="7"/>
      <c r="H192" s="7"/>
      <c r="I192" s="7"/>
      <c r="J192" s="60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 ht="15.75" customHeight="1">
      <c r="A193" s="7"/>
      <c r="B193" s="58"/>
      <c r="C193" s="7"/>
      <c r="D193" s="59"/>
      <c r="E193" s="59"/>
      <c r="F193" s="59"/>
      <c r="G193" s="7"/>
      <c r="H193" s="7"/>
      <c r="I193" s="7"/>
      <c r="J193" s="60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 ht="15.75" customHeight="1">
      <c r="A194" s="7"/>
      <c r="B194" s="58"/>
      <c r="C194" s="7"/>
      <c r="D194" s="59"/>
      <c r="E194" s="59"/>
      <c r="F194" s="59"/>
      <c r="G194" s="7"/>
      <c r="H194" s="7"/>
      <c r="I194" s="7"/>
      <c r="J194" s="60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 ht="15.75" customHeight="1">
      <c r="A195" s="7"/>
      <c r="B195" s="58"/>
      <c r="C195" s="7"/>
      <c r="D195" s="59"/>
      <c r="E195" s="59"/>
      <c r="F195" s="59"/>
      <c r="G195" s="7"/>
      <c r="H195" s="7"/>
      <c r="I195" s="7"/>
      <c r="J195" s="60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  <row r="196" ht="15.75" customHeight="1">
      <c r="A196" s="7"/>
      <c r="B196" s="58"/>
      <c r="C196" s="7"/>
      <c r="D196" s="59"/>
      <c r="E196" s="59"/>
      <c r="F196" s="59"/>
      <c r="G196" s="7"/>
      <c r="H196" s="7"/>
      <c r="I196" s="7"/>
      <c r="J196" s="60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</row>
    <row r="197" ht="15.75" customHeight="1">
      <c r="A197" s="7"/>
      <c r="B197" s="58"/>
      <c r="C197" s="7"/>
      <c r="D197" s="59"/>
      <c r="E197" s="59"/>
      <c r="F197" s="59"/>
      <c r="G197" s="7"/>
      <c r="H197" s="7"/>
      <c r="I197" s="7"/>
      <c r="J197" s="60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</row>
    <row r="198" ht="15.75" customHeight="1">
      <c r="A198" s="7"/>
      <c r="B198" s="58"/>
      <c r="C198" s="7"/>
      <c r="D198" s="59"/>
      <c r="E198" s="59"/>
      <c r="F198" s="59"/>
      <c r="G198" s="7"/>
      <c r="H198" s="7"/>
      <c r="I198" s="7"/>
      <c r="J198" s="60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</row>
    <row r="199" ht="15.75" customHeight="1">
      <c r="A199" s="7"/>
      <c r="B199" s="58"/>
      <c r="C199" s="7"/>
      <c r="D199" s="59"/>
      <c r="E199" s="59"/>
      <c r="F199" s="59"/>
      <c r="G199" s="7"/>
      <c r="H199" s="7"/>
      <c r="I199" s="7"/>
      <c r="J199" s="60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</row>
    <row r="200" ht="15.75" customHeight="1">
      <c r="A200" s="7"/>
      <c r="B200" s="58"/>
      <c r="C200" s="7"/>
      <c r="D200" s="59"/>
      <c r="E200" s="59"/>
      <c r="F200" s="59"/>
      <c r="G200" s="7"/>
      <c r="H200" s="7"/>
      <c r="I200" s="7"/>
      <c r="J200" s="60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  <row r="201" ht="15.75" customHeight="1">
      <c r="A201" s="7"/>
      <c r="B201" s="58"/>
      <c r="C201" s="7"/>
      <c r="D201" s="59"/>
      <c r="E201" s="59"/>
      <c r="F201" s="59"/>
      <c r="G201" s="7"/>
      <c r="H201" s="7"/>
      <c r="I201" s="7"/>
      <c r="J201" s="60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</row>
    <row r="202" ht="15.75" customHeight="1">
      <c r="A202" s="7"/>
      <c r="B202" s="58"/>
      <c r="C202" s="7"/>
      <c r="D202" s="59"/>
      <c r="E202" s="59"/>
      <c r="F202" s="59"/>
      <c r="G202" s="7"/>
      <c r="H202" s="7"/>
      <c r="I202" s="7"/>
      <c r="J202" s="60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</row>
    <row r="203" ht="15.75" customHeight="1">
      <c r="A203" s="7"/>
      <c r="B203" s="58"/>
      <c r="C203" s="7"/>
      <c r="D203" s="59"/>
      <c r="E203" s="59"/>
      <c r="F203" s="59"/>
      <c r="G203" s="7"/>
      <c r="H203" s="7"/>
      <c r="I203" s="7"/>
      <c r="J203" s="60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</row>
    <row r="204" ht="15.75" customHeight="1">
      <c r="A204" s="7"/>
      <c r="B204" s="58"/>
      <c r="C204" s="7"/>
      <c r="D204" s="59"/>
      <c r="E204" s="59"/>
      <c r="F204" s="59"/>
      <c r="G204" s="7"/>
      <c r="H204" s="7"/>
      <c r="I204" s="7"/>
      <c r="J204" s="60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</row>
    <row r="205" ht="15.75" customHeight="1">
      <c r="A205" s="7"/>
      <c r="B205" s="58"/>
      <c r="C205" s="7"/>
      <c r="D205" s="59"/>
      <c r="E205" s="59"/>
      <c r="F205" s="59"/>
      <c r="G205" s="7"/>
      <c r="H205" s="7"/>
      <c r="I205" s="7"/>
      <c r="J205" s="60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</row>
    <row r="206" ht="15.75" customHeight="1">
      <c r="A206" s="7"/>
      <c r="B206" s="58"/>
      <c r="C206" s="7"/>
      <c r="D206" s="59"/>
      <c r="E206" s="59"/>
      <c r="F206" s="59"/>
      <c r="G206" s="7"/>
      <c r="H206" s="7"/>
      <c r="I206" s="7"/>
      <c r="J206" s="60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</row>
    <row r="207" ht="15.75" customHeight="1">
      <c r="A207" s="7"/>
      <c r="B207" s="58"/>
      <c r="C207" s="7"/>
      <c r="D207" s="59"/>
      <c r="E207" s="59"/>
      <c r="F207" s="59"/>
      <c r="G207" s="7"/>
      <c r="H207" s="7"/>
      <c r="I207" s="7"/>
      <c r="J207" s="60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</row>
    <row r="208" ht="15.75" customHeight="1">
      <c r="A208" s="7"/>
      <c r="B208" s="58"/>
      <c r="C208" s="7"/>
      <c r="D208" s="59"/>
      <c r="E208" s="59"/>
      <c r="F208" s="59"/>
      <c r="G208" s="7"/>
      <c r="H208" s="7"/>
      <c r="I208" s="7"/>
      <c r="J208" s="60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</row>
    <row r="209" ht="15.75" customHeight="1">
      <c r="A209" s="7"/>
      <c r="B209" s="58"/>
      <c r="C209" s="7"/>
      <c r="D209" s="59"/>
      <c r="E209" s="59"/>
      <c r="F209" s="59"/>
      <c r="G209" s="7"/>
      <c r="H209" s="7"/>
      <c r="I209" s="7"/>
      <c r="J209" s="60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</row>
    <row r="210" ht="15.75" customHeight="1">
      <c r="A210" s="7"/>
      <c r="B210" s="58"/>
      <c r="C210" s="7"/>
      <c r="D210" s="59"/>
      <c r="E210" s="59"/>
      <c r="F210" s="59"/>
      <c r="G210" s="7"/>
      <c r="H210" s="7"/>
      <c r="I210" s="7"/>
      <c r="J210" s="60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</row>
    <row r="211" ht="15.75" customHeight="1">
      <c r="A211" s="7"/>
      <c r="B211" s="58"/>
      <c r="C211" s="7"/>
      <c r="D211" s="59"/>
      <c r="E211" s="59"/>
      <c r="F211" s="59"/>
      <c r="G211" s="7"/>
      <c r="H211" s="7"/>
      <c r="I211" s="7"/>
      <c r="J211" s="60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</row>
    <row r="212" ht="15.75" customHeight="1">
      <c r="A212" s="7"/>
      <c r="B212" s="58"/>
      <c r="C212" s="7"/>
      <c r="D212" s="59"/>
      <c r="E212" s="59"/>
      <c r="F212" s="59"/>
      <c r="G212" s="7"/>
      <c r="H212" s="7"/>
      <c r="I212" s="7"/>
      <c r="J212" s="60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</row>
    <row r="213" ht="15.75" customHeight="1">
      <c r="A213" s="7"/>
      <c r="B213" s="58"/>
      <c r="C213" s="7"/>
      <c r="D213" s="59"/>
      <c r="E213" s="59"/>
      <c r="F213" s="59"/>
      <c r="G213" s="7"/>
      <c r="H213" s="7"/>
      <c r="I213" s="7"/>
      <c r="J213" s="60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</row>
    <row r="214" ht="15.75" customHeight="1">
      <c r="A214" s="7"/>
      <c r="B214" s="58"/>
      <c r="C214" s="7"/>
      <c r="D214" s="59"/>
      <c r="E214" s="59"/>
      <c r="F214" s="59"/>
      <c r="G214" s="7"/>
      <c r="H214" s="7"/>
      <c r="I214" s="7"/>
      <c r="J214" s="60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</row>
    <row r="215" ht="15.75" customHeight="1">
      <c r="A215" s="7"/>
      <c r="B215" s="58"/>
      <c r="C215" s="7"/>
      <c r="D215" s="59"/>
      <c r="E215" s="59"/>
      <c r="F215" s="59"/>
      <c r="G215" s="7"/>
      <c r="H215" s="7"/>
      <c r="I215" s="7"/>
      <c r="J215" s="60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</row>
    <row r="216" ht="15.75" customHeight="1">
      <c r="A216" s="7"/>
      <c r="B216" s="58"/>
      <c r="C216" s="7"/>
      <c r="D216" s="59"/>
      <c r="E216" s="59"/>
      <c r="F216" s="59"/>
      <c r="G216" s="7"/>
      <c r="H216" s="7"/>
      <c r="I216" s="7"/>
      <c r="J216" s="60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</row>
    <row r="217" ht="15.75" customHeight="1">
      <c r="A217" s="7"/>
      <c r="B217" s="58"/>
      <c r="C217" s="7"/>
      <c r="D217" s="59"/>
      <c r="E217" s="59"/>
      <c r="F217" s="59"/>
      <c r="G217" s="7"/>
      <c r="H217" s="7"/>
      <c r="I217" s="7"/>
      <c r="J217" s="60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</row>
    <row r="218" ht="15.75" customHeight="1">
      <c r="A218" s="7"/>
      <c r="B218" s="58"/>
      <c r="C218" s="7"/>
      <c r="D218" s="59"/>
      <c r="E218" s="59"/>
      <c r="F218" s="59"/>
      <c r="G218" s="7"/>
      <c r="H218" s="7"/>
      <c r="I218" s="7"/>
      <c r="J218" s="60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</row>
    <row r="219" ht="15.75" customHeight="1">
      <c r="A219" s="7"/>
      <c r="B219" s="58"/>
      <c r="C219" s="7"/>
      <c r="D219" s="59"/>
      <c r="E219" s="59"/>
      <c r="F219" s="59"/>
      <c r="G219" s="7"/>
      <c r="H219" s="7"/>
      <c r="I219" s="7"/>
      <c r="J219" s="60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</row>
    <row r="220" ht="15.75" customHeight="1">
      <c r="A220" s="7"/>
      <c r="B220" s="58"/>
      <c r="C220" s="7"/>
      <c r="D220" s="59"/>
      <c r="E220" s="59"/>
      <c r="F220" s="59"/>
      <c r="G220" s="7"/>
      <c r="H220" s="7"/>
      <c r="I220" s="7"/>
      <c r="J220" s="60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</row>
    <row r="221" ht="15.75" customHeight="1">
      <c r="A221" s="7"/>
      <c r="B221" s="58"/>
      <c r="C221" s="7"/>
      <c r="D221" s="59"/>
      <c r="E221" s="59"/>
      <c r="F221" s="59"/>
      <c r="G221" s="7"/>
      <c r="H221" s="7"/>
      <c r="I221" s="7"/>
      <c r="J221" s="60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</row>
    <row r="222" ht="15.75" customHeight="1">
      <c r="A222" s="7"/>
      <c r="B222" s="58"/>
      <c r="C222" s="7"/>
      <c r="D222" s="59"/>
      <c r="E222" s="59"/>
      <c r="F222" s="59"/>
      <c r="G222" s="7"/>
      <c r="H222" s="7"/>
      <c r="I222" s="7"/>
      <c r="J222" s="60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</row>
    <row r="223" ht="15.75" customHeight="1">
      <c r="A223" s="7"/>
      <c r="B223" s="58"/>
      <c r="C223" s="7"/>
      <c r="D223" s="59"/>
      <c r="E223" s="59"/>
      <c r="F223" s="59"/>
      <c r="G223" s="7"/>
      <c r="H223" s="7"/>
      <c r="I223" s="7"/>
      <c r="J223" s="60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</row>
    <row r="224" ht="15.75" customHeight="1">
      <c r="A224" s="7"/>
      <c r="B224" s="58"/>
      <c r="C224" s="7"/>
      <c r="D224" s="59"/>
      <c r="E224" s="59"/>
      <c r="F224" s="59"/>
      <c r="G224" s="7"/>
      <c r="H224" s="7"/>
      <c r="I224" s="7"/>
      <c r="J224" s="60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</row>
    <row r="225" ht="15.75" customHeight="1">
      <c r="A225" s="7"/>
      <c r="B225" s="58"/>
      <c r="C225" s="7"/>
      <c r="D225" s="59"/>
      <c r="E225" s="59"/>
      <c r="F225" s="59"/>
      <c r="G225" s="7"/>
      <c r="H225" s="7"/>
      <c r="I225" s="7"/>
      <c r="J225" s="60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</row>
    <row r="226" ht="15.75" customHeight="1">
      <c r="A226" s="7"/>
      <c r="B226" s="58"/>
      <c r="C226" s="7"/>
      <c r="D226" s="59"/>
      <c r="E226" s="59"/>
      <c r="F226" s="59"/>
      <c r="G226" s="7"/>
      <c r="H226" s="7"/>
      <c r="I226" s="7"/>
      <c r="J226" s="60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</row>
    <row r="227" ht="15.75" customHeight="1">
      <c r="A227" s="7"/>
      <c r="B227" s="58"/>
      <c r="C227" s="7"/>
      <c r="D227" s="59"/>
      <c r="E227" s="59"/>
      <c r="F227" s="59"/>
      <c r="G227" s="7"/>
      <c r="H227" s="7"/>
      <c r="I227" s="7"/>
      <c r="J227" s="60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</row>
    <row r="228" ht="15.75" customHeight="1">
      <c r="A228" s="7"/>
      <c r="B228" s="58"/>
      <c r="C228" s="7"/>
      <c r="D228" s="59"/>
      <c r="E228" s="59"/>
      <c r="F228" s="59"/>
      <c r="G228" s="7"/>
      <c r="H228" s="7"/>
      <c r="I228" s="7"/>
      <c r="J228" s="60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</row>
    <row r="229" ht="15.75" customHeight="1">
      <c r="A229" s="7"/>
      <c r="B229" s="58"/>
      <c r="C229" s="7"/>
      <c r="D229" s="59"/>
      <c r="E229" s="59"/>
      <c r="F229" s="59"/>
      <c r="G229" s="7"/>
      <c r="H229" s="7"/>
      <c r="I229" s="7"/>
      <c r="J229" s="60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</row>
    <row r="230" ht="15.75" customHeight="1">
      <c r="A230" s="7"/>
      <c r="B230" s="58"/>
      <c r="C230" s="7"/>
      <c r="D230" s="59"/>
      <c r="E230" s="59"/>
      <c r="F230" s="59"/>
      <c r="G230" s="7"/>
      <c r="H230" s="7"/>
      <c r="I230" s="7"/>
      <c r="J230" s="60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</row>
    <row r="231" ht="15.75" customHeight="1">
      <c r="A231" s="7"/>
      <c r="B231" s="58"/>
      <c r="C231" s="7"/>
      <c r="D231" s="59"/>
      <c r="E231" s="59"/>
      <c r="F231" s="59"/>
      <c r="G231" s="7"/>
      <c r="H231" s="7"/>
      <c r="I231" s="7"/>
      <c r="J231" s="60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</row>
    <row r="232" ht="15.75" customHeight="1">
      <c r="A232" s="7"/>
      <c r="B232" s="58"/>
      <c r="C232" s="7"/>
      <c r="D232" s="59"/>
      <c r="E232" s="59"/>
      <c r="F232" s="59"/>
      <c r="G232" s="7"/>
      <c r="H232" s="7"/>
      <c r="I232" s="7"/>
      <c r="J232" s="60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</row>
    <row r="233" ht="15.75" customHeight="1">
      <c r="A233" s="7"/>
      <c r="B233" s="58"/>
      <c r="C233" s="7"/>
      <c r="D233" s="59"/>
      <c r="E233" s="59"/>
      <c r="F233" s="59"/>
      <c r="G233" s="7"/>
      <c r="H233" s="7"/>
      <c r="I233" s="7"/>
      <c r="J233" s="60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</row>
    <row r="234" ht="15.75" customHeight="1">
      <c r="A234" s="7"/>
      <c r="B234" s="58"/>
      <c r="C234" s="7"/>
      <c r="D234" s="59"/>
      <c r="E234" s="59"/>
      <c r="F234" s="59"/>
      <c r="G234" s="7"/>
      <c r="H234" s="7"/>
      <c r="I234" s="7"/>
      <c r="J234" s="60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</row>
    <row r="235" ht="15.75" customHeight="1">
      <c r="A235" s="7"/>
      <c r="B235" s="58"/>
      <c r="C235" s="7"/>
      <c r="D235" s="59"/>
      <c r="E235" s="59"/>
      <c r="F235" s="59"/>
      <c r="G235" s="7"/>
      <c r="H235" s="7"/>
      <c r="I235" s="7"/>
      <c r="J235" s="60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</row>
    <row r="236" ht="15.75" customHeight="1">
      <c r="A236" s="7"/>
      <c r="B236" s="58"/>
      <c r="C236" s="7"/>
      <c r="D236" s="59"/>
      <c r="E236" s="59"/>
      <c r="F236" s="59"/>
      <c r="G236" s="7"/>
      <c r="H236" s="7"/>
      <c r="I236" s="7"/>
      <c r="J236" s="60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</row>
    <row r="237" ht="15.75" customHeight="1">
      <c r="A237" s="7"/>
      <c r="B237" s="58"/>
      <c r="C237" s="7"/>
      <c r="D237" s="59"/>
      <c r="E237" s="59"/>
      <c r="F237" s="59"/>
      <c r="G237" s="7"/>
      <c r="H237" s="7"/>
      <c r="I237" s="7"/>
      <c r="J237" s="60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</row>
    <row r="238" ht="15.75" customHeight="1">
      <c r="A238" s="7"/>
      <c r="B238" s="58"/>
      <c r="C238" s="7"/>
      <c r="D238" s="59"/>
      <c r="E238" s="59"/>
      <c r="F238" s="59"/>
      <c r="G238" s="7"/>
      <c r="H238" s="7"/>
      <c r="I238" s="7"/>
      <c r="J238" s="60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</row>
    <row r="239" ht="15.75" customHeight="1">
      <c r="A239" s="7"/>
      <c r="B239" s="58"/>
      <c r="C239" s="7"/>
      <c r="D239" s="59"/>
      <c r="E239" s="59"/>
      <c r="F239" s="59"/>
      <c r="G239" s="7"/>
      <c r="H239" s="7"/>
      <c r="I239" s="7"/>
      <c r="J239" s="60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</row>
    <row r="240" ht="15.75" customHeight="1">
      <c r="A240" s="7"/>
      <c r="B240" s="58"/>
      <c r="C240" s="7"/>
      <c r="D240" s="59"/>
      <c r="E240" s="59"/>
      <c r="F240" s="59"/>
      <c r="G240" s="7"/>
      <c r="H240" s="7"/>
      <c r="I240" s="7"/>
      <c r="J240" s="60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</row>
    <row r="241" ht="15.75" customHeight="1">
      <c r="A241" s="7"/>
      <c r="B241" s="58"/>
      <c r="C241" s="7"/>
      <c r="D241" s="59"/>
      <c r="E241" s="59"/>
      <c r="F241" s="59"/>
      <c r="G241" s="7"/>
      <c r="H241" s="7"/>
      <c r="I241" s="7"/>
      <c r="J241" s="60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</row>
    <row r="242" ht="15.75" customHeight="1">
      <c r="A242" s="7"/>
      <c r="B242" s="58"/>
      <c r="C242" s="7"/>
      <c r="D242" s="59"/>
      <c r="E242" s="59"/>
      <c r="F242" s="59"/>
      <c r="G242" s="7"/>
      <c r="H242" s="7"/>
      <c r="I242" s="7"/>
      <c r="J242" s="60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</row>
    <row r="243" ht="15.75" customHeight="1">
      <c r="A243" s="7"/>
      <c r="B243" s="58"/>
      <c r="C243" s="7"/>
      <c r="D243" s="59"/>
      <c r="E243" s="59"/>
      <c r="F243" s="59"/>
      <c r="G243" s="7"/>
      <c r="H243" s="7"/>
      <c r="I243" s="7"/>
      <c r="J243" s="60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</row>
    <row r="244" ht="15.75" customHeight="1">
      <c r="A244" s="7"/>
      <c r="B244" s="58"/>
      <c r="C244" s="7"/>
      <c r="D244" s="59"/>
      <c r="E244" s="59"/>
      <c r="F244" s="59"/>
      <c r="G244" s="7"/>
      <c r="H244" s="7"/>
      <c r="I244" s="7"/>
      <c r="J244" s="60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</row>
    <row r="245" ht="15.75" customHeight="1">
      <c r="A245" s="7"/>
      <c r="B245" s="58"/>
      <c r="C245" s="7"/>
      <c r="D245" s="59"/>
      <c r="E245" s="59"/>
      <c r="F245" s="59"/>
      <c r="G245" s="7"/>
      <c r="H245" s="7"/>
      <c r="I245" s="7"/>
      <c r="J245" s="60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</row>
    <row r="246" ht="15.75" customHeight="1">
      <c r="A246" s="7"/>
      <c r="B246" s="58"/>
      <c r="C246" s="7"/>
      <c r="D246" s="59"/>
      <c r="E246" s="59"/>
      <c r="F246" s="59"/>
      <c r="G246" s="7"/>
      <c r="H246" s="7"/>
      <c r="I246" s="7"/>
      <c r="J246" s="60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</row>
    <row r="247" ht="15.75" customHeight="1">
      <c r="A247" s="7"/>
      <c r="B247" s="58"/>
      <c r="C247" s="7"/>
      <c r="D247" s="59"/>
      <c r="E247" s="59"/>
      <c r="F247" s="59"/>
      <c r="G247" s="7"/>
      <c r="H247" s="7"/>
      <c r="I247" s="7"/>
      <c r="J247" s="60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</row>
    <row r="248" ht="15.75" customHeight="1">
      <c r="A248" s="7"/>
      <c r="B248" s="58"/>
      <c r="C248" s="7"/>
      <c r="D248" s="59"/>
      <c r="E248" s="59"/>
      <c r="F248" s="59"/>
      <c r="G248" s="7"/>
      <c r="H248" s="7"/>
      <c r="I248" s="7"/>
      <c r="J248" s="60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</row>
    <row r="249" ht="15.75" customHeight="1">
      <c r="A249" s="7"/>
      <c r="B249" s="58"/>
      <c r="C249" s="7"/>
      <c r="D249" s="59"/>
      <c r="E249" s="59"/>
      <c r="F249" s="59"/>
      <c r="G249" s="7"/>
      <c r="H249" s="7"/>
      <c r="I249" s="7"/>
      <c r="J249" s="60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</row>
    <row r="250" ht="15.75" customHeight="1">
      <c r="A250" s="7"/>
      <c r="B250" s="58"/>
      <c r="C250" s="7"/>
      <c r="D250" s="59"/>
      <c r="E250" s="59"/>
      <c r="F250" s="59"/>
      <c r="G250" s="7"/>
      <c r="H250" s="7"/>
      <c r="I250" s="7"/>
      <c r="J250" s="60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</row>
    <row r="251" ht="15.75" customHeight="1">
      <c r="A251" s="7"/>
      <c r="B251" s="58"/>
      <c r="C251" s="7"/>
      <c r="D251" s="59"/>
      <c r="E251" s="59"/>
      <c r="F251" s="59"/>
      <c r="G251" s="7"/>
      <c r="H251" s="7"/>
      <c r="I251" s="7"/>
      <c r="J251" s="60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</row>
    <row r="252" ht="15.75" customHeight="1">
      <c r="A252" s="7"/>
      <c r="B252" s="58"/>
      <c r="C252" s="7"/>
      <c r="D252" s="59"/>
      <c r="E252" s="59"/>
      <c r="F252" s="59"/>
      <c r="G252" s="7"/>
      <c r="H252" s="7"/>
      <c r="I252" s="7"/>
      <c r="J252" s="60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</row>
    <row r="253" ht="15.75" customHeight="1">
      <c r="A253" s="7"/>
      <c r="B253" s="58"/>
      <c r="C253" s="7"/>
      <c r="D253" s="59"/>
      <c r="E253" s="59"/>
      <c r="F253" s="59"/>
      <c r="G253" s="7"/>
      <c r="H253" s="7"/>
      <c r="I253" s="7"/>
      <c r="J253" s="60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</row>
    <row r="254" ht="15.75" customHeight="1">
      <c r="A254" s="7"/>
      <c r="B254" s="58"/>
      <c r="C254" s="7"/>
      <c r="D254" s="59"/>
      <c r="E254" s="59"/>
      <c r="F254" s="59"/>
      <c r="G254" s="7"/>
      <c r="H254" s="7"/>
      <c r="I254" s="7"/>
      <c r="J254" s="60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</row>
    <row r="255" ht="15.75" customHeight="1">
      <c r="A255" s="7"/>
      <c r="B255" s="58"/>
      <c r="C255" s="7"/>
      <c r="D255" s="59"/>
      <c r="E255" s="59"/>
      <c r="F255" s="59"/>
      <c r="G255" s="7"/>
      <c r="H255" s="7"/>
      <c r="I255" s="7"/>
      <c r="J255" s="60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</row>
    <row r="256" ht="15.75" customHeight="1">
      <c r="A256" s="7"/>
      <c r="B256" s="58"/>
      <c r="C256" s="7"/>
      <c r="D256" s="59"/>
      <c r="E256" s="59"/>
      <c r="F256" s="59"/>
      <c r="G256" s="7"/>
      <c r="H256" s="7"/>
      <c r="I256" s="7"/>
      <c r="J256" s="60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</row>
    <row r="257" ht="15.75" customHeight="1">
      <c r="A257" s="7"/>
      <c r="B257" s="58"/>
      <c r="C257" s="7"/>
      <c r="D257" s="59"/>
      <c r="E257" s="59"/>
      <c r="F257" s="59"/>
      <c r="G257" s="7"/>
      <c r="H257" s="7"/>
      <c r="I257" s="7"/>
      <c r="J257" s="60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</row>
    <row r="258" ht="15.75" customHeight="1">
      <c r="A258" s="7"/>
      <c r="B258" s="58"/>
      <c r="C258" s="7"/>
      <c r="D258" s="59"/>
      <c r="E258" s="59"/>
      <c r="F258" s="59"/>
      <c r="G258" s="7"/>
      <c r="H258" s="7"/>
      <c r="I258" s="7"/>
      <c r="J258" s="60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</row>
    <row r="259" ht="15.75" customHeight="1">
      <c r="A259" s="7"/>
      <c r="B259" s="58"/>
      <c r="C259" s="7"/>
      <c r="D259" s="59"/>
      <c r="E259" s="59"/>
      <c r="F259" s="59"/>
      <c r="G259" s="7"/>
      <c r="H259" s="7"/>
      <c r="I259" s="7"/>
      <c r="J259" s="60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</row>
    <row r="260" ht="15.75" customHeight="1">
      <c r="A260" s="7"/>
      <c r="B260" s="58"/>
      <c r="C260" s="7"/>
      <c r="D260" s="59"/>
      <c r="E260" s="59"/>
      <c r="F260" s="59"/>
      <c r="G260" s="7"/>
      <c r="H260" s="7"/>
      <c r="I260" s="7"/>
      <c r="J260" s="60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</row>
    <row r="261" ht="15.75" customHeight="1">
      <c r="A261" s="7"/>
      <c r="B261" s="58"/>
      <c r="C261" s="7"/>
      <c r="D261" s="59"/>
      <c r="E261" s="59"/>
      <c r="F261" s="59"/>
      <c r="G261" s="7"/>
      <c r="H261" s="7"/>
      <c r="I261" s="7"/>
      <c r="J261" s="60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</row>
    <row r="262" ht="15.75" customHeight="1">
      <c r="A262" s="7"/>
      <c r="B262" s="58"/>
      <c r="C262" s="7"/>
      <c r="D262" s="59"/>
      <c r="E262" s="59"/>
      <c r="F262" s="59"/>
      <c r="G262" s="7"/>
      <c r="H262" s="7"/>
      <c r="I262" s="7"/>
      <c r="J262" s="60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</row>
    <row r="263" ht="15.75" customHeight="1">
      <c r="A263" s="7"/>
      <c r="B263" s="58"/>
      <c r="C263" s="7"/>
      <c r="D263" s="59"/>
      <c r="E263" s="59"/>
      <c r="F263" s="59"/>
      <c r="G263" s="7"/>
      <c r="H263" s="7"/>
      <c r="I263" s="7"/>
      <c r="J263" s="60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</row>
    <row r="264" ht="15.75" customHeight="1">
      <c r="A264" s="7"/>
      <c r="B264" s="58"/>
      <c r="C264" s="7"/>
      <c r="D264" s="59"/>
      <c r="E264" s="59"/>
      <c r="F264" s="59"/>
      <c r="G264" s="7"/>
      <c r="H264" s="7"/>
      <c r="I264" s="7"/>
      <c r="J264" s="60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</row>
    <row r="265" ht="15.75" customHeight="1">
      <c r="A265" s="7"/>
      <c r="B265" s="58"/>
      <c r="C265" s="7"/>
      <c r="D265" s="59"/>
      <c r="E265" s="59"/>
      <c r="F265" s="59"/>
      <c r="G265" s="7"/>
      <c r="H265" s="7"/>
      <c r="I265" s="7"/>
      <c r="J265" s="60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</row>
    <row r="266" ht="15.75" customHeight="1">
      <c r="A266" s="7"/>
      <c r="B266" s="58"/>
      <c r="C266" s="7"/>
      <c r="D266" s="59"/>
      <c r="E266" s="59"/>
      <c r="F266" s="59"/>
      <c r="G266" s="7"/>
      <c r="H266" s="7"/>
      <c r="I266" s="7"/>
      <c r="J266" s="60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</row>
    <row r="267" ht="15.75" customHeight="1">
      <c r="A267" s="7"/>
      <c r="B267" s="58"/>
      <c r="C267" s="7"/>
      <c r="D267" s="59"/>
      <c r="E267" s="59"/>
      <c r="F267" s="59"/>
      <c r="G267" s="7"/>
      <c r="H267" s="7"/>
      <c r="I267" s="7"/>
      <c r="J267" s="60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</row>
    <row r="268" ht="15.75" customHeight="1">
      <c r="A268" s="7"/>
      <c r="B268" s="58"/>
      <c r="C268" s="7"/>
      <c r="D268" s="59"/>
      <c r="E268" s="59"/>
      <c r="F268" s="59"/>
      <c r="G268" s="7"/>
      <c r="H268" s="7"/>
      <c r="I268" s="7"/>
      <c r="J268" s="60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</row>
    <row r="269" ht="15.75" customHeight="1">
      <c r="A269" s="7"/>
      <c r="B269" s="58"/>
      <c r="C269" s="7"/>
      <c r="D269" s="59"/>
      <c r="E269" s="59"/>
      <c r="F269" s="59"/>
      <c r="G269" s="7"/>
      <c r="H269" s="7"/>
      <c r="I269" s="7"/>
      <c r="J269" s="60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</row>
    <row r="270" ht="15.75" customHeight="1">
      <c r="A270" s="7"/>
      <c r="B270" s="58"/>
      <c r="C270" s="7"/>
      <c r="D270" s="59"/>
      <c r="E270" s="59"/>
      <c r="F270" s="59"/>
      <c r="G270" s="7"/>
      <c r="H270" s="7"/>
      <c r="I270" s="7"/>
      <c r="J270" s="60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</row>
    <row r="271" ht="15.75" customHeight="1">
      <c r="A271" s="7"/>
      <c r="B271" s="58"/>
      <c r="C271" s="7"/>
      <c r="D271" s="59"/>
      <c r="E271" s="59"/>
      <c r="F271" s="59"/>
      <c r="G271" s="7"/>
      <c r="H271" s="7"/>
      <c r="I271" s="7"/>
      <c r="J271" s="60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</row>
    <row r="272" ht="15.75" customHeight="1">
      <c r="A272" s="7"/>
      <c r="B272" s="58"/>
      <c r="C272" s="7"/>
      <c r="D272" s="59"/>
      <c r="E272" s="59"/>
      <c r="F272" s="59"/>
      <c r="G272" s="7"/>
      <c r="H272" s="7"/>
      <c r="I272" s="7"/>
      <c r="J272" s="60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</row>
    <row r="273" ht="15.75" customHeight="1">
      <c r="A273" s="7"/>
      <c r="B273" s="58"/>
      <c r="C273" s="7"/>
      <c r="D273" s="59"/>
      <c r="E273" s="59"/>
      <c r="F273" s="59"/>
      <c r="G273" s="7"/>
      <c r="H273" s="7"/>
      <c r="I273" s="7"/>
      <c r="J273" s="60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</row>
    <row r="274" ht="15.75" customHeight="1">
      <c r="A274" s="7"/>
      <c r="B274" s="58"/>
      <c r="C274" s="7"/>
      <c r="D274" s="59"/>
      <c r="E274" s="59"/>
      <c r="F274" s="59"/>
      <c r="G274" s="7"/>
      <c r="H274" s="7"/>
      <c r="I274" s="7"/>
      <c r="J274" s="60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</row>
    <row r="275" ht="15.75" customHeight="1">
      <c r="A275" s="7"/>
      <c r="B275" s="58"/>
      <c r="C275" s="7"/>
      <c r="D275" s="59"/>
      <c r="E275" s="59"/>
      <c r="F275" s="59"/>
      <c r="G275" s="7"/>
      <c r="H275" s="7"/>
      <c r="I275" s="7"/>
      <c r="J275" s="60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</row>
    <row r="276" ht="15.75" customHeight="1">
      <c r="A276" s="7"/>
      <c r="B276" s="58"/>
      <c r="C276" s="7"/>
      <c r="D276" s="59"/>
      <c r="E276" s="59"/>
      <c r="F276" s="59"/>
      <c r="G276" s="7"/>
      <c r="H276" s="7"/>
      <c r="I276" s="7"/>
      <c r="J276" s="60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</row>
    <row r="277" ht="15.75" customHeight="1">
      <c r="A277" s="7"/>
      <c r="B277" s="58"/>
      <c r="C277" s="7"/>
      <c r="D277" s="59"/>
      <c r="E277" s="59"/>
      <c r="F277" s="59"/>
      <c r="G277" s="7"/>
      <c r="H277" s="7"/>
      <c r="I277" s="7"/>
      <c r="J277" s="60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</row>
    <row r="278" ht="15.75" customHeight="1">
      <c r="A278" s="7"/>
      <c r="B278" s="58"/>
      <c r="C278" s="7"/>
      <c r="D278" s="59"/>
      <c r="E278" s="59"/>
      <c r="F278" s="59"/>
      <c r="G278" s="7"/>
      <c r="H278" s="7"/>
      <c r="I278" s="7"/>
      <c r="J278" s="60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</row>
    <row r="279" ht="15.75" customHeight="1">
      <c r="A279" s="7"/>
      <c r="B279" s="58"/>
      <c r="C279" s="7"/>
      <c r="D279" s="59"/>
      <c r="E279" s="59"/>
      <c r="F279" s="59"/>
      <c r="G279" s="7"/>
      <c r="H279" s="7"/>
      <c r="I279" s="7"/>
      <c r="J279" s="60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</row>
    <row r="280" ht="15.75" customHeight="1">
      <c r="A280" s="7"/>
      <c r="B280" s="58"/>
      <c r="C280" s="7"/>
      <c r="D280" s="59"/>
      <c r="E280" s="59"/>
      <c r="F280" s="59"/>
      <c r="G280" s="7"/>
      <c r="H280" s="7"/>
      <c r="I280" s="7"/>
      <c r="J280" s="60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</row>
    <row r="281" ht="15.75" customHeight="1">
      <c r="A281" s="7"/>
      <c r="B281" s="58"/>
      <c r="C281" s="7"/>
      <c r="D281" s="59"/>
      <c r="E281" s="59"/>
      <c r="F281" s="59"/>
      <c r="G281" s="7"/>
      <c r="H281" s="7"/>
      <c r="I281" s="7"/>
      <c r="J281" s="60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</row>
    <row r="282" ht="15.75" customHeight="1">
      <c r="A282" s="7"/>
      <c r="B282" s="58"/>
      <c r="C282" s="7"/>
      <c r="D282" s="59"/>
      <c r="E282" s="59"/>
      <c r="F282" s="59"/>
      <c r="G282" s="7"/>
      <c r="H282" s="7"/>
      <c r="I282" s="7"/>
      <c r="J282" s="60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</row>
    <row r="283" ht="15.75" customHeight="1">
      <c r="A283" s="7"/>
      <c r="B283" s="58"/>
      <c r="C283" s="7"/>
      <c r="D283" s="59"/>
      <c r="E283" s="59"/>
      <c r="F283" s="59"/>
      <c r="G283" s="7"/>
      <c r="H283" s="7"/>
      <c r="I283" s="7"/>
      <c r="J283" s="60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</row>
    <row r="284" ht="15.75" customHeight="1">
      <c r="A284" s="7"/>
      <c r="B284" s="58"/>
      <c r="C284" s="7"/>
      <c r="D284" s="59"/>
      <c r="E284" s="59"/>
      <c r="F284" s="59"/>
      <c r="G284" s="7"/>
      <c r="H284" s="7"/>
      <c r="I284" s="7"/>
      <c r="J284" s="60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</row>
    <row r="285" ht="15.75" customHeight="1">
      <c r="A285" s="7"/>
      <c r="B285" s="58"/>
      <c r="C285" s="7"/>
      <c r="D285" s="59"/>
      <c r="E285" s="59"/>
      <c r="F285" s="59"/>
      <c r="G285" s="7"/>
      <c r="H285" s="7"/>
      <c r="I285" s="7"/>
      <c r="J285" s="60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</row>
    <row r="286" ht="15.75" customHeight="1">
      <c r="A286" s="7"/>
      <c r="B286" s="58"/>
      <c r="C286" s="7"/>
      <c r="D286" s="59"/>
      <c r="E286" s="59"/>
      <c r="F286" s="59"/>
      <c r="G286" s="7"/>
      <c r="H286" s="7"/>
      <c r="I286" s="7"/>
      <c r="J286" s="60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</row>
    <row r="287" ht="15.75" customHeight="1">
      <c r="A287" s="7"/>
      <c r="B287" s="58"/>
      <c r="C287" s="7"/>
      <c r="D287" s="59"/>
      <c r="E287" s="59"/>
      <c r="F287" s="59"/>
      <c r="G287" s="7"/>
      <c r="H287" s="7"/>
      <c r="I287" s="7"/>
      <c r="J287" s="60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</row>
    <row r="288" ht="15.75" customHeight="1">
      <c r="A288" s="7"/>
      <c r="B288" s="58"/>
      <c r="C288" s="7"/>
      <c r="D288" s="59"/>
      <c r="E288" s="59"/>
      <c r="F288" s="59"/>
      <c r="G288" s="7"/>
      <c r="H288" s="7"/>
      <c r="I288" s="7"/>
      <c r="J288" s="60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</row>
    <row r="289" ht="15.75" customHeight="1">
      <c r="A289" s="7"/>
      <c r="B289" s="58"/>
      <c r="C289" s="7"/>
      <c r="D289" s="59"/>
      <c r="E289" s="59"/>
      <c r="F289" s="59"/>
      <c r="G289" s="7"/>
      <c r="H289" s="7"/>
      <c r="I289" s="7"/>
      <c r="J289" s="60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</row>
    <row r="290" ht="15.75" customHeight="1">
      <c r="A290" s="7"/>
      <c r="B290" s="58"/>
      <c r="C290" s="7"/>
      <c r="D290" s="59"/>
      <c r="E290" s="59"/>
      <c r="F290" s="59"/>
      <c r="G290" s="7"/>
      <c r="H290" s="7"/>
      <c r="I290" s="7"/>
      <c r="J290" s="60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</row>
    <row r="291" ht="15.75" customHeight="1">
      <c r="A291" s="7"/>
      <c r="B291" s="58"/>
      <c r="C291" s="7"/>
      <c r="D291" s="59"/>
      <c r="E291" s="59"/>
      <c r="F291" s="59"/>
      <c r="G291" s="7"/>
      <c r="H291" s="7"/>
      <c r="I291" s="7"/>
      <c r="J291" s="60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</row>
    <row r="292" ht="15.75" customHeight="1">
      <c r="A292" s="7"/>
      <c r="B292" s="58"/>
      <c r="C292" s="7"/>
      <c r="D292" s="59"/>
      <c r="E292" s="59"/>
      <c r="F292" s="59"/>
      <c r="G292" s="7"/>
      <c r="H292" s="7"/>
      <c r="I292" s="7"/>
      <c r="J292" s="60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</row>
    <row r="293" ht="15.75" customHeight="1">
      <c r="A293" s="7"/>
      <c r="B293" s="58"/>
      <c r="C293" s="7"/>
      <c r="D293" s="59"/>
      <c r="E293" s="59"/>
      <c r="F293" s="59"/>
      <c r="G293" s="7"/>
      <c r="H293" s="7"/>
      <c r="I293" s="7"/>
      <c r="J293" s="60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</row>
    <row r="294" ht="15.75" customHeight="1">
      <c r="A294" s="7"/>
      <c r="B294" s="58"/>
      <c r="C294" s="7"/>
      <c r="D294" s="59"/>
      <c r="E294" s="59"/>
      <c r="F294" s="59"/>
      <c r="G294" s="7"/>
      <c r="H294" s="7"/>
      <c r="I294" s="7"/>
      <c r="J294" s="60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</row>
    <row r="295" ht="15.75" customHeight="1">
      <c r="A295" s="7"/>
      <c r="B295" s="58"/>
      <c r="C295" s="7"/>
      <c r="D295" s="59"/>
      <c r="E295" s="59"/>
      <c r="F295" s="59"/>
      <c r="G295" s="7"/>
      <c r="H295" s="7"/>
      <c r="I295" s="7"/>
      <c r="J295" s="60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</row>
    <row r="296" ht="15.75" customHeight="1">
      <c r="A296" s="7"/>
      <c r="B296" s="58"/>
      <c r="C296" s="7"/>
      <c r="D296" s="59"/>
      <c r="E296" s="59"/>
      <c r="F296" s="59"/>
      <c r="G296" s="7"/>
      <c r="H296" s="7"/>
      <c r="I296" s="7"/>
      <c r="J296" s="60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</row>
    <row r="297" ht="15.75" customHeight="1">
      <c r="A297" s="7"/>
      <c r="B297" s="58"/>
      <c r="C297" s="7"/>
      <c r="D297" s="59"/>
      <c r="E297" s="59"/>
      <c r="F297" s="59"/>
      <c r="G297" s="7"/>
      <c r="H297" s="7"/>
      <c r="I297" s="7"/>
      <c r="J297" s="60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</row>
    <row r="298" ht="15.75" customHeight="1">
      <c r="A298" s="7"/>
      <c r="B298" s="58"/>
      <c r="C298" s="7"/>
      <c r="D298" s="59"/>
      <c r="E298" s="59"/>
      <c r="F298" s="59"/>
      <c r="G298" s="7"/>
      <c r="H298" s="7"/>
      <c r="I298" s="7"/>
      <c r="J298" s="60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</row>
    <row r="299" ht="15.75" customHeight="1">
      <c r="A299" s="7"/>
      <c r="B299" s="58"/>
      <c r="C299" s="7"/>
      <c r="D299" s="59"/>
      <c r="E299" s="59"/>
      <c r="F299" s="59"/>
      <c r="G299" s="7"/>
      <c r="H299" s="7"/>
      <c r="I299" s="7"/>
      <c r="J299" s="60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</row>
    <row r="300" ht="15.75" customHeight="1">
      <c r="A300" s="7"/>
      <c r="B300" s="58"/>
      <c r="C300" s="7"/>
      <c r="D300" s="59"/>
      <c r="E300" s="59"/>
      <c r="F300" s="59"/>
      <c r="G300" s="7"/>
      <c r="H300" s="7"/>
      <c r="I300" s="7"/>
      <c r="J300" s="60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</row>
    <row r="301" ht="15.75" customHeight="1">
      <c r="A301" s="7"/>
      <c r="B301" s="58"/>
      <c r="C301" s="7"/>
      <c r="D301" s="59"/>
      <c r="E301" s="59"/>
      <c r="F301" s="59"/>
      <c r="G301" s="7"/>
      <c r="H301" s="7"/>
      <c r="I301" s="7"/>
      <c r="J301" s="60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</row>
    <row r="302" ht="15.75" customHeight="1">
      <c r="A302" s="7"/>
      <c r="B302" s="58"/>
      <c r="C302" s="7"/>
      <c r="D302" s="59"/>
      <c r="E302" s="59"/>
      <c r="F302" s="59"/>
      <c r="G302" s="7"/>
      <c r="H302" s="7"/>
      <c r="I302" s="7"/>
      <c r="J302" s="60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</row>
    <row r="303" ht="15.75" customHeight="1">
      <c r="A303" s="7"/>
      <c r="B303" s="58"/>
      <c r="C303" s="7"/>
      <c r="D303" s="59"/>
      <c r="E303" s="59"/>
      <c r="F303" s="59"/>
      <c r="G303" s="7"/>
      <c r="H303" s="7"/>
      <c r="I303" s="7"/>
      <c r="J303" s="60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</row>
    <row r="304" ht="15.75" customHeight="1">
      <c r="A304" s="7"/>
      <c r="B304" s="58"/>
      <c r="C304" s="7"/>
      <c r="D304" s="59"/>
      <c r="E304" s="59"/>
      <c r="F304" s="59"/>
      <c r="G304" s="7"/>
      <c r="H304" s="7"/>
      <c r="I304" s="7"/>
      <c r="J304" s="60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</row>
    <row r="305" ht="15.75" customHeight="1">
      <c r="A305" s="7"/>
      <c r="B305" s="58"/>
      <c r="C305" s="7"/>
      <c r="D305" s="59"/>
      <c r="E305" s="59"/>
      <c r="F305" s="59"/>
      <c r="G305" s="7"/>
      <c r="H305" s="7"/>
      <c r="I305" s="7"/>
      <c r="J305" s="60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</row>
    <row r="306" ht="15.75" customHeight="1">
      <c r="A306" s="7"/>
      <c r="B306" s="58"/>
      <c r="C306" s="7"/>
      <c r="D306" s="59"/>
      <c r="E306" s="59"/>
      <c r="F306" s="59"/>
      <c r="G306" s="7"/>
      <c r="H306" s="7"/>
      <c r="I306" s="7"/>
      <c r="J306" s="60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</row>
    <row r="307" ht="15.75" customHeight="1">
      <c r="A307" s="7"/>
      <c r="B307" s="58"/>
      <c r="C307" s="7"/>
      <c r="D307" s="59"/>
      <c r="E307" s="59"/>
      <c r="F307" s="59"/>
      <c r="G307" s="7"/>
      <c r="H307" s="7"/>
      <c r="I307" s="7"/>
      <c r="J307" s="60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</row>
    <row r="308" ht="15.75" customHeight="1">
      <c r="A308" s="7"/>
      <c r="B308" s="58"/>
      <c r="C308" s="7"/>
      <c r="D308" s="59"/>
      <c r="E308" s="59"/>
      <c r="F308" s="59"/>
      <c r="G308" s="7"/>
      <c r="H308" s="7"/>
      <c r="I308" s="7"/>
      <c r="J308" s="60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</row>
    <row r="309" ht="15.75" customHeight="1">
      <c r="A309" s="7"/>
      <c r="B309" s="58"/>
      <c r="C309" s="7"/>
      <c r="D309" s="59"/>
      <c r="E309" s="59"/>
      <c r="F309" s="59"/>
      <c r="G309" s="7"/>
      <c r="H309" s="7"/>
      <c r="I309" s="7"/>
      <c r="J309" s="60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</row>
    <row r="310" ht="15.75" customHeight="1">
      <c r="A310" s="7"/>
      <c r="B310" s="58"/>
      <c r="C310" s="7"/>
      <c r="D310" s="59"/>
      <c r="E310" s="59"/>
      <c r="F310" s="59"/>
      <c r="G310" s="7"/>
      <c r="H310" s="7"/>
      <c r="I310" s="7"/>
      <c r="J310" s="60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</row>
    <row r="311" ht="15.75" customHeight="1">
      <c r="A311" s="7"/>
      <c r="B311" s="58"/>
      <c r="C311" s="7"/>
      <c r="D311" s="59"/>
      <c r="E311" s="59"/>
      <c r="F311" s="59"/>
      <c r="G311" s="7"/>
      <c r="H311" s="7"/>
      <c r="I311" s="7"/>
      <c r="J311" s="60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</row>
    <row r="312" ht="15.75" customHeight="1">
      <c r="A312" s="7"/>
      <c r="B312" s="58"/>
      <c r="C312" s="7"/>
      <c r="D312" s="59"/>
      <c r="E312" s="59"/>
      <c r="F312" s="59"/>
      <c r="G312" s="7"/>
      <c r="H312" s="7"/>
      <c r="I312" s="7"/>
      <c r="J312" s="60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</row>
    <row r="313" ht="15.75" customHeight="1">
      <c r="A313" s="7"/>
      <c r="B313" s="58"/>
      <c r="C313" s="7"/>
      <c r="D313" s="59"/>
      <c r="E313" s="59"/>
      <c r="F313" s="59"/>
      <c r="G313" s="7"/>
      <c r="H313" s="7"/>
      <c r="I313" s="7"/>
      <c r="J313" s="60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</row>
    <row r="314" ht="15.75" customHeight="1">
      <c r="A314" s="7"/>
      <c r="B314" s="58"/>
      <c r="C314" s="7"/>
      <c r="D314" s="59"/>
      <c r="E314" s="59"/>
      <c r="F314" s="59"/>
      <c r="G314" s="7"/>
      <c r="H314" s="7"/>
      <c r="I314" s="7"/>
      <c r="J314" s="60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</row>
    <row r="315" ht="15.75" customHeight="1">
      <c r="A315" s="7"/>
      <c r="B315" s="58"/>
      <c r="C315" s="7"/>
      <c r="D315" s="59"/>
      <c r="E315" s="59"/>
      <c r="F315" s="59"/>
      <c r="G315" s="7"/>
      <c r="H315" s="7"/>
      <c r="I315" s="7"/>
      <c r="J315" s="60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</row>
    <row r="316" ht="15.75" customHeight="1">
      <c r="A316" s="7"/>
      <c r="B316" s="58"/>
      <c r="C316" s="7"/>
      <c r="D316" s="59"/>
      <c r="E316" s="59"/>
      <c r="F316" s="59"/>
      <c r="G316" s="7"/>
      <c r="H316" s="7"/>
      <c r="I316" s="7"/>
      <c r="J316" s="60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</row>
    <row r="317" ht="15.75" customHeight="1">
      <c r="A317" s="7"/>
      <c r="B317" s="58"/>
      <c r="C317" s="7"/>
      <c r="D317" s="59"/>
      <c r="E317" s="59"/>
      <c r="F317" s="59"/>
      <c r="G317" s="7"/>
      <c r="H317" s="7"/>
      <c r="I317" s="7"/>
      <c r="J317" s="60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</row>
    <row r="318" ht="15.75" customHeight="1">
      <c r="A318" s="7"/>
      <c r="B318" s="58"/>
      <c r="C318" s="7"/>
      <c r="D318" s="59"/>
      <c r="E318" s="59"/>
      <c r="F318" s="59"/>
      <c r="G318" s="7"/>
      <c r="H318" s="7"/>
      <c r="I318" s="7"/>
      <c r="J318" s="60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</row>
    <row r="319" ht="15.75" customHeight="1">
      <c r="A319" s="7"/>
      <c r="B319" s="58"/>
      <c r="C319" s="7"/>
      <c r="D319" s="59"/>
      <c r="E319" s="59"/>
      <c r="F319" s="59"/>
      <c r="G319" s="7"/>
      <c r="H319" s="7"/>
      <c r="I319" s="7"/>
      <c r="J319" s="60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</row>
    <row r="320" ht="15.75" customHeight="1">
      <c r="A320" s="7"/>
      <c r="B320" s="58"/>
      <c r="C320" s="7"/>
      <c r="D320" s="59"/>
      <c r="E320" s="59"/>
      <c r="F320" s="59"/>
      <c r="G320" s="7"/>
      <c r="H320" s="7"/>
      <c r="I320" s="7"/>
      <c r="J320" s="60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</row>
    <row r="321" ht="15.75" customHeight="1">
      <c r="A321" s="7"/>
      <c r="B321" s="58"/>
      <c r="C321" s="7"/>
      <c r="D321" s="59"/>
      <c r="E321" s="59"/>
      <c r="F321" s="59"/>
      <c r="G321" s="7"/>
      <c r="H321" s="7"/>
      <c r="I321" s="7"/>
      <c r="J321" s="60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</row>
    <row r="322" ht="15.75" customHeight="1">
      <c r="A322" s="7"/>
      <c r="B322" s="58"/>
      <c r="C322" s="7"/>
      <c r="D322" s="59"/>
      <c r="E322" s="59"/>
      <c r="F322" s="59"/>
      <c r="G322" s="7"/>
      <c r="H322" s="7"/>
      <c r="I322" s="7"/>
      <c r="J322" s="60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</row>
    <row r="323" ht="15.75" customHeight="1">
      <c r="A323" s="7"/>
      <c r="B323" s="58"/>
      <c r="C323" s="7"/>
      <c r="D323" s="59"/>
      <c r="E323" s="59"/>
      <c r="F323" s="59"/>
      <c r="G323" s="7"/>
      <c r="H323" s="7"/>
      <c r="I323" s="7"/>
      <c r="J323" s="60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</row>
    <row r="324" ht="15.75" customHeight="1">
      <c r="A324" s="7"/>
      <c r="B324" s="58"/>
      <c r="C324" s="7"/>
      <c r="D324" s="59"/>
      <c r="E324" s="59"/>
      <c r="F324" s="59"/>
      <c r="G324" s="7"/>
      <c r="H324" s="7"/>
      <c r="I324" s="7"/>
      <c r="J324" s="60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</row>
    <row r="325" ht="15.75" customHeight="1">
      <c r="A325" s="7"/>
      <c r="B325" s="58"/>
      <c r="C325" s="7"/>
      <c r="D325" s="59"/>
      <c r="E325" s="59"/>
      <c r="F325" s="59"/>
      <c r="G325" s="7"/>
      <c r="H325" s="7"/>
      <c r="I325" s="7"/>
      <c r="J325" s="60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</row>
    <row r="326" ht="15.75" customHeight="1">
      <c r="A326" s="7"/>
      <c r="B326" s="58"/>
      <c r="C326" s="7"/>
      <c r="D326" s="59"/>
      <c r="E326" s="59"/>
      <c r="F326" s="59"/>
      <c r="G326" s="7"/>
      <c r="H326" s="7"/>
      <c r="I326" s="7"/>
      <c r="J326" s="60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</row>
    <row r="327" ht="15.75" customHeight="1">
      <c r="A327" s="7"/>
      <c r="B327" s="58"/>
      <c r="C327" s="7"/>
      <c r="D327" s="59"/>
      <c r="E327" s="59"/>
      <c r="F327" s="59"/>
      <c r="G327" s="7"/>
      <c r="H327" s="7"/>
      <c r="I327" s="7"/>
      <c r="J327" s="60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</row>
    <row r="328" ht="15.75" customHeight="1">
      <c r="A328" s="7"/>
      <c r="B328" s="58"/>
      <c r="C328" s="7"/>
      <c r="D328" s="59"/>
      <c r="E328" s="59"/>
      <c r="F328" s="59"/>
      <c r="G328" s="7"/>
      <c r="H328" s="7"/>
      <c r="I328" s="7"/>
      <c r="J328" s="60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</row>
    <row r="329" ht="15.75" customHeight="1">
      <c r="A329" s="7"/>
      <c r="B329" s="58"/>
      <c r="C329" s="7"/>
      <c r="D329" s="59"/>
      <c r="E329" s="59"/>
      <c r="F329" s="59"/>
      <c r="G329" s="7"/>
      <c r="H329" s="7"/>
      <c r="I329" s="7"/>
      <c r="J329" s="60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</row>
    <row r="330" ht="15.75" customHeight="1">
      <c r="A330" s="7"/>
      <c r="B330" s="58"/>
      <c r="C330" s="7"/>
      <c r="D330" s="59"/>
      <c r="E330" s="59"/>
      <c r="F330" s="59"/>
      <c r="G330" s="7"/>
      <c r="H330" s="7"/>
      <c r="I330" s="7"/>
      <c r="J330" s="60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</row>
    <row r="331" ht="15.75" customHeight="1">
      <c r="A331" s="7"/>
      <c r="B331" s="58"/>
      <c r="C331" s="7"/>
      <c r="D331" s="59"/>
      <c r="E331" s="59"/>
      <c r="F331" s="59"/>
      <c r="G331" s="7"/>
      <c r="H331" s="7"/>
      <c r="I331" s="7"/>
      <c r="J331" s="60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</row>
    <row r="332" ht="15.75" customHeight="1">
      <c r="A332" s="7"/>
      <c r="B332" s="58"/>
      <c r="C332" s="7"/>
      <c r="D332" s="59"/>
      <c r="E332" s="59"/>
      <c r="F332" s="59"/>
      <c r="G332" s="7"/>
      <c r="H332" s="7"/>
      <c r="I332" s="7"/>
      <c r="J332" s="60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</row>
    <row r="333" ht="15.75" customHeight="1">
      <c r="A333" s="7"/>
      <c r="B333" s="58"/>
      <c r="C333" s="7"/>
      <c r="D333" s="59"/>
      <c r="E333" s="59"/>
      <c r="F333" s="59"/>
      <c r="G333" s="7"/>
      <c r="H333" s="7"/>
      <c r="I333" s="7"/>
      <c r="J333" s="60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</row>
    <row r="334" ht="15.75" customHeight="1">
      <c r="A334" s="7"/>
      <c r="B334" s="58"/>
      <c r="C334" s="7"/>
      <c r="D334" s="59"/>
      <c r="E334" s="59"/>
      <c r="F334" s="59"/>
      <c r="G334" s="7"/>
      <c r="H334" s="7"/>
      <c r="I334" s="7"/>
      <c r="J334" s="60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</row>
    <row r="335" ht="15.75" customHeight="1">
      <c r="A335" s="7"/>
      <c r="B335" s="58"/>
      <c r="C335" s="7"/>
      <c r="D335" s="59"/>
      <c r="E335" s="59"/>
      <c r="F335" s="59"/>
      <c r="G335" s="7"/>
      <c r="H335" s="7"/>
      <c r="I335" s="7"/>
      <c r="J335" s="60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</row>
    <row r="336" ht="15.75" customHeight="1">
      <c r="A336" s="7"/>
      <c r="B336" s="58"/>
      <c r="C336" s="7"/>
      <c r="D336" s="59"/>
      <c r="E336" s="59"/>
      <c r="F336" s="59"/>
      <c r="G336" s="7"/>
      <c r="H336" s="7"/>
      <c r="I336" s="7"/>
      <c r="J336" s="60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</row>
    <row r="337" ht="15.75" customHeight="1">
      <c r="A337" s="7"/>
      <c r="B337" s="58"/>
      <c r="C337" s="7"/>
      <c r="D337" s="59"/>
      <c r="E337" s="59"/>
      <c r="F337" s="59"/>
      <c r="G337" s="7"/>
      <c r="H337" s="7"/>
      <c r="I337" s="7"/>
      <c r="J337" s="60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</row>
    <row r="338" ht="15.75" customHeight="1">
      <c r="A338" s="7"/>
      <c r="B338" s="58"/>
      <c r="C338" s="7"/>
      <c r="D338" s="59"/>
      <c r="E338" s="59"/>
      <c r="F338" s="59"/>
      <c r="G338" s="7"/>
      <c r="H338" s="7"/>
      <c r="I338" s="7"/>
      <c r="J338" s="60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</row>
    <row r="339" ht="15.75" customHeight="1">
      <c r="A339" s="7"/>
      <c r="B339" s="58"/>
      <c r="C339" s="7"/>
      <c r="D339" s="59"/>
      <c r="E339" s="59"/>
      <c r="F339" s="59"/>
      <c r="G339" s="7"/>
      <c r="H339" s="7"/>
      <c r="I339" s="7"/>
      <c r="J339" s="60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</row>
    <row r="340" ht="15.75" customHeight="1">
      <c r="A340" s="7"/>
      <c r="B340" s="58"/>
      <c r="C340" s="7"/>
      <c r="D340" s="59"/>
      <c r="E340" s="59"/>
      <c r="F340" s="59"/>
      <c r="G340" s="7"/>
      <c r="H340" s="7"/>
      <c r="I340" s="7"/>
      <c r="J340" s="60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</row>
    <row r="341" ht="15.75" customHeight="1">
      <c r="A341" s="7"/>
      <c r="B341" s="58"/>
      <c r="C341" s="7"/>
      <c r="D341" s="59"/>
      <c r="E341" s="59"/>
      <c r="F341" s="59"/>
      <c r="G341" s="7"/>
      <c r="H341" s="7"/>
      <c r="I341" s="7"/>
      <c r="J341" s="60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</row>
    <row r="342" ht="15.75" customHeight="1">
      <c r="A342" s="7"/>
      <c r="B342" s="58"/>
      <c r="C342" s="7"/>
      <c r="D342" s="59"/>
      <c r="E342" s="59"/>
      <c r="F342" s="59"/>
      <c r="G342" s="7"/>
      <c r="H342" s="7"/>
      <c r="I342" s="7"/>
      <c r="J342" s="60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</row>
    <row r="343" ht="15.75" customHeight="1">
      <c r="A343" s="7"/>
      <c r="B343" s="58"/>
      <c r="C343" s="7"/>
      <c r="D343" s="59"/>
      <c r="E343" s="59"/>
      <c r="F343" s="59"/>
      <c r="G343" s="7"/>
      <c r="H343" s="7"/>
      <c r="I343" s="7"/>
      <c r="J343" s="60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</row>
    <row r="344" ht="15.75" customHeight="1">
      <c r="A344" s="7"/>
      <c r="B344" s="58"/>
      <c r="C344" s="7"/>
      <c r="D344" s="59"/>
      <c r="E344" s="59"/>
      <c r="F344" s="59"/>
      <c r="G344" s="7"/>
      <c r="H344" s="7"/>
      <c r="I344" s="7"/>
      <c r="J344" s="60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</row>
    <row r="345" ht="15.75" customHeight="1">
      <c r="A345" s="7"/>
      <c r="B345" s="58"/>
      <c r="C345" s="7"/>
      <c r="D345" s="59"/>
      <c r="E345" s="59"/>
      <c r="F345" s="59"/>
      <c r="G345" s="7"/>
      <c r="H345" s="7"/>
      <c r="I345" s="7"/>
      <c r="J345" s="60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</row>
    <row r="346" ht="15.75" customHeight="1">
      <c r="A346" s="7"/>
      <c r="B346" s="58"/>
      <c r="C346" s="7"/>
      <c r="D346" s="59"/>
      <c r="E346" s="59"/>
      <c r="F346" s="59"/>
      <c r="G346" s="7"/>
      <c r="H346" s="7"/>
      <c r="I346" s="7"/>
      <c r="J346" s="60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</row>
    <row r="347" ht="15.75" customHeight="1">
      <c r="A347" s="7"/>
      <c r="B347" s="58"/>
      <c r="C347" s="7"/>
      <c r="D347" s="59"/>
      <c r="E347" s="59"/>
      <c r="F347" s="59"/>
      <c r="G347" s="7"/>
      <c r="H347" s="7"/>
      <c r="I347" s="7"/>
      <c r="J347" s="60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</row>
    <row r="348" ht="15.75" customHeight="1">
      <c r="A348" s="7"/>
      <c r="B348" s="58"/>
      <c r="C348" s="7"/>
      <c r="D348" s="59"/>
      <c r="E348" s="59"/>
      <c r="F348" s="59"/>
      <c r="G348" s="7"/>
      <c r="H348" s="7"/>
      <c r="I348" s="7"/>
      <c r="J348" s="60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</row>
    <row r="349" ht="15.75" customHeight="1">
      <c r="A349" s="7"/>
      <c r="B349" s="58"/>
      <c r="C349" s="7"/>
      <c r="D349" s="59"/>
      <c r="E349" s="59"/>
      <c r="F349" s="59"/>
      <c r="G349" s="7"/>
      <c r="H349" s="7"/>
      <c r="I349" s="7"/>
      <c r="J349" s="60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</row>
    <row r="350" ht="15.75" customHeight="1">
      <c r="A350" s="7"/>
      <c r="B350" s="58"/>
      <c r="C350" s="7"/>
      <c r="D350" s="59"/>
      <c r="E350" s="59"/>
      <c r="F350" s="59"/>
      <c r="G350" s="7"/>
      <c r="H350" s="7"/>
      <c r="I350" s="7"/>
      <c r="J350" s="60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</row>
    <row r="351" ht="15.75" customHeight="1">
      <c r="A351" s="7"/>
      <c r="B351" s="58"/>
      <c r="C351" s="7"/>
      <c r="D351" s="59"/>
      <c r="E351" s="59"/>
      <c r="F351" s="59"/>
      <c r="G351" s="7"/>
      <c r="H351" s="7"/>
      <c r="I351" s="7"/>
      <c r="J351" s="60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</row>
    <row r="352" ht="15.75" customHeight="1">
      <c r="A352" s="7"/>
      <c r="B352" s="58"/>
      <c r="C352" s="7"/>
      <c r="D352" s="59"/>
      <c r="E352" s="59"/>
      <c r="F352" s="59"/>
      <c r="G352" s="7"/>
      <c r="H352" s="7"/>
      <c r="I352" s="7"/>
      <c r="J352" s="60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</row>
    <row r="353" ht="15.75" customHeight="1">
      <c r="A353" s="7"/>
      <c r="B353" s="58"/>
      <c r="C353" s="7"/>
      <c r="D353" s="59"/>
      <c r="E353" s="59"/>
      <c r="F353" s="59"/>
      <c r="G353" s="7"/>
      <c r="H353" s="7"/>
      <c r="I353" s="7"/>
      <c r="J353" s="60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</row>
    <row r="354" ht="15.75" customHeight="1">
      <c r="A354" s="7"/>
      <c r="B354" s="58"/>
      <c r="C354" s="7"/>
      <c r="D354" s="59"/>
      <c r="E354" s="59"/>
      <c r="F354" s="59"/>
      <c r="G354" s="7"/>
      <c r="H354" s="7"/>
      <c r="I354" s="7"/>
      <c r="J354" s="60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</row>
    <row r="355" ht="15.75" customHeight="1">
      <c r="A355" s="7"/>
      <c r="B355" s="58"/>
      <c r="C355" s="7"/>
      <c r="D355" s="59"/>
      <c r="E355" s="59"/>
      <c r="F355" s="59"/>
      <c r="G355" s="7"/>
      <c r="H355" s="7"/>
      <c r="I355" s="7"/>
      <c r="J355" s="60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</row>
    <row r="356" ht="15.75" customHeight="1">
      <c r="A356" s="7"/>
      <c r="B356" s="58"/>
      <c r="C356" s="7"/>
      <c r="D356" s="59"/>
      <c r="E356" s="59"/>
      <c r="F356" s="59"/>
      <c r="G356" s="7"/>
      <c r="H356" s="7"/>
      <c r="I356" s="7"/>
      <c r="J356" s="60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</row>
    <row r="357" ht="15.75" customHeight="1">
      <c r="A357" s="7"/>
      <c r="B357" s="58"/>
      <c r="C357" s="7"/>
      <c r="D357" s="59"/>
      <c r="E357" s="59"/>
      <c r="F357" s="59"/>
      <c r="G357" s="7"/>
      <c r="H357" s="7"/>
      <c r="I357" s="7"/>
      <c r="J357" s="60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</row>
    <row r="358" ht="15.75" customHeight="1">
      <c r="A358" s="7"/>
      <c r="B358" s="58"/>
      <c r="C358" s="7"/>
      <c r="D358" s="59"/>
      <c r="E358" s="59"/>
      <c r="F358" s="59"/>
      <c r="G358" s="7"/>
      <c r="H358" s="7"/>
      <c r="I358" s="7"/>
      <c r="J358" s="60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</row>
    <row r="359" ht="15.75" customHeight="1">
      <c r="A359" s="7"/>
      <c r="B359" s="58"/>
      <c r="C359" s="7"/>
      <c r="D359" s="59"/>
      <c r="E359" s="59"/>
      <c r="F359" s="59"/>
      <c r="G359" s="7"/>
      <c r="H359" s="7"/>
      <c r="I359" s="7"/>
      <c r="J359" s="60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</row>
    <row r="360" ht="15.75" customHeight="1">
      <c r="A360" s="7"/>
      <c r="B360" s="58"/>
      <c r="C360" s="7"/>
      <c r="D360" s="59"/>
      <c r="E360" s="59"/>
      <c r="F360" s="59"/>
      <c r="G360" s="7"/>
      <c r="H360" s="7"/>
      <c r="I360" s="7"/>
      <c r="J360" s="60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</row>
    <row r="361" ht="15.75" customHeight="1">
      <c r="A361" s="7"/>
      <c r="B361" s="58"/>
      <c r="C361" s="7"/>
      <c r="D361" s="59"/>
      <c r="E361" s="59"/>
      <c r="F361" s="59"/>
      <c r="G361" s="7"/>
      <c r="H361" s="7"/>
      <c r="I361" s="7"/>
      <c r="J361" s="60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</row>
    <row r="362" ht="15.75" customHeight="1">
      <c r="A362" s="7"/>
      <c r="B362" s="58"/>
      <c r="C362" s="7"/>
      <c r="D362" s="59"/>
      <c r="E362" s="59"/>
      <c r="F362" s="59"/>
      <c r="G362" s="7"/>
      <c r="H362" s="7"/>
      <c r="I362" s="7"/>
      <c r="J362" s="60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</row>
    <row r="363" ht="15.75" customHeight="1">
      <c r="A363" s="7"/>
      <c r="B363" s="58"/>
      <c r="C363" s="7"/>
      <c r="D363" s="59"/>
      <c r="E363" s="59"/>
      <c r="F363" s="59"/>
      <c r="G363" s="7"/>
      <c r="H363" s="7"/>
      <c r="I363" s="7"/>
      <c r="J363" s="60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</row>
    <row r="364" ht="15.75" customHeight="1">
      <c r="A364" s="7"/>
      <c r="B364" s="58"/>
      <c r="C364" s="7"/>
      <c r="D364" s="59"/>
      <c r="E364" s="59"/>
      <c r="F364" s="59"/>
      <c r="G364" s="7"/>
      <c r="H364" s="7"/>
      <c r="I364" s="7"/>
      <c r="J364" s="60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</row>
    <row r="365" ht="15.75" customHeight="1">
      <c r="A365" s="7"/>
      <c r="B365" s="58"/>
      <c r="C365" s="7"/>
      <c r="D365" s="59"/>
      <c r="E365" s="59"/>
      <c r="F365" s="59"/>
      <c r="G365" s="7"/>
      <c r="H365" s="7"/>
      <c r="I365" s="7"/>
      <c r="J365" s="60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</row>
    <row r="366" ht="15.75" customHeight="1">
      <c r="A366" s="7"/>
      <c r="B366" s="58"/>
      <c r="C366" s="7"/>
      <c r="D366" s="59"/>
      <c r="E366" s="59"/>
      <c r="F366" s="59"/>
      <c r="G366" s="7"/>
      <c r="H366" s="7"/>
      <c r="I366" s="7"/>
      <c r="J366" s="60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</row>
    <row r="367" ht="15.75" customHeight="1">
      <c r="A367" s="7"/>
      <c r="B367" s="58"/>
      <c r="C367" s="7"/>
      <c r="D367" s="59"/>
      <c r="E367" s="59"/>
      <c r="F367" s="59"/>
      <c r="G367" s="7"/>
      <c r="H367" s="7"/>
      <c r="I367" s="7"/>
      <c r="J367" s="60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</row>
    <row r="368" ht="15.75" customHeight="1">
      <c r="A368" s="7"/>
      <c r="B368" s="58"/>
      <c r="C368" s="7"/>
      <c r="D368" s="59"/>
      <c r="E368" s="59"/>
      <c r="F368" s="59"/>
      <c r="G368" s="7"/>
      <c r="H368" s="7"/>
      <c r="I368" s="7"/>
      <c r="J368" s="60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</row>
    <row r="369" ht="15.75" customHeight="1">
      <c r="A369" s="7"/>
      <c r="B369" s="58"/>
      <c r="C369" s="7"/>
      <c r="D369" s="59"/>
      <c r="E369" s="59"/>
      <c r="F369" s="59"/>
      <c r="G369" s="7"/>
      <c r="H369" s="7"/>
      <c r="I369" s="7"/>
      <c r="J369" s="60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</row>
    <row r="370" ht="15.75" customHeight="1">
      <c r="A370" s="7"/>
      <c r="B370" s="58"/>
      <c r="C370" s="7"/>
      <c r="D370" s="59"/>
      <c r="E370" s="59"/>
      <c r="F370" s="59"/>
      <c r="G370" s="7"/>
      <c r="H370" s="7"/>
      <c r="I370" s="7"/>
      <c r="J370" s="60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</row>
    <row r="371" ht="15.75" customHeight="1">
      <c r="A371" s="7"/>
      <c r="B371" s="58"/>
      <c r="C371" s="7"/>
      <c r="D371" s="59"/>
      <c r="E371" s="59"/>
      <c r="F371" s="59"/>
      <c r="G371" s="7"/>
      <c r="H371" s="7"/>
      <c r="I371" s="7"/>
      <c r="J371" s="60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</row>
    <row r="372" ht="15.75" customHeight="1">
      <c r="A372" s="7"/>
      <c r="B372" s="58"/>
      <c r="C372" s="7"/>
      <c r="D372" s="59"/>
      <c r="E372" s="59"/>
      <c r="F372" s="59"/>
      <c r="G372" s="7"/>
      <c r="H372" s="7"/>
      <c r="I372" s="7"/>
      <c r="J372" s="60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</row>
    <row r="373" ht="15.75" customHeight="1">
      <c r="A373" s="7"/>
      <c r="B373" s="58"/>
      <c r="C373" s="7"/>
      <c r="D373" s="59"/>
      <c r="E373" s="59"/>
      <c r="F373" s="59"/>
      <c r="G373" s="7"/>
      <c r="H373" s="7"/>
      <c r="I373" s="7"/>
      <c r="J373" s="60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</row>
    <row r="374" ht="15.75" customHeight="1">
      <c r="A374" s="7"/>
      <c r="B374" s="58"/>
      <c r="C374" s="7"/>
      <c r="D374" s="59"/>
      <c r="E374" s="59"/>
      <c r="F374" s="59"/>
      <c r="G374" s="7"/>
      <c r="H374" s="7"/>
      <c r="I374" s="7"/>
      <c r="J374" s="60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</row>
    <row r="375" ht="15.75" customHeight="1">
      <c r="A375" s="7"/>
      <c r="B375" s="58"/>
      <c r="C375" s="7"/>
      <c r="D375" s="59"/>
      <c r="E375" s="59"/>
      <c r="F375" s="59"/>
      <c r="G375" s="7"/>
      <c r="H375" s="7"/>
      <c r="I375" s="7"/>
      <c r="J375" s="60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</row>
    <row r="376" ht="15.75" customHeight="1">
      <c r="A376" s="7"/>
      <c r="B376" s="58"/>
      <c r="C376" s="7"/>
      <c r="D376" s="59"/>
      <c r="E376" s="59"/>
      <c r="F376" s="59"/>
      <c r="G376" s="7"/>
      <c r="H376" s="7"/>
      <c r="I376" s="7"/>
      <c r="J376" s="60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</row>
    <row r="377" ht="15.75" customHeight="1">
      <c r="A377" s="7"/>
      <c r="B377" s="58"/>
      <c r="C377" s="7"/>
      <c r="D377" s="59"/>
      <c r="E377" s="59"/>
      <c r="F377" s="59"/>
      <c r="G377" s="7"/>
      <c r="H377" s="7"/>
      <c r="I377" s="7"/>
      <c r="J377" s="60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</row>
    <row r="378" ht="15.75" customHeight="1">
      <c r="A378" s="7"/>
      <c r="B378" s="58"/>
      <c r="C378" s="7"/>
      <c r="D378" s="59"/>
      <c r="E378" s="59"/>
      <c r="F378" s="59"/>
      <c r="G378" s="7"/>
      <c r="H378" s="7"/>
      <c r="I378" s="7"/>
      <c r="J378" s="60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</row>
    <row r="379" ht="15.75" customHeight="1">
      <c r="A379" s="7"/>
      <c r="B379" s="58"/>
      <c r="C379" s="7"/>
      <c r="D379" s="59"/>
      <c r="E379" s="59"/>
      <c r="F379" s="59"/>
      <c r="G379" s="7"/>
      <c r="H379" s="7"/>
      <c r="I379" s="7"/>
      <c r="J379" s="60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</row>
    <row r="380" ht="15.75" customHeight="1">
      <c r="A380" s="7"/>
      <c r="B380" s="58"/>
      <c r="C380" s="7"/>
      <c r="D380" s="59"/>
      <c r="E380" s="59"/>
      <c r="F380" s="59"/>
      <c r="G380" s="7"/>
      <c r="H380" s="7"/>
      <c r="I380" s="7"/>
      <c r="J380" s="60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</row>
    <row r="381" ht="15.75" customHeight="1">
      <c r="A381" s="7"/>
      <c r="B381" s="58"/>
      <c r="C381" s="7"/>
      <c r="D381" s="59"/>
      <c r="E381" s="59"/>
      <c r="F381" s="59"/>
      <c r="G381" s="7"/>
      <c r="H381" s="7"/>
      <c r="I381" s="7"/>
      <c r="J381" s="60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</row>
    <row r="382" ht="15.75" customHeight="1">
      <c r="A382" s="7"/>
      <c r="B382" s="58"/>
      <c r="C382" s="7"/>
      <c r="D382" s="59"/>
      <c r="E382" s="59"/>
      <c r="F382" s="59"/>
      <c r="G382" s="7"/>
      <c r="H382" s="7"/>
      <c r="I382" s="7"/>
      <c r="J382" s="60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</row>
    <row r="383" ht="15.75" customHeight="1">
      <c r="A383" s="7"/>
      <c r="B383" s="58"/>
      <c r="C383" s="7"/>
      <c r="D383" s="59"/>
      <c r="E383" s="59"/>
      <c r="F383" s="59"/>
      <c r="G383" s="7"/>
      <c r="H383" s="7"/>
      <c r="I383" s="7"/>
      <c r="J383" s="60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</row>
    <row r="384" ht="15.75" customHeight="1">
      <c r="A384" s="7"/>
      <c r="B384" s="58"/>
      <c r="C384" s="7"/>
      <c r="D384" s="59"/>
      <c r="E384" s="59"/>
      <c r="F384" s="59"/>
      <c r="G384" s="7"/>
      <c r="H384" s="7"/>
      <c r="I384" s="7"/>
      <c r="J384" s="60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</row>
    <row r="385" ht="15.75" customHeight="1">
      <c r="A385" s="7"/>
      <c r="B385" s="58"/>
      <c r="C385" s="7"/>
      <c r="D385" s="59"/>
      <c r="E385" s="59"/>
      <c r="F385" s="59"/>
      <c r="G385" s="7"/>
      <c r="H385" s="7"/>
      <c r="I385" s="7"/>
      <c r="J385" s="60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</row>
    <row r="386" ht="15.75" customHeight="1">
      <c r="A386" s="7"/>
      <c r="B386" s="58"/>
      <c r="C386" s="7"/>
      <c r="D386" s="59"/>
      <c r="E386" s="59"/>
      <c r="F386" s="59"/>
      <c r="G386" s="7"/>
      <c r="H386" s="7"/>
      <c r="I386" s="7"/>
      <c r="J386" s="60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</row>
    <row r="387" ht="15.75" customHeight="1">
      <c r="A387" s="7"/>
      <c r="B387" s="58"/>
      <c r="C387" s="7"/>
      <c r="D387" s="59"/>
      <c r="E387" s="59"/>
      <c r="F387" s="59"/>
      <c r="G387" s="7"/>
      <c r="H387" s="7"/>
      <c r="I387" s="7"/>
      <c r="J387" s="60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</row>
    <row r="388" ht="15.75" customHeight="1">
      <c r="A388" s="7"/>
      <c r="B388" s="58"/>
      <c r="C388" s="7"/>
      <c r="D388" s="59"/>
      <c r="E388" s="59"/>
      <c r="F388" s="59"/>
      <c r="G388" s="7"/>
      <c r="H388" s="7"/>
      <c r="I388" s="7"/>
      <c r="J388" s="60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</row>
    <row r="389" ht="15.75" customHeight="1">
      <c r="A389" s="7"/>
      <c r="B389" s="58"/>
      <c r="C389" s="7"/>
      <c r="D389" s="59"/>
      <c r="E389" s="59"/>
      <c r="F389" s="59"/>
      <c r="G389" s="7"/>
      <c r="H389" s="7"/>
      <c r="I389" s="7"/>
      <c r="J389" s="60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</row>
    <row r="390" ht="15.75" customHeight="1">
      <c r="A390" s="7"/>
      <c r="B390" s="58"/>
      <c r="C390" s="7"/>
      <c r="D390" s="59"/>
      <c r="E390" s="59"/>
      <c r="F390" s="59"/>
      <c r="G390" s="7"/>
      <c r="H390" s="7"/>
      <c r="I390" s="7"/>
      <c r="J390" s="60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</row>
    <row r="391" ht="15.75" customHeight="1">
      <c r="A391" s="7"/>
      <c r="B391" s="58"/>
      <c r="C391" s="7"/>
      <c r="D391" s="59"/>
      <c r="E391" s="59"/>
      <c r="F391" s="59"/>
      <c r="G391" s="7"/>
      <c r="H391" s="7"/>
      <c r="I391" s="7"/>
      <c r="J391" s="60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</row>
    <row r="392" ht="15.75" customHeight="1">
      <c r="A392" s="7"/>
      <c r="B392" s="58"/>
      <c r="C392" s="7"/>
      <c r="D392" s="59"/>
      <c r="E392" s="59"/>
      <c r="F392" s="59"/>
      <c r="G392" s="7"/>
      <c r="H392" s="7"/>
      <c r="I392" s="7"/>
      <c r="J392" s="60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</row>
    <row r="393" ht="15.75" customHeight="1">
      <c r="A393" s="7"/>
      <c r="B393" s="58"/>
      <c r="C393" s="7"/>
      <c r="D393" s="59"/>
      <c r="E393" s="59"/>
      <c r="F393" s="59"/>
      <c r="G393" s="7"/>
      <c r="H393" s="7"/>
      <c r="I393" s="7"/>
      <c r="J393" s="60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</row>
    <row r="394" ht="15.75" customHeight="1">
      <c r="A394" s="7"/>
      <c r="B394" s="58"/>
      <c r="C394" s="7"/>
      <c r="D394" s="59"/>
      <c r="E394" s="59"/>
      <c r="F394" s="59"/>
      <c r="G394" s="7"/>
      <c r="H394" s="7"/>
      <c r="I394" s="7"/>
      <c r="J394" s="60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</row>
    <row r="395" ht="15.75" customHeight="1">
      <c r="A395" s="7"/>
      <c r="B395" s="58"/>
      <c r="C395" s="7"/>
      <c r="D395" s="59"/>
      <c r="E395" s="59"/>
      <c r="F395" s="59"/>
      <c r="G395" s="7"/>
      <c r="H395" s="7"/>
      <c r="I395" s="7"/>
      <c r="J395" s="60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</row>
    <row r="396" ht="15.75" customHeight="1">
      <c r="A396" s="7"/>
      <c r="B396" s="58"/>
      <c r="C396" s="7"/>
      <c r="D396" s="59"/>
      <c r="E396" s="59"/>
      <c r="F396" s="59"/>
      <c r="G396" s="7"/>
      <c r="H396" s="7"/>
      <c r="I396" s="7"/>
      <c r="J396" s="60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</row>
    <row r="397" ht="15.75" customHeight="1">
      <c r="A397" s="7"/>
      <c r="B397" s="58"/>
      <c r="C397" s="7"/>
      <c r="D397" s="59"/>
      <c r="E397" s="59"/>
      <c r="F397" s="59"/>
      <c r="G397" s="7"/>
      <c r="H397" s="7"/>
      <c r="I397" s="7"/>
      <c r="J397" s="60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</row>
    <row r="398" ht="15.75" customHeight="1">
      <c r="A398" s="7"/>
      <c r="B398" s="58"/>
      <c r="C398" s="7"/>
      <c r="D398" s="59"/>
      <c r="E398" s="59"/>
      <c r="F398" s="59"/>
      <c r="G398" s="7"/>
      <c r="H398" s="7"/>
      <c r="I398" s="7"/>
      <c r="J398" s="60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</row>
    <row r="399" ht="15.75" customHeight="1">
      <c r="A399" s="7"/>
      <c r="B399" s="58"/>
      <c r="C399" s="7"/>
      <c r="D399" s="59"/>
      <c r="E399" s="59"/>
      <c r="F399" s="59"/>
      <c r="G399" s="7"/>
      <c r="H399" s="7"/>
      <c r="I399" s="7"/>
      <c r="J399" s="60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</row>
    <row r="400" ht="15.75" customHeight="1">
      <c r="A400" s="7"/>
      <c r="B400" s="58"/>
      <c r="C400" s="7"/>
      <c r="D400" s="59"/>
      <c r="E400" s="59"/>
      <c r="F400" s="59"/>
      <c r="G400" s="7"/>
      <c r="H400" s="7"/>
      <c r="I400" s="7"/>
      <c r="J400" s="60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</row>
    <row r="401" ht="15.75" customHeight="1">
      <c r="A401" s="7"/>
      <c r="B401" s="58"/>
      <c r="C401" s="7"/>
      <c r="D401" s="59"/>
      <c r="E401" s="59"/>
      <c r="F401" s="59"/>
      <c r="G401" s="7"/>
      <c r="H401" s="7"/>
      <c r="I401" s="7"/>
      <c r="J401" s="60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</row>
    <row r="402" ht="15.75" customHeight="1">
      <c r="A402" s="7"/>
      <c r="B402" s="58"/>
      <c r="C402" s="7"/>
      <c r="D402" s="59"/>
      <c r="E402" s="59"/>
      <c r="F402" s="59"/>
      <c r="G402" s="7"/>
      <c r="H402" s="7"/>
      <c r="I402" s="7"/>
      <c r="J402" s="60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</row>
    <row r="403" ht="15.75" customHeight="1">
      <c r="A403" s="7"/>
      <c r="B403" s="58"/>
      <c r="C403" s="7"/>
      <c r="D403" s="59"/>
      <c r="E403" s="59"/>
      <c r="F403" s="59"/>
      <c r="G403" s="7"/>
      <c r="H403" s="7"/>
      <c r="I403" s="7"/>
      <c r="J403" s="60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</row>
    <row r="404" ht="15.75" customHeight="1">
      <c r="A404" s="7"/>
      <c r="B404" s="58"/>
      <c r="C404" s="7"/>
      <c r="D404" s="59"/>
      <c r="E404" s="59"/>
      <c r="F404" s="59"/>
      <c r="G404" s="7"/>
      <c r="H404" s="7"/>
      <c r="I404" s="7"/>
      <c r="J404" s="60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</row>
    <row r="405" ht="15.75" customHeight="1">
      <c r="A405" s="7"/>
      <c r="B405" s="58"/>
      <c r="C405" s="7"/>
      <c r="D405" s="59"/>
      <c r="E405" s="59"/>
      <c r="F405" s="59"/>
      <c r="G405" s="7"/>
      <c r="H405" s="7"/>
      <c r="I405" s="7"/>
      <c r="J405" s="60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</row>
    <row r="406" ht="15.75" customHeight="1">
      <c r="A406" s="7"/>
      <c r="B406" s="58"/>
      <c r="C406" s="7"/>
      <c r="D406" s="59"/>
      <c r="E406" s="59"/>
      <c r="F406" s="59"/>
      <c r="G406" s="7"/>
      <c r="H406" s="7"/>
      <c r="I406" s="7"/>
      <c r="J406" s="60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</row>
    <row r="407" ht="15.75" customHeight="1">
      <c r="A407" s="7"/>
      <c r="B407" s="58"/>
      <c r="C407" s="7"/>
      <c r="D407" s="59"/>
      <c r="E407" s="59"/>
      <c r="F407" s="59"/>
      <c r="G407" s="7"/>
      <c r="H407" s="7"/>
      <c r="I407" s="7"/>
      <c r="J407" s="60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</row>
    <row r="408" ht="15.75" customHeight="1">
      <c r="A408" s="7"/>
      <c r="B408" s="58"/>
      <c r="C408" s="7"/>
      <c r="D408" s="59"/>
      <c r="E408" s="59"/>
      <c r="F408" s="59"/>
      <c r="G408" s="7"/>
      <c r="H408" s="7"/>
      <c r="I408" s="7"/>
      <c r="J408" s="60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</row>
    <row r="409" ht="15.75" customHeight="1">
      <c r="A409" s="7"/>
      <c r="B409" s="58"/>
      <c r="C409" s="7"/>
      <c r="D409" s="59"/>
      <c r="E409" s="59"/>
      <c r="F409" s="59"/>
      <c r="G409" s="7"/>
      <c r="H409" s="7"/>
      <c r="I409" s="7"/>
      <c r="J409" s="60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</row>
    <row r="410" ht="15.75" customHeight="1">
      <c r="A410" s="7"/>
      <c r="B410" s="58"/>
      <c r="C410" s="7"/>
      <c r="D410" s="59"/>
      <c r="E410" s="59"/>
      <c r="F410" s="59"/>
      <c r="G410" s="7"/>
      <c r="H410" s="7"/>
      <c r="I410" s="7"/>
      <c r="J410" s="60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</row>
    <row r="411" ht="15.75" customHeight="1">
      <c r="A411" s="7"/>
      <c r="B411" s="58"/>
      <c r="C411" s="7"/>
      <c r="D411" s="59"/>
      <c r="E411" s="59"/>
      <c r="F411" s="59"/>
      <c r="G411" s="7"/>
      <c r="H411" s="7"/>
      <c r="I411" s="7"/>
      <c r="J411" s="60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</row>
    <row r="412" ht="15.75" customHeight="1">
      <c r="A412" s="7"/>
      <c r="B412" s="58"/>
      <c r="C412" s="7"/>
      <c r="D412" s="59"/>
      <c r="E412" s="59"/>
      <c r="F412" s="59"/>
      <c r="G412" s="7"/>
      <c r="H412" s="7"/>
      <c r="I412" s="7"/>
      <c r="J412" s="60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</row>
    <row r="413" ht="15.75" customHeight="1">
      <c r="A413" s="7"/>
      <c r="B413" s="58"/>
      <c r="C413" s="7"/>
      <c r="D413" s="59"/>
      <c r="E413" s="59"/>
      <c r="F413" s="59"/>
      <c r="G413" s="7"/>
      <c r="H413" s="7"/>
      <c r="I413" s="7"/>
      <c r="J413" s="60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</row>
    <row r="414" ht="15.75" customHeight="1">
      <c r="A414" s="7"/>
      <c r="B414" s="58"/>
      <c r="C414" s="7"/>
      <c r="D414" s="59"/>
      <c r="E414" s="59"/>
      <c r="F414" s="59"/>
      <c r="G414" s="7"/>
      <c r="H414" s="7"/>
      <c r="I414" s="7"/>
      <c r="J414" s="60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</row>
    <row r="415" ht="15.75" customHeight="1">
      <c r="A415" s="7"/>
      <c r="B415" s="58"/>
      <c r="C415" s="7"/>
      <c r="D415" s="59"/>
      <c r="E415" s="59"/>
      <c r="F415" s="59"/>
      <c r="G415" s="7"/>
      <c r="H415" s="7"/>
      <c r="I415" s="7"/>
      <c r="J415" s="60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</row>
    <row r="416" ht="15.75" customHeight="1">
      <c r="A416" s="7"/>
      <c r="B416" s="58"/>
      <c r="C416" s="7"/>
      <c r="D416" s="59"/>
      <c r="E416" s="59"/>
      <c r="F416" s="59"/>
      <c r="G416" s="7"/>
      <c r="H416" s="7"/>
      <c r="I416" s="7"/>
      <c r="J416" s="60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</row>
    <row r="417" ht="15.75" customHeight="1">
      <c r="A417" s="7"/>
      <c r="B417" s="58"/>
      <c r="C417" s="7"/>
      <c r="D417" s="59"/>
      <c r="E417" s="59"/>
      <c r="F417" s="59"/>
      <c r="G417" s="7"/>
      <c r="H417" s="7"/>
      <c r="I417" s="7"/>
      <c r="J417" s="60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</row>
    <row r="418" ht="15.75" customHeight="1">
      <c r="A418" s="7"/>
      <c r="B418" s="58"/>
      <c r="C418" s="7"/>
      <c r="D418" s="59"/>
      <c r="E418" s="59"/>
      <c r="F418" s="59"/>
      <c r="G418" s="7"/>
      <c r="H418" s="7"/>
      <c r="I418" s="7"/>
      <c r="J418" s="60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</row>
    <row r="419" ht="15.75" customHeight="1">
      <c r="A419" s="7"/>
      <c r="B419" s="58"/>
      <c r="C419" s="7"/>
      <c r="D419" s="59"/>
      <c r="E419" s="59"/>
      <c r="F419" s="59"/>
      <c r="G419" s="7"/>
      <c r="H419" s="7"/>
      <c r="I419" s="7"/>
      <c r="J419" s="60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</row>
    <row r="420" ht="15.75" customHeight="1">
      <c r="A420" s="7"/>
      <c r="B420" s="58"/>
      <c r="C420" s="7"/>
      <c r="D420" s="59"/>
      <c r="E420" s="59"/>
      <c r="F420" s="59"/>
      <c r="G420" s="7"/>
      <c r="H420" s="7"/>
      <c r="I420" s="7"/>
      <c r="J420" s="60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</row>
    <row r="421" ht="15.75" customHeight="1">
      <c r="A421" s="7"/>
      <c r="B421" s="58"/>
      <c r="C421" s="7"/>
      <c r="D421" s="59"/>
      <c r="E421" s="59"/>
      <c r="F421" s="59"/>
      <c r="G421" s="7"/>
      <c r="H421" s="7"/>
      <c r="I421" s="7"/>
      <c r="J421" s="60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</row>
    <row r="422" ht="15.75" customHeight="1">
      <c r="A422" s="7"/>
      <c r="B422" s="58"/>
      <c r="C422" s="7"/>
      <c r="D422" s="59"/>
      <c r="E422" s="59"/>
      <c r="F422" s="59"/>
      <c r="G422" s="7"/>
      <c r="H422" s="7"/>
      <c r="I422" s="7"/>
      <c r="J422" s="60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</row>
    <row r="423" ht="15.75" customHeight="1">
      <c r="A423" s="7"/>
      <c r="B423" s="58"/>
      <c r="C423" s="7"/>
      <c r="D423" s="59"/>
      <c r="E423" s="59"/>
      <c r="F423" s="59"/>
      <c r="G423" s="7"/>
      <c r="H423" s="7"/>
      <c r="I423" s="7"/>
      <c r="J423" s="60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</row>
    <row r="424" ht="15.75" customHeight="1">
      <c r="A424" s="7"/>
      <c r="B424" s="58"/>
      <c r="C424" s="7"/>
      <c r="D424" s="59"/>
      <c r="E424" s="59"/>
      <c r="F424" s="59"/>
      <c r="G424" s="7"/>
      <c r="H424" s="7"/>
      <c r="I424" s="7"/>
      <c r="J424" s="60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</row>
    <row r="425" ht="15.75" customHeight="1">
      <c r="A425" s="7"/>
      <c r="B425" s="58"/>
      <c r="C425" s="7"/>
      <c r="D425" s="59"/>
      <c r="E425" s="59"/>
      <c r="F425" s="59"/>
      <c r="G425" s="7"/>
      <c r="H425" s="7"/>
      <c r="I425" s="7"/>
      <c r="J425" s="60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</row>
    <row r="426" ht="15.75" customHeight="1">
      <c r="A426" s="7"/>
      <c r="B426" s="58"/>
      <c r="C426" s="7"/>
      <c r="D426" s="59"/>
      <c r="E426" s="59"/>
      <c r="F426" s="59"/>
      <c r="G426" s="7"/>
      <c r="H426" s="7"/>
      <c r="I426" s="7"/>
      <c r="J426" s="60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</row>
    <row r="427" ht="15.75" customHeight="1">
      <c r="A427" s="7"/>
      <c r="B427" s="58"/>
      <c r="C427" s="7"/>
      <c r="D427" s="59"/>
      <c r="E427" s="59"/>
      <c r="F427" s="59"/>
      <c r="G427" s="7"/>
      <c r="H427" s="7"/>
      <c r="I427" s="7"/>
      <c r="J427" s="60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</row>
    <row r="428" ht="15.75" customHeight="1">
      <c r="A428" s="7"/>
      <c r="B428" s="58"/>
      <c r="C428" s="7"/>
      <c r="D428" s="59"/>
      <c r="E428" s="59"/>
      <c r="F428" s="59"/>
      <c r="G428" s="7"/>
      <c r="H428" s="7"/>
      <c r="I428" s="7"/>
      <c r="J428" s="60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</row>
    <row r="429" ht="15.75" customHeight="1">
      <c r="A429" s="7"/>
      <c r="B429" s="58"/>
      <c r="C429" s="7"/>
      <c r="D429" s="59"/>
      <c r="E429" s="59"/>
      <c r="F429" s="59"/>
      <c r="G429" s="7"/>
      <c r="H429" s="7"/>
      <c r="I429" s="7"/>
      <c r="J429" s="60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</row>
    <row r="430" ht="15.75" customHeight="1">
      <c r="A430" s="7"/>
      <c r="B430" s="58"/>
      <c r="C430" s="7"/>
      <c r="D430" s="59"/>
      <c r="E430" s="59"/>
      <c r="F430" s="59"/>
      <c r="G430" s="7"/>
      <c r="H430" s="7"/>
      <c r="I430" s="7"/>
      <c r="J430" s="60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</row>
    <row r="431" ht="15.75" customHeight="1">
      <c r="A431" s="7"/>
      <c r="B431" s="58"/>
      <c r="C431" s="7"/>
      <c r="D431" s="59"/>
      <c r="E431" s="59"/>
      <c r="F431" s="59"/>
      <c r="G431" s="7"/>
      <c r="H431" s="7"/>
      <c r="I431" s="7"/>
      <c r="J431" s="60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</row>
    <row r="432" ht="15.75" customHeight="1">
      <c r="A432" s="7"/>
      <c r="B432" s="58"/>
      <c r="C432" s="7"/>
      <c r="D432" s="59"/>
      <c r="E432" s="59"/>
      <c r="F432" s="59"/>
      <c r="G432" s="7"/>
      <c r="H432" s="7"/>
      <c r="I432" s="7"/>
      <c r="J432" s="60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</row>
    <row r="433" ht="15.75" customHeight="1">
      <c r="A433" s="7"/>
      <c r="B433" s="58"/>
      <c r="C433" s="7"/>
      <c r="D433" s="59"/>
      <c r="E433" s="59"/>
      <c r="F433" s="59"/>
      <c r="G433" s="7"/>
      <c r="H433" s="7"/>
      <c r="I433" s="7"/>
      <c r="J433" s="60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</row>
    <row r="434" ht="15.75" customHeight="1">
      <c r="A434" s="7"/>
      <c r="B434" s="58"/>
      <c r="C434" s="7"/>
      <c r="D434" s="59"/>
      <c r="E434" s="59"/>
      <c r="F434" s="59"/>
      <c r="G434" s="7"/>
      <c r="H434" s="7"/>
      <c r="I434" s="7"/>
      <c r="J434" s="60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</row>
    <row r="435" ht="15.75" customHeight="1">
      <c r="A435" s="7"/>
      <c r="B435" s="58"/>
      <c r="C435" s="7"/>
      <c r="D435" s="59"/>
      <c r="E435" s="59"/>
      <c r="F435" s="59"/>
      <c r="G435" s="7"/>
      <c r="H435" s="7"/>
      <c r="I435" s="7"/>
      <c r="J435" s="60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</row>
    <row r="436" ht="15.75" customHeight="1">
      <c r="A436" s="7"/>
      <c r="B436" s="58"/>
      <c r="C436" s="7"/>
      <c r="D436" s="59"/>
      <c r="E436" s="59"/>
      <c r="F436" s="59"/>
      <c r="G436" s="7"/>
      <c r="H436" s="7"/>
      <c r="I436" s="7"/>
      <c r="J436" s="60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</row>
    <row r="437" ht="15.75" customHeight="1">
      <c r="A437" s="7"/>
      <c r="B437" s="58"/>
      <c r="C437" s="7"/>
      <c r="D437" s="59"/>
      <c r="E437" s="59"/>
      <c r="F437" s="59"/>
      <c r="G437" s="7"/>
      <c r="H437" s="7"/>
      <c r="I437" s="7"/>
      <c r="J437" s="60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</row>
    <row r="438" ht="15.75" customHeight="1">
      <c r="A438" s="7"/>
      <c r="B438" s="58"/>
      <c r="C438" s="7"/>
      <c r="D438" s="59"/>
      <c r="E438" s="59"/>
      <c r="F438" s="59"/>
      <c r="G438" s="7"/>
      <c r="H438" s="7"/>
      <c r="I438" s="7"/>
      <c r="J438" s="60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</row>
    <row r="439" ht="15.75" customHeight="1">
      <c r="A439" s="7"/>
      <c r="B439" s="58"/>
      <c r="C439" s="7"/>
      <c r="D439" s="59"/>
      <c r="E439" s="59"/>
      <c r="F439" s="59"/>
      <c r="G439" s="7"/>
      <c r="H439" s="7"/>
      <c r="I439" s="7"/>
      <c r="J439" s="60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</row>
    <row r="440" ht="15.75" customHeight="1">
      <c r="A440" s="7"/>
      <c r="B440" s="58"/>
      <c r="C440" s="7"/>
      <c r="D440" s="59"/>
      <c r="E440" s="59"/>
      <c r="F440" s="59"/>
      <c r="G440" s="7"/>
      <c r="H440" s="7"/>
      <c r="I440" s="7"/>
      <c r="J440" s="60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</row>
    <row r="441" ht="15.75" customHeight="1">
      <c r="A441" s="7"/>
      <c r="B441" s="58"/>
      <c r="C441" s="7"/>
      <c r="D441" s="59"/>
      <c r="E441" s="59"/>
      <c r="F441" s="59"/>
      <c r="G441" s="7"/>
      <c r="H441" s="7"/>
      <c r="I441" s="7"/>
      <c r="J441" s="60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</row>
    <row r="442" ht="15.75" customHeight="1">
      <c r="A442" s="7"/>
      <c r="B442" s="58"/>
      <c r="C442" s="7"/>
      <c r="D442" s="59"/>
      <c r="E442" s="59"/>
      <c r="F442" s="59"/>
      <c r="G442" s="7"/>
      <c r="H442" s="7"/>
      <c r="I442" s="7"/>
      <c r="J442" s="60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</row>
    <row r="443" ht="15.75" customHeight="1">
      <c r="A443" s="7"/>
      <c r="B443" s="58"/>
      <c r="C443" s="7"/>
      <c r="D443" s="59"/>
      <c r="E443" s="59"/>
      <c r="F443" s="59"/>
      <c r="G443" s="7"/>
      <c r="H443" s="7"/>
      <c r="I443" s="7"/>
      <c r="J443" s="60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</row>
    <row r="444" ht="15.75" customHeight="1">
      <c r="A444" s="7"/>
      <c r="B444" s="58"/>
      <c r="C444" s="7"/>
      <c r="D444" s="59"/>
      <c r="E444" s="59"/>
      <c r="F444" s="59"/>
      <c r="G444" s="7"/>
      <c r="H444" s="7"/>
      <c r="I444" s="7"/>
      <c r="J444" s="60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</row>
    <row r="445" ht="15.75" customHeight="1">
      <c r="A445" s="7"/>
      <c r="B445" s="58"/>
      <c r="C445" s="7"/>
      <c r="D445" s="59"/>
      <c r="E445" s="59"/>
      <c r="F445" s="59"/>
      <c r="G445" s="7"/>
      <c r="H445" s="7"/>
      <c r="I445" s="7"/>
      <c r="J445" s="60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</row>
    <row r="446" ht="15.75" customHeight="1">
      <c r="A446" s="7"/>
      <c r="B446" s="58"/>
      <c r="C446" s="7"/>
      <c r="D446" s="59"/>
      <c r="E446" s="59"/>
      <c r="F446" s="59"/>
      <c r="G446" s="7"/>
      <c r="H446" s="7"/>
      <c r="I446" s="7"/>
      <c r="J446" s="60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</row>
    <row r="447" ht="15.75" customHeight="1">
      <c r="A447" s="7"/>
      <c r="B447" s="58"/>
      <c r="C447" s="7"/>
      <c r="D447" s="59"/>
      <c r="E447" s="59"/>
      <c r="F447" s="59"/>
      <c r="G447" s="7"/>
      <c r="H447" s="7"/>
      <c r="I447" s="7"/>
      <c r="J447" s="60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</row>
    <row r="448" ht="15.75" customHeight="1">
      <c r="A448" s="7"/>
      <c r="B448" s="58"/>
      <c r="C448" s="7"/>
      <c r="D448" s="59"/>
      <c r="E448" s="59"/>
      <c r="F448" s="59"/>
      <c r="G448" s="7"/>
      <c r="H448" s="7"/>
      <c r="I448" s="7"/>
      <c r="J448" s="60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</row>
    <row r="449" ht="15.75" customHeight="1">
      <c r="A449" s="7"/>
      <c r="B449" s="58"/>
      <c r="C449" s="7"/>
      <c r="D449" s="59"/>
      <c r="E449" s="59"/>
      <c r="F449" s="59"/>
      <c r="G449" s="7"/>
      <c r="H449" s="7"/>
      <c r="I449" s="7"/>
      <c r="J449" s="60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</row>
    <row r="450" ht="15.75" customHeight="1">
      <c r="A450" s="7"/>
      <c r="B450" s="58"/>
      <c r="C450" s="7"/>
      <c r="D450" s="59"/>
      <c r="E450" s="59"/>
      <c r="F450" s="59"/>
      <c r="G450" s="7"/>
      <c r="H450" s="7"/>
      <c r="I450" s="7"/>
      <c r="J450" s="60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</row>
    <row r="451" ht="15.75" customHeight="1">
      <c r="A451" s="7"/>
      <c r="B451" s="58"/>
      <c r="C451" s="7"/>
      <c r="D451" s="59"/>
      <c r="E451" s="59"/>
      <c r="F451" s="59"/>
      <c r="G451" s="7"/>
      <c r="H451" s="7"/>
      <c r="I451" s="7"/>
      <c r="J451" s="60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</row>
    <row r="452" ht="15.75" customHeight="1">
      <c r="A452" s="7"/>
      <c r="B452" s="58"/>
      <c r="C452" s="7"/>
      <c r="D452" s="59"/>
      <c r="E452" s="59"/>
      <c r="F452" s="59"/>
      <c r="G452" s="7"/>
      <c r="H452" s="7"/>
      <c r="I452" s="7"/>
      <c r="J452" s="60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</row>
    <row r="453" ht="15.75" customHeight="1">
      <c r="A453" s="7"/>
      <c r="B453" s="58"/>
      <c r="C453" s="7"/>
      <c r="D453" s="59"/>
      <c r="E453" s="59"/>
      <c r="F453" s="59"/>
      <c r="G453" s="7"/>
      <c r="H453" s="7"/>
      <c r="I453" s="7"/>
      <c r="J453" s="60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</row>
    <row r="454" ht="15.75" customHeight="1">
      <c r="A454" s="7"/>
      <c r="B454" s="58"/>
      <c r="C454" s="7"/>
      <c r="D454" s="59"/>
      <c r="E454" s="59"/>
      <c r="F454" s="59"/>
      <c r="G454" s="7"/>
      <c r="H454" s="7"/>
      <c r="I454" s="7"/>
      <c r="J454" s="60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</row>
    <row r="455" ht="15.75" customHeight="1">
      <c r="A455" s="7"/>
      <c r="B455" s="58"/>
      <c r="C455" s="7"/>
      <c r="D455" s="59"/>
      <c r="E455" s="59"/>
      <c r="F455" s="59"/>
      <c r="G455" s="7"/>
      <c r="H455" s="7"/>
      <c r="I455" s="7"/>
      <c r="J455" s="60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</row>
    <row r="456" ht="15.75" customHeight="1">
      <c r="A456" s="7"/>
      <c r="B456" s="58"/>
      <c r="C456" s="7"/>
      <c r="D456" s="59"/>
      <c r="E456" s="59"/>
      <c r="F456" s="59"/>
      <c r="G456" s="7"/>
      <c r="H456" s="7"/>
      <c r="I456" s="7"/>
      <c r="J456" s="60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</row>
    <row r="457" ht="15.75" customHeight="1">
      <c r="A457" s="7"/>
      <c r="B457" s="58"/>
      <c r="C457" s="7"/>
      <c r="D457" s="59"/>
      <c r="E457" s="59"/>
      <c r="F457" s="59"/>
      <c r="G457" s="7"/>
      <c r="H457" s="7"/>
      <c r="I457" s="7"/>
      <c r="J457" s="60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</row>
    <row r="458" ht="15.75" customHeight="1">
      <c r="A458" s="7"/>
      <c r="B458" s="58"/>
      <c r="C458" s="7"/>
      <c r="D458" s="59"/>
      <c r="E458" s="59"/>
      <c r="F458" s="59"/>
      <c r="G458" s="7"/>
      <c r="H458" s="7"/>
      <c r="I458" s="7"/>
      <c r="J458" s="60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</row>
    <row r="459" ht="15.75" customHeight="1">
      <c r="A459" s="7"/>
      <c r="B459" s="58"/>
      <c r="C459" s="7"/>
      <c r="D459" s="59"/>
      <c r="E459" s="59"/>
      <c r="F459" s="59"/>
      <c r="G459" s="7"/>
      <c r="H459" s="7"/>
      <c r="I459" s="7"/>
      <c r="J459" s="60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</row>
    <row r="460" ht="15.75" customHeight="1">
      <c r="A460" s="7"/>
      <c r="B460" s="58"/>
      <c r="C460" s="7"/>
      <c r="D460" s="59"/>
      <c r="E460" s="59"/>
      <c r="F460" s="59"/>
      <c r="G460" s="7"/>
      <c r="H460" s="7"/>
      <c r="I460" s="7"/>
      <c r="J460" s="60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</row>
    <row r="461" ht="15.75" customHeight="1">
      <c r="A461" s="7"/>
      <c r="B461" s="58"/>
      <c r="C461" s="7"/>
      <c r="D461" s="59"/>
      <c r="E461" s="59"/>
      <c r="F461" s="59"/>
      <c r="G461" s="7"/>
      <c r="H461" s="7"/>
      <c r="I461" s="7"/>
      <c r="J461" s="60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</row>
    <row r="462" ht="15.75" customHeight="1">
      <c r="A462" s="7"/>
      <c r="B462" s="58"/>
      <c r="C462" s="7"/>
      <c r="D462" s="59"/>
      <c r="E462" s="59"/>
      <c r="F462" s="59"/>
      <c r="G462" s="7"/>
      <c r="H462" s="7"/>
      <c r="I462" s="7"/>
      <c r="J462" s="60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</row>
    <row r="463" ht="15.75" customHeight="1">
      <c r="A463" s="7"/>
      <c r="B463" s="58"/>
      <c r="C463" s="7"/>
      <c r="D463" s="59"/>
      <c r="E463" s="59"/>
      <c r="F463" s="59"/>
      <c r="G463" s="7"/>
      <c r="H463" s="7"/>
      <c r="I463" s="7"/>
      <c r="J463" s="60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</row>
    <row r="464" ht="15.75" customHeight="1">
      <c r="A464" s="7"/>
      <c r="B464" s="58"/>
      <c r="C464" s="7"/>
      <c r="D464" s="59"/>
      <c r="E464" s="59"/>
      <c r="F464" s="59"/>
      <c r="G464" s="7"/>
      <c r="H464" s="7"/>
      <c r="I464" s="7"/>
      <c r="J464" s="60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</row>
    <row r="465" ht="15.75" customHeight="1">
      <c r="A465" s="7"/>
      <c r="B465" s="58"/>
      <c r="C465" s="7"/>
      <c r="D465" s="59"/>
      <c r="E465" s="59"/>
      <c r="F465" s="59"/>
      <c r="G465" s="7"/>
      <c r="H465" s="7"/>
      <c r="I465" s="7"/>
      <c r="J465" s="60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</row>
    <row r="466" ht="15.75" customHeight="1">
      <c r="A466" s="7"/>
      <c r="B466" s="58"/>
      <c r="C466" s="7"/>
      <c r="D466" s="59"/>
      <c r="E466" s="59"/>
      <c r="F466" s="59"/>
      <c r="G466" s="7"/>
      <c r="H466" s="7"/>
      <c r="I466" s="7"/>
      <c r="J466" s="60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</row>
    <row r="467" ht="15.75" customHeight="1">
      <c r="A467" s="7"/>
      <c r="B467" s="58"/>
      <c r="C467" s="7"/>
      <c r="D467" s="59"/>
      <c r="E467" s="59"/>
      <c r="F467" s="59"/>
      <c r="G467" s="7"/>
      <c r="H467" s="7"/>
      <c r="I467" s="7"/>
      <c r="J467" s="60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</row>
    <row r="468" ht="15.75" customHeight="1">
      <c r="A468" s="7"/>
      <c r="B468" s="58"/>
      <c r="C468" s="7"/>
      <c r="D468" s="59"/>
      <c r="E468" s="59"/>
      <c r="F468" s="59"/>
      <c r="G468" s="7"/>
      <c r="H468" s="7"/>
      <c r="I468" s="7"/>
      <c r="J468" s="60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</row>
    <row r="469" ht="15.75" customHeight="1">
      <c r="A469" s="7"/>
      <c r="B469" s="58"/>
      <c r="C469" s="7"/>
      <c r="D469" s="59"/>
      <c r="E469" s="59"/>
      <c r="F469" s="59"/>
      <c r="G469" s="7"/>
      <c r="H469" s="7"/>
      <c r="I469" s="7"/>
      <c r="J469" s="60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</row>
    <row r="470" ht="15.75" customHeight="1">
      <c r="A470" s="7"/>
      <c r="B470" s="58"/>
      <c r="C470" s="7"/>
      <c r="D470" s="59"/>
      <c r="E470" s="59"/>
      <c r="F470" s="59"/>
      <c r="G470" s="7"/>
      <c r="H470" s="7"/>
      <c r="I470" s="7"/>
      <c r="J470" s="60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</row>
    <row r="471" ht="15.75" customHeight="1">
      <c r="A471" s="7"/>
      <c r="B471" s="58"/>
      <c r="C471" s="7"/>
      <c r="D471" s="59"/>
      <c r="E471" s="59"/>
      <c r="F471" s="59"/>
      <c r="G471" s="7"/>
      <c r="H471" s="7"/>
      <c r="I471" s="7"/>
      <c r="J471" s="60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</row>
    <row r="472" ht="15.75" customHeight="1">
      <c r="A472" s="7"/>
      <c r="B472" s="58"/>
      <c r="C472" s="7"/>
      <c r="D472" s="59"/>
      <c r="E472" s="59"/>
      <c r="F472" s="59"/>
      <c r="G472" s="7"/>
      <c r="H472" s="7"/>
      <c r="I472" s="7"/>
      <c r="J472" s="60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</row>
    <row r="473" ht="15.75" customHeight="1">
      <c r="A473" s="7"/>
      <c r="B473" s="58"/>
      <c r="C473" s="7"/>
      <c r="D473" s="59"/>
      <c r="E473" s="59"/>
      <c r="F473" s="59"/>
      <c r="G473" s="7"/>
      <c r="H473" s="7"/>
      <c r="I473" s="7"/>
      <c r="J473" s="60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</row>
    <row r="474" ht="15.75" customHeight="1">
      <c r="A474" s="7"/>
      <c r="B474" s="58"/>
      <c r="C474" s="7"/>
      <c r="D474" s="59"/>
      <c r="E474" s="59"/>
      <c r="F474" s="59"/>
      <c r="G474" s="7"/>
      <c r="H474" s="7"/>
      <c r="I474" s="7"/>
      <c r="J474" s="60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</row>
    <row r="475" ht="15.75" customHeight="1">
      <c r="A475" s="7"/>
      <c r="B475" s="58"/>
      <c r="C475" s="7"/>
      <c r="D475" s="59"/>
      <c r="E475" s="59"/>
      <c r="F475" s="59"/>
      <c r="G475" s="7"/>
      <c r="H475" s="7"/>
      <c r="I475" s="7"/>
      <c r="J475" s="60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</row>
    <row r="476" ht="15.75" customHeight="1">
      <c r="A476" s="7"/>
      <c r="B476" s="58"/>
      <c r="C476" s="7"/>
      <c r="D476" s="59"/>
      <c r="E476" s="59"/>
      <c r="F476" s="59"/>
      <c r="G476" s="7"/>
      <c r="H476" s="7"/>
      <c r="I476" s="7"/>
      <c r="J476" s="60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</row>
    <row r="477" ht="15.75" customHeight="1">
      <c r="A477" s="7"/>
      <c r="B477" s="58"/>
      <c r="C477" s="7"/>
      <c r="D477" s="59"/>
      <c r="E477" s="59"/>
      <c r="F477" s="59"/>
      <c r="G477" s="7"/>
      <c r="H477" s="7"/>
      <c r="I477" s="7"/>
      <c r="J477" s="60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</row>
    <row r="478" ht="15.75" customHeight="1">
      <c r="A478" s="7"/>
      <c r="B478" s="58"/>
      <c r="C478" s="7"/>
      <c r="D478" s="59"/>
      <c r="E478" s="59"/>
      <c r="F478" s="59"/>
      <c r="G478" s="7"/>
      <c r="H478" s="7"/>
      <c r="I478" s="7"/>
      <c r="J478" s="60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</row>
    <row r="479" ht="15.75" customHeight="1">
      <c r="A479" s="7"/>
      <c r="B479" s="58"/>
      <c r="C479" s="7"/>
      <c r="D479" s="59"/>
      <c r="E479" s="59"/>
      <c r="F479" s="59"/>
      <c r="G479" s="7"/>
      <c r="H479" s="7"/>
      <c r="I479" s="7"/>
      <c r="J479" s="60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</row>
    <row r="480" ht="15.75" customHeight="1">
      <c r="A480" s="7"/>
      <c r="B480" s="58"/>
      <c r="C480" s="7"/>
      <c r="D480" s="59"/>
      <c r="E480" s="59"/>
      <c r="F480" s="59"/>
      <c r="G480" s="7"/>
      <c r="H480" s="7"/>
      <c r="I480" s="7"/>
      <c r="J480" s="60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</row>
    <row r="481" ht="15.75" customHeight="1">
      <c r="A481" s="7"/>
      <c r="B481" s="58"/>
      <c r="C481" s="7"/>
      <c r="D481" s="59"/>
      <c r="E481" s="59"/>
      <c r="F481" s="59"/>
      <c r="G481" s="7"/>
      <c r="H481" s="7"/>
      <c r="I481" s="7"/>
      <c r="J481" s="60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</row>
    <row r="482" ht="15.75" customHeight="1">
      <c r="A482" s="7"/>
      <c r="B482" s="58"/>
      <c r="C482" s="7"/>
      <c r="D482" s="59"/>
      <c r="E482" s="59"/>
      <c r="F482" s="59"/>
      <c r="G482" s="7"/>
      <c r="H482" s="7"/>
      <c r="I482" s="7"/>
      <c r="J482" s="60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</row>
    <row r="483" ht="15.75" customHeight="1">
      <c r="A483" s="7"/>
      <c r="B483" s="58"/>
      <c r="C483" s="7"/>
      <c r="D483" s="59"/>
      <c r="E483" s="59"/>
      <c r="F483" s="59"/>
      <c r="G483" s="7"/>
      <c r="H483" s="7"/>
      <c r="I483" s="7"/>
      <c r="J483" s="60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</row>
    <row r="484" ht="15.75" customHeight="1">
      <c r="A484" s="7"/>
      <c r="B484" s="58"/>
      <c r="C484" s="7"/>
      <c r="D484" s="59"/>
      <c r="E484" s="59"/>
      <c r="F484" s="59"/>
      <c r="G484" s="7"/>
      <c r="H484" s="7"/>
      <c r="I484" s="7"/>
      <c r="J484" s="60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</row>
    <row r="485" ht="15.75" customHeight="1">
      <c r="A485" s="7"/>
      <c r="B485" s="58"/>
      <c r="C485" s="7"/>
      <c r="D485" s="59"/>
      <c r="E485" s="59"/>
      <c r="F485" s="59"/>
      <c r="G485" s="7"/>
      <c r="H485" s="7"/>
      <c r="I485" s="7"/>
      <c r="J485" s="60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</row>
    <row r="486" ht="15.75" customHeight="1">
      <c r="A486" s="7"/>
      <c r="B486" s="58"/>
      <c r="C486" s="7"/>
      <c r="D486" s="59"/>
      <c r="E486" s="59"/>
      <c r="F486" s="59"/>
      <c r="G486" s="7"/>
      <c r="H486" s="7"/>
      <c r="I486" s="7"/>
      <c r="J486" s="60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</row>
    <row r="487" ht="15.75" customHeight="1">
      <c r="A487" s="7"/>
      <c r="B487" s="58"/>
      <c r="C487" s="7"/>
      <c r="D487" s="59"/>
      <c r="E487" s="59"/>
      <c r="F487" s="59"/>
      <c r="G487" s="7"/>
      <c r="H487" s="7"/>
      <c r="I487" s="7"/>
      <c r="J487" s="60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</row>
    <row r="488" ht="15.75" customHeight="1">
      <c r="A488" s="7"/>
      <c r="B488" s="58"/>
      <c r="C488" s="7"/>
      <c r="D488" s="59"/>
      <c r="E488" s="59"/>
      <c r="F488" s="59"/>
      <c r="G488" s="7"/>
      <c r="H488" s="7"/>
      <c r="I488" s="7"/>
      <c r="J488" s="60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</row>
    <row r="489" ht="15.75" customHeight="1">
      <c r="A489" s="7"/>
      <c r="B489" s="58"/>
      <c r="C489" s="7"/>
      <c r="D489" s="59"/>
      <c r="E489" s="59"/>
      <c r="F489" s="59"/>
      <c r="G489" s="7"/>
      <c r="H489" s="7"/>
      <c r="I489" s="7"/>
      <c r="J489" s="60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</row>
    <row r="490" ht="15.75" customHeight="1">
      <c r="A490" s="7"/>
      <c r="B490" s="58"/>
      <c r="C490" s="7"/>
      <c r="D490" s="59"/>
      <c r="E490" s="59"/>
      <c r="F490" s="59"/>
      <c r="G490" s="7"/>
      <c r="H490" s="7"/>
      <c r="I490" s="7"/>
      <c r="J490" s="60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</row>
    <row r="491" ht="15.75" customHeight="1">
      <c r="A491" s="7"/>
      <c r="B491" s="58"/>
      <c r="C491" s="7"/>
      <c r="D491" s="59"/>
      <c r="E491" s="59"/>
      <c r="F491" s="59"/>
      <c r="G491" s="7"/>
      <c r="H491" s="7"/>
      <c r="I491" s="7"/>
      <c r="J491" s="60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</row>
    <row r="492" ht="15.75" customHeight="1">
      <c r="A492" s="7"/>
      <c r="B492" s="58"/>
      <c r="C492" s="7"/>
      <c r="D492" s="59"/>
      <c r="E492" s="59"/>
      <c r="F492" s="59"/>
      <c r="G492" s="7"/>
      <c r="H492" s="7"/>
      <c r="I492" s="7"/>
      <c r="J492" s="60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</row>
    <row r="493" ht="15.75" customHeight="1">
      <c r="A493" s="7"/>
      <c r="B493" s="58"/>
      <c r="C493" s="7"/>
      <c r="D493" s="59"/>
      <c r="E493" s="59"/>
      <c r="F493" s="59"/>
      <c r="G493" s="7"/>
      <c r="H493" s="7"/>
      <c r="I493" s="7"/>
      <c r="J493" s="60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</row>
    <row r="494" ht="15.75" customHeight="1">
      <c r="A494" s="7"/>
      <c r="B494" s="58"/>
      <c r="C494" s="7"/>
      <c r="D494" s="59"/>
      <c r="E494" s="59"/>
      <c r="F494" s="59"/>
      <c r="G494" s="7"/>
      <c r="H494" s="7"/>
      <c r="I494" s="7"/>
      <c r="J494" s="60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</row>
    <row r="495" ht="15.75" customHeight="1">
      <c r="A495" s="7"/>
      <c r="B495" s="58"/>
      <c r="C495" s="7"/>
      <c r="D495" s="59"/>
      <c r="E495" s="59"/>
      <c r="F495" s="59"/>
      <c r="G495" s="7"/>
      <c r="H495" s="7"/>
      <c r="I495" s="7"/>
      <c r="J495" s="60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</row>
    <row r="496" ht="15.75" customHeight="1">
      <c r="A496" s="7"/>
      <c r="B496" s="58"/>
      <c r="C496" s="7"/>
      <c r="D496" s="59"/>
      <c r="E496" s="59"/>
      <c r="F496" s="59"/>
      <c r="G496" s="7"/>
      <c r="H496" s="7"/>
      <c r="I496" s="7"/>
      <c r="J496" s="60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</row>
    <row r="497" ht="15.75" customHeight="1">
      <c r="A497" s="7"/>
      <c r="B497" s="58"/>
      <c r="C497" s="7"/>
      <c r="D497" s="59"/>
      <c r="E497" s="59"/>
      <c r="F497" s="59"/>
      <c r="G497" s="7"/>
      <c r="H497" s="7"/>
      <c r="I497" s="7"/>
      <c r="J497" s="60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</row>
    <row r="498" ht="15.75" customHeight="1">
      <c r="A498" s="7"/>
      <c r="B498" s="58"/>
      <c r="C498" s="7"/>
      <c r="D498" s="59"/>
      <c r="E498" s="59"/>
      <c r="F498" s="59"/>
      <c r="G498" s="7"/>
      <c r="H498" s="7"/>
      <c r="I498" s="7"/>
      <c r="J498" s="60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</row>
    <row r="499" ht="15.75" customHeight="1">
      <c r="A499" s="7"/>
      <c r="B499" s="58"/>
      <c r="C499" s="7"/>
      <c r="D499" s="59"/>
      <c r="E499" s="59"/>
      <c r="F499" s="59"/>
      <c r="G499" s="7"/>
      <c r="H499" s="7"/>
      <c r="I499" s="7"/>
      <c r="J499" s="60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</row>
    <row r="500" ht="15.75" customHeight="1">
      <c r="A500" s="7"/>
      <c r="B500" s="58"/>
      <c r="C500" s="7"/>
      <c r="D500" s="59"/>
      <c r="E500" s="59"/>
      <c r="F500" s="59"/>
      <c r="G500" s="7"/>
      <c r="H500" s="7"/>
      <c r="I500" s="7"/>
      <c r="J500" s="60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</row>
    <row r="501" ht="15.75" customHeight="1">
      <c r="A501" s="7"/>
      <c r="B501" s="58"/>
      <c r="C501" s="7"/>
      <c r="D501" s="59"/>
      <c r="E501" s="59"/>
      <c r="F501" s="59"/>
      <c r="G501" s="7"/>
      <c r="H501" s="7"/>
      <c r="I501" s="7"/>
      <c r="J501" s="60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</row>
    <row r="502" ht="15.75" customHeight="1">
      <c r="A502" s="7"/>
      <c r="B502" s="58"/>
      <c r="C502" s="7"/>
      <c r="D502" s="59"/>
      <c r="E502" s="59"/>
      <c r="F502" s="59"/>
      <c r="G502" s="7"/>
      <c r="H502" s="7"/>
      <c r="I502" s="7"/>
      <c r="J502" s="60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</row>
    <row r="503" ht="15.75" customHeight="1">
      <c r="A503" s="7"/>
      <c r="B503" s="58"/>
      <c r="C503" s="7"/>
      <c r="D503" s="59"/>
      <c r="E503" s="59"/>
      <c r="F503" s="59"/>
      <c r="G503" s="7"/>
      <c r="H503" s="7"/>
      <c r="I503" s="7"/>
      <c r="J503" s="60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</row>
    <row r="504" ht="15.75" customHeight="1">
      <c r="A504" s="7"/>
      <c r="B504" s="58"/>
      <c r="C504" s="7"/>
      <c r="D504" s="59"/>
      <c r="E504" s="59"/>
      <c r="F504" s="59"/>
      <c r="G504" s="7"/>
      <c r="H504" s="7"/>
      <c r="I504" s="7"/>
      <c r="J504" s="60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</row>
    <row r="505" ht="15.75" customHeight="1">
      <c r="A505" s="7"/>
      <c r="B505" s="58"/>
      <c r="C505" s="7"/>
      <c r="D505" s="59"/>
      <c r="E505" s="59"/>
      <c r="F505" s="59"/>
      <c r="G505" s="7"/>
      <c r="H505" s="7"/>
      <c r="I505" s="7"/>
      <c r="J505" s="60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</row>
    <row r="506" ht="15.75" customHeight="1">
      <c r="A506" s="7"/>
      <c r="B506" s="58"/>
      <c r="C506" s="7"/>
      <c r="D506" s="59"/>
      <c r="E506" s="59"/>
      <c r="F506" s="59"/>
      <c r="G506" s="7"/>
      <c r="H506" s="7"/>
      <c r="I506" s="7"/>
      <c r="J506" s="60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</row>
    <row r="507" ht="15.75" customHeight="1">
      <c r="A507" s="7"/>
      <c r="B507" s="58"/>
      <c r="C507" s="7"/>
      <c r="D507" s="59"/>
      <c r="E507" s="59"/>
      <c r="F507" s="59"/>
      <c r="G507" s="7"/>
      <c r="H507" s="7"/>
      <c r="I507" s="7"/>
      <c r="J507" s="60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</row>
    <row r="508" ht="15.75" customHeight="1">
      <c r="A508" s="7"/>
      <c r="B508" s="58"/>
      <c r="C508" s="7"/>
      <c r="D508" s="59"/>
      <c r="E508" s="59"/>
      <c r="F508" s="59"/>
      <c r="G508" s="7"/>
      <c r="H508" s="7"/>
      <c r="I508" s="7"/>
      <c r="J508" s="60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</row>
    <row r="509" ht="15.75" customHeight="1">
      <c r="A509" s="7"/>
      <c r="B509" s="58"/>
      <c r="C509" s="7"/>
      <c r="D509" s="59"/>
      <c r="E509" s="59"/>
      <c r="F509" s="59"/>
      <c r="G509" s="7"/>
      <c r="H509" s="7"/>
      <c r="I509" s="7"/>
      <c r="J509" s="60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</row>
    <row r="510" ht="15.75" customHeight="1">
      <c r="A510" s="7"/>
      <c r="B510" s="58"/>
      <c r="C510" s="7"/>
      <c r="D510" s="59"/>
      <c r="E510" s="59"/>
      <c r="F510" s="59"/>
      <c r="G510" s="7"/>
      <c r="H510" s="7"/>
      <c r="I510" s="7"/>
      <c r="J510" s="60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</row>
    <row r="511" ht="15.75" customHeight="1">
      <c r="A511" s="7"/>
      <c r="B511" s="58"/>
      <c r="C511" s="7"/>
      <c r="D511" s="59"/>
      <c r="E511" s="59"/>
      <c r="F511" s="59"/>
      <c r="G511" s="7"/>
      <c r="H511" s="7"/>
      <c r="I511" s="7"/>
      <c r="J511" s="60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</row>
    <row r="512" ht="15.75" customHeight="1">
      <c r="A512" s="7"/>
      <c r="B512" s="58"/>
      <c r="C512" s="7"/>
      <c r="D512" s="59"/>
      <c r="E512" s="59"/>
      <c r="F512" s="59"/>
      <c r="G512" s="7"/>
      <c r="H512" s="7"/>
      <c r="I512" s="7"/>
      <c r="J512" s="60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</row>
    <row r="513" ht="15.75" customHeight="1">
      <c r="A513" s="7"/>
      <c r="B513" s="58"/>
      <c r="C513" s="7"/>
      <c r="D513" s="59"/>
      <c r="E513" s="59"/>
      <c r="F513" s="59"/>
      <c r="G513" s="7"/>
      <c r="H513" s="7"/>
      <c r="I513" s="7"/>
      <c r="J513" s="60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</row>
    <row r="514" ht="15.75" customHeight="1">
      <c r="A514" s="7"/>
      <c r="B514" s="58"/>
      <c r="C514" s="7"/>
      <c r="D514" s="59"/>
      <c r="E514" s="59"/>
      <c r="F514" s="59"/>
      <c r="G514" s="7"/>
      <c r="H514" s="7"/>
      <c r="I514" s="7"/>
      <c r="J514" s="60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</row>
    <row r="515" ht="15.75" customHeight="1">
      <c r="A515" s="7"/>
      <c r="B515" s="58"/>
      <c r="C515" s="7"/>
      <c r="D515" s="59"/>
      <c r="E515" s="59"/>
      <c r="F515" s="59"/>
      <c r="G515" s="7"/>
      <c r="H515" s="7"/>
      <c r="I515" s="7"/>
      <c r="J515" s="60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</row>
    <row r="516" ht="15.75" customHeight="1">
      <c r="A516" s="7"/>
      <c r="B516" s="58"/>
      <c r="C516" s="7"/>
      <c r="D516" s="59"/>
      <c r="E516" s="59"/>
      <c r="F516" s="59"/>
      <c r="G516" s="7"/>
      <c r="H516" s="7"/>
      <c r="I516" s="7"/>
      <c r="J516" s="60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</row>
    <row r="517" ht="15.75" customHeight="1">
      <c r="A517" s="7"/>
      <c r="B517" s="58"/>
      <c r="C517" s="7"/>
      <c r="D517" s="59"/>
      <c r="E517" s="59"/>
      <c r="F517" s="59"/>
      <c r="G517" s="7"/>
      <c r="H517" s="7"/>
      <c r="I517" s="7"/>
      <c r="J517" s="60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</row>
    <row r="518" ht="15.75" customHeight="1">
      <c r="A518" s="7"/>
      <c r="B518" s="58"/>
      <c r="C518" s="7"/>
      <c r="D518" s="59"/>
      <c r="E518" s="59"/>
      <c r="F518" s="59"/>
      <c r="G518" s="7"/>
      <c r="H518" s="7"/>
      <c r="I518" s="7"/>
      <c r="J518" s="60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</row>
    <row r="519" ht="15.75" customHeight="1">
      <c r="A519" s="7"/>
      <c r="B519" s="58"/>
      <c r="C519" s="7"/>
      <c r="D519" s="59"/>
      <c r="E519" s="59"/>
      <c r="F519" s="59"/>
      <c r="G519" s="7"/>
      <c r="H519" s="7"/>
      <c r="I519" s="7"/>
      <c r="J519" s="60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</row>
    <row r="520" ht="15.75" customHeight="1">
      <c r="A520" s="7"/>
      <c r="B520" s="58"/>
      <c r="C520" s="7"/>
      <c r="D520" s="59"/>
      <c r="E520" s="59"/>
      <c r="F520" s="59"/>
      <c r="G520" s="7"/>
      <c r="H520" s="7"/>
      <c r="I520" s="7"/>
      <c r="J520" s="60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</row>
    <row r="521" ht="15.75" customHeight="1">
      <c r="A521" s="7"/>
      <c r="B521" s="58"/>
      <c r="C521" s="7"/>
      <c r="D521" s="59"/>
      <c r="E521" s="59"/>
      <c r="F521" s="59"/>
      <c r="G521" s="7"/>
      <c r="H521" s="7"/>
      <c r="I521" s="7"/>
      <c r="J521" s="60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</row>
    <row r="522" ht="15.75" customHeight="1">
      <c r="A522" s="7"/>
      <c r="B522" s="58"/>
      <c r="C522" s="7"/>
      <c r="D522" s="59"/>
      <c r="E522" s="59"/>
      <c r="F522" s="59"/>
      <c r="G522" s="7"/>
      <c r="H522" s="7"/>
      <c r="I522" s="7"/>
      <c r="J522" s="60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</row>
    <row r="523" ht="15.75" customHeight="1">
      <c r="A523" s="7"/>
      <c r="B523" s="58"/>
      <c r="C523" s="7"/>
      <c r="D523" s="59"/>
      <c r="E523" s="59"/>
      <c r="F523" s="59"/>
      <c r="G523" s="7"/>
      <c r="H523" s="7"/>
      <c r="I523" s="7"/>
      <c r="J523" s="60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</row>
    <row r="524" ht="15.75" customHeight="1">
      <c r="A524" s="7"/>
      <c r="B524" s="58"/>
      <c r="C524" s="7"/>
      <c r="D524" s="59"/>
      <c r="E524" s="59"/>
      <c r="F524" s="59"/>
      <c r="G524" s="7"/>
      <c r="H524" s="7"/>
      <c r="I524" s="7"/>
      <c r="J524" s="60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</row>
    <row r="525" ht="15.75" customHeight="1">
      <c r="A525" s="7"/>
      <c r="B525" s="58"/>
      <c r="C525" s="7"/>
      <c r="D525" s="59"/>
      <c r="E525" s="59"/>
      <c r="F525" s="59"/>
      <c r="G525" s="7"/>
      <c r="H525" s="7"/>
      <c r="I525" s="7"/>
      <c r="J525" s="60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</row>
    <row r="526" ht="15.75" customHeight="1">
      <c r="A526" s="7"/>
      <c r="B526" s="58"/>
      <c r="C526" s="7"/>
      <c r="D526" s="59"/>
      <c r="E526" s="59"/>
      <c r="F526" s="59"/>
      <c r="G526" s="7"/>
      <c r="H526" s="7"/>
      <c r="I526" s="7"/>
      <c r="J526" s="60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</row>
    <row r="527" ht="15.75" customHeight="1">
      <c r="A527" s="7"/>
      <c r="B527" s="58"/>
      <c r="C527" s="7"/>
      <c r="D527" s="59"/>
      <c r="E527" s="59"/>
      <c r="F527" s="59"/>
      <c r="G527" s="7"/>
      <c r="H527" s="7"/>
      <c r="I527" s="7"/>
      <c r="J527" s="60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</row>
    <row r="528" ht="15.75" customHeight="1">
      <c r="A528" s="7"/>
      <c r="B528" s="58"/>
      <c r="C528" s="7"/>
      <c r="D528" s="59"/>
      <c r="E528" s="59"/>
      <c r="F528" s="59"/>
      <c r="G528" s="7"/>
      <c r="H528" s="7"/>
      <c r="I528" s="7"/>
      <c r="J528" s="60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</row>
    <row r="529" ht="15.75" customHeight="1">
      <c r="A529" s="7"/>
      <c r="B529" s="58"/>
      <c r="C529" s="7"/>
      <c r="D529" s="59"/>
      <c r="E529" s="59"/>
      <c r="F529" s="59"/>
      <c r="G529" s="7"/>
      <c r="H529" s="7"/>
      <c r="I529" s="7"/>
      <c r="J529" s="60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</row>
    <row r="530" ht="15.75" customHeight="1">
      <c r="A530" s="7"/>
      <c r="B530" s="58"/>
      <c r="C530" s="7"/>
      <c r="D530" s="59"/>
      <c r="E530" s="59"/>
      <c r="F530" s="59"/>
      <c r="G530" s="7"/>
      <c r="H530" s="7"/>
      <c r="I530" s="7"/>
      <c r="J530" s="60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</row>
    <row r="531" ht="15.75" customHeight="1">
      <c r="A531" s="7"/>
      <c r="B531" s="58"/>
      <c r="C531" s="7"/>
      <c r="D531" s="59"/>
      <c r="E531" s="59"/>
      <c r="F531" s="59"/>
      <c r="G531" s="7"/>
      <c r="H531" s="7"/>
      <c r="I531" s="7"/>
      <c r="J531" s="60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</row>
    <row r="532" ht="15.75" customHeight="1">
      <c r="A532" s="7"/>
      <c r="B532" s="58"/>
      <c r="C532" s="7"/>
      <c r="D532" s="59"/>
      <c r="E532" s="59"/>
      <c r="F532" s="59"/>
      <c r="G532" s="7"/>
      <c r="H532" s="7"/>
      <c r="I532" s="7"/>
      <c r="J532" s="60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</row>
    <row r="533" ht="15.75" customHeight="1">
      <c r="A533" s="7"/>
      <c r="B533" s="58"/>
      <c r="C533" s="7"/>
      <c r="D533" s="59"/>
      <c r="E533" s="59"/>
      <c r="F533" s="59"/>
      <c r="G533" s="7"/>
      <c r="H533" s="7"/>
      <c r="I533" s="7"/>
      <c r="J533" s="60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</row>
    <row r="534" ht="15.75" customHeight="1">
      <c r="A534" s="7"/>
      <c r="B534" s="58"/>
      <c r="C534" s="7"/>
      <c r="D534" s="59"/>
      <c r="E534" s="59"/>
      <c r="F534" s="59"/>
      <c r="G534" s="7"/>
      <c r="H534" s="7"/>
      <c r="I534" s="7"/>
      <c r="J534" s="60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</row>
    <row r="535" ht="15.75" customHeight="1">
      <c r="A535" s="7"/>
      <c r="B535" s="58"/>
      <c r="C535" s="7"/>
      <c r="D535" s="59"/>
      <c r="E535" s="59"/>
      <c r="F535" s="59"/>
      <c r="G535" s="7"/>
      <c r="H535" s="7"/>
      <c r="I535" s="7"/>
      <c r="J535" s="60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</row>
    <row r="536" ht="15.75" customHeight="1">
      <c r="A536" s="7"/>
      <c r="B536" s="58"/>
      <c r="C536" s="7"/>
      <c r="D536" s="59"/>
      <c r="E536" s="59"/>
      <c r="F536" s="59"/>
      <c r="G536" s="7"/>
      <c r="H536" s="7"/>
      <c r="I536" s="7"/>
      <c r="J536" s="60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</row>
    <row r="537" ht="15.75" customHeight="1">
      <c r="A537" s="7"/>
      <c r="B537" s="58"/>
      <c r="C537" s="7"/>
      <c r="D537" s="59"/>
      <c r="E537" s="59"/>
      <c r="F537" s="59"/>
      <c r="G537" s="7"/>
      <c r="H537" s="7"/>
      <c r="I537" s="7"/>
      <c r="J537" s="60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</row>
    <row r="538" ht="15.75" customHeight="1">
      <c r="A538" s="7"/>
      <c r="B538" s="58"/>
      <c r="C538" s="7"/>
      <c r="D538" s="59"/>
      <c r="E538" s="59"/>
      <c r="F538" s="59"/>
      <c r="G538" s="7"/>
      <c r="H538" s="7"/>
      <c r="I538" s="7"/>
      <c r="J538" s="60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</row>
    <row r="539" ht="15.75" customHeight="1">
      <c r="A539" s="7"/>
      <c r="B539" s="58"/>
      <c r="C539" s="7"/>
      <c r="D539" s="59"/>
      <c r="E539" s="59"/>
      <c r="F539" s="59"/>
      <c r="G539" s="7"/>
      <c r="H539" s="7"/>
      <c r="I539" s="7"/>
      <c r="J539" s="60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</row>
    <row r="540" ht="15.75" customHeight="1">
      <c r="A540" s="7"/>
      <c r="B540" s="58"/>
      <c r="C540" s="7"/>
      <c r="D540" s="59"/>
      <c r="E540" s="59"/>
      <c r="F540" s="59"/>
      <c r="G540" s="7"/>
      <c r="H540" s="7"/>
      <c r="I540" s="7"/>
      <c r="J540" s="60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</row>
    <row r="541" ht="15.75" customHeight="1">
      <c r="A541" s="7"/>
      <c r="B541" s="58"/>
      <c r="C541" s="7"/>
      <c r="D541" s="59"/>
      <c r="E541" s="59"/>
      <c r="F541" s="59"/>
      <c r="G541" s="7"/>
      <c r="H541" s="7"/>
      <c r="I541" s="7"/>
      <c r="J541" s="60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</row>
    <row r="542" ht="15.75" customHeight="1">
      <c r="A542" s="7"/>
      <c r="B542" s="58"/>
      <c r="C542" s="7"/>
      <c r="D542" s="59"/>
      <c r="E542" s="59"/>
      <c r="F542" s="59"/>
      <c r="G542" s="7"/>
      <c r="H542" s="7"/>
      <c r="I542" s="7"/>
      <c r="J542" s="60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</row>
    <row r="543" ht="15.75" customHeight="1">
      <c r="A543" s="7"/>
      <c r="B543" s="58"/>
      <c r="C543" s="7"/>
      <c r="D543" s="59"/>
      <c r="E543" s="59"/>
      <c r="F543" s="59"/>
      <c r="G543" s="7"/>
      <c r="H543" s="7"/>
      <c r="I543" s="7"/>
      <c r="J543" s="60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</row>
    <row r="544" ht="15.75" customHeight="1">
      <c r="A544" s="7"/>
      <c r="B544" s="58"/>
      <c r="C544" s="7"/>
      <c r="D544" s="59"/>
      <c r="E544" s="59"/>
      <c r="F544" s="59"/>
      <c r="G544" s="7"/>
      <c r="H544" s="7"/>
      <c r="I544" s="7"/>
      <c r="J544" s="60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</row>
    <row r="545" ht="15.75" customHeight="1">
      <c r="A545" s="7"/>
      <c r="B545" s="58"/>
      <c r="C545" s="7"/>
      <c r="D545" s="59"/>
      <c r="E545" s="59"/>
      <c r="F545" s="59"/>
      <c r="G545" s="7"/>
      <c r="H545" s="7"/>
      <c r="I545" s="7"/>
      <c r="J545" s="60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</row>
    <row r="546" ht="15.75" customHeight="1">
      <c r="A546" s="7"/>
      <c r="B546" s="58"/>
      <c r="C546" s="7"/>
      <c r="D546" s="59"/>
      <c r="E546" s="59"/>
      <c r="F546" s="59"/>
      <c r="G546" s="7"/>
      <c r="H546" s="7"/>
      <c r="I546" s="7"/>
      <c r="J546" s="60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</row>
    <row r="547" ht="15.75" customHeight="1">
      <c r="A547" s="7"/>
      <c r="B547" s="58"/>
      <c r="C547" s="7"/>
      <c r="D547" s="59"/>
      <c r="E547" s="59"/>
      <c r="F547" s="59"/>
      <c r="G547" s="7"/>
      <c r="H547" s="7"/>
      <c r="I547" s="7"/>
      <c r="J547" s="60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</row>
    <row r="548" ht="15.75" customHeight="1">
      <c r="A548" s="7"/>
      <c r="B548" s="58"/>
      <c r="C548" s="7"/>
      <c r="D548" s="59"/>
      <c r="E548" s="59"/>
      <c r="F548" s="59"/>
      <c r="G548" s="7"/>
      <c r="H548" s="7"/>
      <c r="I548" s="7"/>
      <c r="J548" s="60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</row>
    <row r="549" ht="15.75" customHeight="1">
      <c r="A549" s="7"/>
      <c r="B549" s="58"/>
      <c r="C549" s="7"/>
      <c r="D549" s="59"/>
      <c r="E549" s="59"/>
      <c r="F549" s="59"/>
      <c r="G549" s="7"/>
      <c r="H549" s="7"/>
      <c r="I549" s="7"/>
      <c r="J549" s="60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</row>
    <row r="550" ht="15.75" customHeight="1">
      <c r="A550" s="7"/>
      <c r="B550" s="58"/>
      <c r="C550" s="7"/>
      <c r="D550" s="59"/>
      <c r="E550" s="59"/>
      <c r="F550" s="59"/>
      <c r="G550" s="7"/>
      <c r="H550" s="7"/>
      <c r="I550" s="7"/>
      <c r="J550" s="60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</row>
    <row r="551" ht="15.75" customHeight="1">
      <c r="A551" s="7"/>
      <c r="B551" s="58"/>
      <c r="C551" s="7"/>
      <c r="D551" s="59"/>
      <c r="E551" s="59"/>
      <c r="F551" s="59"/>
      <c r="G551" s="7"/>
      <c r="H551" s="7"/>
      <c r="I551" s="7"/>
      <c r="J551" s="60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</row>
    <row r="552" ht="15.75" customHeight="1">
      <c r="A552" s="7"/>
      <c r="B552" s="58"/>
      <c r="C552" s="7"/>
      <c r="D552" s="59"/>
      <c r="E552" s="59"/>
      <c r="F552" s="59"/>
      <c r="G552" s="7"/>
      <c r="H552" s="7"/>
      <c r="I552" s="7"/>
      <c r="J552" s="60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</row>
    <row r="553" ht="15.75" customHeight="1">
      <c r="A553" s="7"/>
      <c r="B553" s="58"/>
      <c r="C553" s="7"/>
      <c r="D553" s="59"/>
      <c r="E553" s="59"/>
      <c r="F553" s="59"/>
      <c r="G553" s="7"/>
      <c r="H553" s="7"/>
      <c r="I553" s="7"/>
      <c r="J553" s="60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</row>
    <row r="554" ht="15.75" customHeight="1">
      <c r="A554" s="7"/>
      <c r="B554" s="58"/>
      <c r="C554" s="7"/>
      <c r="D554" s="59"/>
      <c r="E554" s="59"/>
      <c r="F554" s="59"/>
      <c r="G554" s="7"/>
      <c r="H554" s="7"/>
      <c r="I554" s="7"/>
      <c r="J554" s="60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</row>
    <row r="555" ht="15.75" customHeight="1">
      <c r="A555" s="7"/>
      <c r="B555" s="58"/>
      <c r="C555" s="7"/>
      <c r="D555" s="59"/>
      <c r="E555" s="59"/>
      <c r="F555" s="59"/>
      <c r="G555" s="7"/>
      <c r="H555" s="7"/>
      <c r="I555" s="7"/>
      <c r="J555" s="60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</row>
    <row r="556" ht="15.75" customHeight="1">
      <c r="A556" s="7"/>
      <c r="B556" s="58"/>
      <c r="C556" s="7"/>
      <c r="D556" s="59"/>
      <c r="E556" s="59"/>
      <c r="F556" s="59"/>
      <c r="G556" s="7"/>
      <c r="H556" s="7"/>
      <c r="I556" s="7"/>
      <c r="J556" s="60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</row>
    <row r="557" ht="15.75" customHeight="1">
      <c r="A557" s="7"/>
      <c r="B557" s="58"/>
      <c r="C557" s="7"/>
      <c r="D557" s="59"/>
      <c r="E557" s="59"/>
      <c r="F557" s="59"/>
      <c r="G557" s="7"/>
      <c r="H557" s="7"/>
      <c r="I557" s="7"/>
      <c r="J557" s="60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</row>
    <row r="558" ht="15.75" customHeight="1">
      <c r="A558" s="7"/>
      <c r="B558" s="58"/>
      <c r="C558" s="7"/>
      <c r="D558" s="59"/>
      <c r="E558" s="59"/>
      <c r="F558" s="59"/>
      <c r="G558" s="7"/>
      <c r="H558" s="7"/>
      <c r="I558" s="7"/>
      <c r="J558" s="60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</row>
    <row r="559" ht="15.75" customHeight="1">
      <c r="A559" s="7"/>
      <c r="B559" s="58"/>
      <c r="C559" s="7"/>
      <c r="D559" s="59"/>
      <c r="E559" s="59"/>
      <c r="F559" s="59"/>
      <c r="G559" s="7"/>
      <c r="H559" s="7"/>
      <c r="I559" s="7"/>
      <c r="J559" s="60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</row>
    <row r="560" ht="15.75" customHeight="1">
      <c r="A560" s="7"/>
      <c r="B560" s="58"/>
      <c r="C560" s="7"/>
      <c r="D560" s="59"/>
      <c r="E560" s="59"/>
      <c r="F560" s="59"/>
      <c r="G560" s="7"/>
      <c r="H560" s="7"/>
      <c r="I560" s="7"/>
      <c r="J560" s="60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</row>
    <row r="561" ht="15.75" customHeight="1">
      <c r="A561" s="7"/>
      <c r="B561" s="58"/>
      <c r="C561" s="7"/>
      <c r="D561" s="59"/>
      <c r="E561" s="59"/>
      <c r="F561" s="59"/>
      <c r="G561" s="7"/>
      <c r="H561" s="7"/>
      <c r="I561" s="7"/>
      <c r="J561" s="60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</row>
    <row r="562" ht="15.75" customHeight="1">
      <c r="A562" s="7"/>
      <c r="B562" s="58"/>
      <c r="C562" s="7"/>
      <c r="D562" s="59"/>
      <c r="E562" s="59"/>
      <c r="F562" s="59"/>
      <c r="G562" s="7"/>
      <c r="H562" s="7"/>
      <c r="I562" s="7"/>
      <c r="J562" s="60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</row>
    <row r="563" ht="15.75" customHeight="1">
      <c r="A563" s="7"/>
      <c r="B563" s="58"/>
      <c r="C563" s="7"/>
      <c r="D563" s="59"/>
      <c r="E563" s="59"/>
      <c r="F563" s="59"/>
      <c r="G563" s="7"/>
      <c r="H563" s="7"/>
      <c r="I563" s="7"/>
      <c r="J563" s="60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</row>
    <row r="564" ht="15.75" customHeight="1">
      <c r="A564" s="7"/>
      <c r="B564" s="58"/>
      <c r="C564" s="7"/>
      <c r="D564" s="59"/>
      <c r="E564" s="59"/>
      <c r="F564" s="59"/>
      <c r="G564" s="7"/>
      <c r="H564" s="7"/>
      <c r="I564" s="7"/>
      <c r="J564" s="60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</row>
    <row r="565" ht="15.75" customHeight="1">
      <c r="A565" s="7"/>
      <c r="B565" s="58"/>
      <c r="C565" s="7"/>
      <c r="D565" s="59"/>
      <c r="E565" s="59"/>
      <c r="F565" s="59"/>
      <c r="G565" s="7"/>
      <c r="H565" s="7"/>
      <c r="I565" s="7"/>
      <c r="J565" s="60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</row>
    <row r="566" ht="15.75" customHeight="1">
      <c r="A566" s="7"/>
      <c r="B566" s="58"/>
      <c r="C566" s="7"/>
      <c r="D566" s="59"/>
      <c r="E566" s="59"/>
      <c r="F566" s="59"/>
      <c r="G566" s="7"/>
      <c r="H566" s="7"/>
      <c r="I566" s="7"/>
      <c r="J566" s="60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</row>
    <row r="567" ht="15.75" customHeight="1">
      <c r="A567" s="7"/>
      <c r="B567" s="58"/>
      <c r="C567" s="7"/>
      <c r="D567" s="59"/>
      <c r="E567" s="59"/>
      <c r="F567" s="59"/>
      <c r="G567" s="7"/>
      <c r="H567" s="7"/>
      <c r="I567" s="7"/>
      <c r="J567" s="60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</row>
    <row r="568" ht="15.75" customHeight="1">
      <c r="A568" s="7"/>
      <c r="B568" s="58"/>
      <c r="C568" s="7"/>
      <c r="D568" s="59"/>
      <c r="E568" s="59"/>
      <c r="F568" s="59"/>
      <c r="G568" s="7"/>
      <c r="H568" s="7"/>
      <c r="I568" s="7"/>
      <c r="J568" s="60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</row>
    <row r="569" ht="15.75" customHeight="1">
      <c r="A569" s="7"/>
      <c r="B569" s="58"/>
      <c r="C569" s="7"/>
      <c r="D569" s="59"/>
      <c r="E569" s="59"/>
      <c r="F569" s="59"/>
      <c r="G569" s="7"/>
      <c r="H569" s="7"/>
      <c r="I569" s="7"/>
      <c r="J569" s="60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</row>
    <row r="570" ht="15.75" customHeight="1">
      <c r="A570" s="7"/>
      <c r="B570" s="58"/>
      <c r="C570" s="7"/>
      <c r="D570" s="59"/>
      <c r="E570" s="59"/>
      <c r="F570" s="59"/>
      <c r="G570" s="7"/>
      <c r="H570" s="7"/>
      <c r="I570" s="7"/>
      <c r="J570" s="60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</row>
    <row r="571" ht="15.75" customHeight="1">
      <c r="A571" s="7"/>
      <c r="B571" s="58"/>
      <c r="C571" s="7"/>
      <c r="D571" s="59"/>
      <c r="E571" s="59"/>
      <c r="F571" s="59"/>
      <c r="G571" s="7"/>
      <c r="H571" s="7"/>
      <c r="I571" s="7"/>
      <c r="J571" s="60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</row>
    <row r="572" ht="15.75" customHeight="1">
      <c r="A572" s="7"/>
      <c r="B572" s="58"/>
      <c r="C572" s="7"/>
      <c r="D572" s="59"/>
      <c r="E572" s="59"/>
      <c r="F572" s="59"/>
      <c r="G572" s="7"/>
      <c r="H572" s="7"/>
      <c r="I572" s="7"/>
      <c r="J572" s="60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</row>
    <row r="573" ht="15.75" customHeight="1">
      <c r="A573" s="7"/>
      <c r="B573" s="58"/>
      <c r="C573" s="7"/>
      <c r="D573" s="59"/>
      <c r="E573" s="59"/>
      <c r="F573" s="59"/>
      <c r="G573" s="7"/>
      <c r="H573" s="7"/>
      <c r="I573" s="7"/>
      <c r="J573" s="60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</row>
    <row r="574" ht="15.75" customHeight="1">
      <c r="A574" s="7"/>
      <c r="B574" s="58"/>
      <c r="C574" s="7"/>
      <c r="D574" s="59"/>
      <c r="E574" s="59"/>
      <c r="F574" s="59"/>
      <c r="G574" s="7"/>
      <c r="H574" s="7"/>
      <c r="I574" s="7"/>
      <c r="J574" s="60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</row>
    <row r="575" ht="15.75" customHeight="1">
      <c r="A575" s="7"/>
      <c r="B575" s="58"/>
      <c r="C575" s="7"/>
      <c r="D575" s="59"/>
      <c r="E575" s="59"/>
      <c r="F575" s="59"/>
      <c r="G575" s="7"/>
      <c r="H575" s="7"/>
      <c r="I575" s="7"/>
      <c r="J575" s="60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</row>
    <row r="576" ht="15.75" customHeight="1">
      <c r="A576" s="7"/>
      <c r="B576" s="58"/>
      <c r="C576" s="7"/>
      <c r="D576" s="59"/>
      <c r="E576" s="59"/>
      <c r="F576" s="59"/>
      <c r="G576" s="7"/>
      <c r="H576" s="7"/>
      <c r="I576" s="7"/>
      <c r="J576" s="60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</row>
    <row r="577" ht="15.75" customHeight="1">
      <c r="A577" s="7"/>
      <c r="B577" s="58"/>
      <c r="C577" s="7"/>
      <c r="D577" s="59"/>
      <c r="E577" s="59"/>
      <c r="F577" s="59"/>
      <c r="G577" s="7"/>
      <c r="H577" s="7"/>
      <c r="I577" s="7"/>
      <c r="J577" s="60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</row>
    <row r="578" ht="15.75" customHeight="1">
      <c r="A578" s="7"/>
      <c r="B578" s="58"/>
      <c r="C578" s="7"/>
      <c r="D578" s="59"/>
      <c r="E578" s="59"/>
      <c r="F578" s="59"/>
      <c r="G578" s="7"/>
      <c r="H578" s="7"/>
      <c r="I578" s="7"/>
      <c r="J578" s="60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</row>
    <row r="579" ht="15.75" customHeight="1">
      <c r="A579" s="7"/>
      <c r="B579" s="58"/>
      <c r="C579" s="7"/>
      <c r="D579" s="59"/>
      <c r="E579" s="59"/>
      <c r="F579" s="59"/>
      <c r="G579" s="7"/>
      <c r="H579" s="7"/>
      <c r="I579" s="7"/>
      <c r="J579" s="60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</row>
    <row r="580" ht="15.75" customHeight="1">
      <c r="A580" s="7"/>
      <c r="B580" s="58"/>
      <c r="C580" s="7"/>
      <c r="D580" s="59"/>
      <c r="E580" s="59"/>
      <c r="F580" s="59"/>
      <c r="G580" s="7"/>
      <c r="H580" s="7"/>
      <c r="I580" s="7"/>
      <c r="J580" s="60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</row>
    <row r="581" ht="15.75" customHeight="1">
      <c r="A581" s="7"/>
      <c r="B581" s="58"/>
      <c r="C581" s="7"/>
      <c r="D581" s="59"/>
      <c r="E581" s="59"/>
      <c r="F581" s="59"/>
      <c r="G581" s="7"/>
      <c r="H581" s="7"/>
      <c r="I581" s="7"/>
      <c r="J581" s="60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</row>
    <row r="582" ht="15.75" customHeight="1">
      <c r="A582" s="7"/>
      <c r="B582" s="58"/>
      <c r="C582" s="7"/>
      <c r="D582" s="59"/>
      <c r="E582" s="59"/>
      <c r="F582" s="59"/>
      <c r="G582" s="7"/>
      <c r="H582" s="7"/>
      <c r="I582" s="7"/>
      <c r="J582" s="60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</row>
    <row r="583" ht="15.75" customHeight="1">
      <c r="A583" s="7"/>
      <c r="B583" s="58"/>
      <c r="C583" s="7"/>
      <c r="D583" s="59"/>
      <c r="E583" s="59"/>
      <c r="F583" s="59"/>
      <c r="G583" s="7"/>
      <c r="H583" s="7"/>
      <c r="I583" s="7"/>
      <c r="J583" s="60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</row>
    <row r="584" ht="15.75" customHeight="1">
      <c r="A584" s="7"/>
      <c r="B584" s="58"/>
      <c r="C584" s="7"/>
      <c r="D584" s="59"/>
      <c r="E584" s="59"/>
      <c r="F584" s="59"/>
      <c r="G584" s="7"/>
      <c r="H584" s="7"/>
      <c r="I584" s="7"/>
      <c r="J584" s="60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</row>
    <row r="585" ht="15.75" customHeight="1">
      <c r="A585" s="7"/>
      <c r="B585" s="58"/>
      <c r="C585" s="7"/>
      <c r="D585" s="59"/>
      <c r="E585" s="59"/>
      <c r="F585" s="59"/>
      <c r="G585" s="7"/>
      <c r="H585" s="7"/>
      <c r="I585" s="7"/>
      <c r="J585" s="60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</row>
    <row r="586" ht="15.75" customHeight="1">
      <c r="A586" s="7"/>
      <c r="B586" s="58"/>
      <c r="C586" s="7"/>
      <c r="D586" s="59"/>
      <c r="E586" s="59"/>
      <c r="F586" s="59"/>
      <c r="G586" s="7"/>
      <c r="H586" s="7"/>
      <c r="I586" s="7"/>
      <c r="J586" s="60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</row>
    <row r="587" ht="15.75" customHeight="1">
      <c r="A587" s="7"/>
      <c r="B587" s="58"/>
      <c r="C587" s="7"/>
      <c r="D587" s="59"/>
      <c r="E587" s="59"/>
      <c r="F587" s="59"/>
      <c r="G587" s="7"/>
      <c r="H587" s="7"/>
      <c r="I587" s="7"/>
      <c r="J587" s="60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</row>
    <row r="588" ht="15.75" customHeight="1">
      <c r="A588" s="7"/>
      <c r="B588" s="58"/>
      <c r="C588" s="7"/>
      <c r="D588" s="59"/>
      <c r="E588" s="59"/>
      <c r="F588" s="59"/>
      <c r="G588" s="7"/>
      <c r="H588" s="7"/>
      <c r="I588" s="7"/>
      <c r="J588" s="60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</row>
    <row r="589" ht="15.75" customHeight="1">
      <c r="A589" s="7"/>
      <c r="B589" s="58"/>
      <c r="C589" s="7"/>
      <c r="D589" s="59"/>
      <c r="E589" s="59"/>
      <c r="F589" s="59"/>
      <c r="G589" s="7"/>
      <c r="H589" s="7"/>
      <c r="I589" s="7"/>
      <c r="J589" s="60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</row>
    <row r="590" ht="15.75" customHeight="1">
      <c r="A590" s="7"/>
      <c r="B590" s="58"/>
      <c r="C590" s="7"/>
      <c r="D590" s="59"/>
      <c r="E590" s="59"/>
      <c r="F590" s="59"/>
      <c r="G590" s="7"/>
      <c r="H590" s="7"/>
      <c r="I590" s="7"/>
      <c r="J590" s="60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</row>
    <row r="591" ht="15.75" customHeight="1">
      <c r="A591" s="7"/>
      <c r="B591" s="58"/>
      <c r="C591" s="7"/>
      <c r="D591" s="59"/>
      <c r="E591" s="59"/>
      <c r="F591" s="59"/>
      <c r="G591" s="7"/>
      <c r="H591" s="7"/>
      <c r="I591" s="7"/>
      <c r="J591" s="60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</row>
    <row r="592" ht="15.75" customHeight="1">
      <c r="A592" s="7"/>
      <c r="B592" s="58"/>
      <c r="C592" s="7"/>
      <c r="D592" s="59"/>
      <c r="E592" s="59"/>
      <c r="F592" s="59"/>
      <c r="G592" s="7"/>
      <c r="H592" s="7"/>
      <c r="I592" s="7"/>
      <c r="J592" s="60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</row>
    <row r="593" ht="15.75" customHeight="1">
      <c r="A593" s="7"/>
      <c r="B593" s="58"/>
      <c r="C593" s="7"/>
      <c r="D593" s="59"/>
      <c r="E593" s="59"/>
      <c r="F593" s="59"/>
      <c r="G593" s="7"/>
      <c r="H593" s="7"/>
      <c r="I593" s="7"/>
      <c r="J593" s="60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</row>
    <row r="594" ht="15.75" customHeight="1">
      <c r="A594" s="7"/>
      <c r="B594" s="58"/>
      <c r="C594" s="7"/>
      <c r="D594" s="59"/>
      <c r="E594" s="59"/>
      <c r="F594" s="59"/>
      <c r="G594" s="7"/>
      <c r="H594" s="7"/>
      <c r="I594" s="7"/>
      <c r="J594" s="60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</row>
    <row r="595" ht="15.75" customHeight="1">
      <c r="A595" s="7"/>
      <c r="B595" s="58"/>
      <c r="C595" s="7"/>
      <c r="D595" s="59"/>
      <c r="E595" s="59"/>
      <c r="F595" s="59"/>
      <c r="G595" s="7"/>
      <c r="H595" s="7"/>
      <c r="I595" s="7"/>
      <c r="J595" s="60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</row>
    <row r="596" ht="15.75" customHeight="1">
      <c r="A596" s="7"/>
      <c r="B596" s="58"/>
      <c r="C596" s="7"/>
      <c r="D596" s="59"/>
      <c r="E596" s="59"/>
      <c r="F596" s="59"/>
      <c r="G596" s="7"/>
      <c r="H596" s="7"/>
      <c r="I596" s="7"/>
      <c r="J596" s="60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</row>
    <row r="597" ht="15.75" customHeight="1">
      <c r="A597" s="7"/>
      <c r="B597" s="58"/>
      <c r="C597" s="7"/>
      <c r="D597" s="59"/>
      <c r="E597" s="59"/>
      <c r="F597" s="59"/>
      <c r="G597" s="7"/>
      <c r="H597" s="7"/>
      <c r="I597" s="7"/>
      <c r="J597" s="60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</row>
    <row r="598" ht="15.75" customHeight="1">
      <c r="A598" s="7"/>
      <c r="B598" s="58"/>
      <c r="C598" s="7"/>
      <c r="D598" s="59"/>
      <c r="E598" s="59"/>
      <c r="F598" s="59"/>
      <c r="G598" s="7"/>
      <c r="H598" s="7"/>
      <c r="I598" s="7"/>
      <c r="J598" s="60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</row>
    <row r="599" ht="15.75" customHeight="1">
      <c r="A599" s="7"/>
      <c r="B599" s="58"/>
      <c r="C599" s="7"/>
      <c r="D599" s="59"/>
      <c r="E599" s="59"/>
      <c r="F599" s="59"/>
      <c r="G599" s="7"/>
      <c r="H599" s="7"/>
      <c r="I599" s="7"/>
      <c r="J599" s="60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</row>
    <row r="600" ht="15.75" customHeight="1">
      <c r="A600" s="7"/>
      <c r="B600" s="58"/>
      <c r="C600" s="7"/>
      <c r="D600" s="59"/>
      <c r="E600" s="59"/>
      <c r="F600" s="59"/>
      <c r="G600" s="7"/>
      <c r="H600" s="7"/>
      <c r="I600" s="7"/>
      <c r="J600" s="60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</row>
    <row r="601" ht="15.75" customHeight="1">
      <c r="A601" s="7"/>
      <c r="B601" s="58"/>
      <c r="C601" s="7"/>
      <c r="D601" s="59"/>
      <c r="E601" s="59"/>
      <c r="F601" s="59"/>
      <c r="G601" s="7"/>
      <c r="H601" s="7"/>
      <c r="I601" s="7"/>
      <c r="J601" s="60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</row>
    <row r="602" ht="15.75" customHeight="1">
      <c r="A602" s="7"/>
      <c r="B602" s="58"/>
      <c r="C602" s="7"/>
      <c r="D602" s="59"/>
      <c r="E602" s="59"/>
      <c r="F602" s="59"/>
      <c r="G602" s="7"/>
      <c r="H602" s="7"/>
      <c r="I602" s="7"/>
      <c r="J602" s="60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</row>
    <row r="603" ht="15.75" customHeight="1">
      <c r="A603" s="7"/>
      <c r="B603" s="58"/>
      <c r="C603" s="7"/>
      <c r="D603" s="59"/>
      <c r="E603" s="59"/>
      <c r="F603" s="59"/>
      <c r="G603" s="7"/>
      <c r="H603" s="7"/>
      <c r="I603" s="7"/>
      <c r="J603" s="60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</row>
    <row r="604" ht="15.75" customHeight="1">
      <c r="A604" s="7"/>
      <c r="B604" s="58"/>
      <c r="C604" s="7"/>
      <c r="D604" s="59"/>
      <c r="E604" s="59"/>
      <c r="F604" s="59"/>
      <c r="G604" s="7"/>
      <c r="H604" s="7"/>
      <c r="I604" s="7"/>
      <c r="J604" s="60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</row>
    <row r="605" ht="15.75" customHeight="1">
      <c r="A605" s="7"/>
      <c r="B605" s="58"/>
      <c r="C605" s="7"/>
      <c r="D605" s="59"/>
      <c r="E605" s="59"/>
      <c r="F605" s="59"/>
      <c r="G605" s="7"/>
      <c r="H605" s="7"/>
      <c r="I605" s="7"/>
      <c r="J605" s="60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</row>
    <row r="606" ht="15.75" customHeight="1">
      <c r="A606" s="7"/>
      <c r="B606" s="58"/>
      <c r="C606" s="7"/>
      <c r="D606" s="59"/>
      <c r="E606" s="59"/>
      <c r="F606" s="59"/>
      <c r="G606" s="7"/>
      <c r="H606" s="7"/>
      <c r="I606" s="7"/>
      <c r="J606" s="60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</row>
    <row r="607" ht="15.75" customHeight="1">
      <c r="A607" s="7"/>
      <c r="B607" s="58"/>
      <c r="C607" s="7"/>
      <c r="D607" s="59"/>
      <c r="E607" s="59"/>
      <c r="F607" s="59"/>
      <c r="G607" s="7"/>
      <c r="H607" s="7"/>
      <c r="I607" s="7"/>
      <c r="J607" s="60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</row>
    <row r="608" ht="15.75" customHeight="1">
      <c r="A608" s="7"/>
      <c r="B608" s="58"/>
      <c r="C608" s="7"/>
      <c r="D608" s="59"/>
      <c r="E608" s="59"/>
      <c r="F608" s="59"/>
      <c r="G608" s="7"/>
      <c r="H608" s="7"/>
      <c r="I608" s="7"/>
      <c r="J608" s="60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</row>
    <row r="609" ht="15.75" customHeight="1">
      <c r="A609" s="7"/>
      <c r="B609" s="58"/>
      <c r="C609" s="7"/>
      <c r="D609" s="59"/>
      <c r="E609" s="59"/>
      <c r="F609" s="59"/>
      <c r="G609" s="7"/>
      <c r="H609" s="7"/>
      <c r="I609" s="7"/>
      <c r="J609" s="60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</row>
    <row r="610" ht="15.75" customHeight="1">
      <c r="A610" s="7"/>
      <c r="B610" s="58"/>
      <c r="C610" s="7"/>
      <c r="D610" s="59"/>
      <c r="E610" s="59"/>
      <c r="F610" s="59"/>
      <c r="G610" s="7"/>
      <c r="H610" s="7"/>
      <c r="I610" s="7"/>
      <c r="J610" s="60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</row>
    <row r="611" ht="15.75" customHeight="1">
      <c r="A611" s="7"/>
      <c r="B611" s="58"/>
      <c r="C611" s="7"/>
      <c r="D611" s="59"/>
      <c r="E611" s="59"/>
      <c r="F611" s="59"/>
      <c r="G611" s="7"/>
      <c r="H611" s="7"/>
      <c r="I611" s="7"/>
      <c r="J611" s="60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</row>
    <row r="612" ht="15.75" customHeight="1">
      <c r="A612" s="7"/>
      <c r="B612" s="58"/>
      <c r="C612" s="7"/>
      <c r="D612" s="59"/>
      <c r="E612" s="59"/>
      <c r="F612" s="59"/>
      <c r="G612" s="7"/>
      <c r="H612" s="7"/>
      <c r="I612" s="7"/>
      <c r="J612" s="60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</row>
    <row r="613" ht="15.75" customHeight="1">
      <c r="A613" s="7"/>
      <c r="B613" s="58"/>
      <c r="C613" s="7"/>
      <c r="D613" s="59"/>
      <c r="E613" s="59"/>
      <c r="F613" s="59"/>
      <c r="G613" s="7"/>
      <c r="H613" s="7"/>
      <c r="I613" s="7"/>
      <c r="J613" s="60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</row>
    <row r="614" ht="15.75" customHeight="1">
      <c r="A614" s="7"/>
      <c r="B614" s="58"/>
      <c r="C614" s="7"/>
      <c r="D614" s="59"/>
      <c r="E614" s="59"/>
      <c r="F614" s="59"/>
      <c r="G614" s="7"/>
      <c r="H614" s="7"/>
      <c r="I614" s="7"/>
      <c r="J614" s="60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</row>
    <row r="615" ht="15.75" customHeight="1">
      <c r="A615" s="7"/>
      <c r="B615" s="58"/>
      <c r="C615" s="7"/>
      <c r="D615" s="59"/>
      <c r="E615" s="59"/>
      <c r="F615" s="59"/>
      <c r="G615" s="7"/>
      <c r="H615" s="7"/>
      <c r="I615" s="7"/>
      <c r="J615" s="60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</row>
    <row r="616" ht="15.75" customHeight="1">
      <c r="A616" s="7"/>
      <c r="B616" s="58"/>
      <c r="C616" s="7"/>
      <c r="D616" s="59"/>
      <c r="E616" s="59"/>
      <c r="F616" s="59"/>
      <c r="G616" s="7"/>
      <c r="H616" s="7"/>
      <c r="I616" s="7"/>
      <c r="J616" s="60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</row>
    <row r="617" ht="15.75" customHeight="1">
      <c r="A617" s="7"/>
      <c r="B617" s="58"/>
      <c r="C617" s="7"/>
      <c r="D617" s="59"/>
      <c r="E617" s="59"/>
      <c r="F617" s="59"/>
      <c r="G617" s="7"/>
      <c r="H617" s="7"/>
      <c r="I617" s="7"/>
      <c r="J617" s="60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</row>
    <row r="618" ht="15.75" customHeight="1">
      <c r="A618" s="7"/>
      <c r="B618" s="58"/>
      <c r="C618" s="7"/>
      <c r="D618" s="59"/>
      <c r="E618" s="59"/>
      <c r="F618" s="59"/>
      <c r="G618" s="7"/>
      <c r="H618" s="7"/>
      <c r="I618" s="7"/>
      <c r="J618" s="60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</row>
    <row r="619" ht="15.75" customHeight="1">
      <c r="A619" s="7"/>
      <c r="B619" s="58"/>
      <c r="C619" s="7"/>
      <c r="D619" s="59"/>
      <c r="E619" s="59"/>
      <c r="F619" s="59"/>
      <c r="G619" s="7"/>
      <c r="H619" s="7"/>
      <c r="I619" s="7"/>
      <c r="J619" s="60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</row>
    <row r="620" ht="15.75" customHeight="1">
      <c r="A620" s="7"/>
      <c r="B620" s="58"/>
      <c r="C620" s="7"/>
      <c r="D620" s="59"/>
      <c r="E620" s="59"/>
      <c r="F620" s="59"/>
      <c r="G620" s="7"/>
      <c r="H620" s="7"/>
      <c r="I620" s="7"/>
      <c r="J620" s="60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</row>
    <row r="621" ht="15.75" customHeight="1">
      <c r="A621" s="7"/>
      <c r="B621" s="58"/>
      <c r="C621" s="7"/>
      <c r="D621" s="59"/>
      <c r="E621" s="59"/>
      <c r="F621" s="59"/>
      <c r="G621" s="7"/>
      <c r="H621" s="7"/>
      <c r="I621" s="7"/>
      <c r="J621" s="60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</row>
    <row r="622" ht="15.75" customHeight="1">
      <c r="A622" s="7"/>
      <c r="B622" s="58"/>
      <c r="C622" s="7"/>
      <c r="D622" s="59"/>
      <c r="E622" s="59"/>
      <c r="F622" s="59"/>
      <c r="G622" s="7"/>
      <c r="H622" s="7"/>
      <c r="I622" s="7"/>
      <c r="J622" s="60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</row>
    <row r="623" ht="15.75" customHeight="1">
      <c r="A623" s="7"/>
      <c r="B623" s="58"/>
      <c r="C623" s="7"/>
      <c r="D623" s="59"/>
      <c r="E623" s="59"/>
      <c r="F623" s="59"/>
      <c r="G623" s="7"/>
      <c r="H623" s="7"/>
      <c r="I623" s="7"/>
      <c r="J623" s="60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</row>
    <row r="624" ht="15.75" customHeight="1">
      <c r="A624" s="7"/>
      <c r="B624" s="58"/>
      <c r="C624" s="7"/>
      <c r="D624" s="59"/>
      <c r="E624" s="59"/>
      <c r="F624" s="59"/>
      <c r="G624" s="7"/>
      <c r="H624" s="7"/>
      <c r="I624" s="7"/>
      <c r="J624" s="60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</row>
    <row r="625" ht="15.75" customHeight="1">
      <c r="A625" s="7"/>
      <c r="B625" s="58"/>
      <c r="C625" s="7"/>
      <c r="D625" s="59"/>
      <c r="E625" s="59"/>
      <c r="F625" s="59"/>
      <c r="G625" s="7"/>
      <c r="H625" s="7"/>
      <c r="I625" s="7"/>
      <c r="J625" s="60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</row>
    <row r="626" ht="15.75" customHeight="1">
      <c r="A626" s="7"/>
      <c r="B626" s="58"/>
      <c r="C626" s="7"/>
      <c r="D626" s="59"/>
      <c r="E626" s="59"/>
      <c r="F626" s="59"/>
      <c r="G626" s="7"/>
      <c r="H626" s="7"/>
      <c r="I626" s="7"/>
      <c r="J626" s="60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</row>
    <row r="627" ht="15.75" customHeight="1">
      <c r="A627" s="7"/>
      <c r="B627" s="58"/>
      <c r="C627" s="7"/>
      <c r="D627" s="59"/>
      <c r="E627" s="59"/>
      <c r="F627" s="59"/>
      <c r="G627" s="7"/>
      <c r="H627" s="7"/>
      <c r="I627" s="7"/>
      <c r="J627" s="60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</row>
    <row r="628" ht="15.75" customHeight="1">
      <c r="A628" s="7"/>
      <c r="B628" s="58"/>
      <c r="C628" s="7"/>
      <c r="D628" s="59"/>
      <c r="E628" s="59"/>
      <c r="F628" s="59"/>
      <c r="G628" s="7"/>
      <c r="H628" s="7"/>
      <c r="I628" s="7"/>
      <c r="J628" s="60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</row>
    <row r="629" ht="15.75" customHeight="1">
      <c r="A629" s="7"/>
      <c r="B629" s="58"/>
      <c r="C629" s="7"/>
      <c r="D629" s="59"/>
      <c r="E629" s="59"/>
      <c r="F629" s="59"/>
      <c r="G629" s="7"/>
      <c r="H629" s="7"/>
      <c r="I629" s="7"/>
      <c r="J629" s="60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</row>
    <row r="630" ht="15.75" customHeight="1">
      <c r="A630" s="7"/>
      <c r="B630" s="58"/>
      <c r="C630" s="7"/>
      <c r="D630" s="59"/>
      <c r="E630" s="59"/>
      <c r="F630" s="59"/>
      <c r="G630" s="7"/>
      <c r="H630" s="7"/>
      <c r="I630" s="7"/>
      <c r="J630" s="60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</row>
    <row r="631" ht="15.75" customHeight="1">
      <c r="A631" s="7"/>
      <c r="B631" s="58"/>
      <c r="C631" s="7"/>
      <c r="D631" s="59"/>
      <c r="E631" s="59"/>
      <c r="F631" s="59"/>
      <c r="G631" s="7"/>
      <c r="H631" s="7"/>
      <c r="I631" s="7"/>
      <c r="J631" s="60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</row>
    <row r="632" ht="15.75" customHeight="1">
      <c r="A632" s="7"/>
      <c r="B632" s="58"/>
      <c r="C632" s="7"/>
      <c r="D632" s="59"/>
      <c r="E632" s="59"/>
      <c r="F632" s="59"/>
      <c r="G632" s="7"/>
      <c r="H632" s="7"/>
      <c r="I632" s="7"/>
      <c r="J632" s="60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</row>
    <row r="633" ht="15.75" customHeight="1">
      <c r="A633" s="7"/>
      <c r="B633" s="58"/>
      <c r="C633" s="7"/>
      <c r="D633" s="59"/>
      <c r="E633" s="59"/>
      <c r="F633" s="59"/>
      <c r="G633" s="7"/>
      <c r="H633" s="7"/>
      <c r="I633" s="7"/>
      <c r="J633" s="60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</row>
    <row r="634" ht="15.75" customHeight="1">
      <c r="A634" s="7"/>
      <c r="B634" s="58"/>
      <c r="C634" s="7"/>
      <c r="D634" s="59"/>
      <c r="E634" s="59"/>
      <c r="F634" s="59"/>
      <c r="G634" s="7"/>
      <c r="H634" s="7"/>
      <c r="I634" s="7"/>
      <c r="J634" s="60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</row>
    <row r="635" ht="15.75" customHeight="1">
      <c r="A635" s="7"/>
      <c r="B635" s="58"/>
      <c r="C635" s="7"/>
      <c r="D635" s="59"/>
      <c r="E635" s="59"/>
      <c r="F635" s="59"/>
      <c r="G635" s="7"/>
      <c r="H635" s="7"/>
      <c r="I635" s="7"/>
      <c r="J635" s="60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</row>
    <row r="636" ht="15.75" customHeight="1">
      <c r="A636" s="7"/>
      <c r="B636" s="58"/>
      <c r="C636" s="7"/>
      <c r="D636" s="59"/>
      <c r="E636" s="59"/>
      <c r="F636" s="59"/>
      <c r="G636" s="7"/>
      <c r="H636" s="7"/>
      <c r="I636" s="7"/>
      <c r="J636" s="60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</row>
    <row r="637" ht="15.75" customHeight="1">
      <c r="A637" s="7"/>
      <c r="B637" s="58"/>
      <c r="C637" s="7"/>
      <c r="D637" s="59"/>
      <c r="E637" s="59"/>
      <c r="F637" s="59"/>
      <c r="G637" s="7"/>
      <c r="H637" s="7"/>
      <c r="I637" s="7"/>
      <c r="J637" s="60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</row>
    <row r="638" ht="15.75" customHeight="1">
      <c r="A638" s="7"/>
      <c r="B638" s="58"/>
      <c r="C638" s="7"/>
      <c r="D638" s="59"/>
      <c r="E638" s="59"/>
      <c r="F638" s="59"/>
      <c r="G638" s="7"/>
      <c r="H638" s="7"/>
      <c r="I638" s="7"/>
      <c r="J638" s="60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</row>
    <row r="639" ht="15.75" customHeight="1">
      <c r="A639" s="7"/>
      <c r="B639" s="58"/>
      <c r="C639" s="7"/>
      <c r="D639" s="59"/>
      <c r="E639" s="59"/>
      <c r="F639" s="59"/>
      <c r="G639" s="7"/>
      <c r="H639" s="7"/>
      <c r="I639" s="7"/>
      <c r="J639" s="60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</row>
    <row r="640" ht="15.75" customHeight="1">
      <c r="A640" s="7"/>
      <c r="B640" s="58"/>
      <c r="C640" s="7"/>
      <c r="D640" s="59"/>
      <c r="E640" s="59"/>
      <c r="F640" s="59"/>
      <c r="G640" s="7"/>
      <c r="H640" s="7"/>
      <c r="I640" s="7"/>
      <c r="J640" s="60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</row>
    <row r="641" ht="15.75" customHeight="1">
      <c r="A641" s="7"/>
      <c r="B641" s="58"/>
      <c r="C641" s="7"/>
      <c r="D641" s="59"/>
      <c r="E641" s="59"/>
      <c r="F641" s="59"/>
      <c r="G641" s="7"/>
      <c r="H641" s="7"/>
      <c r="I641" s="7"/>
      <c r="J641" s="60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</row>
    <row r="642" ht="15.75" customHeight="1">
      <c r="A642" s="7"/>
      <c r="B642" s="58"/>
      <c r="C642" s="7"/>
      <c r="D642" s="59"/>
      <c r="E642" s="59"/>
      <c r="F642" s="59"/>
      <c r="G642" s="7"/>
      <c r="H642" s="7"/>
      <c r="I642" s="7"/>
      <c r="J642" s="60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</row>
    <row r="643" ht="15.75" customHeight="1">
      <c r="A643" s="7"/>
      <c r="B643" s="58"/>
      <c r="C643" s="7"/>
      <c r="D643" s="59"/>
      <c r="E643" s="59"/>
      <c r="F643" s="59"/>
      <c r="G643" s="7"/>
      <c r="H643" s="7"/>
      <c r="I643" s="7"/>
      <c r="J643" s="60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</row>
    <row r="644" ht="15.75" customHeight="1">
      <c r="A644" s="7"/>
      <c r="B644" s="58"/>
      <c r="C644" s="7"/>
      <c r="D644" s="59"/>
      <c r="E644" s="59"/>
      <c r="F644" s="59"/>
      <c r="G644" s="7"/>
      <c r="H644" s="7"/>
      <c r="I644" s="7"/>
      <c r="J644" s="60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</row>
    <row r="645" ht="15.75" customHeight="1">
      <c r="A645" s="7"/>
      <c r="B645" s="58"/>
      <c r="C645" s="7"/>
      <c r="D645" s="59"/>
      <c r="E645" s="59"/>
      <c r="F645" s="59"/>
      <c r="G645" s="7"/>
      <c r="H645" s="7"/>
      <c r="I645" s="7"/>
      <c r="J645" s="60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</row>
    <row r="646" ht="15.75" customHeight="1">
      <c r="A646" s="7"/>
      <c r="B646" s="58"/>
      <c r="C646" s="7"/>
      <c r="D646" s="59"/>
      <c r="E646" s="59"/>
      <c r="F646" s="59"/>
      <c r="G646" s="7"/>
      <c r="H646" s="7"/>
      <c r="I646" s="7"/>
      <c r="J646" s="60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</row>
    <row r="647" ht="15.75" customHeight="1">
      <c r="A647" s="7"/>
      <c r="B647" s="58"/>
      <c r="C647" s="7"/>
      <c r="D647" s="59"/>
      <c r="E647" s="59"/>
      <c r="F647" s="59"/>
      <c r="G647" s="7"/>
      <c r="H647" s="7"/>
      <c r="I647" s="7"/>
      <c r="J647" s="60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</row>
    <row r="648" ht="15.75" customHeight="1">
      <c r="A648" s="7"/>
      <c r="B648" s="58"/>
      <c r="C648" s="7"/>
      <c r="D648" s="59"/>
      <c r="E648" s="59"/>
      <c r="F648" s="59"/>
      <c r="G648" s="7"/>
      <c r="H648" s="7"/>
      <c r="I648" s="7"/>
      <c r="J648" s="60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</row>
    <row r="649" ht="15.75" customHeight="1">
      <c r="A649" s="7"/>
      <c r="B649" s="58"/>
      <c r="C649" s="7"/>
      <c r="D649" s="59"/>
      <c r="E649" s="59"/>
      <c r="F649" s="59"/>
      <c r="G649" s="7"/>
      <c r="H649" s="7"/>
      <c r="I649" s="7"/>
      <c r="J649" s="60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</row>
    <row r="650" ht="15.75" customHeight="1">
      <c r="A650" s="7"/>
      <c r="B650" s="58"/>
      <c r="C650" s="7"/>
      <c r="D650" s="59"/>
      <c r="E650" s="59"/>
      <c r="F650" s="59"/>
      <c r="G650" s="7"/>
      <c r="H650" s="7"/>
      <c r="I650" s="7"/>
      <c r="J650" s="60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</row>
    <row r="651" ht="15.75" customHeight="1">
      <c r="A651" s="7"/>
      <c r="B651" s="58"/>
      <c r="C651" s="7"/>
      <c r="D651" s="59"/>
      <c r="E651" s="59"/>
      <c r="F651" s="59"/>
      <c r="G651" s="7"/>
      <c r="H651" s="7"/>
      <c r="I651" s="7"/>
      <c r="J651" s="60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</row>
    <row r="652" ht="15.75" customHeight="1">
      <c r="A652" s="7"/>
      <c r="B652" s="58"/>
      <c r="C652" s="7"/>
      <c r="D652" s="59"/>
      <c r="E652" s="59"/>
      <c r="F652" s="59"/>
      <c r="G652" s="7"/>
      <c r="H652" s="7"/>
      <c r="I652" s="7"/>
      <c r="J652" s="60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</row>
    <row r="653" ht="15.75" customHeight="1">
      <c r="A653" s="7"/>
      <c r="B653" s="58"/>
      <c r="C653" s="7"/>
      <c r="D653" s="59"/>
      <c r="E653" s="59"/>
      <c r="F653" s="59"/>
      <c r="G653" s="7"/>
      <c r="H653" s="7"/>
      <c r="I653" s="7"/>
      <c r="J653" s="60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</row>
    <row r="654" ht="15.75" customHeight="1">
      <c r="A654" s="7"/>
      <c r="B654" s="58"/>
      <c r="C654" s="7"/>
      <c r="D654" s="59"/>
      <c r="E654" s="59"/>
      <c r="F654" s="59"/>
      <c r="G654" s="7"/>
      <c r="H654" s="7"/>
      <c r="I654" s="7"/>
      <c r="J654" s="60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</row>
    <row r="655" ht="15.75" customHeight="1">
      <c r="A655" s="7"/>
      <c r="B655" s="58"/>
      <c r="C655" s="7"/>
      <c r="D655" s="59"/>
      <c r="E655" s="59"/>
      <c r="F655" s="59"/>
      <c r="G655" s="7"/>
      <c r="H655" s="7"/>
      <c r="I655" s="7"/>
      <c r="J655" s="60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</row>
    <row r="656" ht="15.75" customHeight="1">
      <c r="A656" s="7"/>
      <c r="B656" s="58"/>
      <c r="C656" s="7"/>
      <c r="D656" s="59"/>
      <c r="E656" s="59"/>
      <c r="F656" s="59"/>
      <c r="G656" s="7"/>
      <c r="H656" s="7"/>
      <c r="I656" s="7"/>
      <c r="J656" s="60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</row>
    <row r="657" ht="15.75" customHeight="1">
      <c r="A657" s="7"/>
      <c r="B657" s="58"/>
      <c r="C657" s="7"/>
      <c r="D657" s="59"/>
      <c r="E657" s="59"/>
      <c r="F657" s="59"/>
      <c r="G657" s="7"/>
      <c r="H657" s="7"/>
      <c r="I657" s="7"/>
      <c r="J657" s="60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</row>
    <row r="658" ht="15.75" customHeight="1">
      <c r="A658" s="7"/>
      <c r="B658" s="58"/>
      <c r="C658" s="7"/>
      <c r="D658" s="59"/>
      <c r="E658" s="59"/>
      <c r="F658" s="59"/>
      <c r="G658" s="7"/>
      <c r="H658" s="7"/>
      <c r="I658" s="7"/>
      <c r="J658" s="60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</row>
    <row r="659" ht="15.75" customHeight="1">
      <c r="A659" s="7"/>
      <c r="B659" s="58"/>
      <c r="C659" s="7"/>
      <c r="D659" s="59"/>
      <c r="E659" s="59"/>
      <c r="F659" s="59"/>
      <c r="G659" s="7"/>
      <c r="H659" s="7"/>
      <c r="I659" s="7"/>
      <c r="J659" s="60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</row>
    <row r="660" ht="15.75" customHeight="1">
      <c r="A660" s="7"/>
      <c r="B660" s="58"/>
      <c r="C660" s="7"/>
      <c r="D660" s="59"/>
      <c r="E660" s="59"/>
      <c r="F660" s="59"/>
      <c r="G660" s="7"/>
      <c r="H660" s="7"/>
      <c r="I660" s="7"/>
      <c r="J660" s="60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</row>
    <row r="661" ht="15.75" customHeight="1">
      <c r="A661" s="7"/>
      <c r="B661" s="58"/>
      <c r="C661" s="7"/>
      <c r="D661" s="59"/>
      <c r="E661" s="59"/>
      <c r="F661" s="59"/>
      <c r="G661" s="7"/>
      <c r="H661" s="7"/>
      <c r="I661" s="7"/>
      <c r="J661" s="60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</row>
    <row r="662" ht="15.75" customHeight="1">
      <c r="A662" s="7"/>
      <c r="B662" s="58"/>
      <c r="C662" s="7"/>
      <c r="D662" s="59"/>
      <c r="E662" s="59"/>
      <c r="F662" s="59"/>
      <c r="G662" s="7"/>
      <c r="H662" s="7"/>
      <c r="I662" s="7"/>
      <c r="J662" s="60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</row>
    <row r="663" ht="15.75" customHeight="1">
      <c r="A663" s="7"/>
      <c r="B663" s="58"/>
      <c r="C663" s="7"/>
      <c r="D663" s="59"/>
      <c r="E663" s="59"/>
      <c r="F663" s="59"/>
      <c r="G663" s="7"/>
      <c r="H663" s="7"/>
      <c r="I663" s="7"/>
      <c r="J663" s="60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</row>
    <row r="664" ht="15.75" customHeight="1">
      <c r="A664" s="7"/>
      <c r="B664" s="58"/>
      <c r="C664" s="7"/>
      <c r="D664" s="59"/>
      <c r="E664" s="59"/>
      <c r="F664" s="59"/>
      <c r="G664" s="7"/>
      <c r="H664" s="7"/>
      <c r="I664" s="7"/>
      <c r="J664" s="60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</row>
    <row r="665" ht="15.75" customHeight="1">
      <c r="A665" s="7"/>
      <c r="B665" s="58"/>
      <c r="C665" s="7"/>
      <c r="D665" s="59"/>
      <c r="E665" s="59"/>
      <c r="F665" s="59"/>
      <c r="G665" s="7"/>
      <c r="H665" s="7"/>
      <c r="I665" s="7"/>
      <c r="J665" s="60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</row>
    <row r="666" ht="15.75" customHeight="1">
      <c r="A666" s="7"/>
      <c r="B666" s="58"/>
      <c r="C666" s="7"/>
      <c r="D666" s="59"/>
      <c r="E666" s="59"/>
      <c r="F666" s="59"/>
      <c r="G666" s="7"/>
      <c r="H666" s="7"/>
      <c r="I666" s="7"/>
      <c r="J666" s="60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</row>
    <row r="667" ht="15.75" customHeight="1">
      <c r="A667" s="7"/>
      <c r="B667" s="58"/>
      <c r="C667" s="7"/>
      <c r="D667" s="59"/>
      <c r="E667" s="59"/>
      <c r="F667" s="59"/>
      <c r="G667" s="7"/>
      <c r="H667" s="7"/>
      <c r="I667" s="7"/>
      <c r="J667" s="60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</row>
    <row r="668" ht="15.75" customHeight="1">
      <c r="A668" s="7"/>
      <c r="B668" s="58"/>
      <c r="C668" s="7"/>
      <c r="D668" s="59"/>
      <c r="E668" s="59"/>
      <c r="F668" s="59"/>
      <c r="G668" s="7"/>
      <c r="H668" s="7"/>
      <c r="I668" s="7"/>
      <c r="J668" s="60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</row>
    <row r="669" ht="15.75" customHeight="1">
      <c r="A669" s="7"/>
      <c r="B669" s="58"/>
      <c r="C669" s="7"/>
      <c r="D669" s="59"/>
      <c r="E669" s="59"/>
      <c r="F669" s="59"/>
      <c r="G669" s="7"/>
      <c r="H669" s="7"/>
      <c r="I669" s="7"/>
      <c r="J669" s="60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</row>
    <row r="670" ht="15.75" customHeight="1">
      <c r="A670" s="7"/>
      <c r="B670" s="58"/>
      <c r="C670" s="7"/>
      <c r="D670" s="59"/>
      <c r="E670" s="59"/>
      <c r="F670" s="59"/>
      <c r="G670" s="7"/>
      <c r="H670" s="7"/>
      <c r="I670" s="7"/>
      <c r="J670" s="60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</row>
    <row r="671" ht="15.75" customHeight="1">
      <c r="A671" s="7"/>
      <c r="B671" s="58"/>
      <c r="C671" s="7"/>
      <c r="D671" s="59"/>
      <c r="E671" s="59"/>
      <c r="F671" s="59"/>
      <c r="G671" s="7"/>
      <c r="H671" s="7"/>
      <c r="I671" s="7"/>
      <c r="J671" s="60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</row>
    <row r="672" ht="15.75" customHeight="1">
      <c r="A672" s="7"/>
      <c r="B672" s="58"/>
      <c r="C672" s="7"/>
      <c r="D672" s="59"/>
      <c r="E672" s="59"/>
      <c r="F672" s="59"/>
      <c r="G672" s="7"/>
      <c r="H672" s="7"/>
      <c r="I672" s="7"/>
      <c r="J672" s="60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</row>
    <row r="673" ht="15.75" customHeight="1">
      <c r="A673" s="7"/>
      <c r="B673" s="58"/>
      <c r="C673" s="7"/>
      <c r="D673" s="59"/>
      <c r="E673" s="59"/>
      <c r="F673" s="59"/>
      <c r="G673" s="7"/>
      <c r="H673" s="7"/>
      <c r="I673" s="7"/>
      <c r="J673" s="60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</row>
    <row r="674" ht="15.75" customHeight="1">
      <c r="A674" s="7"/>
      <c r="B674" s="58"/>
      <c r="C674" s="7"/>
      <c r="D674" s="59"/>
      <c r="E674" s="59"/>
      <c r="F674" s="59"/>
      <c r="G674" s="7"/>
      <c r="H674" s="7"/>
      <c r="I674" s="7"/>
      <c r="J674" s="60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</row>
    <row r="675" ht="15.75" customHeight="1">
      <c r="A675" s="7"/>
      <c r="B675" s="58"/>
      <c r="C675" s="7"/>
      <c r="D675" s="59"/>
      <c r="E675" s="59"/>
      <c r="F675" s="59"/>
      <c r="G675" s="7"/>
      <c r="H675" s="7"/>
      <c r="I675" s="7"/>
      <c r="J675" s="60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</row>
    <row r="676" ht="15.75" customHeight="1">
      <c r="A676" s="7"/>
      <c r="B676" s="58"/>
      <c r="C676" s="7"/>
      <c r="D676" s="59"/>
      <c r="E676" s="59"/>
      <c r="F676" s="59"/>
      <c r="G676" s="7"/>
      <c r="H676" s="7"/>
      <c r="I676" s="7"/>
      <c r="J676" s="60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</row>
    <row r="677" ht="15.75" customHeight="1">
      <c r="A677" s="7"/>
      <c r="B677" s="58"/>
      <c r="C677" s="7"/>
      <c r="D677" s="59"/>
      <c r="E677" s="59"/>
      <c r="F677" s="59"/>
      <c r="G677" s="7"/>
      <c r="H677" s="7"/>
      <c r="I677" s="7"/>
      <c r="J677" s="60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</row>
    <row r="678" ht="15.75" customHeight="1">
      <c r="A678" s="7"/>
      <c r="B678" s="58"/>
      <c r="C678" s="7"/>
      <c r="D678" s="59"/>
      <c r="E678" s="59"/>
      <c r="F678" s="59"/>
      <c r="G678" s="7"/>
      <c r="H678" s="7"/>
      <c r="I678" s="7"/>
      <c r="J678" s="60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</row>
    <row r="679" ht="15.75" customHeight="1">
      <c r="A679" s="7"/>
      <c r="B679" s="58"/>
      <c r="C679" s="7"/>
      <c r="D679" s="59"/>
      <c r="E679" s="59"/>
      <c r="F679" s="59"/>
      <c r="G679" s="7"/>
      <c r="H679" s="7"/>
      <c r="I679" s="7"/>
      <c r="J679" s="60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</row>
    <row r="680" ht="15.75" customHeight="1">
      <c r="A680" s="7"/>
      <c r="B680" s="58"/>
      <c r="C680" s="7"/>
      <c r="D680" s="59"/>
      <c r="E680" s="59"/>
      <c r="F680" s="59"/>
      <c r="G680" s="7"/>
      <c r="H680" s="7"/>
      <c r="I680" s="7"/>
      <c r="J680" s="60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</row>
    <row r="681" ht="15.75" customHeight="1">
      <c r="A681" s="7"/>
      <c r="B681" s="58"/>
      <c r="C681" s="7"/>
      <c r="D681" s="59"/>
      <c r="E681" s="59"/>
      <c r="F681" s="59"/>
      <c r="G681" s="7"/>
      <c r="H681" s="7"/>
      <c r="I681" s="7"/>
      <c r="J681" s="60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</row>
    <row r="682" ht="15.75" customHeight="1">
      <c r="A682" s="7"/>
      <c r="B682" s="58"/>
      <c r="C682" s="7"/>
      <c r="D682" s="59"/>
      <c r="E682" s="59"/>
      <c r="F682" s="59"/>
      <c r="G682" s="7"/>
      <c r="H682" s="7"/>
      <c r="I682" s="7"/>
      <c r="J682" s="60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</row>
    <row r="683" ht="15.75" customHeight="1">
      <c r="A683" s="7"/>
      <c r="B683" s="58"/>
      <c r="C683" s="7"/>
      <c r="D683" s="59"/>
      <c r="E683" s="59"/>
      <c r="F683" s="59"/>
      <c r="G683" s="7"/>
      <c r="H683" s="7"/>
      <c r="I683" s="7"/>
      <c r="J683" s="60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</row>
    <row r="684" ht="15.75" customHeight="1">
      <c r="A684" s="7"/>
      <c r="B684" s="58"/>
      <c r="C684" s="7"/>
      <c r="D684" s="59"/>
      <c r="E684" s="59"/>
      <c r="F684" s="59"/>
      <c r="G684" s="7"/>
      <c r="H684" s="7"/>
      <c r="I684" s="7"/>
      <c r="J684" s="60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</row>
    <row r="685" ht="15.75" customHeight="1">
      <c r="A685" s="7"/>
      <c r="B685" s="58"/>
      <c r="C685" s="7"/>
      <c r="D685" s="59"/>
      <c r="E685" s="59"/>
      <c r="F685" s="59"/>
      <c r="G685" s="7"/>
      <c r="H685" s="7"/>
      <c r="I685" s="7"/>
      <c r="J685" s="60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</row>
    <row r="686" ht="15.75" customHeight="1">
      <c r="A686" s="7"/>
      <c r="B686" s="58"/>
      <c r="C686" s="7"/>
      <c r="D686" s="59"/>
      <c r="E686" s="59"/>
      <c r="F686" s="59"/>
      <c r="G686" s="7"/>
      <c r="H686" s="7"/>
      <c r="I686" s="7"/>
      <c r="J686" s="60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</row>
    <row r="687" ht="15.75" customHeight="1">
      <c r="A687" s="7"/>
      <c r="B687" s="58"/>
      <c r="C687" s="7"/>
      <c r="D687" s="59"/>
      <c r="E687" s="59"/>
      <c r="F687" s="59"/>
      <c r="G687" s="7"/>
      <c r="H687" s="7"/>
      <c r="I687" s="7"/>
      <c r="J687" s="60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</row>
    <row r="688" ht="15.75" customHeight="1">
      <c r="A688" s="7"/>
      <c r="B688" s="58"/>
      <c r="C688" s="7"/>
      <c r="D688" s="59"/>
      <c r="E688" s="59"/>
      <c r="F688" s="59"/>
      <c r="G688" s="7"/>
      <c r="H688" s="7"/>
      <c r="I688" s="7"/>
      <c r="J688" s="60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</row>
    <row r="689" ht="15.75" customHeight="1">
      <c r="A689" s="7"/>
      <c r="B689" s="58"/>
      <c r="C689" s="7"/>
      <c r="D689" s="59"/>
      <c r="E689" s="59"/>
      <c r="F689" s="59"/>
      <c r="G689" s="7"/>
      <c r="H689" s="7"/>
      <c r="I689" s="7"/>
      <c r="J689" s="60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</row>
    <row r="690" ht="15.75" customHeight="1">
      <c r="A690" s="7"/>
      <c r="B690" s="58"/>
      <c r="C690" s="7"/>
      <c r="D690" s="59"/>
      <c r="E690" s="59"/>
      <c r="F690" s="59"/>
      <c r="G690" s="7"/>
      <c r="H690" s="7"/>
      <c r="I690" s="7"/>
      <c r="J690" s="60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</row>
    <row r="691" ht="15.75" customHeight="1">
      <c r="A691" s="7"/>
      <c r="B691" s="58"/>
      <c r="C691" s="7"/>
      <c r="D691" s="59"/>
      <c r="E691" s="59"/>
      <c r="F691" s="59"/>
      <c r="G691" s="7"/>
      <c r="H691" s="7"/>
      <c r="I691" s="7"/>
      <c r="J691" s="60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</row>
    <row r="692" ht="15.75" customHeight="1">
      <c r="A692" s="7"/>
      <c r="B692" s="58"/>
      <c r="C692" s="7"/>
      <c r="D692" s="59"/>
      <c r="E692" s="59"/>
      <c r="F692" s="59"/>
      <c r="G692" s="7"/>
      <c r="H692" s="7"/>
      <c r="I692" s="7"/>
      <c r="J692" s="60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</row>
    <row r="693" ht="15.75" customHeight="1">
      <c r="A693" s="7"/>
      <c r="B693" s="58"/>
      <c r="C693" s="7"/>
      <c r="D693" s="59"/>
      <c r="E693" s="59"/>
      <c r="F693" s="59"/>
      <c r="G693" s="7"/>
      <c r="H693" s="7"/>
      <c r="I693" s="7"/>
      <c r="J693" s="60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</row>
    <row r="694" ht="15.75" customHeight="1">
      <c r="A694" s="7"/>
      <c r="B694" s="58"/>
      <c r="C694" s="7"/>
      <c r="D694" s="59"/>
      <c r="E694" s="59"/>
      <c r="F694" s="59"/>
      <c r="G694" s="7"/>
      <c r="H694" s="7"/>
      <c r="I694" s="7"/>
      <c r="J694" s="60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</row>
    <row r="695" ht="15.75" customHeight="1">
      <c r="A695" s="7"/>
      <c r="B695" s="58"/>
      <c r="C695" s="7"/>
      <c r="D695" s="59"/>
      <c r="E695" s="59"/>
      <c r="F695" s="59"/>
      <c r="G695" s="7"/>
      <c r="H695" s="7"/>
      <c r="I695" s="7"/>
      <c r="J695" s="60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</row>
    <row r="696" ht="15.75" customHeight="1">
      <c r="A696" s="7"/>
      <c r="B696" s="58"/>
      <c r="C696" s="7"/>
      <c r="D696" s="59"/>
      <c r="E696" s="59"/>
      <c r="F696" s="59"/>
      <c r="G696" s="7"/>
      <c r="H696" s="7"/>
      <c r="I696" s="7"/>
      <c r="J696" s="60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</row>
    <row r="697" ht="15.75" customHeight="1">
      <c r="A697" s="7"/>
      <c r="B697" s="58"/>
      <c r="C697" s="7"/>
      <c r="D697" s="59"/>
      <c r="E697" s="59"/>
      <c r="F697" s="59"/>
      <c r="G697" s="7"/>
      <c r="H697" s="7"/>
      <c r="I697" s="7"/>
      <c r="J697" s="60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</row>
    <row r="698" ht="15.75" customHeight="1">
      <c r="A698" s="7"/>
      <c r="B698" s="58"/>
      <c r="C698" s="7"/>
      <c r="D698" s="59"/>
      <c r="E698" s="59"/>
      <c r="F698" s="59"/>
      <c r="G698" s="7"/>
      <c r="H698" s="7"/>
      <c r="I698" s="7"/>
      <c r="J698" s="60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</row>
    <row r="699" ht="15.75" customHeight="1">
      <c r="A699" s="7"/>
      <c r="B699" s="58"/>
      <c r="C699" s="7"/>
      <c r="D699" s="59"/>
      <c r="E699" s="59"/>
      <c r="F699" s="59"/>
      <c r="G699" s="7"/>
      <c r="H699" s="7"/>
      <c r="I699" s="7"/>
      <c r="J699" s="60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</row>
    <row r="700" ht="15.75" customHeight="1">
      <c r="A700" s="7"/>
      <c r="B700" s="58"/>
      <c r="C700" s="7"/>
      <c r="D700" s="59"/>
      <c r="E700" s="59"/>
      <c r="F700" s="59"/>
      <c r="G700" s="7"/>
      <c r="H700" s="7"/>
      <c r="I700" s="7"/>
      <c r="J700" s="60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</row>
    <row r="701" ht="15.75" customHeight="1">
      <c r="A701" s="7"/>
      <c r="B701" s="58"/>
      <c r="C701" s="7"/>
      <c r="D701" s="59"/>
      <c r="E701" s="59"/>
      <c r="F701" s="59"/>
      <c r="G701" s="7"/>
      <c r="H701" s="7"/>
      <c r="I701" s="7"/>
      <c r="J701" s="60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</row>
    <row r="702" ht="15.75" customHeight="1">
      <c r="A702" s="7"/>
      <c r="B702" s="58"/>
      <c r="C702" s="7"/>
      <c r="D702" s="59"/>
      <c r="E702" s="59"/>
      <c r="F702" s="59"/>
      <c r="G702" s="7"/>
      <c r="H702" s="7"/>
      <c r="I702" s="7"/>
      <c r="J702" s="60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</row>
    <row r="703" ht="15.75" customHeight="1">
      <c r="A703" s="7"/>
      <c r="B703" s="58"/>
      <c r="C703" s="7"/>
      <c r="D703" s="59"/>
      <c r="E703" s="59"/>
      <c r="F703" s="59"/>
      <c r="G703" s="7"/>
      <c r="H703" s="7"/>
      <c r="I703" s="7"/>
      <c r="J703" s="60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</row>
    <row r="704" ht="15.75" customHeight="1">
      <c r="A704" s="7"/>
      <c r="B704" s="58"/>
      <c r="C704" s="7"/>
      <c r="D704" s="59"/>
      <c r="E704" s="59"/>
      <c r="F704" s="59"/>
      <c r="G704" s="7"/>
      <c r="H704" s="7"/>
      <c r="I704" s="7"/>
      <c r="J704" s="60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</row>
    <row r="705" ht="15.75" customHeight="1">
      <c r="A705" s="7"/>
      <c r="B705" s="58"/>
      <c r="C705" s="7"/>
      <c r="D705" s="59"/>
      <c r="E705" s="59"/>
      <c r="F705" s="59"/>
      <c r="G705" s="7"/>
      <c r="H705" s="7"/>
      <c r="I705" s="7"/>
      <c r="J705" s="60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</row>
    <row r="706" ht="15.75" customHeight="1">
      <c r="A706" s="7"/>
      <c r="B706" s="58"/>
      <c r="C706" s="7"/>
      <c r="D706" s="59"/>
      <c r="E706" s="59"/>
      <c r="F706" s="59"/>
      <c r="G706" s="7"/>
      <c r="H706" s="7"/>
      <c r="I706" s="7"/>
      <c r="J706" s="60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</row>
    <row r="707" ht="15.75" customHeight="1">
      <c r="A707" s="7"/>
      <c r="B707" s="58"/>
      <c r="C707" s="7"/>
      <c r="D707" s="59"/>
      <c r="E707" s="59"/>
      <c r="F707" s="59"/>
      <c r="G707" s="7"/>
      <c r="H707" s="7"/>
      <c r="I707" s="7"/>
      <c r="J707" s="60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</row>
    <row r="708" ht="15.75" customHeight="1">
      <c r="A708" s="7"/>
      <c r="B708" s="58"/>
      <c r="C708" s="7"/>
      <c r="D708" s="59"/>
      <c r="E708" s="59"/>
      <c r="F708" s="59"/>
      <c r="G708" s="7"/>
      <c r="H708" s="7"/>
      <c r="I708" s="7"/>
      <c r="J708" s="60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</row>
    <row r="709" ht="15.75" customHeight="1">
      <c r="A709" s="7"/>
      <c r="B709" s="58"/>
      <c r="C709" s="7"/>
      <c r="D709" s="59"/>
      <c r="E709" s="59"/>
      <c r="F709" s="59"/>
      <c r="G709" s="7"/>
      <c r="H709" s="7"/>
      <c r="I709" s="7"/>
      <c r="J709" s="60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</row>
    <row r="710" ht="15.75" customHeight="1">
      <c r="A710" s="7"/>
      <c r="B710" s="58"/>
      <c r="C710" s="7"/>
      <c r="D710" s="59"/>
      <c r="E710" s="59"/>
      <c r="F710" s="59"/>
      <c r="G710" s="7"/>
      <c r="H710" s="7"/>
      <c r="I710" s="7"/>
      <c r="J710" s="60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</row>
    <row r="711" ht="15.75" customHeight="1">
      <c r="A711" s="7"/>
      <c r="B711" s="58"/>
      <c r="C711" s="7"/>
      <c r="D711" s="59"/>
      <c r="E711" s="59"/>
      <c r="F711" s="59"/>
      <c r="G711" s="7"/>
      <c r="H711" s="7"/>
      <c r="I711" s="7"/>
      <c r="J711" s="60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</row>
    <row r="712" ht="15.75" customHeight="1">
      <c r="A712" s="7"/>
      <c r="B712" s="58"/>
      <c r="C712" s="7"/>
      <c r="D712" s="59"/>
      <c r="E712" s="59"/>
      <c r="F712" s="59"/>
      <c r="G712" s="7"/>
      <c r="H712" s="7"/>
      <c r="I712" s="7"/>
      <c r="J712" s="60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</row>
    <row r="713" ht="15.75" customHeight="1">
      <c r="A713" s="7"/>
      <c r="B713" s="58"/>
      <c r="C713" s="7"/>
      <c r="D713" s="59"/>
      <c r="E713" s="59"/>
      <c r="F713" s="59"/>
      <c r="G713" s="7"/>
      <c r="H713" s="7"/>
      <c r="I713" s="7"/>
      <c r="J713" s="60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</row>
    <row r="714" ht="15.75" customHeight="1">
      <c r="A714" s="7"/>
      <c r="B714" s="58"/>
      <c r="C714" s="7"/>
      <c r="D714" s="59"/>
      <c r="E714" s="59"/>
      <c r="F714" s="59"/>
      <c r="G714" s="7"/>
      <c r="H714" s="7"/>
      <c r="I714" s="7"/>
      <c r="J714" s="60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</row>
    <row r="715" ht="15.75" customHeight="1">
      <c r="A715" s="7"/>
      <c r="B715" s="58"/>
      <c r="C715" s="7"/>
      <c r="D715" s="59"/>
      <c r="E715" s="59"/>
      <c r="F715" s="59"/>
      <c r="G715" s="7"/>
      <c r="H715" s="7"/>
      <c r="I715" s="7"/>
      <c r="J715" s="60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</row>
    <row r="716" ht="15.75" customHeight="1">
      <c r="A716" s="7"/>
      <c r="B716" s="58"/>
      <c r="C716" s="7"/>
      <c r="D716" s="59"/>
      <c r="E716" s="59"/>
      <c r="F716" s="59"/>
      <c r="G716" s="7"/>
      <c r="H716" s="7"/>
      <c r="I716" s="7"/>
      <c r="J716" s="60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</row>
    <row r="717" ht="15.75" customHeight="1">
      <c r="A717" s="7"/>
      <c r="B717" s="58"/>
      <c r="C717" s="7"/>
      <c r="D717" s="59"/>
      <c r="E717" s="59"/>
      <c r="F717" s="59"/>
      <c r="G717" s="7"/>
      <c r="H717" s="7"/>
      <c r="I717" s="7"/>
      <c r="J717" s="60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</row>
    <row r="718" ht="15.75" customHeight="1">
      <c r="A718" s="7"/>
      <c r="B718" s="58"/>
      <c r="C718" s="7"/>
      <c r="D718" s="59"/>
      <c r="E718" s="59"/>
      <c r="F718" s="59"/>
      <c r="G718" s="7"/>
      <c r="H718" s="7"/>
      <c r="I718" s="7"/>
      <c r="J718" s="60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</row>
    <row r="719" ht="15.75" customHeight="1">
      <c r="A719" s="7"/>
      <c r="B719" s="58"/>
      <c r="C719" s="7"/>
      <c r="D719" s="59"/>
      <c r="E719" s="59"/>
      <c r="F719" s="59"/>
      <c r="G719" s="7"/>
      <c r="H719" s="7"/>
      <c r="I719" s="7"/>
      <c r="J719" s="60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</row>
    <row r="720" ht="15.75" customHeight="1">
      <c r="A720" s="7"/>
      <c r="B720" s="58"/>
      <c r="C720" s="7"/>
      <c r="D720" s="59"/>
      <c r="E720" s="59"/>
      <c r="F720" s="59"/>
      <c r="G720" s="7"/>
      <c r="H720" s="7"/>
      <c r="I720" s="7"/>
      <c r="J720" s="60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</row>
    <row r="721" ht="15.75" customHeight="1">
      <c r="A721" s="7"/>
      <c r="B721" s="58"/>
      <c r="C721" s="7"/>
      <c r="D721" s="59"/>
      <c r="E721" s="59"/>
      <c r="F721" s="59"/>
      <c r="G721" s="7"/>
      <c r="H721" s="7"/>
      <c r="I721" s="7"/>
      <c r="J721" s="60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</row>
    <row r="722" ht="15.75" customHeight="1">
      <c r="A722" s="7"/>
      <c r="B722" s="58"/>
      <c r="C722" s="7"/>
      <c r="D722" s="59"/>
      <c r="E722" s="59"/>
      <c r="F722" s="59"/>
      <c r="G722" s="7"/>
      <c r="H722" s="7"/>
      <c r="I722" s="7"/>
      <c r="J722" s="60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</row>
    <row r="723" ht="15.75" customHeight="1">
      <c r="A723" s="7"/>
      <c r="B723" s="58"/>
      <c r="C723" s="7"/>
      <c r="D723" s="59"/>
      <c r="E723" s="59"/>
      <c r="F723" s="59"/>
      <c r="G723" s="7"/>
      <c r="H723" s="7"/>
      <c r="I723" s="7"/>
      <c r="J723" s="60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</row>
    <row r="724" ht="15.75" customHeight="1">
      <c r="A724" s="7"/>
      <c r="B724" s="58"/>
      <c r="C724" s="7"/>
      <c r="D724" s="59"/>
      <c r="E724" s="59"/>
      <c r="F724" s="59"/>
      <c r="G724" s="7"/>
      <c r="H724" s="7"/>
      <c r="I724" s="7"/>
      <c r="J724" s="60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</row>
    <row r="725" ht="15.75" customHeight="1">
      <c r="A725" s="7"/>
      <c r="B725" s="58"/>
      <c r="C725" s="7"/>
      <c r="D725" s="59"/>
      <c r="E725" s="59"/>
      <c r="F725" s="59"/>
      <c r="G725" s="7"/>
      <c r="H725" s="7"/>
      <c r="I725" s="7"/>
      <c r="J725" s="60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</row>
    <row r="726" ht="15.75" customHeight="1">
      <c r="A726" s="7"/>
      <c r="B726" s="58"/>
      <c r="C726" s="7"/>
      <c r="D726" s="59"/>
      <c r="E726" s="59"/>
      <c r="F726" s="59"/>
      <c r="G726" s="7"/>
      <c r="H726" s="7"/>
      <c r="I726" s="7"/>
      <c r="J726" s="60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</row>
    <row r="727" ht="15.75" customHeight="1">
      <c r="A727" s="7"/>
      <c r="B727" s="58"/>
      <c r="C727" s="7"/>
      <c r="D727" s="59"/>
      <c r="E727" s="59"/>
      <c r="F727" s="59"/>
      <c r="G727" s="7"/>
      <c r="H727" s="7"/>
      <c r="I727" s="7"/>
      <c r="J727" s="60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</row>
    <row r="728" ht="15.75" customHeight="1">
      <c r="A728" s="7"/>
      <c r="B728" s="58"/>
      <c r="C728" s="7"/>
      <c r="D728" s="59"/>
      <c r="E728" s="59"/>
      <c r="F728" s="59"/>
      <c r="G728" s="7"/>
      <c r="H728" s="7"/>
      <c r="I728" s="7"/>
      <c r="J728" s="60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</row>
    <row r="729" ht="15.75" customHeight="1">
      <c r="A729" s="7"/>
      <c r="B729" s="58"/>
      <c r="C729" s="7"/>
      <c r="D729" s="59"/>
      <c r="E729" s="59"/>
      <c r="F729" s="59"/>
      <c r="G729" s="7"/>
      <c r="H729" s="7"/>
      <c r="I729" s="7"/>
      <c r="J729" s="60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</row>
    <row r="730" ht="15.75" customHeight="1">
      <c r="A730" s="7"/>
      <c r="B730" s="58"/>
      <c r="C730" s="7"/>
      <c r="D730" s="59"/>
      <c r="E730" s="59"/>
      <c r="F730" s="59"/>
      <c r="G730" s="7"/>
      <c r="H730" s="7"/>
      <c r="I730" s="7"/>
      <c r="J730" s="60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</row>
    <row r="731" ht="15.75" customHeight="1">
      <c r="A731" s="7"/>
      <c r="B731" s="58"/>
      <c r="C731" s="7"/>
      <c r="D731" s="59"/>
      <c r="E731" s="59"/>
      <c r="F731" s="59"/>
      <c r="G731" s="7"/>
      <c r="H731" s="7"/>
      <c r="I731" s="7"/>
      <c r="J731" s="60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</row>
    <row r="732" ht="15.75" customHeight="1">
      <c r="A732" s="7"/>
      <c r="B732" s="58"/>
      <c r="C732" s="7"/>
      <c r="D732" s="59"/>
      <c r="E732" s="59"/>
      <c r="F732" s="59"/>
      <c r="G732" s="7"/>
      <c r="H732" s="7"/>
      <c r="I732" s="7"/>
      <c r="J732" s="60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</row>
    <row r="733" ht="15.75" customHeight="1">
      <c r="A733" s="7"/>
      <c r="B733" s="58"/>
      <c r="C733" s="7"/>
      <c r="D733" s="59"/>
      <c r="E733" s="59"/>
      <c r="F733" s="59"/>
      <c r="G733" s="7"/>
      <c r="H733" s="7"/>
      <c r="I733" s="7"/>
      <c r="J733" s="60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</row>
    <row r="734" ht="15.75" customHeight="1">
      <c r="A734" s="7"/>
      <c r="B734" s="58"/>
      <c r="C734" s="7"/>
      <c r="D734" s="59"/>
      <c r="E734" s="59"/>
      <c r="F734" s="59"/>
      <c r="G734" s="7"/>
      <c r="H734" s="7"/>
      <c r="I734" s="7"/>
      <c r="J734" s="60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</row>
    <row r="735" ht="15.75" customHeight="1">
      <c r="A735" s="7"/>
      <c r="B735" s="58"/>
      <c r="C735" s="7"/>
      <c r="D735" s="59"/>
      <c r="E735" s="59"/>
      <c r="F735" s="59"/>
      <c r="G735" s="7"/>
      <c r="H735" s="7"/>
      <c r="I735" s="7"/>
      <c r="J735" s="60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</row>
    <row r="736" ht="15.75" customHeight="1">
      <c r="A736" s="7"/>
      <c r="B736" s="58"/>
      <c r="C736" s="7"/>
      <c r="D736" s="59"/>
      <c r="E736" s="59"/>
      <c r="F736" s="59"/>
      <c r="G736" s="7"/>
      <c r="H736" s="7"/>
      <c r="I736" s="7"/>
      <c r="J736" s="60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</row>
    <row r="737" ht="15.75" customHeight="1">
      <c r="A737" s="7"/>
      <c r="B737" s="58"/>
      <c r="C737" s="7"/>
      <c r="D737" s="59"/>
      <c r="E737" s="59"/>
      <c r="F737" s="59"/>
      <c r="G737" s="7"/>
      <c r="H737" s="7"/>
      <c r="I737" s="7"/>
      <c r="J737" s="60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</row>
    <row r="738" ht="15.75" customHeight="1">
      <c r="A738" s="7"/>
      <c r="B738" s="58"/>
      <c r="C738" s="7"/>
      <c r="D738" s="59"/>
      <c r="E738" s="59"/>
      <c r="F738" s="59"/>
      <c r="G738" s="7"/>
      <c r="H738" s="7"/>
      <c r="I738" s="7"/>
      <c r="J738" s="60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</row>
    <row r="739" ht="15.75" customHeight="1">
      <c r="A739" s="7"/>
      <c r="B739" s="58"/>
      <c r="C739" s="7"/>
      <c r="D739" s="59"/>
      <c r="E739" s="59"/>
      <c r="F739" s="59"/>
      <c r="G739" s="7"/>
      <c r="H739" s="7"/>
      <c r="I739" s="7"/>
      <c r="J739" s="60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</row>
    <row r="740" ht="15.75" customHeight="1">
      <c r="A740" s="7"/>
      <c r="B740" s="58"/>
      <c r="C740" s="7"/>
      <c r="D740" s="59"/>
      <c r="E740" s="59"/>
      <c r="F740" s="59"/>
      <c r="G740" s="7"/>
      <c r="H740" s="7"/>
      <c r="I740" s="7"/>
      <c r="J740" s="60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</row>
    <row r="741" ht="15.75" customHeight="1">
      <c r="A741" s="7"/>
      <c r="B741" s="58"/>
      <c r="C741" s="7"/>
      <c r="D741" s="59"/>
      <c r="E741" s="59"/>
      <c r="F741" s="59"/>
      <c r="G741" s="7"/>
      <c r="H741" s="7"/>
      <c r="I741" s="7"/>
      <c r="J741" s="60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</row>
    <row r="742" ht="15.75" customHeight="1">
      <c r="A742" s="7"/>
      <c r="B742" s="58"/>
      <c r="C742" s="7"/>
      <c r="D742" s="59"/>
      <c r="E742" s="59"/>
      <c r="F742" s="59"/>
      <c r="G742" s="7"/>
      <c r="H742" s="7"/>
      <c r="I742" s="7"/>
      <c r="J742" s="60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</row>
    <row r="743" ht="15.75" customHeight="1">
      <c r="A743" s="7"/>
      <c r="B743" s="58"/>
      <c r="C743" s="7"/>
      <c r="D743" s="59"/>
      <c r="E743" s="59"/>
      <c r="F743" s="59"/>
      <c r="G743" s="7"/>
      <c r="H743" s="7"/>
      <c r="I743" s="7"/>
      <c r="J743" s="60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</row>
    <row r="744" ht="15.75" customHeight="1">
      <c r="A744" s="7"/>
      <c r="B744" s="58"/>
      <c r="C744" s="7"/>
      <c r="D744" s="59"/>
      <c r="E744" s="59"/>
      <c r="F744" s="59"/>
      <c r="G744" s="7"/>
      <c r="H744" s="7"/>
      <c r="I744" s="7"/>
      <c r="J744" s="60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</row>
    <row r="745" ht="15.75" customHeight="1">
      <c r="A745" s="7"/>
      <c r="B745" s="58"/>
      <c r="C745" s="7"/>
      <c r="D745" s="59"/>
      <c r="E745" s="59"/>
      <c r="F745" s="59"/>
      <c r="G745" s="7"/>
      <c r="H745" s="7"/>
      <c r="I745" s="7"/>
      <c r="J745" s="60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</row>
    <row r="746" ht="15.75" customHeight="1">
      <c r="A746" s="7"/>
      <c r="B746" s="58"/>
      <c r="C746" s="7"/>
      <c r="D746" s="59"/>
      <c r="E746" s="59"/>
      <c r="F746" s="59"/>
      <c r="G746" s="7"/>
      <c r="H746" s="7"/>
      <c r="I746" s="7"/>
      <c r="J746" s="60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</row>
    <row r="747" ht="15.75" customHeight="1">
      <c r="A747" s="7"/>
      <c r="B747" s="58"/>
      <c r="C747" s="7"/>
      <c r="D747" s="59"/>
      <c r="E747" s="59"/>
      <c r="F747" s="59"/>
      <c r="G747" s="7"/>
      <c r="H747" s="7"/>
      <c r="I747" s="7"/>
      <c r="J747" s="60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</row>
    <row r="748" ht="15.75" customHeight="1">
      <c r="A748" s="7"/>
      <c r="B748" s="58"/>
      <c r="C748" s="7"/>
      <c r="D748" s="59"/>
      <c r="E748" s="59"/>
      <c r="F748" s="59"/>
      <c r="G748" s="7"/>
      <c r="H748" s="7"/>
      <c r="I748" s="7"/>
      <c r="J748" s="60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</row>
    <row r="749" ht="15.75" customHeight="1">
      <c r="A749" s="7"/>
      <c r="B749" s="58"/>
      <c r="C749" s="7"/>
      <c r="D749" s="59"/>
      <c r="E749" s="59"/>
      <c r="F749" s="59"/>
      <c r="G749" s="7"/>
      <c r="H749" s="7"/>
      <c r="I749" s="7"/>
      <c r="J749" s="60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</row>
    <row r="750" ht="15.75" customHeight="1">
      <c r="A750" s="7"/>
      <c r="B750" s="58"/>
      <c r="C750" s="7"/>
      <c r="D750" s="59"/>
      <c r="E750" s="59"/>
      <c r="F750" s="59"/>
      <c r="G750" s="7"/>
      <c r="H750" s="7"/>
      <c r="I750" s="7"/>
      <c r="J750" s="60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</row>
    <row r="751" ht="15.75" customHeight="1">
      <c r="A751" s="7"/>
      <c r="B751" s="58"/>
      <c r="C751" s="7"/>
      <c r="D751" s="59"/>
      <c r="E751" s="59"/>
      <c r="F751" s="59"/>
      <c r="G751" s="7"/>
      <c r="H751" s="7"/>
      <c r="I751" s="7"/>
      <c r="J751" s="60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</row>
    <row r="752" ht="15.75" customHeight="1">
      <c r="A752" s="7"/>
      <c r="B752" s="58"/>
      <c r="C752" s="7"/>
      <c r="D752" s="59"/>
      <c r="E752" s="59"/>
      <c r="F752" s="59"/>
      <c r="G752" s="7"/>
      <c r="H752" s="7"/>
      <c r="I752" s="7"/>
      <c r="J752" s="60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</row>
    <row r="753" ht="15.75" customHeight="1">
      <c r="A753" s="7"/>
      <c r="B753" s="58"/>
      <c r="C753" s="7"/>
      <c r="D753" s="59"/>
      <c r="E753" s="59"/>
      <c r="F753" s="59"/>
      <c r="G753" s="7"/>
      <c r="H753" s="7"/>
      <c r="I753" s="7"/>
      <c r="J753" s="60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</row>
    <row r="754" ht="15.75" customHeight="1">
      <c r="A754" s="7"/>
      <c r="B754" s="58"/>
      <c r="C754" s="7"/>
      <c r="D754" s="59"/>
      <c r="E754" s="59"/>
      <c r="F754" s="59"/>
      <c r="G754" s="7"/>
      <c r="H754" s="7"/>
      <c r="I754" s="7"/>
      <c r="J754" s="60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</row>
    <row r="755" ht="15.75" customHeight="1">
      <c r="A755" s="7"/>
      <c r="B755" s="58"/>
      <c r="C755" s="7"/>
      <c r="D755" s="59"/>
      <c r="E755" s="59"/>
      <c r="F755" s="59"/>
      <c r="G755" s="7"/>
      <c r="H755" s="7"/>
      <c r="I755" s="7"/>
      <c r="J755" s="60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</row>
    <row r="756" ht="15.75" customHeight="1">
      <c r="A756" s="7"/>
      <c r="B756" s="58"/>
      <c r="C756" s="7"/>
      <c r="D756" s="59"/>
      <c r="E756" s="59"/>
      <c r="F756" s="59"/>
      <c r="G756" s="7"/>
      <c r="H756" s="7"/>
      <c r="I756" s="7"/>
      <c r="J756" s="60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</row>
    <row r="757" ht="15.75" customHeight="1">
      <c r="A757" s="7"/>
      <c r="B757" s="58"/>
      <c r="C757" s="7"/>
      <c r="D757" s="59"/>
      <c r="E757" s="59"/>
      <c r="F757" s="59"/>
      <c r="G757" s="7"/>
      <c r="H757" s="7"/>
      <c r="I757" s="7"/>
      <c r="J757" s="60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</row>
    <row r="758" ht="15.75" customHeight="1">
      <c r="A758" s="7"/>
      <c r="B758" s="58"/>
      <c r="C758" s="7"/>
      <c r="D758" s="59"/>
      <c r="E758" s="59"/>
      <c r="F758" s="59"/>
      <c r="G758" s="7"/>
      <c r="H758" s="7"/>
      <c r="I758" s="7"/>
      <c r="J758" s="60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</row>
    <row r="759" ht="15.75" customHeight="1">
      <c r="A759" s="7"/>
      <c r="B759" s="58"/>
      <c r="C759" s="7"/>
      <c r="D759" s="59"/>
      <c r="E759" s="59"/>
      <c r="F759" s="59"/>
      <c r="G759" s="7"/>
      <c r="H759" s="7"/>
      <c r="I759" s="7"/>
      <c r="J759" s="60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</row>
    <row r="760" ht="15.75" customHeight="1">
      <c r="A760" s="7"/>
      <c r="B760" s="58"/>
      <c r="C760" s="7"/>
      <c r="D760" s="59"/>
      <c r="E760" s="59"/>
      <c r="F760" s="59"/>
      <c r="G760" s="7"/>
      <c r="H760" s="7"/>
      <c r="I760" s="7"/>
      <c r="J760" s="60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</row>
    <row r="761" ht="15.75" customHeight="1">
      <c r="A761" s="7"/>
      <c r="B761" s="58"/>
      <c r="C761" s="7"/>
      <c r="D761" s="59"/>
      <c r="E761" s="59"/>
      <c r="F761" s="59"/>
      <c r="G761" s="7"/>
      <c r="H761" s="7"/>
      <c r="I761" s="7"/>
      <c r="J761" s="60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</row>
    <row r="762" ht="15.75" customHeight="1">
      <c r="A762" s="7"/>
      <c r="B762" s="58"/>
      <c r="C762" s="7"/>
      <c r="D762" s="59"/>
      <c r="E762" s="59"/>
      <c r="F762" s="59"/>
      <c r="G762" s="7"/>
      <c r="H762" s="7"/>
      <c r="I762" s="7"/>
      <c r="J762" s="60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</row>
    <row r="763" ht="15.75" customHeight="1">
      <c r="A763" s="7"/>
      <c r="B763" s="58"/>
      <c r="C763" s="7"/>
      <c r="D763" s="59"/>
      <c r="E763" s="59"/>
      <c r="F763" s="59"/>
      <c r="G763" s="7"/>
      <c r="H763" s="7"/>
      <c r="I763" s="7"/>
      <c r="J763" s="60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</row>
    <row r="764" ht="15.75" customHeight="1">
      <c r="A764" s="7"/>
      <c r="B764" s="58"/>
      <c r="C764" s="7"/>
      <c r="D764" s="59"/>
      <c r="E764" s="59"/>
      <c r="F764" s="59"/>
      <c r="G764" s="7"/>
      <c r="H764" s="7"/>
      <c r="I764" s="7"/>
      <c r="J764" s="60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</row>
    <row r="765" ht="15.75" customHeight="1">
      <c r="A765" s="7"/>
      <c r="B765" s="58"/>
      <c r="C765" s="7"/>
      <c r="D765" s="59"/>
      <c r="E765" s="59"/>
      <c r="F765" s="59"/>
      <c r="G765" s="7"/>
      <c r="H765" s="7"/>
      <c r="I765" s="7"/>
      <c r="J765" s="60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</row>
    <row r="766" ht="15.75" customHeight="1">
      <c r="A766" s="7"/>
      <c r="B766" s="58"/>
      <c r="C766" s="7"/>
      <c r="D766" s="59"/>
      <c r="E766" s="59"/>
      <c r="F766" s="59"/>
      <c r="G766" s="7"/>
      <c r="H766" s="7"/>
      <c r="I766" s="7"/>
      <c r="J766" s="60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</row>
    <row r="767" ht="15.75" customHeight="1">
      <c r="A767" s="7"/>
      <c r="B767" s="58"/>
      <c r="C767" s="7"/>
      <c r="D767" s="59"/>
      <c r="E767" s="59"/>
      <c r="F767" s="59"/>
      <c r="G767" s="7"/>
      <c r="H767" s="7"/>
      <c r="I767" s="7"/>
      <c r="J767" s="60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</row>
    <row r="768" ht="15.75" customHeight="1">
      <c r="A768" s="7"/>
      <c r="B768" s="58"/>
      <c r="C768" s="7"/>
      <c r="D768" s="59"/>
      <c r="E768" s="59"/>
      <c r="F768" s="59"/>
      <c r="G768" s="7"/>
      <c r="H768" s="7"/>
      <c r="I768" s="7"/>
      <c r="J768" s="60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</row>
    <row r="769" ht="15.75" customHeight="1">
      <c r="A769" s="7"/>
      <c r="B769" s="58"/>
      <c r="C769" s="7"/>
      <c r="D769" s="59"/>
      <c r="E769" s="59"/>
      <c r="F769" s="59"/>
      <c r="G769" s="7"/>
      <c r="H769" s="7"/>
      <c r="I769" s="7"/>
      <c r="J769" s="60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</row>
    <row r="770" ht="15.75" customHeight="1">
      <c r="A770" s="7"/>
      <c r="B770" s="58"/>
      <c r="C770" s="7"/>
      <c r="D770" s="59"/>
      <c r="E770" s="59"/>
      <c r="F770" s="59"/>
      <c r="G770" s="7"/>
      <c r="H770" s="7"/>
      <c r="I770" s="7"/>
      <c r="J770" s="60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</row>
    <row r="771" ht="15.75" customHeight="1">
      <c r="A771" s="7"/>
      <c r="B771" s="58"/>
      <c r="C771" s="7"/>
      <c r="D771" s="59"/>
      <c r="E771" s="59"/>
      <c r="F771" s="59"/>
      <c r="G771" s="7"/>
      <c r="H771" s="7"/>
      <c r="I771" s="7"/>
      <c r="J771" s="60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</row>
    <row r="772" ht="15.75" customHeight="1">
      <c r="A772" s="7"/>
      <c r="B772" s="58"/>
      <c r="C772" s="7"/>
      <c r="D772" s="59"/>
      <c r="E772" s="59"/>
      <c r="F772" s="59"/>
      <c r="G772" s="7"/>
      <c r="H772" s="7"/>
      <c r="I772" s="7"/>
      <c r="J772" s="60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</row>
    <row r="773" ht="15.75" customHeight="1">
      <c r="A773" s="7"/>
      <c r="B773" s="58"/>
      <c r="C773" s="7"/>
      <c r="D773" s="59"/>
      <c r="E773" s="59"/>
      <c r="F773" s="59"/>
      <c r="G773" s="7"/>
      <c r="H773" s="7"/>
      <c r="I773" s="7"/>
      <c r="J773" s="60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</row>
    <row r="774" ht="15.75" customHeight="1">
      <c r="A774" s="7"/>
      <c r="B774" s="58"/>
      <c r="C774" s="7"/>
      <c r="D774" s="59"/>
      <c r="E774" s="59"/>
      <c r="F774" s="59"/>
      <c r="G774" s="7"/>
      <c r="H774" s="7"/>
      <c r="I774" s="7"/>
      <c r="J774" s="60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</row>
    <row r="775" ht="15.75" customHeight="1">
      <c r="A775" s="7"/>
      <c r="B775" s="58"/>
      <c r="C775" s="7"/>
      <c r="D775" s="59"/>
      <c r="E775" s="59"/>
      <c r="F775" s="59"/>
      <c r="G775" s="7"/>
      <c r="H775" s="7"/>
      <c r="I775" s="7"/>
      <c r="J775" s="60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</row>
    <row r="776" ht="15.75" customHeight="1">
      <c r="A776" s="7"/>
      <c r="B776" s="58"/>
      <c r="C776" s="7"/>
      <c r="D776" s="59"/>
      <c r="E776" s="59"/>
      <c r="F776" s="59"/>
      <c r="G776" s="7"/>
      <c r="H776" s="7"/>
      <c r="I776" s="7"/>
      <c r="J776" s="60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</row>
    <row r="777" ht="15.75" customHeight="1">
      <c r="A777" s="7"/>
      <c r="B777" s="58"/>
      <c r="C777" s="7"/>
      <c r="D777" s="59"/>
      <c r="E777" s="59"/>
      <c r="F777" s="59"/>
      <c r="G777" s="7"/>
      <c r="H777" s="7"/>
      <c r="I777" s="7"/>
      <c r="J777" s="60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</row>
    <row r="778" ht="15.75" customHeight="1">
      <c r="A778" s="7"/>
      <c r="B778" s="58"/>
      <c r="C778" s="7"/>
      <c r="D778" s="59"/>
      <c r="E778" s="59"/>
      <c r="F778" s="59"/>
      <c r="G778" s="7"/>
      <c r="H778" s="7"/>
      <c r="I778" s="7"/>
      <c r="J778" s="60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</row>
    <row r="779" ht="15.75" customHeight="1">
      <c r="A779" s="7"/>
      <c r="B779" s="58"/>
      <c r="C779" s="7"/>
      <c r="D779" s="59"/>
      <c r="E779" s="59"/>
      <c r="F779" s="59"/>
      <c r="G779" s="7"/>
      <c r="H779" s="7"/>
      <c r="I779" s="7"/>
      <c r="J779" s="60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</row>
    <row r="780" ht="15.75" customHeight="1">
      <c r="A780" s="7"/>
      <c r="B780" s="58"/>
      <c r="C780" s="7"/>
      <c r="D780" s="59"/>
      <c r="E780" s="59"/>
      <c r="F780" s="59"/>
      <c r="G780" s="7"/>
      <c r="H780" s="7"/>
      <c r="I780" s="7"/>
      <c r="J780" s="60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</row>
    <row r="781" ht="15.75" customHeight="1">
      <c r="A781" s="7"/>
      <c r="B781" s="58"/>
      <c r="C781" s="7"/>
      <c r="D781" s="59"/>
      <c r="E781" s="59"/>
      <c r="F781" s="59"/>
      <c r="G781" s="7"/>
      <c r="H781" s="7"/>
      <c r="I781" s="7"/>
      <c r="J781" s="60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</row>
    <row r="782" ht="15.75" customHeight="1">
      <c r="A782" s="7"/>
      <c r="B782" s="58"/>
      <c r="C782" s="7"/>
      <c r="D782" s="59"/>
      <c r="E782" s="59"/>
      <c r="F782" s="59"/>
      <c r="G782" s="7"/>
      <c r="H782" s="7"/>
      <c r="I782" s="7"/>
      <c r="J782" s="60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</row>
    <row r="783" ht="15.75" customHeight="1">
      <c r="A783" s="7"/>
      <c r="B783" s="58"/>
      <c r="C783" s="7"/>
      <c r="D783" s="59"/>
      <c r="E783" s="59"/>
      <c r="F783" s="59"/>
      <c r="G783" s="7"/>
      <c r="H783" s="7"/>
      <c r="I783" s="7"/>
      <c r="J783" s="60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</row>
    <row r="784" ht="15.75" customHeight="1">
      <c r="A784" s="7"/>
      <c r="B784" s="58"/>
      <c r="C784" s="7"/>
      <c r="D784" s="59"/>
      <c r="E784" s="59"/>
      <c r="F784" s="59"/>
      <c r="G784" s="7"/>
      <c r="H784" s="7"/>
      <c r="I784" s="7"/>
      <c r="J784" s="60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</row>
    <row r="785" ht="15.75" customHeight="1">
      <c r="A785" s="7"/>
      <c r="B785" s="58"/>
      <c r="C785" s="7"/>
      <c r="D785" s="59"/>
      <c r="E785" s="59"/>
      <c r="F785" s="59"/>
      <c r="G785" s="7"/>
      <c r="H785" s="7"/>
      <c r="I785" s="7"/>
      <c r="J785" s="60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</row>
    <row r="786" ht="15.75" customHeight="1">
      <c r="A786" s="7"/>
      <c r="B786" s="58"/>
      <c r="C786" s="7"/>
      <c r="D786" s="59"/>
      <c r="E786" s="59"/>
      <c r="F786" s="59"/>
      <c r="G786" s="7"/>
      <c r="H786" s="7"/>
      <c r="I786" s="7"/>
      <c r="J786" s="60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</row>
    <row r="787" ht="15.75" customHeight="1">
      <c r="A787" s="7"/>
      <c r="B787" s="58"/>
      <c r="C787" s="7"/>
      <c r="D787" s="59"/>
      <c r="E787" s="59"/>
      <c r="F787" s="59"/>
      <c r="G787" s="7"/>
      <c r="H787" s="7"/>
      <c r="I787" s="7"/>
      <c r="J787" s="60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</row>
    <row r="788" ht="15.75" customHeight="1">
      <c r="A788" s="7"/>
      <c r="B788" s="58"/>
      <c r="C788" s="7"/>
      <c r="D788" s="59"/>
      <c r="E788" s="59"/>
      <c r="F788" s="59"/>
      <c r="G788" s="7"/>
      <c r="H788" s="7"/>
      <c r="I788" s="7"/>
      <c r="J788" s="60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</row>
    <row r="789" ht="15.75" customHeight="1">
      <c r="A789" s="7"/>
      <c r="B789" s="58"/>
      <c r="C789" s="7"/>
      <c r="D789" s="59"/>
      <c r="E789" s="59"/>
      <c r="F789" s="59"/>
      <c r="G789" s="7"/>
      <c r="H789" s="7"/>
      <c r="I789" s="7"/>
      <c r="J789" s="60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</row>
    <row r="790" ht="15.75" customHeight="1">
      <c r="A790" s="7"/>
      <c r="B790" s="58"/>
      <c r="C790" s="7"/>
      <c r="D790" s="59"/>
      <c r="E790" s="59"/>
      <c r="F790" s="59"/>
      <c r="G790" s="7"/>
      <c r="H790" s="7"/>
      <c r="I790" s="7"/>
      <c r="J790" s="60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</row>
    <row r="791" ht="15.75" customHeight="1">
      <c r="A791" s="7"/>
      <c r="B791" s="58"/>
      <c r="C791" s="7"/>
      <c r="D791" s="59"/>
      <c r="E791" s="59"/>
      <c r="F791" s="59"/>
      <c r="G791" s="7"/>
      <c r="H791" s="7"/>
      <c r="I791" s="7"/>
      <c r="J791" s="60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</row>
    <row r="792" ht="15.75" customHeight="1">
      <c r="A792" s="7"/>
      <c r="B792" s="58"/>
      <c r="C792" s="7"/>
      <c r="D792" s="59"/>
      <c r="E792" s="59"/>
      <c r="F792" s="59"/>
      <c r="G792" s="7"/>
      <c r="H792" s="7"/>
      <c r="I792" s="7"/>
      <c r="J792" s="60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</row>
    <row r="793" ht="15.75" customHeight="1">
      <c r="A793" s="7"/>
      <c r="B793" s="58"/>
      <c r="C793" s="7"/>
      <c r="D793" s="59"/>
      <c r="E793" s="59"/>
      <c r="F793" s="59"/>
      <c r="G793" s="7"/>
      <c r="H793" s="7"/>
      <c r="I793" s="7"/>
      <c r="J793" s="60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</row>
    <row r="794" ht="15.75" customHeight="1">
      <c r="A794" s="7"/>
      <c r="B794" s="58"/>
      <c r="C794" s="7"/>
      <c r="D794" s="59"/>
      <c r="E794" s="59"/>
      <c r="F794" s="59"/>
      <c r="G794" s="7"/>
      <c r="H794" s="7"/>
      <c r="I794" s="7"/>
      <c r="J794" s="60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</row>
    <row r="795" ht="15.75" customHeight="1">
      <c r="A795" s="7"/>
      <c r="B795" s="58"/>
      <c r="C795" s="7"/>
      <c r="D795" s="59"/>
      <c r="E795" s="59"/>
      <c r="F795" s="59"/>
      <c r="G795" s="7"/>
      <c r="H795" s="7"/>
      <c r="I795" s="7"/>
      <c r="J795" s="60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</row>
    <row r="796" ht="15.75" customHeight="1">
      <c r="A796" s="7"/>
      <c r="B796" s="58"/>
      <c r="C796" s="7"/>
      <c r="D796" s="59"/>
      <c r="E796" s="59"/>
      <c r="F796" s="59"/>
      <c r="G796" s="7"/>
      <c r="H796" s="7"/>
      <c r="I796" s="7"/>
      <c r="J796" s="60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</row>
    <row r="797" ht="15.75" customHeight="1">
      <c r="A797" s="7"/>
      <c r="B797" s="58"/>
      <c r="C797" s="7"/>
      <c r="D797" s="59"/>
      <c r="E797" s="59"/>
      <c r="F797" s="59"/>
      <c r="G797" s="7"/>
      <c r="H797" s="7"/>
      <c r="I797" s="7"/>
      <c r="J797" s="60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</row>
    <row r="798" ht="15.75" customHeight="1">
      <c r="A798" s="7"/>
      <c r="B798" s="58"/>
      <c r="C798" s="7"/>
      <c r="D798" s="59"/>
      <c r="E798" s="59"/>
      <c r="F798" s="59"/>
      <c r="G798" s="7"/>
      <c r="H798" s="7"/>
      <c r="I798" s="7"/>
      <c r="J798" s="60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</row>
    <row r="799" ht="15.75" customHeight="1">
      <c r="A799" s="7"/>
      <c r="B799" s="58"/>
      <c r="C799" s="7"/>
      <c r="D799" s="59"/>
      <c r="E799" s="59"/>
      <c r="F799" s="59"/>
      <c r="G799" s="7"/>
      <c r="H799" s="7"/>
      <c r="I799" s="7"/>
      <c r="J799" s="60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</row>
    <row r="800" ht="15.75" customHeight="1">
      <c r="A800" s="7"/>
      <c r="B800" s="58"/>
      <c r="C800" s="7"/>
      <c r="D800" s="59"/>
      <c r="E800" s="59"/>
      <c r="F800" s="59"/>
      <c r="G800" s="7"/>
      <c r="H800" s="7"/>
      <c r="I800" s="7"/>
      <c r="J800" s="60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</row>
    <row r="801" ht="15.75" customHeight="1">
      <c r="A801" s="7"/>
      <c r="B801" s="58"/>
      <c r="C801" s="7"/>
      <c r="D801" s="59"/>
      <c r="E801" s="59"/>
      <c r="F801" s="59"/>
      <c r="G801" s="7"/>
      <c r="H801" s="7"/>
      <c r="I801" s="7"/>
      <c r="J801" s="60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</row>
    <row r="802" ht="15.75" customHeight="1">
      <c r="A802" s="7"/>
      <c r="B802" s="58"/>
      <c r="C802" s="7"/>
      <c r="D802" s="59"/>
      <c r="E802" s="59"/>
      <c r="F802" s="59"/>
      <c r="G802" s="7"/>
      <c r="H802" s="7"/>
      <c r="I802" s="7"/>
      <c r="J802" s="60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</row>
    <row r="803" ht="15.75" customHeight="1">
      <c r="A803" s="7"/>
      <c r="B803" s="58"/>
      <c r="C803" s="7"/>
      <c r="D803" s="59"/>
      <c r="E803" s="59"/>
      <c r="F803" s="59"/>
      <c r="G803" s="7"/>
      <c r="H803" s="7"/>
      <c r="I803" s="7"/>
      <c r="J803" s="60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</row>
    <row r="804" ht="15.75" customHeight="1">
      <c r="A804" s="7"/>
      <c r="B804" s="58"/>
      <c r="C804" s="7"/>
      <c r="D804" s="59"/>
      <c r="E804" s="59"/>
      <c r="F804" s="59"/>
      <c r="G804" s="7"/>
      <c r="H804" s="7"/>
      <c r="I804" s="7"/>
      <c r="J804" s="60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</row>
    <row r="805" ht="15.75" customHeight="1">
      <c r="A805" s="7"/>
      <c r="B805" s="58"/>
      <c r="C805" s="7"/>
      <c r="D805" s="59"/>
      <c r="E805" s="59"/>
      <c r="F805" s="59"/>
      <c r="G805" s="7"/>
      <c r="H805" s="7"/>
      <c r="I805" s="7"/>
      <c r="J805" s="60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</row>
    <row r="806" ht="15.75" customHeight="1">
      <c r="A806" s="7"/>
      <c r="B806" s="58"/>
      <c r="C806" s="7"/>
      <c r="D806" s="59"/>
      <c r="E806" s="59"/>
      <c r="F806" s="59"/>
      <c r="G806" s="7"/>
      <c r="H806" s="7"/>
      <c r="I806" s="7"/>
      <c r="J806" s="60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</row>
    <row r="807" ht="15.75" customHeight="1">
      <c r="A807" s="7"/>
      <c r="B807" s="58"/>
      <c r="C807" s="7"/>
      <c r="D807" s="59"/>
      <c r="E807" s="59"/>
      <c r="F807" s="59"/>
      <c r="G807" s="7"/>
      <c r="H807" s="7"/>
      <c r="I807" s="7"/>
      <c r="J807" s="60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</row>
    <row r="808" ht="15.75" customHeight="1">
      <c r="A808" s="7"/>
      <c r="B808" s="58"/>
      <c r="C808" s="7"/>
      <c r="D808" s="59"/>
      <c r="E808" s="59"/>
      <c r="F808" s="59"/>
      <c r="G808" s="7"/>
      <c r="H808" s="7"/>
      <c r="I808" s="7"/>
      <c r="J808" s="60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</row>
    <row r="809" ht="15.75" customHeight="1">
      <c r="A809" s="7"/>
      <c r="B809" s="58"/>
      <c r="C809" s="7"/>
      <c r="D809" s="59"/>
      <c r="E809" s="59"/>
      <c r="F809" s="59"/>
      <c r="G809" s="7"/>
      <c r="H809" s="7"/>
      <c r="I809" s="7"/>
      <c r="J809" s="60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</row>
    <row r="810" ht="15.75" customHeight="1">
      <c r="A810" s="7"/>
      <c r="B810" s="58"/>
      <c r="C810" s="7"/>
      <c r="D810" s="59"/>
      <c r="E810" s="59"/>
      <c r="F810" s="59"/>
      <c r="G810" s="7"/>
      <c r="H810" s="7"/>
      <c r="I810" s="7"/>
      <c r="J810" s="60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</row>
    <row r="811" ht="15.75" customHeight="1">
      <c r="A811" s="7"/>
      <c r="B811" s="58"/>
      <c r="C811" s="7"/>
      <c r="D811" s="59"/>
      <c r="E811" s="59"/>
      <c r="F811" s="59"/>
      <c r="G811" s="7"/>
      <c r="H811" s="7"/>
      <c r="I811" s="7"/>
      <c r="J811" s="60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</row>
    <row r="812" ht="15.75" customHeight="1">
      <c r="A812" s="7"/>
      <c r="B812" s="58"/>
      <c r="C812" s="7"/>
      <c r="D812" s="59"/>
      <c r="E812" s="59"/>
      <c r="F812" s="59"/>
      <c r="G812" s="7"/>
      <c r="H812" s="7"/>
      <c r="I812" s="7"/>
      <c r="J812" s="60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</row>
    <row r="813" ht="15.75" customHeight="1">
      <c r="A813" s="7"/>
      <c r="B813" s="58"/>
      <c r="C813" s="7"/>
      <c r="D813" s="59"/>
      <c r="E813" s="59"/>
      <c r="F813" s="59"/>
      <c r="G813" s="7"/>
      <c r="H813" s="7"/>
      <c r="I813" s="7"/>
      <c r="J813" s="60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</row>
    <row r="814" ht="15.75" customHeight="1">
      <c r="A814" s="7"/>
      <c r="B814" s="58"/>
      <c r="C814" s="7"/>
      <c r="D814" s="59"/>
      <c r="E814" s="59"/>
      <c r="F814" s="59"/>
      <c r="G814" s="7"/>
      <c r="H814" s="7"/>
      <c r="I814" s="7"/>
      <c r="J814" s="60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</row>
    <row r="815" ht="15.75" customHeight="1">
      <c r="A815" s="7"/>
      <c r="B815" s="58"/>
      <c r="C815" s="7"/>
      <c r="D815" s="59"/>
      <c r="E815" s="59"/>
      <c r="F815" s="59"/>
      <c r="G815" s="7"/>
      <c r="H815" s="7"/>
      <c r="I815" s="7"/>
      <c r="J815" s="60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</row>
    <row r="816" ht="15.75" customHeight="1">
      <c r="A816" s="7"/>
      <c r="B816" s="58"/>
      <c r="C816" s="7"/>
      <c r="D816" s="59"/>
      <c r="E816" s="59"/>
      <c r="F816" s="59"/>
      <c r="G816" s="7"/>
      <c r="H816" s="7"/>
      <c r="I816" s="7"/>
      <c r="J816" s="60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</row>
    <row r="817" ht="15.75" customHeight="1">
      <c r="A817" s="7"/>
      <c r="B817" s="58"/>
      <c r="C817" s="7"/>
      <c r="D817" s="59"/>
      <c r="E817" s="59"/>
      <c r="F817" s="59"/>
      <c r="G817" s="7"/>
      <c r="H817" s="7"/>
      <c r="I817" s="7"/>
      <c r="J817" s="60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</row>
    <row r="818" ht="15.75" customHeight="1">
      <c r="A818" s="7"/>
      <c r="B818" s="58"/>
      <c r="C818" s="7"/>
      <c r="D818" s="59"/>
      <c r="E818" s="59"/>
      <c r="F818" s="59"/>
      <c r="G818" s="7"/>
      <c r="H818" s="7"/>
      <c r="I818" s="7"/>
      <c r="J818" s="60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</row>
    <row r="819" ht="15.75" customHeight="1">
      <c r="A819" s="7"/>
      <c r="B819" s="58"/>
      <c r="C819" s="7"/>
      <c r="D819" s="59"/>
      <c r="E819" s="59"/>
      <c r="F819" s="59"/>
      <c r="G819" s="7"/>
      <c r="H819" s="7"/>
      <c r="I819" s="7"/>
      <c r="J819" s="60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</row>
    <row r="820" ht="15.75" customHeight="1">
      <c r="A820" s="7"/>
      <c r="B820" s="58"/>
      <c r="C820" s="7"/>
      <c r="D820" s="59"/>
      <c r="E820" s="59"/>
      <c r="F820" s="59"/>
      <c r="G820" s="7"/>
      <c r="H820" s="7"/>
      <c r="I820" s="7"/>
      <c r="J820" s="60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</row>
    <row r="821" ht="15.75" customHeight="1">
      <c r="A821" s="7"/>
      <c r="B821" s="58"/>
      <c r="C821" s="7"/>
      <c r="D821" s="59"/>
      <c r="E821" s="59"/>
      <c r="F821" s="59"/>
      <c r="G821" s="7"/>
      <c r="H821" s="7"/>
      <c r="I821" s="7"/>
      <c r="J821" s="60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</row>
    <row r="822" ht="15.75" customHeight="1">
      <c r="A822" s="7"/>
      <c r="B822" s="58"/>
      <c r="C822" s="7"/>
      <c r="D822" s="59"/>
      <c r="E822" s="59"/>
      <c r="F822" s="59"/>
      <c r="G822" s="7"/>
      <c r="H822" s="7"/>
      <c r="I822" s="7"/>
      <c r="J822" s="60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</row>
    <row r="823" ht="15.75" customHeight="1">
      <c r="A823" s="7"/>
      <c r="B823" s="58"/>
      <c r="C823" s="7"/>
      <c r="D823" s="59"/>
      <c r="E823" s="59"/>
      <c r="F823" s="59"/>
      <c r="G823" s="7"/>
      <c r="H823" s="7"/>
      <c r="I823" s="7"/>
      <c r="J823" s="60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</row>
    <row r="824" ht="15.75" customHeight="1">
      <c r="A824" s="7"/>
      <c r="B824" s="58"/>
      <c r="C824" s="7"/>
      <c r="D824" s="59"/>
      <c r="E824" s="59"/>
      <c r="F824" s="59"/>
      <c r="G824" s="7"/>
      <c r="H824" s="7"/>
      <c r="I824" s="7"/>
      <c r="J824" s="60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</row>
    <row r="825" ht="15.75" customHeight="1">
      <c r="A825" s="7"/>
      <c r="B825" s="58"/>
      <c r="C825" s="7"/>
      <c r="D825" s="59"/>
      <c r="E825" s="59"/>
      <c r="F825" s="59"/>
      <c r="G825" s="7"/>
      <c r="H825" s="7"/>
      <c r="I825" s="7"/>
      <c r="J825" s="60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</row>
    <row r="826" ht="15.75" customHeight="1">
      <c r="A826" s="7"/>
      <c r="B826" s="58"/>
      <c r="C826" s="7"/>
      <c r="D826" s="59"/>
      <c r="E826" s="59"/>
      <c r="F826" s="59"/>
      <c r="G826" s="7"/>
      <c r="H826" s="7"/>
      <c r="I826" s="7"/>
      <c r="J826" s="60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</row>
    <row r="827" ht="15.75" customHeight="1">
      <c r="A827" s="7"/>
      <c r="B827" s="58"/>
      <c r="C827" s="7"/>
      <c r="D827" s="59"/>
      <c r="E827" s="59"/>
      <c r="F827" s="59"/>
      <c r="G827" s="7"/>
      <c r="H827" s="7"/>
      <c r="I827" s="7"/>
      <c r="J827" s="60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</row>
    <row r="828" ht="15.75" customHeight="1">
      <c r="A828" s="7"/>
      <c r="B828" s="58"/>
      <c r="C828" s="7"/>
      <c r="D828" s="59"/>
      <c r="E828" s="59"/>
      <c r="F828" s="59"/>
      <c r="G828" s="7"/>
      <c r="H828" s="7"/>
      <c r="I828" s="7"/>
      <c r="J828" s="60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</row>
    <row r="829" ht="15.75" customHeight="1">
      <c r="A829" s="7"/>
      <c r="B829" s="58"/>
      <c r="C829" s="7"/>
      <c r="D829" s="59"/>
      <c r="E829" s="59"/>
      <c r="F829" s="59"/>
      <c r="G829" s="7"/>
      <c r="H829" s="7"/>
      <c r="I829" s="7"/>
      <c r="J829" s="60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</row>
    <row r="830" ht="15.75" customHeight="1">
      <c r="A830" s="7"/>
      <c r="B830" s="58"/>
      <c r="C830" s="7"/>
      <c r="D830" s="59"/>
      <c r="E830" s="59"/>
      <c r="F830" s="59"/>
      <c r="G830" s="7"/>
      <c r="H830" s="7"/>
      <c r="I830" s="7"/>
      <c r="J830" s="60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</row>
    <row r="831" ht="15.75" customHeight="1">
      <c r="A831" s="7"/>
      <c r="B831" s="58"/>
      <c r="C831" s="7"/>
      <c r="D831" s="59"/>
      <c r="E831" s="59"/>
      <c r="F831" s="59"/>
      <c r="G831" s="7"/>
      <c r="H831" s="7"/>
      <c r="I831" s="7"/>
      <c r="J831" s="60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</row>
    <row r="832" ht="15.75" customHeight="1">
      <c r="A832" s="7"/>
      <c r="B832" s="58"/>
      <c r="C832" s="7"/>
      <c r="D832" s="59"/>
      <c r="E832" s="59"/>
      <c r="F832" s="59"/>
      <c r="G832" s="7"/>
      <c r="H832" s="7"/>
      <c r="I832" s="7"/>
      <c r="J832" s="60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</row>
    <row r="833" ht="15.75" customHeight="1">
      <c r="A833" s="7"/>
      <c r="B833" s="58"/>
      <c r="C833" s="7"/>
      <c r="D833" s="59"/>
      <c r="E833" s="59"/>
      <c r="F833" s="59"/>
      <c r="G833" s="7"/>
      <c r="H833" s="7"/>
      <c r="I833" s="7"/>
      <c r="J833" s="60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</row>
    <row r="834" ht="15.75" customHeight="1">
      <c r="A834" s="7"/>
      <c r="B834" s="58"/>
      <c r="C834" s="7"/>
      <c r="D834" s="59"/>
      <c r="E834" s="59"/>
      <c r="F834" s="59"/>
      <c r="G834" s="7"/>
      <c r="H834" s="7"/>
      <c r="I834" s="7"/>
      <c r="J834" s="60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</row>
    <row r="835" ht="15.75" customHeight="1">
      <c r="A835" s="7"/>
      <c r="B835" s="58"/>
      <c r="C835" s="7"/>
      <c r="D835" s="59"/>
      <c r="E835" s="59"/>
      <c r="F835" s="59"/>
      <c r="G835" s="7"/>
      <c r="H835" s="7"/>
      <c r="I835" s="7"/>
      <c r="J835" s="60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</row>
    <row r="836" ht="15.75" customHeight="1">
      <c r="A836" s="7"/>
      <c r="B836" s="58"/>
      <c r="C836" s="7"/>
      <c r="D836" s="59"/>
      <c r="E836" s="59"/>
      <c r="F836" s="59"/>
      <c r="G836" s="7"/>
      <c r="H836" s="7"/>
      <c r="I836" s="7"/>
      <c r="J836" s="60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</row>
    <row r="837" ht="15.75" customHeight="1">
      <c r="A837" s="7"/>
      <c r="B837" s="58"/>
      <c r="C837" s="7"/>
      <c r="D837" s="59"/>
      <c r="E837" s="59"/>
      <c r="F837" s="59"/>
      <c r="G837" s="7"/>
      <c r="H837" s="7"/>
      <c r="I837" s="7"/>
      <c r="J837" s="60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</row>
    <row r="838" ht="15.75" customHeight="1">
      <c r="A838" s="7"/>
      <c r="B838" s="58"/>
      <c r="C838" s="7"/>
      <c r="D838" s="59"/>
      <c r="E838" s="59"/>
      <c r="F838" s="59"/>
      <c r="G838" s="7"/>
      <c r="H838" s="7"/>
      <c r="I838" s="7"/>
      <c r="J838" s="60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</row>
    <row r="839" ht="15.75" customHeight="1">
      <c r="A839" s="7"/>
      <c r="B839" s="58"/>
      <c r="C839" s="7"/>
      <c r="D839" s="59"/>
      <c r="E839" s="59"/>
      <c r="F839" s="59"/>
      <c r="G839" s="7"/>
      <c r="H839" s="7"/>
      <c r="I839" s="7"/>
      <c r="J839" s="60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</row>
    <row r="840" ht="15.75" customHeight="1">
      <c r="A840" s="7"/>
      <c r="B840" s="58"/>
      <c r="C840" s="7"/>
      <c r="D840" s="59"/>
      <c r="E840" s="59"/>
      <c r="F840" s="59"/>
      <c r="G840" s="7"/>
      <c r="H840" s="7"/>
      <c r="I840" s="7"/>
      <c r="J840" s="60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</row>
    <row r="841" ht="15.75" customHeight="1">
      <c r="A841" s="7"/>
      <c r="B841" s="58"/>
      <c r="C841" s="7"/>
      <c r="D841" s="59"/>
      <c r="E841" s="59"/>
      <c r="F841" s="59"/>
      <c r="G841" s="7"/>
      <c r="H841" s="7"/>
      <c r="I841" s="7"/>
      <c r="J841" s="60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</row>
    <row r="842" ht="15.75" customHeight="1">
      <c r="A842" s="7"/>
      <c r="B842" s="58"/>
      <c r="C842" s="7"/>
      <c r="D842" s="59"/>
      <c r="E842" s="59"/>
      <c r="F842" s="59"/>
      <c r="G842" s="7"/>
      <c r="H842" s="7"/>
      <c r="I842" s="7"/>
      <c r="J842" s="60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</row>
    <row r="843" ht="15.75" customHeight="1">
      <c r="A843" s="7"/>
      <c r="B843" s="58"/>
      <c r="C843" s="7"/>
      <c r="D843" s="59"/>
      <c r="E843" s="59"/>
      <c r="F843" s="59"/>
      <c r="G843" s="7"/>
      <c r="H843" s="7"/>
      <c r="I843" s="7"/>
      <c r="J843" s="60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</row>
    <row r="844" ht="15.75" customHeight="1">
      <c r="A844" s="7"/>
      <c r="B844" s="58"/>
      <c r="C844" s="7"/>
      <c r="D844" s="59"/>
      <c r="E844" s="59"/>
      <c r="F844" s="59"/>
      <c r="G844" s="7"/>
      <c r="H844" s="7"/>
      <c r="I844" s="7"/>
      <c r="J844" s="60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</row>
    <row r="845" ht="15.75" customHeight="1">
      <c r="A845" s="7"/>
      <c r="B845" s="58"/>
      <c r="C845" s="7"/>
      <c r="D845" s="59"/>
      <c r="E845" s="59"/>
      <c r="F845" s="59"/>
      <c r="G845" s="7"/>
      <c r="H845" s="7"/>
      <c r="I845" s="7"/>
      <c r="J845" s="60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</row>
    <row r="846" ht="15.75" customHeight="1">
      <c r="A846" s="7"/>
      <c r="B846" s="58"/>
      <c r="C846" s="7"/>
      <c r="D846" s="59"/>
      <c r="E846" s="59"/>
      <c r="F846" s="59"/>
      <c r="G846" s="7"/>
      <c r="H846" s="7"/>
      <c r="I846" s="7"/>
      <c r="J846" s="60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</row>
    <row r="847" ht="15.75" customHeight="1">
      <c r="A847" s="7"/>
      <c r="B847" s="58"/>
      <c r="C847" s="7"/>
      <c r="D847" s="59"/>
      <c r="E847" s="59"/>
      <c r="F847" s="59"/>
      <c r="G847" s="7"/>
      <c r="H847" s="7"/>
      <c r="I847" s="7"/>
      <c r="J847" s="60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</row>
    <row r="848" ht="15.75" customHeight="1">
      <c r="A848" s="7"/>
      <c r="B848" s="58"/>
      <c r="C848" s="7"/>
      <c r="D848" s="59"/>
      <c r="E848" s="59"/>
      <c r="F848" s="59"/>
      <c r="G848" s="7"/>
      <c r="H848" s="7"/>
      <c r="I848" s="7"/>
      <c r="J848" s="60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</row>
    <row r="849" ht="15.75" customHeight="1">
      <c r="A849" s="7"/>
      <c r="B849" s="58"/>
      <c r="C849" s="7"/>
      <c r="D849" s="59"/>
      <c r="E849" s="59"/>
      <c r="F849" s="59"/>
      <c r="G849" s="7"/>
      <c r="H849" s="7"/>
      <c r="I849" s="7"/>
      <c r="J849" s="60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</row>
    <row r="850" ht="15.75" customHeight="1">
      <c r="A850" s="7"/>
      <c r="B850" s="58"/>
      <c r="C850" s="7"/>
      <c r="D850" s="59"/>
      <c r="E850" s="59"/>
      <c r="F850" s="59"/>
      <c r="G850" s="7"/>
      <c r="H850" s="7"/>
      <c r="I850" s="7"/>
      <c r="J850" s="60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</row>
    <row r="851" ht="15.75" customHeight="1">
      <c r="A851" s="7"/>
      <c r="B851" s="58"/>
      <c r="C851" s="7"/>
      <c r="D851" s="59"/>
      <c r="E851" s="59"/>
      <c r="F851" s="59"/>
      <c r="G851" s="7"/>
      <c r="H851" s="7"/>
      <c r="I851" s="7"/>
      <c r="J851" s="60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</row>
    <row r="852" ht="15.75" customHeight="1">
      <c r="A852" s="7"/>
      <c r="B852" s="58"/>
      <c r="C852" s="7"/>
      <c r="D852" s="59"/>
      <c r="E852" s="59"/>
      <c r="F852" s="59"/>
      <c r="G852" s="7"/>
      <c r="H852" s="7"/>
      <c r="I852" s="7"/>
      <c r="J852" s="60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</row>
    <row r="853" ht="15.75" customHeight="1">
      <c r="A853" s="7"/>
      <c r="B853" s="58"/>
      <c r="C853" s="7"/>
      <c r="D853" s="59"/>
      <c r="E853" s="59"/>
      <c r="F853" s="59"/>
      <c r="G853" s="7"/>
      <c r="H853" s="7"/>
      <c r="I853" s="7"/>
      <c r="J853" s="60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</row>
    <row r="854" ht="15.75" customHeight="1">
      <c r="A854" s="7"/>
      <c r="B854" s="58"/>
      <c r="C854" s="7"/>
      <c r="D854" s="59"/>
      <c r="E854" s="59"/>
      <c r="F854" s="59"/>
      <c r="G854" s="7"/>
      <c r="H854" s="7"/>
      <c r="I854" s="7"/>
      <c r="J854" s="60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</row>
    <row r="855" ht="15.75" customHeight="1">
      <c r="A855" s="7"/>
      <c r="B855" s="58"/>
      <c r="C855" s="7"/>
      <c r="D855" s="59"/>
      <c r="E855" s="59"/>
      <c r="F855" s="59"/>
      <c r="G855" s="7"/>
      <c r="H855" s="7"/>
      <c r="I855" s="7"/>
      <c r="J855" s="60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</row>
    <row r="856" ht="15.75" customHeight="1">
      <c r="A856" s="7"/>
      <c r="B856" s="58"/>
      <c r="C856" s="7"/>
      <c r="D856" s="59"/>
      <c r="E856" s="59"/>
      <c r="F856" s="59"/>
      <c r="G856" s="7"/>
      <c r="H856" s="7"/>
      <c r="I856" s="7"/>
      <c r="J856" s="60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</row>
    <row r="857" ht="15.75" customHeight="1">
      <c r="A857" s="7"/>
      <c r="B857" s="58"/>
      <c r="C857" s="7"/>
      <c r="D857" s="59"/>
      <c r="E857" s="59"/>
      <c r="F857" s="59"/>
      <c r="G857" s="7"/>
      <c r="H857" s="7"/>
      <c r="I857" s="7"/>
      <c r="J857" s="60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</row>
    <row r="858" ht="15.75" customHeight="1">
      <c r="A858" s="7"/>
      <c r="B858" s="58"/>
      <c r="C858" s="7"/>
      <c r="D858" s="59"/>
      <c r="E858" s="59"/>
      <c r="F858" s="59"/>
      <c r="G858" s="7"/>
      <c r="H858" s="7"/>
      <c r="I858" s="7"/>
      <c r="J858" s="60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</row>
    <row r="859" ht="15.75" customHeight="1">
      <c r="A859" s="7"/>
      <c r="B859" s="58"/>
      <c r="C859" s="7"/>
      <c r="D859" s="59"/>
      <c r="E859" s="59"/>
      <c r="F859" s="59"/>
      <c r="G859" s="7"/>
      <c r="H859" s="7"/>
      <c r="I859" s="7"/>
      <c r="J859" s="60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</row>
    <row r="860" ht="15.75" customHeight="1">
      <c r="A860" s="7"/>
      <c r="B860" s="58"/>
      <c r="C860" s="7"/>
      <c r="D860" s="59"/>
      <c r="E860" s="59"/>
      <c r="F860" s="59"/>
      <c r="G860" s="7"/>
      <c r="H860" s="7"/>
      <c r="I860" s="7"/>
      <c r="J860" s="60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</row>
    <row r="861" ht="15.75" customHeight="1">
      <c r="A861" s="7"/>
      <c r="B861" s="58"/>
      <c r="C861" s="7"/>
      <c r="D861" s="59"/>
      <c r="E861" s="59"/>
      <c r="F861" s="59"/>
      <c r="G861" s="7"/>
      <c r="H861" s="7"/>
      <c r="I861" s="7"/>
      <c r="J861" s="60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</row>
    <row r="862" ht="15.75" customHeight="1">
      <c r="A862" s="7"/>
      <c r="B862" s="58"/>
      <c r="C862" s="7"/>
      <c r="D862" s="59"/>
      <c r="E862" s="59"/>
      <c r="F862" s="59"/>
      <c r="G862" s="7"/>
      <c r="H862" s="7"/>
      <c r="I862" s="7"/>
      <c r="J862" s="60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</row>
    <row r="863" ht="15.75" customHeight="1">
      <c r="A863" s="7"/>
      <c r="B863" s="58"/>
      <c r="C863" s="7"/>
      <c r="D863" s="59"/>
      <c r="E863" s="59"/>
      <c r="F863" s="59"/>
      <c r="G863" s="7"/>
      <c r="H863" s="7"/>
      <c r="I863" s="7"/>
      <c r="J863" s="60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</row>
    <row r="864" ht="15.75" customHeight="1">
      <c r="A864" s="7"/>
      <c r="B864" s="58"/>
      <c r="C864" s="7"/>
      <c r="D864" s="59"/>
      <c r="E864" s="59"/>
      <c r="F864" s="59"/>
      <c r="G864" s="7"/>
      <c r="H864" s="7"/>
      <c r="I864" s="7"/>
      <c r="J864" s="60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</row>
    <row r="865" ht="15.75" customHeight="1">
      <c r="A865" s="7"/>
      <c r="B865" s="58"/>
      <c r="C865" s="7"/>
      <c r="D865" s="59"/>
      <c r="E865" s="59"/>
      <c r="F865" s="59"/>
      <c r="G865" s="7"/>
      <c r="H865" s="7"/>
      <c r="I865" s="7"/>
      <c r="J865" s="60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</row>
    <row r="866" ht="15.75" customHeight="1">
      <c r="A866" s="7"/>
      <c r="B866" s="58"/>
      <c r="C866" s="7"/>
      <c r="D866" s="59"/>
      <c r="E866" s="59"/>
      <c r="F866" s="59"/>
      <c r="G866" s="7"/>
      <c r="H866" s="7"/>
      <c r="I866" s="7"/>
      <c r="J866" s="60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</row>
    <row r="867" ht="15.75" customHeight="1">
      <c r="A867" s="7"/>
      <c r="B867" s="58"/>
      <c r="C867" s="7"/>
      <c r="D867" s="59"/>
      <c r="E867" s="59"/>
      <c r="F867" s="59"/>
      <c r="G867" s="7"/>
      <c r="H867" s="7"/>
      <c r="I867" s="7"/>
      <c r="J867" s="60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</row>
    <row r="868" ht="15.75" customHeight="1">
      <c r="A868" s="7"/>
      <c r="B868" s="58"/>
      <c r="C868" s="7"/>
      <c r="D868" s="59"/>
      <c r="E868" s="59"/>
      <c r="F868" s="59"/>
      <c r="G868" s="7"/>
      <c r="H868" s="7"/>
      <c r="I868" s="7"/>
      <c r="J868" s="60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</row>
    <row r="869" ht="15.75" customHeight="1">
      <c r="A869" s="7"/>
      <c r="B869" s="58"/>
      <c r="C869" s="7"/>
      <c r="D869" s="59"/>
      <c r="E869" s="59"/>
      <c r="F869" s="59"/>
      <c r="G869" s="7"/>
      <c r="H869" s="7"/>
      <c r="I869" s="7"/>
      <c r="J869" s="60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</row>
    <row r="870" ht="15.75" customHeight="1">
      <c r="A870" s="7"/>
      <c r="B870" s="58"/>
      <c r="C870" s="7"/>
      <c r="D870" s="59"/>
      <c r="E870" s="59"/>
      <c r="F870" s="59"/>
      <c r="G870" s="7"/>
      <c r="H870" s="7"/>
      <c r="I870" s="7"/>
      <c r="J870" s="60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</row>
    <row r="871" ht="15.75" customHeight="1">
      <c r="A871" s="7"/>
      <c r="B871" s="58"/>
      <c r="C871" s="7"/>
      <c r="D871" s="59"/>
      <c r="E871" s="59"/>
      <c r="F871" s="59"/>
      <c r="G871" s="7"/>
      <c r="H871" s="7"/>
      <c r="I871" s="7"/>
      <c r="J871" s="60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</row>
    <row r="872" ht="15.75" customHeight="1">
      <c r="A872" s="7"/>
      <c r="B872" s="58"/>
      <c r="C872" s="7"/>
      <c r="D872" s="59"/>
      <c r="E872" s="59"/>
      <c r="F872" s="59"/>
      <c r="G872" s="7"/>
      <c r="H872" s="7"/>
      <c r="I872" s="7"/>
      <c r="J872" s="60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</row>
    <row r="873" ht="15.75" customHeight="1">
      <c r="A873" s="7"/>
      <c r="B873" s="58"/>
      <c r="C873" s="7"/>
      <c r="D873" s="59"/>
      <c r="E873" s="59"/>
      <c r="F873" s="59"/>
      <c r="G873" s="7"/>
      <c r="H873" s="7"/>
      <c r="I873" s="7"/>
      <c r="J873" s="60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</row>
    <row r="874" ht="15.75" customHeight="1">
      <c r="A874" s="7"/>
      <c r="B874" s="58"/>
      <c r="C874" s="7"/>
      <c r="D874" s="59"/>
      <c r="E874" s="59"/>
      <c r="F874" s="59"/>
      <c r="G874" s="7"/>
      <c r="H874" s="7"/>
      <c r="I874" s="7"/>
      <c r="J874" s="60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</row>
    <row r="875" ht="15.75" customHeight="1">
      <c r="A875" s="7"/>
      <c r="B875" s="58"/>
      <c r="C875" s="7"/>
      <c r="D875" s="59"/>
      <c r="E875" s="59"/>
      <c r="F875" s="59"/>
      <c r="G875" s="7"/>
      <c r="H875" s="7"/>
      <c r="I875" s="7"/>
      <c r="J875" s="60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</row>
    <row r="876" ht="15.75" customHeight="1">
      <c r="A876" s="7"/>
      <c r="B876" s="58"/>
      <c r="C876" s="7"/>
      <c r="D876" s="59"/>
      <c r="E876" s="59"/>
      <c r="F876" s="59"/>
      <c r="G876" s="7"/>
      <c r="H876" s="7"/>
      <c r="I876" s="7"/>
      <c r="J876" s="60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</row>
    <row r="877" ht="15.75" customHeight="1">
      <c r="A877" s="7"/>
      <c r="B877" s="58"/>
      <c r="C877" s="7"/>
      <c r="D877" s="59"/>
      <c r="E877" s="59"/>
      <c r="F877" s="59"/>
      <c r="G877" s="7"/>
      <c r="H877" s="7"/>
      <c r="I877" s="7"/>
      <c r="J877" s="60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</row>
    <row r="878" ht="15.75" customHeight="1">
      <c r="A878" s="7"/>
      <c r="B878" s="58"/>
      <c r="C878" s="7"/>
      <c r="D878" s="59"/>
      <c r="E878" s="59"/>
      <c r="F878" s="59"/>
      <c r="G878" s="7"/>
      <c r="H878" s="7"/>
      <c r="I878" s="7"/>
      <c r="J878" s="60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</row>
    <row r="879" ht="15.75" customHeight="1">
      <c r="A879" s="7"/>
      <c r="B879" s="58"/>
      <c r="C879" s="7"/>
      <c r="D879" s="59"/>
      <c r="E879" s="59"/>
      <c r="F879" s="59"/>
      <c r="G879" s="7"/>
      <c r="H879" s="7"/>
      <c r="I879" s="7"/>
      <c r="J879" s="60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</row>
    <row r="880" ht="15.75" customHeight="1">
      <c r="A880" s="7"/>
      <c r="B880" s="58"/>
      <c r="C880" s="7"/>
      <c r="D880" s="59"/>
      <c r="E880" s="59"/>
      <c r="F880" s="59"/>
      <c r="G880" s="7"/>
      <c r="H880" s="7"/>
      <c r="I880" s="7"/>
      <c r="J880" s="60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</row>
    <row r="881" ht="15.75" customHeight="1">
      <c r="A881" s="7"/>
      <c r="B881" s="58"/>
      <c r="C881" s="7"/>
      <c r="D881" s="59"/>
      <c r="E881" s="59"/>
      <c r="F881" s="59"/>
      <c r="G881" s="7"/>
      <c r="H881" s="7"/>
      <c r="I881" s="7"/>
      <c r="J881" s="60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</row>
    <row r="882" ht="15.75" customHeight="1">
      <c r="A882" s="7"/>
      <c r="B882" s="58"/>
      <c r="C882" s="7"/>
      <c r="D882" s="59"/>
      <c r="E882" s="59"/>
      <c r="F882" s="59"/>
      <c r="G882" s="7"/>
      <c r="H882" s="7"/>
      <c r="I882" s="7"/>
      <c r="J882" s="60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</row>
    <row r="883" ht="15.75" customHeight="1">
      <c r="A883" s="7"/>
      <c r="B883" s="58"/>
      <c r="C883" s="7"/>
      <c r="D883" s="59"/>
      <c r="E883" s="59"/>
      <c r="F883" s="59"/>
      <c r="G883" s="7"/>
      <c r="H883" s="7"/>
      <c r="I883" s="7"/>
      <c r="J883" s="60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</row>
    <row r="884" ht="15.75" customHeight="1">
      <c r="A884" s="7"/>
      <c r="B884" s="58"/>
      <c r="C884" s="7"/>
      <c r="D884" s="59"/>
      <c r="E884" s="59"/>
      <c r="F884" s="59"/>
      <c r="G884" s="7"/>
      <c r="H884" s="7"/>
      <c r="I884" s="7"/>
      <c r="J884" s="60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</row>
    <row r="885" ht="15.75" customHeight="1">
      <c r="A885" s="7"/>
      <c r="B885" s="58"/>
      <c r="C885" s="7"/>
      <c r="D885" s="59"/>
      <c r="E885" s="59"/>
      <c r="F885" s="59"/>
      <c r="G885" s="7"/>
      <c r="H885" s="7"/>
      <c r="I885" s="7"/>
      <c r="J885" s="60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</row>
    <row r="886" ht="15.75" customHeight="1">
      <c r="A886" s="7"/>
      <c r="B886" s="58"/>
      <c r="C886" s="7"/>
      <c r="D886" s="59"/>
      <c r="E886" s="59"/>
      <c r="F886" s="59"/>
      <c r="G886" s="7"/>
      <c r="H886" s="7"/>
      <c r="I886" s="7"/>
      <c r="J886" s="60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</row>
    <row r="887" ht="15.75" customHeight="1">
      <c r="A887" s="7"/>
      <c r="B887" s="58"/>
      <c r="C887" s="7"/>
      <c r="D887" s="59"/>
      <c r="E887" s="59"/>
      <c r="F887" s="59"/>
      <c r="G887" s="7"/>
      <c r="H887" s="7"/>
      <c r="I887" s="7"/>
      <c r="J887" s="60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</row>
    <row r="888" ht="15.75" customHeight="1">
      <c r="A888" s="7"/>
      <c r="B888" s="58"/>
      <c r="C888" s="7"/>
      <c r="D888" s="59"/>
      <c r="E888" s="59"/>
      <c r="F888" s="59"/>
      <c r="G888" s="7"/>
      <c r="H888" s="7"/>
      <c r="I888" s="7"/>
      <c r="J888" s="60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</row>
    <row r="889" ht="15.75" customHeight="1">
      <c r="A889" s="7"/>
      <c r="B889" s="58"/>
      <c r="C889" s="7"/>
      <c r="D889" s="59"/>
      <c r="E889" s="59"/>
      <c r="F889" s="59"/>
      <c r="G889" s="7"/>
      <c r="H889" s="7"/>
      <c r="I889" s="7"/>
      <c r="J889" s="60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</row>
    <row r="890" ht="15.75" customHeight="1">
      <c r="A890" s="7"/>
      <c r="B890" s="58"/>
      <c r="C890" s="7"/>
      <c r="D890" s="59"/>
      <c r="E890" s="59"/>
      <c r="F890" s="59"/>
      <c r="G890" s="7"/>
      <c r="H890" s="7"/>
      <c r="I890" s="7"/>
      <c r="J890" s="60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</row>
    <row r="891" ht="15.75" customHeight="1">
      <c r="A891" s="7"/>
      <c r="B891" s="58"/>
      <c r="C891" s="7"/>
      <c r="D891" s="59"/>
      <c r="E891" s="59"/>
      <c r="F891" s="59"/>
      <c r="G891" s="7"/>
      <c r="H891" s="7"/>
      <c r="I891" s="7"/>
      <c r="J891" s="60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</row>
    <row r="892" ht="15.75" customHeight="1">
      <c r="A892" s="7"/>
      <c r="B892" s="58"/>
      <c r="C892" s="7"/>
      <c r="D892" s="59"/>
      <c r="E892" s="59"/>
      <c r="F892" s="59"/>
      <c r="G892" s="7"/>
      <c r="H892" s="7"/>
      <c r="I892" s="7"/>
      <c r="J892" s="60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</row>
    <row r="893" ht="15.75" customHeight="1">
      <c r="A893" s="7"/>
      <c r="B893" s="58"/>
      <c r="C893" s="7"/>
      <c r="D893" s="59"/>
      <c r="E893" s="59"/>
      <c r="F893" s="59"/>
      <c r="G893" s="7"/>
      <c r="H893" s="7"/>
      <c r="I893" s="7"/>
      <c r="J893" s="60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</row>
    <row r="894" ht="15.75" customHeight="1">
      <c r="A894" s="7"/>
      <c r="B894" s="58"/>
      <c r="C894" s="7"/>
      <c r="D894" s="59"/>
      <c r="E894" s="59"/>
      <c r="F894" s="59"/>
      <c r="G894" s="7"/>
      <c r="H894" s="7"/>
      <c r="I894" s="7"/>
      <c r="J894" s="60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</row>
    <row r="895" ht="15.75" customHeight="1">
      <c r="A895" s="7"/>
      <c r="B895" s="58"/>
      <c r="C895" s="7"/>
      <c r="D895" s="59"/>
      <c r="E895" s="59"/>
      <c r="F895" s="59"/>
      <c r="G895" s="7"/>
      <c r="H895" s="7"/>
      <c r="I895" s="7"/>
      <c r="J895" s="60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</row>
    <row r="896" ht="15.75" customHeight="1">
      <c r="A896" s="7"/>
      <c r="B896" s="58"/>
      <c r="C896" s="7"/>
      <c r="D896" s="59"/>
      <c r="E896" s="59"/>
      <c r="F896" s="59"/>
      <c r="G896" s="7"/>
      <c r="H896" s="7"/>
      <c r="I896" s="7"/>
      <c r="J896" s="60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</row>
    <row r="897" ht="15.75" customHeight="1">
      <c r="A897" s="7"/>
      <c r="B897" s="58"/>
      <c r="C897" s="7"/>
      <c r="D897" s="59"/>
      <c r="E897" s="59"/>
      <c r="F897" s="59"/>
      <c r="G897" s="7"/>
      <c r="H897" s="7"/>
      <c r="I897" s="7"/>
      <c r="J897" s="60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</row>
    <row r="898" ht="15.75" customHeight="1">
      <c r="A898" s="7"/>
      <c r="B898" s="58"/>
      <c r="C898" s="7"/>
      <c r="D898" s="59"/>
      <c r="E898" s="59"/>
      <c r="F898" s="59"/>
      <c r="G898" s="7"/>
      <c r="H898" s="7"/>
      <c r="I898" s="7"/>
      <c r="J898" s="60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</row>
    <row r="899" ht="15.75" customHeight="1">
      <c r="A899" s="7"/>
      <c r="B899" s="58"/>
      <c r="C899" s="7"/>
      <c r="D899" s="59"/>
      <c r="E899" s="59"/>
      <c r="F899" s="59"/>
      <c r="G899" s="7"/>
      <c r="H899" s="7"/>
      <c r="I899" s="7"/>
      <c r="J899" s="60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</row>
    <row r="900" ht="15.75" customHeight="1">
      <c r="A900" s="7"/>
      <c r="B900" s="58"/>
      <c r="C900" s="7"/>
      <c r="D900" s="59"/>
      <c r="E900" s="59"/>
      <c r="F900" s="59"/>
      <c r="G900" s="7"/>
      <c r="H900" s="7"/>
      <c r="I900" s="7"/>
      <c r="J900" s="60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</row>
    <row r="901" ht="15.75" customHeight="1">
      <c r="A901" s="7"/>
      <c r="B901" s="58"/>
      <c r="C901" s="7"/>
      <c r="D901" s="59"/>
      <c r="E901" s="59"/>
      <c r="F901" s="59"/>
      <c r="G901" s="7"/>
      <c r="H901" s="7"/>
      <c r="I901" s="7"/>
      <c r="J901" s="60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</row>
    <row r="902" ht="15.75" customHeight="1">
      <c r="A902" s="7"/>
      <c r="B902" s="58"/>
      <c r="C902" s="7"/>
      <c r="D902" s="59"/>
      <c r="E902" s="59"/>
      <c r="F902" s="59"/>
      <c r="G902" s="7"/>
      <c r="H902" s="7"/>
      <c r="I902" s="7"/>
      <c r="J902" s="60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</row>
    <row r="903" ht="15.75" customHeight="1">
      <c r="A903" s="7"/>
      <c r="B903" s="58"/>
      <c r="C903" s="7"/>
      <c r="D903" s="59"/>
      <c r="E903" s="59"/>
      <c r="F903" s="59"/>
      <c r="G903" s="7"/>
      <c r="H903" s="7"/>
      <c r="I903" s="7"/>
      <c r="J903" s="60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</row>
    <row r="904" ht="15.75" customHeight="1">
      <c r="A904" s="7"/>
      <c r="B904" s="58"/>
      <c r="C904" s="7"/>
      <c r="D904" s="59"/>
      <c r="E904" s="59"/>
      <c r="F904" s="59"/>
      <c r="G904" s="7"/>
      <c r="H904" s="7"/>
      <c r="I904" s="7"/>
      <c r="J904" s="60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</row>
    <row r="905" ht="15.75" customHeight="1">
      <c r="A905" s="7"/>
      <c r="B905" s="58"/>
      <c r="C905" s="7"/>
      <c r="D905" s="59"/>
      <c r="E905" s="59"/>
      <c r="F905" s="59"/>
      <c r="G905" s="7"/>
      <c r="H905" s="7"/>
      <c r="I905" s="7"/>
      <c r="J905" s="60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</row>
    <row r="906" ht="15.75" customHeight="1">
      <c r="A906" s="7"/>
      <c r="B906" s="58"/>
      <c r="C906" s="7"/>
      <c r="D906" s="59"/>
      <c r="E906" s="59"/>
      <c r="F906" s="59"/>
      <c r="G906" s="7"/>
      <c r="H906" s="7"/>
      <c r="I906" s="7"/>
      <c r="J906" s="60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</row>
    <row r="907" ht="15.75" customHeight="1">
      <c r="A907" s="7"/>
      <c r="B907" s="58"/>
      <c r="C907" s="7"/>
      <c r="D907" s="59"/>
      <c r="E907" s="59"/>
      <c r="F907" s="59"/>
      <c r="G907" s="7"/>
      <c r="H907" s="7"/>
      <c r="I907" s="7"/>
      <c r="J907" s="60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</row>
    <row r="908" ht="15.75" customHeight="1">
      <c r="A908" s="7"/>
      <c r="B908" s="58"/>
      <c r="C908" s="7"/>
      <c r="D908" s="59"/>
      <c r="E908" s="59"/>
      <c r="F908" s="59"/>
      <c r="G908" s="7"/>
      <c r="H908" s="7"/>
      <c r="I908" s="7"/>
      <c r="J908" s="60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</row>
    <row r="909" ht="15.75" customHeight="1">
      <c r="A909" s="7"/>
      <c r="B909" s="58"/>
      <c r="C909" s="7"/>
      <c r="D909" s="59"/>
      <c r="E909" s="59"/>
      <c r="F909" s="59"/>
      <c r="G909" s="7"/>
      <c r="H909" s="7"/>
      <c r="I909" s="7"/>
      <c r="J909" s="60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</row>
    <row r="910" ht="15.75" customHeight="1">
      <c r="A910" s="7"/>
      <c r="B910" s="58"/>
      <c r="C910" s="7"/>
      <c r="D910" s="59"/>
      <c r="E910" s="59"/>
      <c r="F910" s="59"/>
      <c r="G910" s="7"/>
      <c r="H910" s="7"/>
      <c r="I910" s="7"/>
      <c r="J910" s="60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</row>
    <row r="911" ht="15.75" customHeight="1">
      <c r="A911" s="7"/>
      <c r="B911" s="58"/>
      <c r="C911" s="7"/>
      <c r="D911" s="59"/>
      <c r="E911" s="59"/>
      <c r="F911" s="59"/>
      <c r="G911" s="7"/>
      <c r="H911" s="7"/>
      <c r="I911" s="7"/>
      <c r="J911" s="60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</row>
    <row r="912" ht="15.75" customHeight="1">
      <c r="A912" s="7"/>
      <c r="B912" s="58"/>
      <c r="C912" s="7"/>
      <c r="D912" s="59"/>
      <c r="E912" s="59"/>
      <c r="F912" s="59"/>
      <c r="G912" s="7"/>
      <c r="H912" s="7"/>
      <c r="I912" s="7"/>
      <c r="J912" s="60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</row>
    <row r="913" ht="15.75" customHeight="1">
      <c r="A913" s="7"/>
      <c r="B913" s="58"/>
      <c r="C913" s="7"/>
      <c r="D913" s="59"/>
      <c r="E913" s="59"/>
      <c r="F913" s="59"/>
      <c r="G913" s="7"/>
      <c r="H913" s="7"/>
      <c r="I913" s="7"/>
      <c r="J913" s="60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</row>
    <row r="914" ht="15.75" customHeight="1">
      <c r="A914" s="7"/>
      <c r="B914" s="58"/>
      <c r="C914" s="7"/>
      <c r="D914" s="59"/>
      <c r="E914" s="59"/>
      <c r="F914" s="59"/>
      <c r="G914" s="7"/>
      <c r="H914" s="7"/>
      <c r="I914" s="7"/>
      <c r="J914" s="60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</row>
    <row r="915" ht="15.75" customHeight="1">
      <c r="A915" s="7"/>
      <c r="B915" s="58"/>
      <c r="C915" s="7"/>
      <c r="D915" s="59"/>
      <c r="E915" s="59"/>
      <c r="F915" s="59"/>
      <c r="G915" s="7"/>
      <c r="H915" s="7"/>
      <c r="I915" s="7"/>
      <c r="J915" s="60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</row>
    <row r="916" ht="15.75" customHeight="1">
      <c r="A916" s="7"/>
      <c r="B916" s="58"/>
      <c r="C916" s="7"/>
      <c r="D916" s="59"/>
      <c r="E916" s="59"/>
      <c r="F916" s="59"/>
      <c r="G916" s="7"/>
      <c r="H916" s="7"/>
      <c r="I916" s="7"/>
      <c r="J916" s="60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</row>
    <row r="917" ht="15.75" customHeight="1">
      <c r="A917" s="7"/>
      <c r="B917" s="58"/>
      <c r="C917" s="7"/>
      <c r="D917" s="59"/>
      <c r="E917" s="59"/>
      <c r="F917" s="59"/>
      <c r="G917" s="7"/>
      <c r="H917" s="7"/>
      <c r="I917" s="7"/>
      <c r="J917" s="60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</row>
    <row r="918" ht="15.75" customHeight="1">
      <c r="A918" s="7"/>
      <c r="B918" s="58"/>
      <c r="C918" s="7"/>
      <c r="D918" s="59"/>
      <c r="E918" s="59"/>
      <c r="F918" s="59"/>
      <c r="G918" s="7"/>
      <c r="H918" s="7"/>
      <c r="I918" s="7"/>
      <c r="J918" s="60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</row>
    <row r="919" ht="15.75" customHeight="1">
      <c r="A919" s="7"/>
      <c r="B919" s="58"/>
      <c r="C919" s="7"/>
      <c r="D919" s="59"/>
      <c r="E919" s="59"/>
      <c r="F919" s="59"/>
      <c r="G919" s="7"/>
      <c r="H919" s="7"/>
      <c r="I919" s="7"/>
      <c r="J919" s="60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</row>
    <row r="920" ht="15.75" customHeight="1">
      <c r="A920" s="7"/>
      <c r="B920" s="58"/>
      <c r="C920" s="7"/>
      <c r="D920" s="59"/>
      <c r="E920" s="59"/>
      <c r="F920" s="59"/>
      <c r="G920" s="7"/>
      <c r="H920" s="7"/>
      <c r="I920" s="7"/>
      <c r="J920" s="60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</row>
    <row r="921" ht="15.75" customHeight="1">
      <c r="A921" s="7"/>
      <c r="B921" s="58"/>
      <c r="C921" s="7"/>
      <c r="D921" s="59"/>
      <c r="E921" s="59"/>
      <c r="F921" s="59"/>
      <c r="G921" s="7"/>
      <c r="H921" s="7"/>
      <c r="I921" s="7"/>
      <c r="J921" s="60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</row>
    <row r="922" ht="15.75" customHeight="1">
      <c r="A922" s="7"/>
      <c r="B922" s="58"/>
      <c r="C922" s="7"/>
      <c r="D922" s="59"/>
      <c r="E922" s="59"/>
      <c r="F922" s="59"/>
      <c r="G922" s="7"/>
      <c r="H922" s="7"/>
      <c r="I922" s="7"/>
      <c r="J922" s="60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</row>
    <row r="923" ht="15.75" customHeight="1">
      <c r="A923" s="7"/>
      <c r="B923" s="58"/>
      <c r="C923" s="7"/>
      <c r="D923" s="59"/>
      <c r="E923" s="59"/>
      <c r="F923" s="59"/>
      <c r="G923" s="7"/>
      <c r="H923" s="7"/>
      <c r="I923" s="7"/>
      <c r="J923" s="60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</row>
    <row r="924" ht="15.75" customHeight="1">
      <c r="A924" s="7"/>
      <c r="B924" s="58"/>
      <c r="C924" s="7"/>
      <c r="D924" s="59"/>
      <c r="E924" s="59"/>
      <c r="F924" s="59"/>
      <c r="G924" s="7"/>
      <c r="H924" s="7"/>
      <c r="I924" s="7"/>
      <c r="J924" s="60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</row>
    <row r="925" ht="15.75" customHeight="1">
      <c r="A925" s="7"/>
      <c r="B925" s="58"/>
      <c r="C925" s="7"/>
      <c r="D925" s="59"/>
      <c r="E925" s="59"/>
      <c r="F925" s="59"/>
      <c r="G925" s="7"/>
      <c r="H925" s="7"/>
      <c r="I925" s="7"/>
      <c r="J925" s="60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</row>
    <row r="926" ht="15.75" customHeight="1">
      <c r="A926" s="7"/>
      <c r="B926" s="58"/>
      <c r="C926" s="7"/>
      <c r="D926" s="59"/>
      <c r="E926" s="59"/>
      <c r="F926" s="59"/>
      <c r="G926" s="7"/>
      <c r="H926" s="7"/>
      <c r="I926" s="7"/>
      <c r="J926" s="60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</row>
    <row r="927" ht="15.75" customHeight="1">
      <c r="A927" s="7"/>
      <c r="B927" s="58"/>
      <c r="C927" s="7"/>
      <c r="D927" s="59"/>
      <c r="E927" s="59"/>
      <c r="F927" s="59"/>
      <c r="G927" s="7"/>
      <c r="H927" s="7"/>
      <c r="I927" s="7"/>
      <c r="J927" s="60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</row>
    <row r="928" ht="15.75" customHeight="1">
      <c r="A928" s="7"/>
      <c r="B928" s="58"/>
      <c r="C928" s="7"/>
      <c r="D928" s="59"/>
      <c r="E928" s="59"/>
      <c r="F928" s="59"/>
      <c r="G928" s="7"/>
      <c r="H928" s="7"/>
      <c r="I928" s="7"/>
      <c r="J928" s="60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</row>
    <row r="929" ht="15.75" customHeight="1">
      <c r="A929" s="7"/>
      <c r="B929" s="58"/>
      <c r="C929" s="7"/>
      <c r="D929" s="59"/>
      <c r="E929" s="59"/>
      <c r="F929" s="59"/>
      <c r="G929" s="7"/>
      <c r="H929" s="7"/>
      <c r="I929" s="7"/>
      <c r="J929" s="60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</row>
    <row r="930" ht="15.75" customHeight="1">
      <c r="A930" s="7"/>
      <c r="B930" s="58"/>
      <c r="C930" s="7"/>
      <c r="D930" s="59"/>
      <c r="E930" s="59"/>
      <c r="F930" s="59"/>
      <c r="G930" s="7"/>
      <c r="H930" s="7"/>
      <c r="I930" s="7"/>
      <c r="J930" s="60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</row>
    <row r="931" ht="15.75" customHeight="1">
      <c r="A931" s="7"/>
      <c r="B931" s="58"/>
      <c r="C931" s="7"/>
      <c r="D931" s="59"/>
      <c r="E931" s="59"/>
      <c r="F931" s="59"/>
      <c r="G931" s="7"/>
      <c r="H931" s="7"/>
      <c r="I931" s="7"/>
      <c r="J931" s="60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</row>
    <row r="932" ht="15.75" customHeight="1">
      <c r="A932" s="7"/>
      <c r="B932" s="58"/>
      <c r="C932" s="7"/>
      <c r="D932" s="59"/>
      <c r="E932" s="59"/>
      <c r="F932" s="59"/>
      <c r="G932" s="7"/>
      <c r="H932" s="7"/>
      <c r="I932" s="7"/>
      <c r="J932" s="60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</row>
    <row r="933" ht="15.75" customHeight="1">
      <c r="A933" s="7"/>
      <c r="B933" s="58"/>
      <c r="C933" s="7"/>
      <c r="D933" s="59"/>
      <c r="E933" s="59"/>
      <c r="F933" s="59"/>
      <c r="G933" s="7"/>
      <c r="H933" s="7"/>
      <c r="I933" s="7"/>
      <c r="J933" s="60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</row>
    <row r="934" ht="15.75" customHeight="1">
      <c r="A934" s="7"/>
      <c r="B934" s="58"/>
      <c r="C934" s="7"/>
      <c r="D934" s="59"/>
      <c r="E934" s="59"/>
      <c r="F934" s="59"/>
      <c r="G934" s="7"/>
      <c r="H934" s="7"/>
      <c r="I934" s="7"/>
      <c r="J934" s="60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</row>
    <row r="935" ht="15.75" customHeight="1">
      <c r="A935" s="7"/>
      <c r="B935" s="58"/>
      <c r="C935" s="7"/>
      <c r="D935" s="59"/>
      <c r="E935" s="59"/>
      <c r="F935" s="59"/>
      <c r="G935" s="7"/>
      <c r="H935" s="7"/>
      <c r="I935" s="7"/>
      <c r="J935" s="60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</row>
    <row r="936" ht="15.75" customHeight="1">
      <c r="A936" s="7"/>
      <c r="B936" s="58"/>
      <c r="C936" s="7"/>
      <c r="D936" s="59"/>
      <c r="E936" s="59"/>
      <c r="F936" s="59"/>
      <c r="G936" s="7"/>
      <c r="H936" s="7"/>
      <c r="I936" s="7"/>
      <c r="J936" s="60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</row>
    <row r="937" ht="15.75" customHeight="1">
      <c r="A937" s="7"/>
      <c r="B937" s="58"/>
      <c r="C937" s="7"/>
      <c r="D937" s="59"/>
      <c r="E937" s="59"/>
      <c r="F937" s="59"/>
      <c r="G937" s="7"/>
      <c r="H937" s="7"/>
      <c r="I937" s="7"/>
      <c r="J937" s="60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</row>
    <row r="938" ht="15.75" customHeight="1">
      <c r="A938" s="7"/>
      <c r="B938" s="58"/>
      <c r="C938" s="7"/>
      <c r="D938" s="59"/>
      <c r="E938" s="59"/>
      <c r="F938" s="59"/>
      <c r="G938" s="7"/>
      <c r="H938" s="7"/>
      <c r="I938" s="7"/>
      <c r="J938" s="60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</row>
    <row r="939" ht="15.75" customHeight="1">
      <c r="A939" s="7"/>
      <c r="B939" s="58"/>
      <c r="C939" s="7"/>
      <c r="D939" s="59"/>
      <c r="E939" s="59"/>
      <c r="F939" s="59"/>
      <c r="G939" s="7"/>
      <c r="H939" s="7"/>
      <c r="I939" s="7"/>
      <c r="J939" s="60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</row>
    <row r="940" ht="15.75" customHeight="1">
      <c r="A940" s="7"/>
      <c r="B940" s="58"/>
      <c r="C940" s="7"/>
      <c r="D940" s="59"/>
      <c r="E940" s="59"/>
      <c r="F940" s="59"/>
      <c r="G940" s="7"/>
      <c r="H940" s="7"/>
      <c r="I940" s="7"/>
      <c r="J940" s="60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</row>
    <row r="941" ht="15.75" customHeight="1">
      <c r="A941" s="7"/>
      <c r="B941" s="58"/>
      <c r="C941" s="7"/>
      <c r="D941" s="59"/>
      <c r="E941" s="59"/>
      <c r="F941" s="59"/>
      <c r="G941" s="7"/>
      <c r="H941" s="7"/>
      <c r="I941" s="7"/>
      <c r="J941" s="60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</row>
    <row r="942" ht="15.75" customHeight="1">
      <c r="A942" s="7"/>
      <c r="B942" s="58"/>
      <c r="C942" s="7"/>
      <c r="D942" s="59"/>
      <c r="E942" s="59"/>
      <c r="F942" s="59"/>
      <c r="G942" s="7"/>
      <c r="H942" s="7"/>
      <c r="I942" s="7"/>
      <c r="J942" s="60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</row>
    <row r="943" ht="15.75" customHeight="1">
      <c r="A943" s="7"/>
      <c r="B943" s="58"/>
      <c r="C943" s="7"/>
      <c r="D943" s="59"/>
      <c r="E943" s="59"/>
      <c r="F943" s="59"/>
      <c r="G943" s="7"/>
      <c r="H943" s="7"/>
      <c r="I943" s="7"/>
      <c r="J943" s="60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</row>
    <row r="944" ht="15.75" customHeight="1">
      <c r="A944" s="7"/>
      <c r="B944" s="58"/>
      <c r="C944" s="7"/>
      <c r="D944" s="59"/>
      <c r="E944" s="59"/>
      <c r="F944" s="59"/>
      <c r="G944" s="7"/>
      <c r="H944" s="7"/>
      <c r="I944" s="7"/>
      <c r="J944" s="60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</row>
    <row r="945" ht="15.75" customHeight="1">
      <c r="A945" s="7"/>
      <c r="B945" s="58"/>
      <c r="C945" s="7"/>
      <c r="D945" s="59"/>
      <c r="E945" s="59"/>
      <c r="F945" s="59"/>
      <c r="G945" s="7"/>
      <c r="H945" s="7"/>
      <c r="I945" s="7"/>
      <c r="J945" s="60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</row>
    <row r="946" ht="15.75" customHeight="1">
      <c r="A946" s="7"/>
      <c r="B946" s="58"/>
      <c r="C946" s="7"/>
      <c r="D946" s="59"/>
      <c r="E946" s="59"/>
      <c r="F946" s="59"/>
      <c r="G946" s="7"/>
      <c r="H946" s="7"/>
      <c r="I946" s="7"/>
      <c r="J946" s="60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</row>
    <row r="947" ht="15.75" customHeight="1">
      <c r="A947" s="7"/>
      <c r="B947" s="58"/>
      <c r="C947" s="7"/>
      <c r="D947" s="59"/>
      <c r="E947" s="59"/>
      <c r="F947" s="59"/>
      <c r="G947" s="7"/>
      <c r="H947" s="7"/>
      <c r="I947" s="7"/>
      <c r="J947" s="60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</row>
    <row r="948" ht="15.75" customHeight="1">
      <c r="A948" s="7"/>
      <c r="B948" s="58"/>
      <c r="C948" s="7"/>
      <c r="D948" s="59"/>
      <c r="E948" s="59"/>
      <c r="F948" s="59"/>
      <c r="G948" s="7"/>
      <c r="H948" s="7"/>
      <c r="I948" s="7"/>
      <c r="J948" s="60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</row>
    <row r="949" ht="15.75" customHeight="1">
      <c r="A949" s="7"/>
      <c r="B949" s="58"/>
      <c r="C949" s="7"/>
      <c r="D949" s="59"/>
      <c r="E949" s="59"/>
      <c r="F949" s="59"/>
      <c r="G949" s="7"/>
      <c r="H949" s="7"/>
      <c r="I949" s="7"/>
      <c r="J949" s="60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</row>
    <row r="950" ht="15.75" customHeight="1">
      <c r="A950" s="7"/>
      <c r="B950" s="58"/>
      <c r="C950" s="7"/>
      <c r="D950" s="59"/>
      <c r="E950" s="59"/>
      <c r="F950" s="59"/>
      <c r="G950" s="7"/>
      <c r="H950" s="7"/>
      <c r="I950" s="7"/>
      <c r="J950" s="60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</row>
    <row r="951" ht="15.75" customHeight="1">
      <c r="A951" s="7"/>
      <c r="B951" s="58"/>
      <c r="C951" s="7"/>
      <c r="D951" s="59"/>
      <c r="E951" s="59"/>
      <c r="F951" s="59"/>
      <c r="G951" s="7"/>
      <c r="H951" s="7"/>
      <c r="I951" s="7"/>
      <c r="J951" s="60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</row>
    <row r="952" ht="15.75" customHeight="1">
      <c r="A952" s="7"/>
      <c r="B952" s="58"/>
      <c r="C952" s="7"/>
      <c r="D952" s="59"/>
      <c r="E952" s="59"/>
      <c r="F952" s="59"/>
      <c r="G952" s="7"/>
      <c r="H952" s="7"/>
      <c r="I952" s="7"/>
      <c r="J952" s="60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</row>
    <row r="953" ht="15.75" customHeight="1">
      <c r="A953" s="7"/>
      <c r="B953" s="58"/>
      <c r="C953" s="7"/>
      <c r="D953" s="59"/>
      <c r="E953" s="59"/>
      <c r="F953" s="59"/>
      <c r="G953" s="7"/>
      <c r="H953" s="7"/>
      <c r="I953" s="7"/>
      <c r="J953" s="60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</row>
    <row r="954" ht="15.75" customHeight="1">
      <c r="A954" s="7"/>
      <c r="B954" s="58"/>
      <c r="C954" s="7"/>
      <c r="D954" s="59"/>
      <c r="E954" s="59"/>
      <c r="F954" s="59"/>
      <c r="G954" s="7"/>
      <c r="H954" s="7"/>
      <c r="I954" s="7"/>
      <c r="J954" s="60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</row>
    <row r="955" ht="15.75" customHeight="1">
      <c r="A955" s="7"/>
      <c r="B955" s="58"/>
      <c r="C955" s="7"/>
      <c r="D955" s="59"/>
      <c r="E955" s="59"/>
      <c r="F955" s="59"/>
      <c r="G955" s="7"/>
      <c r="H955" s="7"/>
      <c r="I955" s="7"/>
      <c r="J955" s="60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</row>
    <row r="956" ht="15.75" customHeight="1">
      <c r="A956" s="7"/>
      <c r="B956" s="58"/>
      <c r="C956" s="7"/>
      <c r="D956" s="59"/>
      <c r="E956" s="59"/>
      <c r="F956" s="59"/>
      <c r="G956" s="7"/>
      <c r="H956" s="7"/>
      <c r="I956" s="7"/>
      <c r="J956" s="60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</row>
    <row r="957" ht="15.75" customHeight="1">
      <c r="A957" s="7"/>
      <c r="B957" s="58"/>
      <c r="C957" s="7"/>
      <c r="D957" s="59"/>
      <c r="E957" s="59"/>
      <c r="F957" s="59"/>
      <c r="G957" s="7"/>
      <c r="H957" s="7"/>
      <c r="I957" s="7"/>
      <c r="J957" s="60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</row>
    <row r="958" ht="15.75" customHeight="1">
      <c r="A958" s="7"/>
      <c r="B958" s="58"/>
      <c r="C958" s="7"/>
      <c r="D958" s="59"/>
      <c r="E958" s="59"/>
      <c r="F958" s="59"/>
      <c r="G958" s="7"/>
      <c r="H958" s="7"/>
      <c r="I958" s="7"/>
      <c r="J958" s="60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</row>
    <row r="959" ht="15.75" customHeight="1">
      <c r="A959" s="7"/>
      <c r="B959" s="58"/>
      <c r="C959" s="7"/>
      <c r="D959" s="59"/>
      <c r="E959" s="59"/>
      <c r="F959" s="59"/>
      <c r="G959" s="7"/>
      <c r="H959" s="7"/>
      <c r="I959" s="7"/>
      <c r="J959" s="60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</row>
    <row r="960" ht="15.75" customHeight="1">
      <c r="A960" s="7"/>
      <c r="B960" s="58"/>
      <c r="C960" s="7"/>
      <c r="D960" s="59"/>
      <c r="E960" s="59"/>
      <c r="F960" s="59"/>
      <c r="G960" s="7"/>
      <c r="H960" s="7"/>
      <c r="I960" s="7"/>
      <c r="J960" s="60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</row>
    <row r="961" ht="15.75" customHeight="1">
      <c r="A961" s="7"/>
      <c r="B961" s="58"/>
      <c r="C961" s="7"/>
      <c r="D961" s="59"/>
      <c r="E961" s="59"/>
      <c r="F961" s="59"/>
      <c r="G961" s="7"/>
      <c r="H961" s="7"/>
      <c r="I961" s="7"/>
      <c r="J961" s="60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</row>
    <row r="962" ht="15.75" customHeight="1">
      <c r="A962" s="7"/>
      <c r="B962" s="58"/>
      <c r="C962" s="7"/>
      <c r="D962" s="59"/>
      <c r="E962" s="59"/>
      <c r="F962" s="59"/>
      <c r="G962" s="7"/>
      <c r="H962" s="7"/>
      <c r="I962" s="7"/>
      <c r="J962" s="60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</row>
    <row r="963" ht="15.75" customHeight="1">
      <c r="A963" s="7"/>
      <c r="B963" s="58"/>
      <c r="C963" s="7"/>
      <c r="D963" s="59"/>
      <c r="E963" s="59"/>
      <c r="F963" s="59"/>
      <c r="G963" s="7"/>
      <c r="H963" s="7"/>
      <c r="I963" s="7"/>
      <c r="J963" s="60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</row>
    <row r="964" ht="15.75" customHeight="1">
      <c r="A964" s="7"/>
      <c r="B964" s="58"/>
      <c r="C964" s="7"/>
      <c r="D964" s="59"/>
      <c r="E964" s="59"/>
      <c r="F964" s="59"/>
      <c r="G964" s="7"/>
      <c r="H964" s="7"/>
      <c r="I964" s="7"/>
      <c r="J964" s="60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</row>
    <row r="965" ht="15.75" customHeight="1">
      <c r="A965" s="7"/>
      <c r="B965" s="58"/>
      <c r="C965" s="7"/>
      <c r="D965" s="59"/>
      <c r="E965" s="59"/>
      <c r="F965" s="59"/>
      <c r="G965" s="7"/>
      <c r="H965" s="7"/>
      <c r="I965" s="7"/>
      <c r="J965" s="60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</row>
    <row r="966" ht="15.75" customHeight="1">
      <c r="A966" s="7"/>
      <c r="B966" s="58"/>
      <c r="C966" s="7"/>
      <c r="D966" s="59"/>
      <c r="E966" s="59"/>
      <c r="F966" s="59"/>
      <c r="G966" s="7"/>
      <c r="H966" s="7"/>
      <c r="I966" s="7"/>
      <c r="J966" s="60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</row>
    <row r="967" ht="15.75" customHeight="1">
      <c r="A967" s="7"/>
      <c r="B967" s="58"/>
      <c r="C967" s="7"/>
      <c r="D967" s="59"/>
      <c r="E967" s="59"/>
      <c r="F967" s="59"/>
      <c r="G967" s="7"/>
      <c r="H967" s="7"/>
      <c r="I967" s="7"/>
      <c r="J967" s="60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</row>
    <row r="968" ht="15.75" customHeight="1">
      <c r="A968" s="7"/>
      <c r="B968" s="58"/>
      <c r="C968" s="7"/>
      <c r="D968" s="59"/>
      <c r="E968" s="59"/>
      <c r="F968" s="59"/>
      <c r="G968" s="7"/>
      <c r="H968" s="7"/>
      <c r="I968" s="7"/>
      <c r="J968" s="60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</row>
    <row r="969" ht="15.75" customHeight="1">
      <c r="A969" s="7"/>
      <c r="B969" s="58"/>
      <c r="C969" s="7"/>
      <c r="D969" s="59"/>
      <c r="E969" s="59"/>
      <c r="F969" s="59"/>
      <c r="G969" s="7"/>
      <c r="H969" s="7"/>
      <c r="I969" s="7"/>
      <c r="J969" s="60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</row>
    <row r="970" ht="15.75" customHeight="1">
      <c r="A970" s="7"/>
      <c r="B970" s="58"/>
      <c r="C970" s="7"/>
      <c r="D970" s="59"/>
      <c r="E970" s="59"/>
      <c r="F970" s="59"/>
      <c r="G970" s="7"/>
      <c r="H970" s="7"/>
      <c r="I970" s="7"/>
      <c r="J970" s="60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</row>
    <row r="971" ht="15.75" customHeight="1">
      <c r="A971" s="7"/>
      <c r="B971" s="58"/>
      <c r="C971" s="7"/>
      <c r="D971" s="59"/>
      <c r="E971" s="59"/>
      <c r="F971" s="59"/>
      <c r="G971" s="7"/>
      <c r="H971" s="7"/>
      <c r="I971" s="7"/>
      <c r="J971" s="60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</row>
    <row r="972" ht="15.75" customHeight="1">
      <c r="A972" s="7"/>
      <c r="B972" s="58"/>
      <c r="C972" s="7"/>
      <c r="D972" s="59"/>
      <c r="E972" s="59"/>
      <c r="F972" s="59"/>
      <c r="G972" s="7"/>
      <c r="H972" s="7"/>
      <c r="I972" s="7"/>
      <c r="J972" s="60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</row>
    <row r="973" ht="15.75" customHeight="1">
      <c r="A973" s="7"/>
      <c r="B973" s="58"/>
      <c r="C973" s="7"/>
      <c r="D973" s="59"/>
      <c r="E973" s="59"/>
      <c r="F973" s="59"/>
      <c r="G973" s="7"/>
      <c r="H973" s="7"/>
      <c r="I973" s="7"/>
      <c r="J973" s="60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</row>
    <row r="974" ht="15.75" customHeight="1">
      <c r="A974" s="7"/>
      <c r="B974" s="58"/>
      <c r="C974" s="7"/>
      <c r="D974" s="59"/>
      <c r="E974" s="59"/>
      <c r="F974" s="59"/>
      <c r="G974" s="7"/>
      <c r="H974" s="7"/>
      <c r="I974" s="7"/>
      <c r="J974" s="60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</row>
    <row r="975" ht="15.75" customHeight="1">
      <c r="A975" s="7"/>
      <c r="B975" s="58"/>
      <c r="C975" s="7"/>
      <c r="D975" s="59"/>
      <c r="E975" s="59"/>
      <c r="F975" s="59"/>
      <c r="G975" s="7"/>
      <c r="H975" s="7"/>
      <c r="I975" s="7"/>
      <c r="J975" s="60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</row>
    <row r="976" ht="15.75" customHeight="1">
      <c r="A976" s="7"/>
      <c r="B976" s="58"/>
      <c r="C976" s="7"/>
      <c r="D976" s="59"/>
      <c r="E976" s="59"/>
      <c r="F976" s="59"/>
      <c r="G976" s="7"/>
      <c r="H976" s="7"/>
      <c r="I976" s="7"/>
      <c r="J976" s="60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</row>
    <row r="977" ht="15.75" customHeight="1">
      <c r="A977" s="7"/>
      <c r="B977" s="58"/>
      <c r="C977" s="7"/>
      <c r="D977" s="59"/>
      <c r="E977" s="59"/>
      <c r="F977" s="59"/>
      <c r="G977" s="7"/>
      <c r="H977" s="7"/>
      <c r="I977" s="7"/>
      <c r="J977" s="60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</row>
    <row r="978" ht="15.75" customHeight="1">
      <c r="A978" s="7"/>
      <c r="B978" s="58"/>
      <c r="C978" s="7"/>
      <c r="D978" s="59"/>
      <c r="E978" s="59"/>
      <c r="F978" s="59"/>
      <c r="G978" s="7"/>
      <c r="H978" s="7"/>
      <c r="I978" s="7"/>
      <c r="J978" s="60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</row>
    <row r="979" ht="15.75" customHeight="1">
      <c r="A979" s="7"/>
      <c r="B979" s="58"/>
      <c r="C979" s="7"/>
      <c r="D979" s="59"/>
      <c r="E979" s="59"/>
      <c r="F979" s="59"/>
      <c r="G979" s="7"/>
      <c r="H979" s="7"/>
      <c r="I979" s="7"/>
      <c r="J979" s="60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</row>
    <row r="980" ht="15.75" customHeight="1">
      <c r="A980" s="7"/>
      <c r="B980" s="58"/>
      <c r="C980" s="7"/>
      <c r="D980" s="59"/>
      <c r="E980" s="59"/>
      <c r="F980" s="59"/>
      <c r="G980" s="7"/>
      <c r="H980" s="7"/>
      <c r="I980" s="7"/>
      <c r="J980" s="60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</row>
    <row r="981" ht="15.75" customHeight="1">
      <c r="A981" s="7"/>
      <c r="B981" s="58"/>
      <c r="C981" s="7"/>
      <c r="D981" s="59"/>
      <c r="E981" s="59"/>
      <c r="F981" s="59"/>
      <c r="G981" s="7"/>
      <c r="H981" s="7"/>
      <c r="I981" s="7"/>
      <c r="J981" s="60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</row>
    <row r="982" ht="15.75" customHeight="1">
      <c r="A982" s="7"/>
      <c r="B982" s="58"/>
      <c r="C982" s="7"/>
      <c r="D982" s="59"/>
      <c r="E982" s="59"/>
      <c r="F982" s="59"/>
      <c r="G982" s="7"/>
      <c r="H982" s="7"/>
      <c r="I982" s="7"/>
      <c r="J982" s="60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</row>
    <row r="983" ht="15.75" customHeight="1">
      <c r="A983" s="7"/>
      <c r="B983" s="58"/>
      <c r="C983" s="7"/>
      <c r="D983" s="59"/>
      <c r="E983" s="59"/>
      <c r="F983" s="59"/>
      <c r="G983" s="7"/>
      <c r="H983" s="7"/>
      <c r="I983" s="7"/>
      <c r="J983" s="60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</row>
    <row r="984" ht="15.75" customHeight="1">
      <c r="A984" s="7"/>
      <c r="B984" s="58"/>
      <c r="C984" s="7"/>
      <c r="D984" s="59"/>
      <c r="E984" s="59"/>
      <c r="F984" s="59"/>
      <c r="G984" s="7"/>
      <c r="H984" s="7"/>
      <c r="I984" s="7"/>
      <c r="J984" s="60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</row>
    <row r="985" ht="15.75" customHeight="1">
      <c r="A985" s="7"/>
      <c r="B985" s="58"/>
      <c r="C985" s="7"/>
      <c r="D985" s="59"/>
      <c r="E985" s="59"/>
      <c r="F985" s="59"/>
      <c r="G985" s="7"/>
      <c r="H985" s="7"/>
      <c r="I985" s="7"/>
      <c r="J985" s="60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</row>
    <row r="986" ht="15.75" customHeight="1">
      <c r="A986" s="7"/>
      <c r="B986" s="58"/>
      <c r="C986" s="7"/>
      <c r="D986" s="59"/>
      <c r="E986" s="59"/>
      <c r="F986" s="59"/>
      <c r="G986" s="7"/>
      <c r="H986" s="7"/>
      <c r="I986" s="7"/>
      <c r="J986" s="60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</row>
    <row r="987" ht="15.75" customHeight="1">
      <c r="A987" s="7"/>
      <c r="B987" s="58"/>
      <c r="C987" s="7"/>
      <c r="D987" s="59"/>
      <c r="E987" s="59"/>
      <c r="F987" s="59"/>
      <c r="G987" s="7"/>
      <c r="H987" s="7"/>
      <c r="I987" s="7"/>
      <c r="J987" s="60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</row>
    <row r="988" ht="15.75" customHeight="1">
      <c r="A988" s="7"/>
      <c r="B988" s="58"/>
      <c r="C988" s="7"/>
      <c r="D988" s="59"/>
      <c r="E988" s="59"/>
      <c r="F988" s="59"/>
      <c r="G988" s="7"/>
      <c r="H988" s="7"/>
      <c r="I988" s="7"/>
      <c r="J988" s="60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</row>
    <row r="989" ht="15.75" customHeight="1">
      <c r="A989" s="7"/>
      <c r="B989" s="58"/>
      <c r="C989" s="7"/>
      <c r="D989" s="59"/>
      <c r="E989" s="59"/>
      <c r="F989" s="59"/>
      <c r="G989" s="7"/>
      <c r="H989" s="7"/>
      <c r="I989" s="7"/>
      <c r="J989" s="60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</row>
    <row r="990" ht="15.75" customHeight="1">
      <c r="A990" s="7"/>
      <c r="B990" s="58"/>
      <c r="C990" s="7"/>
      <c r="D990" s="59"/>
      <c r="E990" s="59"/>
      <c r="F990" s="59"/>
      <c r="G990" s="7"/>
      <c r="H990" s="7"/>
      <c r="I990" s="7"/>
      <c r="J990" s="60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</row>
    <row r="991" ht="15.75" customHeight="1">
      <c r="A991" s="7"/>
      <c r="B991" s="58"/>
      <c r="C991" s="7"/>
      <c r="D991" s="59"/>
      <c r="E991" s="59"/>
      <c r="F991" s="59"/>
      <c r="G991" s="7"/>
      <c r="H991" s="7"/>
      <c r="I991" s="7"/>
      <c r="J991" s="60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</row>
    <row r="992" ht="15.75" customHeight="1">
      <c r="A992" s="7"/>
      <c r="B992" s="58"/>
      <c r="C992" s="7"/>
      <c r="D992" s="59"/>
      <c r="E992" s="59"/>
      <c r="F992" s="59"/>
      <c r="G992" s="7"/>
      <c r="H992" s="7"/>
      <c r="I992" s="7"/>
      <c r="J992" s="60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</row>
    <row r="993" ht="15.75" customHeight="1">
      <c r="A993" s="7"/>
      <c r="B993" s="58"/>
      <c r="C993" s="7"/>
      <c r="D993" s="59"/>
      <c r="E993" s="59"/>
      <c r="F993" s="59"/>
      <c r="G993" s="7"/>
      <c r="H993" s="7"/>
      <c r="I993" s="7"/>
      <c r="J993" s="60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</row>
    <row r="994" ht="15.75" customHeight="1">
      <c r="A994" s="7"/>
      <c r="B994" s="58"/>
      <c r="C994" s="7"/>
      <c r="D994" s="59"/>
      <c r="E994" s="59"/>
      <c r="F994" s="59"/>
      <c r="G994" s="7"/>
      <c r="H994" s="7"/>
      <c r="I994" s="7"/>
      <c r="J994" s="60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</row>
    <row r="995" ht="15.75" customHeight="1">
      <c r="A995" s="7"/>
      <c r="B995" s="58"/>
      <c r="C995" s="7"/>
      <c r="D995" s="59"/>
      <c r="E995" s="59"/>
      <c r="F995" s="59"/>
      <c r="G995" s="7"/>
      <c r="H995" s="7"/>
      <c r="I995" s="7"/>
      <c r="J995" s="60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</row>
    <row r="996" ht="15.75" customHeight="1">
      <c r="A996" s="7"/>
      <c r="B996" s="58"/>
      <c r="C996" s="7"/>
      <c r="D996" s="59"/>
      <c r="E996" s="59"/>
      <c r="F996" s="59"/>
      <c r="G996" s="7"/>
      <c r="H996" s="7"/>
      <c r="I996" s="7"/>
      <c r="J996" s="60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</row>
    <row r="997" ht="15.75" customHeight="1">
      <c r="A997" s="7"/>
      <c r="B997" s="58"/>
      <c r="C997" s="7"/>
      <c r="D997" s="59"/>
      <c r="E997" s="59"/>
      <c r="F997" s="59"/>
      <c r="G997" s="7"/>
      <c r="H997" s="7"/>
      <c r="I997" s="7"/>
      <c r="J997" s="60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</row>
    <row r="998" ht="15.75" customHeight="1">
      <c r="A998" s="7"/>
      <c r="B998" s="58"/>
      <c r="C998" s="7"/>
      <c r="D998" s="59"/>
      <c r="E998" s="59"/>
      <c r="F998" s="59"/>
      <c r="G998" s="7"/>
      <c r="H998" s="7"/>
      <c r="I998" s="7"/>
      <c r="J998" s="60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</row>
    <row r="999" ht="15.75" customHeight="1">
      <c r="A999" s="7"/>
      <c r="B999" s="58"/>
      <c r="C999" s="7"/>
      <c r="D999" s="59"/>
      <c r="E999" s="59"/>
      <c r="F999" s="59"/>
      <c r="G999" s="7"/>
      <c r="H999" s="7"/>
      <c r="I999" s="7"/>
      <c r="J999" s="60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</row>
    <row r="1000" ht="15.75" customHeight="1">
      <c r="A1000" s="7"/>
      <c r="B1000" s="58"/>
      <c r="C1000" s="7"/>
      <c r="D1000" s="59"/>
      <c r="E1000" s="59"/>
      <c r="F1000" s="59"/>
      <c r="G1000" s="7"/>
      <c r="H1000" s="7"/>
      <c r="I1000" s="7"/>
      <c r="J1000" s="60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7" width="8.38"/>
  </cols>
  <sheetData>
    <row r="1">
      <c r="A1" s="61" t="s">
        <v>656</v>
      </c>
      <c r="B1" s="61" t="s">
        <v>657</v>
      </c>
      <c r="C1" s="61" t="s">
        <v>658</v>
      </c>
      <c r="D1" s="61" t="s">
        <v>659</v>
      </c>
      <c r="E1" s="61" t="s">
        <v>660</v>
      </c>
      <c r="F1" s="61" t="s">
        <v>661</v>
      </c>
      <c r="G1" s="61" t="s">
        <v>662</v>
      </c>
    </row>
    <row r="2">
      <c r="A2" s="62">
        <v>1.0</v>
      </c>
      <c r="B2" s="63" t="s">
        <v>663</v>
      </c>
      <c r="C2" s="63" t="s">
        <v>664</v>
      </c>
      <c r="D2" s="63" t="str">
        <f>stg_employees!$C2&amp;" "&amp;stg_employees!$B2</f>
        <v>Vasili Bellos</v>
      </c>
      <c r="E2" s="64" t="s">
        <v>665</v>
      </c>
      <c r="F2" s="63" t="s">
        <v>666</v>
      </c>
      <c r="G2" s="62">
        <v>1.0</v>
      </c>
    </row>
    <row r="3">
      <c r="A3" s="65">
        <v>2.0</v>
      </c>
      <c r="B3" s="61" t="s">
        <v>663</v>
      </c>
      <c r="C3" s="61" t="s">
        <v>667</v>
      </c>
      <c r="D3" s="61" t="str">
        <f>stg_employees!$C3&amp;" "&amp;stg_employees!$B3</f>
        <v>Dimitri Bellos</v>
      </c>
      <c r="E3" s="66" t="s">
        <v>668</v>
      </c>
      <c r="F3" s="61" t="s">
        <v>666</v>
      </c>
      <c r="G3" s="65">
        <v>1.0</v>
      </c>
    </row>
    <row r="4">
      <c r="A4" s="62">
        <v>3.0</v>
      </c>
      <c r="B4" s="63" t="s">
        <v>669</v>
      </c>
      <c r="C4" s="63" t="s">
        <v>670</v>
      </c>
      <c r="D4" s="63" t="str">
        <f>stg_employees!$C4&amp;" "&amp;stg_employees!$B4</f>
        <v>Patricia Dros</v>
      </c>
      <c r="E4" s="64" t="s">
        <v>671</v>
      </c>
      <c r="F4" s="63" t="s">
        <v>672</v>
      </c>
      <c r="G4" s="62">
        <v>1.0</v>
      </c>
    </row>
    <row r="5">
      <c r="A5" s="65">
        <v>4.0</v>
      </c>
      <c r="B5" s="61" t="s">
        <v>673</v>
      </c>
      <c r="C5" s="61" t="s">
        <v>674</v>
      </c>
      <c r="D5" s="61" t="str">
        <f>stg_employees!$C5&amp;" "&amp;stg_employees!$B5</f>
        <v>Cornel Albu</v>
      </c>
      <c r="E5" s="66" t="s">
        <v>675</v>
      </c>
      <c r="F5" s="61" t="s">
        <v>676</v>
      </c>
      <c r="G5" s="65">
        <v>1.0</v>
      </c>
    </row>
    <row r="6">
      <c r="A6" s="62">
        <v>5.0</v>
      </c>
      <c r="B6" s="63" t="s">
        <v>677</v>
      </c>
      <c r="C6" s="63" t="s">
        <v>678</v>
      </c>
      <c r="D6" s="63" t="str">
        <f>stg_employees!$C6&amp;" "&amp;stg_employees!$B6</f>
        <v>Marina Ablitsova</v>
      </c>
      <c r="E6" s="64" t="s">
        <v>679</v>
      </c>
      <c r="F6" s="63" t="s">
        <v>676</v>
      </c>
      <c r="G6" s="62">
        <v>1.0</v>
      </c>
    </row>
    <row r="7">
      <c r="A7" s="65">
        <v>6.0</v>
      </c>
      <c r="B7" s="61" t="s">
        <v>680</v>
      </c>
      <c r="C7" s="61" t="s">
        <v>681</v>
      </c>
      <c r="D7" s="61" t="str">
        <f>stg_employees!$C7&amp;" "&amp;stg_employees!$B7</f>
        <v>Tatiana Ciobanu</v>
      </c>
      <c r="E7" s="66" t="s">
        <v>682</v>
      </c>
      <c r="F7" s="61" t="s">
        <v>676</v>
      </c>
      <c r="G7" s="65">
        <v>1.0</v>
      </c>
    </row>
    <row r="8">
      <c r="A8" s="62">
        <v>7.0</v>
      </c>
      <c r="B8" s="63" t="s">
        <v>683</v>
      </c>
      <c r="C8" s="63" t="s">
        <v>684</v>
      </c>
      <c r="D8" s="63" t="str">
        <f>stg_employees!$C8&amp;" "&amp;stg_employees!$B8</f>
        <v>ChiFei Hung</v>
      </c>
      <c r="E8" s="64" t="s">
        <v>685</v>
      </c>
      <c r="F8" s="63" t="s">
        <v>676</v>
      </c>
      <c r="G8" s="62">
        <v>1.0</v>
      </c>
    </row>
    <row r="9">
      <c r="A9" s="65">
        <v>8.0</v>
      </c>
      <c r="B9" s="61" t="s">
        <v>683</v>
      </c>
      <c r="C9" s="61" t="s">
        <v>686</v>
      </c>
      <c r="D9" s="61" t="str">
        <f>stg_employees!$C9&amp;" "&amp;stg_employees!$B9</f>
        <v>JoiFei Hung</v>
      </c>
      <c r="E9" s="66" t="s">
        <v>687</v>
      </c>
      <c r="F9" s="61" t="s">
        <v>676</v>
      </c>
      <c r="G9" s="65">
        <v>1.0</v>
      </c>
    </row>
    <row r="10">
      <c r="A10" s="62">
        <v>9.0</v>
      </c>
      <c r="B10" s="63" t="s">
        <v>688</v>
      </c>
      <c r="C10" s="63" t="s">
        <v>689</v>
      </c>
      <c r="D10" s="63" t="str">
        <f>stg_employees!$C10&amp;" "&amp;stg_employees!$B10</f>
        <v>Leon Groysman</v>
      </c>
      <c r="E10" s="64" t="s">
        <v>690</v>
      </c>
      <c r="F10" s="63" t="s">
        <v>676</v>
      </c>
      <c r="G10" s="62">
        <v>1.0</v>
      </c>
    </row>
    <row r="11">
      <c r="A11" s="65">
        <v>10.0</v>
      </c>
      <c r="B11" s="61" t="s">
        <v>688</v>
      </c>
      <c r="C11" s="61" t="s">
        <v>691</v>
      </c>
      <c r="D11" s="61" t="str">
        <f>stg_employees!$C11&amp;" "&amp;stg_employees!$B11</f>
        <v>Igor Groysman</v>
      </c>
      <c r="E11" s="66" t="s">
        <v>692</v>
      </c>
      <c r="F11" s="61" t="s">
        <v>676</v>
      </c>
      <c r="G11" s="65">
        <v>1.0</v>
      </c>
    </row>
    <row r="12">
      <c r="A12" s="62">
        <v>11.0</v>
      </c>
      <c r="B12" s="63" t="s">
        <v>693</v>
      </c>
      <c r="C12" s="63" t="s">
        <v>694</v>
      </c>
      <c r="D12" s="63" t="str">
        <f>stg_employees!$C12&amp;" "&amp;stg_employees!$B12</f>
        <v>Ricardo Vilchez</v>
      </c>
      <c r="E12" s="64" t="s">
        <v>695</v>
      </c>
      <c r="F12" s="63" t="s">
        <v>676</v>
      </c>
      <c r="G12" s="62">
        <v>0.0</v>
      </c>
    </row>
    <row r="13">
      <c r="A13" s="65">
        <v>12.0</v>
      </c>
      <c r="B13" s="61" t="s">
        <v>696</v>
      </c>
      <c r="C13" s="61" t="s">
        <v>697</v>
      </c>
      <c r="D13" s="61" t="str">
        <f>stg_employees!$C13&amp;" "&amp;stg_employees!$B13</f>
        <v>Soslan Lazarov</v>
      </c>
      <c r="E13" s="66" t="s">
        <v>698</v>
      </c>
      <c r="F13" s="61" t="s">
        <v>676</v>
      </c>
      <c r="G13" s="65">
        <v>1.0</v>
      </c>
    </row>
    <row r="14">
      <c r="A14" s="62">
        <v>13.0</v>
      </c>
      <c r="B14" s="63" t="s">
        <v>699</v>
      </c>
      <c r="C14" s="63" t="s">
        <v>700</v>
      </c>
      <c r="D14" s="63" t="str">
        <f>stg_employees!$C14&amp;" "&amp;stg_employees!$B14</f>
        <v>Aleksandr Gasis</v>
      </c>
      <c r="E14" s="64" t="s">
        <v>701</v>
      </c>
      <c r="F14" s="63" t="s">
        <v>676</v>
      </c>
      <c r="G14" s="62">
        <v>1.0</v>
      </c>
    </row>
    <row r="15">
      <c r="A15" s="65">
        <v>14.0</v>
      </c>
      <c r="B15" s="61" t="s">
        <v>702</v>
      </c>
      <c r="C15" s="61" t="s">
        <v>700</v>
      </c>
      <c r="D15" s="61" t="str">
        <f>stg_employees!$C15&amp;" "&amp;stg_employees!$B15</f>
        <v>Aleksandr Tsvayg</v>
      </c>
      <c r="E15" s="66" t="s">
        <v>703</v>
      </c>
      <c r="F15" s="61" t="s">
        <v>676</v>
      </c>
      <c r="G15" s="65">
        <v>1.0</v>
      </c>
    </row>
    <row r="16">
      <c r="A16" s="62">
        <v>15.0</v>
      </c>
      <c r="B16" s="63" t="s">
        <v>704</v>
      </c>
      <c r="C16" s="63" t="s">
        <v>705</v>
      </c>
      <c r="D16" s="63" t="str">
        <f>stg_employees!$C16&amp;" "&amp;stg_employees!$B16</f>
        <v>Zviadi Nebieridze</v>
      </c>
      <c r="E16" s="64" t="s">
        <v>706</v>
      </c>
      <c r="F16" s="63" t="s">
        <v>676</v>
      </c>
      <c r="G16" s="62">
        <v>1.0</v>
      </c>
    </row>
    <row r="17">
      <c r="A17" s="65">
        <v>16.0</v>
      </c>
      <c r="B17" s="61" t="s">
        <v>707</v>
      </c>
      <c r="C17" s="61" t="s">
        <v>708</v>
      </c>
      <c r="D17" s="61" t="str">
        <f>stg_employees!$C17&amp;" "&amp;stg_employees!$B17</f>
        <v>Isha Hasan</v>
      </c>
      <c r="E17" s="66" t="s">
        <v>709</v>
      </c>
      <c r="F17" s="61" t="s">
        <v>676</v>
      </c>
      <c r="G17" s="65">
        <v>1.0</v>
      </c>
    </row>
    <row r="18">
      <c r="A18" s="62">
        <v>17.0</v>
      </c>
      <c r="B18" s="63" t="s">
        <v>710</v>
      </c>
      <c r="C18" s="63" t="s">
        <v>711</v>
      </c>
      <c r="D18" s="63" t="str">
        <f>stg_employees!$C18&amp;" "&amp;stg_employees!$B18</f>
        <v>Shalva Sagihashvili</v>
      </c>
      <c r="E18" s="64" t="s">
        <v>712</v>
      </c>
      <c r="F18" s="63" t="s">
        <v>676</v>
      </c>
      <c r="G18" s="62">
        <v>0.0</v>
      </c>
    </row>
    <row r="19">
      <c r="A19" s="65">
        <v>18.0</v>
      </c>
      <c r="B19" s="61" t="s">
        <v>713</v>
      </c>
      <c r="C19" s="61" t="s">
        <v>714</v>
      </c>
      <c r="D19" s="61" t="str">
        <f>stg_employees!$C19&amp;" "&amp;stg_employees!$B19</f>
        <v>Adeniyi Adeniran</v>
      </c>
      <c r="E19" s="66" t="s">
        <v>715</v>
      </c>
      <c r="F19" s="61" t="s">
        <v>676</v>
      </c>
      <c r="G19" s="65">
        <v>0.0</v>
      </c>
    </row>
    <row r="20">
      <c r="A20" s="62">
        <v>19.0</v>
      </c>
      <c r="B20" s="63" t="s">
        <v>716</v>
      </c>
      <c r="C20" s="63" t="s">
        <v>717</v>
      </c>
      <c r="D20" s="63" t="str">
        <f>stg_employees!$C20&amp;" "&amp;stg_employees!$B20</f>
        <v>Maryan Skira</v>
      </c>
      <c r="E20" s="64" t="s">
        <v>718</v>
      </c>
      <c r="F20" s="63" t="s">
        <v>676</v>
      </c>
      <c r="G20" s="62">
        <v>1.0</v>
      </c>
    </row>
    <row r="21">
      <c r="A21" s="65">
        <v>20.0</v>
      </c>
      <c r="B21" s="61" t="s">
        <v>719</v>
      </c>
      <c r="C21" s="61" t="s">
        <v>720</v>
      </c>
      <c r="D21" s="61" t="str">
        <f>stg_employees!$C21&amp;" "&amp;stg_employees!$B21</f>
        <v>Sergiy Gumenyuk</v>
      </c>
      <c r="E21" s="66" t="s">
        <v>721</v>
      </c>
      <c r="F21" s="61" t="s">
        <v>676</v>
      </c>
      <c r="G21" s="65">
        <v>1.0</v>
      </c>
    </row>
    <row r="22">
      <c r="A22" s="62">
        <v>21.0</v>
      </c>
      <c r="B22" s="63" t="s">
        <v>722</v>
      </c>
      <c r="C22" s="63" t="s">
        <v>723</v>
      </c>
      <c r="D22" s="63" t="str">
        <f>stg_employees!$C22&amp;" "&amp;stg_employees!$B22</f>
        <v>Zaur Gurchiani</v>
      </c>
      <c r="E22" s="64" t="s">
        <v>724</v>
      </c>
      <c r="F22" s="63" t="s">
        <v>676</v>
      </c>
      <c r="G22" s="62">
        <v>0.0</v>
      </c>
    </row>
    <row r="23">
      <c r="A23" s="65">
        <v>22.0</v>
      </c>
      <c r="B23" s="61" t="s">
        <v>725</v>
      </c>
      <c r="C23" s="61" t="s">
        <v>726</v>
      </c>
      <c r="D23" s="61" t="str">
        <f>stg_employees!$C23&amp;" "&amp;stg_employees!$B23</f>
        <v>Avtandil Jintchveladze</v>
      </c>
      <c r="E23" s="66" t="s">
        <v>727</v>
      </c>
      <c r="F23" s="61" t="s">
        <v>676</v>
      </c>
      <c r="G23" s="65">
        <v>0.0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8.38"/>
    <col customWidth="1" min="3" max="3" width="25.25"/>
  </cols>
  <sheetData>
    <row r="1">
      <c r="A1" s="61" t="s">
        <v>728</v>
      </c>
      <c r="B1" s="61" t="s">
        <v>729</v>
      </c>
      <c r="C1" s="61" t="s">
        <v>730</v>
      </c>
    </row>
    <row r="2">
      <c r="A2" s="62">
        <v>1.0</v>
      </c>
      <c r="B2" s="67">
        <v>1.0</v>
      </c>
      <c r="C2" s="63" t="s">
        <v>731</v>
      </c>
    </row>
    <row r="3">
      <c r="A3" s="65">
        <v>2.0</v>
      </c>
      <c r="B3" s="68">
        <v>2.0</v>
      </c>
      <c r="C3" s="61" t="s">
        <v>732</v>
      </c>
    </row>
    <row r="4">
      <c r="A4" s="62">
        <v>3.0</v>
      </c>
      <c r="B4" s="67">
        <v>3.0</v>
      </c>
      <c r="C4" s="69" t="s">
        <v>733</v>
      </c>
    </row>
    <row r="5">
      <c r="A5" s="65">
        <v>4.0</v>
      </c>
      <c r="B5" s="68">
        <v>4.0</v>
      </c>
      <c r="C5" s="61" t="s">
        <v>734</v>
      </c>
    </row>
    <row r="6">
      <c r="A6" s="62">
        <v>5.0</v>
      </c>
      <c r="B6" s="67">
        <v>5.0</v>
      </c>
      <c r="C6" s="69" t="s">
        <v>735</v>
      </c>
    </row>
    <row r="7">
      <c r="A7" s="65">
        <v>6.0</v>
      </c>
      <c r="B7" s="68">
        <v>6.0</v>
      </c>
      <c r="C7" s="70" t="s">
        <v>736</v>
      </c>
    </row>
    <row r="8">
      <c r="A8" s="62">
        <v>7.0</v>
      </c>
      <c r="B8" s="67">
        <v>7.0</v>
      </c>
      <c r="C8" s="69" t="s">
        <v>737</v>
      </c>
    </row>
    <row r="9">
      <c r="A9" s="65">
        <v>8.0</v>
      </c>
      <c r="B9" s="68">
        <v>8.0</v>
      </c>
      <c r="C9" s="61" t="s">
        <v>738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9.88"/>
    <col customWidth="1" min="3" max="3" width="8.38"/>
    <col customWidth="1" min="4" max="4" width="32.38"/>
    <col customWidth="1" min="5" max="5" width="7.25"/>
    <col customWidth="1" min="6" max="6" width="13.63"/>
    <col customWidth="1" min="7" max="7" width="13.0"/>
    <col customWidth="1" min="8" max="29" width="8.63"/>
  </cols>
  <sheetData>
    <row r="1">
      <c r="A1" s="71" t="s">
        <v>646</v>
      </c>
      <c r="B1" s="72" t="s">
        <v>739</v>
      </c>
      <c r="C1" s="71" t="s">
        <v>729</v>
      </c>
      <c r="D1" s="71" t="s">
        <v>730</v>
      </c>
      <c r="E1" s="71" t="s">
        <v>740</v>
      </c>
      <c r="F1" s="71" t="s">
        <v>741</v>
      </c>
      <c r="G1" s="71" t="s">
        <v>742</v>
      </c>
      <c r="H1" s="72" t="s">
        <v>743</v>
      </c>
    </row>
    <row r="2">
      <c r="A2" s="72" t="s">
        <v>744</v>
      </c>
      <c r="B2" s="72" t="s">
        <v>745</v>
      </c>
      <c r="C2" s="73">
        <v>1.0</v>
      </c>
      <c r="D2" s="74" t="s">
        <v>731</v>
      </c>
      <c r="E2" s="74">
        <v>3.0</v>
      </c>
      <c r="F2" s="75">
        <v>45183.0</v>
      </c>
      <c r="G2" s="75">
        <v>45207.0</v>
      </c>
      <c r="H2" s="76">
        <v>33.0</v>
      </c>
    </row>
    <row r="3">
      <c r="A3" s="72" t="s">
        <v>746</v>
      </c>
      <c r="B3" s="72" t="s">
        <v>747</v>
      </c>
      <c r="C3" s="73">
        <v>1.0</v>
      </c>
      <c r="D3" s="74" t="s">
        <v>731</v>
      </c>
      <c r="E3" s="74">
        <v>3.0</v>
      </c>
      <c r="F3" s="75">
        <v>45536.0</v>
      </c>
      <c r="G3" s="75">
        <f>TODAY()+1</f>
        <v>46208</v>
      </c>
      <c r="H3" s="76">
        <v>38.0</v>
      </c>
    </row>
    <row r="4">
      <c r="A4" s="72" t="s">
        <v>748</v>
      </c>
      <c r="B4" s="72" t="s">
        <v>749</v>
      </c>
      <c r="C4" s="73">
        <v>1.0</v>
      </c>
      <c r="D4" s="74" t="s">
        <v>731</v>
      </c>
      <c r="E4" s="74">
        <v>3.0</v>
      </c>
      <c r="F4" s="75">
        <v>43466.0</v>
      </c>
      <c r="G4" s="75">
        <v>46124.0</v>
      </c>
      <c r="H4" s="76">
        <v>33.0</v>
      </c>
    </row>
    <row r="5">
      <c r="A5" s="72" t="s">
        <v>748</v>
      </c>
      <c r="B5" s="72" t="s">
        <v>749</v>
      </c>
      <c r="C5" s="73">
        <v>1.0</v>
      </c>
      <c r="D5" s="74" t="s">
        <v>731</v>
      </c>
      <c r="E5" s="74">
        <v>3.0</v>
      </c>
      <c r="F5" s="75">
        <v>46125.0</v>
      </c>
      <c r="G5" s="75">
        <f>TODAY()+1</f>
        <v>46208</v>
      </c>
      <c r="H5" s="76">
        <v>38.0</v>
      </c>
    </row>
    <row r="6">
      <c r="A6" s="72" t="s">
        <v>750</v>
      </c>
      <c r="B6" s="72" t="s">
        <v>751</v>
      </c>
      <c r="C6" s="73">
        <v>1.0</v>
      </c>
      <c r="D6" s="74" t="s">
        <v>731</v>
      </c>
      <c r="E6" s="74">
        <v>7.0</v>
      </c>
      <c r="F6" s="75">
        <v>43466.0</v>
      </c>
      <c r="G6" s="75">
        <v>46124.0</v>
      </c>
      <c r="H6" s="76">
        <v>38.0</v>
      </c>
    </row>
    <row r="7">
      <c r="A7" s="72" t="s">
        <v>752</v>
      </c>
      <c r="B7" s="72" t="s">
        <v>751</v>
      </c>
      <c r="C7" s="73">
        <v>2.0</v>
      </c>
      <c r="D7" s="74" t="s">
        <v>753</v>
      </c>
      <c r="E7" s="74">
        <v>7.0</v>
      </c>
      <c r="F7" s="75">
        <v>43466.0</v>
      </c>
      <c r="G7" s="75">
        <v>46124.0</v>
      </c>
      <c r="H7" s="76">
        <v>38.0</v>
      </c>
    </row>
    <row r="8">
      <c r="A8" s="72" t="s">
        <v>754</v>
      </c>
      <c r="B8" s="72" t="s">
        <v>650</v>
      </c>
      <c r="C8" s="73">
        <v>1.0</v>
      </c>
      <c r="D8" s="74" t="s">
        <v>731</v>
      </c>
      <c r="E8" s="74">
        <v>7.0</v>
      </c>
      <c r="F8" s="75">
        <v>43466.0</v>
      </c>
      <c r="G8" s="75">
        <v>46124.0</v>
      </c>
      <c r="H8" s="76">
        <v>38.0</v>
      </c>
    </row>
    <row r="9">
      <c r="A9" s="72" t="s">
        <v>755</v>
      </c>
      <c r="B9" s="72" t="s">
        <v>650</v>
      </c>
      <c r="C9" s="73">
        <v>3.0</v>
      </c>
      <c r="D9" s="74" t="s">
        <v>733</v>
      </c>
      <c r="E9" s="74">
        <v>7.0</v>
      </c>
      <c r="F9" s="75">
        <v>43466.0</v>
      </c>
      <c r="G9" s="75">
        <v>46124.0</v>
      </c>
      <c r="H9" s="76">
        <v>45.0</v>
      </c>
    </row>
    <row r="10">
      <c r="A10" s="72" t="s">
        <v>756</v>
      </c>
      <c r="B10" s="72" t="s">
        <v>650</v>
      </c>
      <c r="C10" s="73">
        <v>5.0</v>
      </c>
      <c r="D10" s="74" t="s">
        <v>735</v>
      </c>
      <c r="E10" s="74">
        <v>7.0</v>
      </c>
      <c r="F10" s="75">
        <v>43466.0</v>
      </c>
      <c r="G10" s="75">
        <f>TODAY()+1</f>
        <v>46208</v>
      </c>
      <c r="H10" s="76">
        <v>45.0</v>
      </c>
    </row>
    <row r="11">
      <c r="A11" s="72" t="s">
        <v>757</v>
      </c>
      <c r="B11" s="72" t="s">
        <v>647</v>
      </c>
      <c r="C11" s="73">
        <v>1.0</v>
      </c>
      <c r="D11" s="74" t="s">
        <v>731</v>
      </c>
      <c r="E11" s="74">
        <v>7.0</v>
      </c>
      <c r="F11" s="75">
        <v>43466.0</v>
      </c>
      <c r="G11" s="75">
        <v>46124.0</v>
      </c>
      <c r="H11" s="76">
        <v>38.0</v>
      </c>
    </row>
    <row r="12">
      <c r="A12" s="72" t="s">
        <v>758</v>
      </c>
      <c r="B12" s="72" t="s">
        <v>647</v>
      </c>
      <c r="C12" s="73">
        <v>3.0</v>
      </c>
      <c r="D12" s="74" t="s">
        <v>733</v>
      </c>
      <c r="E12" s="74">
        <v>7.0</v>
      </c>
      <c r="F12" s="75">
        <v>43466.0</v>
      </c>
      <c r="G12" s="75">
        <v>46124.0</v>
      </c>
      <c r="H12" s="76">
        <v>45.0</v>
      </c>
    </row>
    <row r="13">
      <c r="A13" s="72" t="s">
        <v>759</v>
      </c>
      <c r="B13" s="72" t="s">
        <v>647</v>
      </c>
      <c r="C13" s="73">
        <v>2.0</v>
      </c>
      <c r="D13" s="74" t="s">
        <v>753</v>
      </c>
      <c r="E13" s="74">
        <v>7.0</v>
      </c>
      <c r="F13" s="75">
        <v>43466.0</v>
      </c>
      <c r="G13" s="75">
        <v>46124.0</v>
      </c>
      <c r="H13" s="76">
        <v>45.0</v>
      </c>
    </row>
    <row r="14">
      <c r="A14" s="72" t="s">
        <v>760</v>
      </c>
      <c r="B14" s="72" t="s">
        <v>761</v>
      </c>
      <c r="C14" s="73">
        <v>3.0</v>
      </c>
      <c r="D14" s="74" t="s">
        <v>733</v>
      </c>
      <c r="E14" s="74">
        <v>3.0</v>
      </c>
      <c r="F14" s="75">
        <v>43466.0</v>
      </c>
      <c r="G14" s="75">
        <f>TODAY()+1</f>
        <v>46208</v>
      </c>
      <c r="H14" s="76">
        <v>35.0</v>
      </c>
    </row>
    <row r="15">
      <c r="A15" s="72" t="s">
        <v>762</v>
      </c>
      <c r="B15" s="72" t="s">
        <v>763</v>
      </c>
      <c r="C15" s="73">
        <v>1.0</v>
      </c>
      <c r="D15" s="74" t="s">
        <v>731</v>
      </c>
      <c r="E15" s="74">
        <v>7.0</v>
      </c>
      <c r="F15" s="75">
        <v>43466.0</v>
      </c>
      <c r="G15" s="75">
        <v>46124.0</v>
      </c>
      <c r="H15" s="76">
        <v>38.0</v>
      </c>
    </row>
    <row r="16">
      <c r="A16" s="72" t="s">
        <v>764</v>
      </c>
      <c r="B16" s="72" t="s">
        <v>652</v>
      </c>
      <c r="C16" s="73">
        <v>1.0</v>
      </c>
      <c r="D16" s="74" t="s">
        <v>731</v>
      </c>
      <c r="E16" s="74">
        <v>3.0</v>
      </c>
      <c r="F16" s="75">
        <v>43466.0</v>
      </c>
      <c r="G16" s="75">
        <v>45864.0</v>
      </c>
      <c r="H16" s="76">
        <v>30.0</v>
      </c>
    </row>
    <row r="17">
      <c r="A17" s="72" t="s">
        <v>765</v>
      </c>
      <c r="B17" s="72" t="s">
        <v>652</v>
      </c>
      <c r="C17" s="73">
        <v>3.0</v>
      </c>
      <c r="D17" s="74" t="s">
        <v>733</v>
      </c>
      <c r="E17" s="74">
        <v>3.0</v>
      </c>
      <c r="F17" s="75">
        <v>43466.0</v>
      </c>
      <c r="G17" s="75">
        <v>45864.0</v>
      </c>
      <c r="H17" s="76">
        <v>30.0</v>
      </c>
    </row>
    <row r="18">
      <c r="A18" s="72" t="s">
        <v>765</v>
      </c>
      <c r="B18" s="72" t="s">
        <v>652</v>
      </c>
      <c r="C18" s="73">
        <v>3.0</v>
      </c>
      <c r="D18" s="74" t="s">
        <v>733</v>
      </c>
      <c r="E18" s="74">
        <v>3.0</v>
      </c>
      <c r="F18" s="75">
        <v>45865.0</v>
      </c>
      <c r="G18" s="75">
        <v>46124.0</v>
      </c>
      <c r="H18" s="76">
        <v>35.0</v>
      </c>
    </row>
    <row r="19">
      <c r="A19" s="72" t="s">
        <v>764</v>
      </c>
      <c r="B19" s="72" t="s">
        <v>652</v>
      </c>
      <c r="C19" s="73">
        <v>1.0</v>
      </c>
      <c r="D19" s="74" t="s">
        <v>731</v>
      </c>
      <c r="E19" s="74">
        <v>3.0</v>
      </c>
      <c r="F19" s="75">
        <v>45865.0</v>
      </c>
      <c r="G19" s="75">
        <v>46124.0</v>
      </c>
      <c r="H19" s="76">
        <v>35.0</v>
      </c>
    </row>
    <row r="20">
      <c r="A20" s="72" t="s">
        <v>766</v>
      </c>
      <c r="B20" s="72" t="s">
        <v>767</v>
      </c>
      <c r="C20" s="73">
        <v>1.0</v>
      </c>
      <c r="D20" s="74" t="s">
        <v>731</v>
      </c>
      <c r="E20" s="74">
        <v>3.0</v>
      </c>
      <c r="F20" s="75">
        <v>43466.0</v>
      </c>
      <c r="G20" s="75">
        <v>46124.0</v>
      </c>
      <c r="H20" s="76">
        <v>35.0</v>
      </c>
    </row>
    <row r="21" ht="15.75" customHeight="1">
      <c r="A21" s="72" t="s">
        <v>768</v>
      </c>
      <c r="B21" s="72" t="s">
        <v>769</v>
      </c>
      <c r="C21" s="73">
        <v>1.0</v>
      </c>
      <c r="D21" s="74" t="s">
        <v>731</v>
      </c>
      <c r="E21" s="74">
        <v>3.0</v>
      </c>
      <c r="F21" s="75">
        <v>43466.0</v>
      </c>
      <c r="G21" s="75">
        <v>46124.0</v>
      </c>
      <c r="H21" s="76">
        <v>35.0</v>
      </c>
    </row>
    <row r="22" ht="15.75" customHeight="1">
      <c r="A22" s="72" t="s">
        <v>770</v>
      </c>
      <c r="B22" s="72" t="s">
        <v>649</v>
      </c>
      <c r="C22" s="73">
        <v>6.0</v>
      </c>
      <c r="D22" s="74" t="s">
        <v>736</v>
      </c>
      <c r="E22" s="74">
        <v>7.0</v>
      </c>
      <c r="F22" s="75">
        <v>43466.0</v>
      </c>
      <c r="G22" s="75">
        <v>45488.0</v>
      </c>
      <c r="H22" s="76">
        <v>45.0</v>
      </c>
    </row>
    <row r="23" ht="15.75" customHeight="1">
      <c r="A23" s="72" t="s">
        <v>771</v>
      </c>
      <c r="B23" s="72" t="s">
        <v>649</v>
      </c>
      <c r="C23" s="73">
        <v>1.0</v>
      </c>
      <c r="D23" s="74" t="s">
        <v>731</v>
      </c>
      <c r="E23" s="74">
        <v>7.0</v>
      </c>
      <c r="F23" s="75">
        <v>43466.0</v>
      </c>
      <c r="G23" s="75">
        <v>45488.0</v>
      </c>
      <c r="H23" s="76">
        <v>38.0</v>
      </c>
    </row>
    <row r="24" ht="15.75" customHeight="1">
      <c r="A24" s="72" t="s">
        <v>772</v>
      </c>
      <c r="B24" s="72" t="s">
        <v>649</v>
      </c>
      <c r="C24" s="73">
        <v>2.0</v>
      </c>
      <c r="D24" s="74" t="s">
        <v>753</v>
      </c>
      <c r="E24" s="74">
        <v>7.0</v>
      </c>
      <c r="F24" s="75">
        <v>43466.0</v>
      </c>
      <c r="G24" s="75">
        <v>45488.0</v>
      </c>
      <c r="H24" s="76">
        <v>45.0</v>
      </c>
    </row>
    <row r="25" ht="15.75" customHeight="1">
      <c r="A25" s="72" t="s">
        <v>773</v>
      </c>
      <c r="B25" s="72" t="s">
        <v>649</v>
      </c>
      <c r="C25" s="73">
        <v>3.0</v>
      </c>
      <c r="D25" s="74" t="s">
        <v>733</v>
      </c>
      <c r="E25" s="74">
        <v>7.0</v>
      </c>
      <c r="F25" s="75">
        <v>43466.0</v>
      </c>
      <c r="G25" s="75">
        <v>45488.0</v>
      </c>
      <c r="H25" s="76">
        <v>45.0</v>
      </c>
    </row>
    <row r="26" ht="15.75" customHeight="1">
      <c r="A26" s="72" t="s">
        <v>774</v>
      </c>
      <c r="B26" s="72" t="s">
        <v>775</v>
      </c>
      <c r="C26" s="73">
        <v>1.0</v>
      </c>
      <c r="D26" s="74" t="s">
        <v>731</v>
      </c>
      <c r="E26" s="74">
        <v>3.0</v>
      </c>
      <c r="F26" s="75">
        <v>44896.0</v>
      </c>
      <c r="G26" s="75">
        <v>45076.0</v>
      </c>
      <c r="H26" s="76">
        <v>38.0</v>
      </c>
    </row>
    <row r="27" ht="15.75" customHeight="1">
      <c r="A27" s="72" t="s">
        <v>776</v>
      </c>
      <c r="B27" s="72" t="s">
        <v>651</v>
      </c>
      <c r="C27" s="73">
        <v>1.0</v>
      </c>
      <c r="D27" s="74" t="s">
        <v>731</v>
      </c>
      <c r="E27" s="74">
        <v>3.0</v>
      </c>
      <c r="F27" s="75">
        <v>43466.0</v>
      </c>
      <c r="G27" s="75">
        <v>46124.0</v>
      </c>
      <c r="H27" s="76">
        <v>33.0</v>
      </c>
    </row>
    <row r="28" ht="15.75" customHeight="1">
      <c r="A28" s="72" t="s">
        <v>777</v>
      </c>
      <c r="B28" s="72" t="s">
        <v>778</v>
      </c>
      <c r="C28" s="73">
        <v>1.0</v>
      </c>
      <c r="D28" s="74" t="s">
        <v>731</v>
      </c>
      <c r="E28" s="74">
        <v>3.0</v>
      </c>
      <c r="F28" s="75">
        <v>43466.0</v>
      </c>
      <c r="G28" s="75">
        <v>46124.0</v>
      </c>
      <c r="H28" s="76">
        <v>33.0</v>
      </c>
    </row>
    <row r="29" ht="15.75" customHeight="1">
      <c r="A29" s="72" t="s">
        <v>777</v>
      </c>
      <c r="B29" s="72" t="s">
        <v>778</v>
      </c>
      <c r="C29" s="73">
        <v>1.0</v>
      </c>
      <c r="D29" s="74" t="s">
        <v>731</v>
      </c>
      <c r="E29" s="74">
        <v>7.0</v>
      </c>
      <c r="F29" s="75">
        <v>46125.0</v>
      </c>
      <c r="G29" s="75">
        <f>TODAY()+1</f>
        <v>46208</v>
      </c>
      <c r="H29" s="76">
        <v>38.0</v>
      </c>
    </row>
    <row r="30" ht="15.75" customHeight="1">
      <c r="A30" s="72" t="s">
        <v>779</v>
      </c>
      <c r="B30" s="72" t="s">
        <v>780</v>
      </c>
      <c r="C30" s="73">
        <v>1.0</v>
      </c>
      <c r="D30" s="74" t="s">
        <v>731</v>
      </c>
      <c r="E30" s="74">
        <v>3.0</v>
      </c>
      <c r="F30" s="75">
        <v>43466.0</v>
      </c>
      <c r="G30" s="75">
        <v>46124.0</v>
      </c>
      <c r="H30" s="76">
        <v>33.0</v>
      </c>
    </row>
    <row r="31" ht="15.75" customHeight="1">
      <c r="A31" s="72" t="s">
        <v>750</v>
      </c>
      <c r="B31" s="72" t="s">
        <v>751</v>
      </c>
      <c r="C31" s="73">
        <v>1.0</v>
      </c>
      <c r="D31" s="74" t="s">
        <v>731</v>
      </c>
      <c r="E31" s="74">
        <v>7.0</v>
      </c>
      <c r="F31" s="75">
        <v>46125.0</v>
      </c>
      <c r="G31" s="75">
        <f t="shared" ref="G31:G46" si="1">TODAY()+1</f>
        <v>46208</v>
      </c>
      <c r="H31" s="76">
        <v>42.0</v>
      </c>
    </row>
    <row r="32" ht="15.75" customHeight="1">
      <c r="A32" s="72" t="s">
        <v>752</v>
      </c>
      <c r="B32" s="72" t="s">
        <v>751</v>
      </c>
      <c r="C32" s="73">
        <v>2.0</v>
      </c>
      <c r="D32" s="74" t="s">
        <v>753</v>
      </c>
      <c r="E32" s="74">
        <v>7.0</v>
      </c>
      <c r="F32" s="75">
        <v>46125.0</v>
      </c>
      <c r="G32" s="75">
        <f t="shared" si="1"/>
        <v>46208</v>
      </c>
      <c r="H32" s="76">
        <v>42.0</v>
      </c>
    </row>
    <row r="33" ht="15.75" customHeight="1">
      <c r="A33" s="72" t="s">
        <v>754</v>
      </c>
      <c r="B33" s="72" t="s">
        <v>650</v>
      </c>
      <c r="C33" s="73">
        <v>1.0</v>
      </c>
      <c r="D33" s="74" t="s">
        <v>731</v>
      </c>
      <c r="E33" s="74">
        <v>7.0</v>
      </c>
      <c r="F33" s="75">
        <v>46125.0</v>
      </c>
      <c r="G33" s="75">
        <f t="shared" si="1"/>
        <v>46208</v>
      </c>
      <c r="H33" s="76">
        <v>42.0</v>
      </c>
    </row>
    <row r="34" ht="15.75" customHeight="1">
      <c r="A34" s="72" t="s">
        <v>756</v>
      </c>
      <c r="B34" s="72" t="s">
        <v>650</v>
      </c>
      <c r="C34" s="73">
        <v>5.0</v>
      </c>
      <c r="D34" s="74" t="s">
        <v>735</v>
      </c>
      <c r="E34" s="74">
        <v>7.0</v>
      </c>
      <c r="F34" s="75">
        <v>45658.0</v>
      </c>
      <c r="G34" s="75">
        <f t="shared" si="1"/>
        <v>46208</v>
      </c>
      <c r="H34" s="76">
        <v>45.0</v>
      </c>
    </row>
    <row r="35" ht="15.75" customHeight="1">
      <c r="A35" s="72" t="s">
        <v>755</v>
      </c>
      <c r="B35" s="72" t="s">
        <v>650</v>
      </c>
      <c r="C35" s="73">
        <v>3.0</v>
      </c>
      <c r="D35" s="74" t="s">
        <v>733</v>
      </c>
      <c r="E35" s="74">
        <v>7.0</v>
      </c>
      <c r="F35" s="75">
        <v>46125.0</v>
      </c>
      <c r="G35" s="75">
        <f t="shared" si="1"/>
        <v>46208</v>
      </c>
      <c r="H35" s="76">
        <v>50.0</v>
      </c>
    </row>
    <row r="36" ht="15.75" customHeight="1">
      <c r="A36" s="72" t="s">
        <v>760</v>
      </c>
      <c r="B36" s="72" t="s">
        <v>761</v>
      </c>
      <c r="C36" s="73">
        <v>3.0</v>
      </c>
      <c r="D36" s="74" t="s">
        <v>733</v>
      </c>
      <c r="E36" s="74">
        <v>3.0</v>
      </c>
      <c r="F36" s="75">
        <v>43466.0</v>
      </c>
      <c r="G36" s="75">
        <f t="shared" si="1"/>
        <v>46208</v>
      </c>
      <c r="H36" s="76">
        <v>35.0</v>
      </c>
    </row>
    <row r="37" ht="15.75" customHeight="1">
      <c r="A37" s="72" t="s">
        <v>757</v>
      </c>
      <c r="B37" s="72" t="s">
        <v>647</v>
      </c>
      <c r="C37" s="73">
        <v>1.0</v>
      </c>
      <c r="D37" s="74" t="s">
        <v>731</v>
      </c>
      <c r="E37" s="74">
        <v>7.0</v>
      </c>
      <c r="F37" s="75">
        <v>46125.0</v>
      </c>
      <c r="G37" s="75">
        <f t="shared" si="1"/>
        <v>46208</v>
      </c>
      <c r="H37" s="76">
        <v>42.0</v>
      </c>
    </row>
    <row r="38" ht="15.75" customHeight="1">
      <c r="A38" s="72" t="s">
        <v>758</v>
      </c>
      <c r="B38" s="72" t="s">
        <v>647</v>
      </c>
      <c r="C38" s="73">
        <v>3.0</v>
      </c>
      <c r="D38" s="74" t="s">
        <v>733</v>
      </c>
      <c r="E38" s="74">
        <v>7.0</v>
      </c>
      <c r="F38" s="75">
        <v>46125.0</v>
      </c>
      <c r="G38" s="75">
        <f t="shared" si="1"/>
        <v>46208</v>
      </c>
      <c r="H38" s="76">
        <v>55.0</v>
      </c>
    </row>
    <row r="39" ht="15.75" customHeight="1">
      <c r="A39" s="72" t="s">
        <v>759</v>
      </c>
      <c r="B39" s="72" t="s">
        <v>647</v>
      </c>
      <c r="C39" s="73">
        <v>2.0</v>
      </c>
      <c r="D39" s="74" t="s">
        <v>753</v>
      </c>
      <c r="E39" s="74">
        <v>7.0</v>
      </c>
      <c r="F39" s="75">
        <v>46125.0</v>
      </c>
      <c r="G39" s="75">
        <f t="shared" si="1"/>
        <v>46208</v>
      </c>
      <c r="H39" s="76">
        <v>55.0</v>
      </c>
    </row>
    <row r="40" ht="15.75" customHeight="1">
      <c r="A40" s="72" t="s">
        <v>762</v>
      </c>
      <c r="B40" s="72" t="s">
        <v>763</v>
      </c>
      <c r="C40" s="73">
        <v>1.0</v>
      </c>
      <c r="D40" s="74" t="s">
        <v>731</v>
      </c>
      <c r="E40" s="74">
        <v>7.0</v>
      </c>
      <c r="F40" s="75">
        <v>46125.0</v>
      </c>
      <c r="G40" s="75">
        <f t="shared" si="1"/>
        <v>46208</v>
      </c>
      <c r="H40" s="76">
        <v>42.0</v>
      </c>
    </row>
    <row r="41" ht="15.75" customHeight="1">
      <c r="A41" s="72" t="s">
        <v>765</v>
      </c>
      <c r="B41" s="72" t="s">
        <v>652</v>
      </c>
      <c r="C41" s="73">
        <v>3.0</v>
      </c>
      <c r="D41" s="74" t="s">
        <v>733</v>
      </c>
      <c r="E41" s="74">
        <v>3.0</v>
      </c>
      <c r="F41" s="75">
        <v>46125.0</v>
      </c>
      <c r="G41" s="75">
        <f t="shared" si="1"/>
        <v>46208</v>
      </c>
      <c r="H41" s="76">
        <v>38.0</v>
      </c>
    </row>
    <row r="42" ht="15.75" customHeight="1">
      <c r="A42" s="72" t="s">
        <v>764</v>
      </c>
      <c r="B42" s="72" t="s">
        <v>652</v>
      </c>
      <c r="C42" s="73">
        <v>1.0</v>
      </c>
      <c r="D42" s="74" t="s">
        <v>731</v>
      </c>
      <c r="E42" s="74">
        <v>3.0</v>
      </c>
      <c r="F42" s="75">
        <v>46125.0</v>
      </c>
      <c r="G42" s="75">
        <f t="shared" si="1"/>
        <v>46208</v>
      </c>
      <c r="H42" s="76">
        <v>38.0</v>
      </c>
    </row>
    <row r="43" ht="15.75" customHeight="1">
      <c r="A43" s="72" t="s">
        <v>766</v>
      </c>
      <c r="B43" s="72" t="s">
        <v>767</v>
      </c>
      <c r="C43" s="73">
        <v>1.0</v>
      </c>
      <c r="D43" s="74" t="s">
        <v>731</v>
      </c>
      <c r="E43" s="74">
        <v>3.0</v>
      </c>
      <c r="F43" s="75">
        <v>46125.0</v>
      </c>
      <c r="G43" s="75">
        <f t="shared" si="1"/>
        <v>46208</v>
      </c>
      <c r="H43" s="76">
        <v>38.0</v>
      </c>
    </row>
    <row r="44" ht="15.75" customHeight="1">
      <c r="A44" s="72" t="s">
        <v>768</v>
      </c>
      <c r="B44" s="72" t="s">
        <v>769</v>
      </c>
      <c r="C44" s="73">
        <v>1.0</v>
      </c>
      <c r="D44" s="74" t="s">
        <v>731</v>
      </c>
      <c r="E44" s="74">
        <v>3.0</v>
      </c>
      <c r="F44" s="75">
        <v>46125.0</v>
      </c>
      <c r="G44" s="75">
        <f t="shared" si="1"/>
        <v>46208</v>
      </c>
      <c r="H44" s="76">
        <v>38.0</v>
      </c>
    </row>
    <row r="45" ht="15.75" customHeight="1">
      <c r="A45" s="72" t="s">
        <v>776</v>
      </c>
      <c r="B45" s="72" t="s">
        <v>651</v>
      </c>
      <c r="C45" s="73">
        <v>1.0</v>
      </c>
      <c r="D45" s="74" t="s">
        <v>731</v>
      </c>
      <c r="E45" s="74">
        <v>3.0</v>
      </c>
      <c r="F45" s="75">
        <v>46125.0</v>
      </c>
      <c r="G45" s="75">
        <f t="shared" si="1"/>
        <v>46208</v>
      </c>
      <c r="H45" s="76">
        <v>35.0</v>
      </c>
    </row>
    <row r="46" ht="15.75" customHeight="1">
      <c r="A46" s="72" t="s">
        <v>779</v>
      </c>
      <c r="B46" s="72" t="s">
        <v>780</v>
      </c>
      <c r="C46" s="73">
        <v>1.0</v>
      </c>
      <c r="D46" s="74" t="s">
        <v>731</v>
      </c>
      <c r="E46" s="74">
        <v>3.0</v>
      </c>
      <c r="F46" s="75">
        <v>46125.0</v>
      </c>
      <c r="G46" s="75">
        <f t="shared" si="1"/>
        <v>46208</v>
      </c>
      <c r="H46" s="76">
        <v>35.0</v>
      </c>
    </row>
    <row r="47" ht="15.75" customHeight="1">
      <c r="A47" s="71" t="s">
        <v>781</v>
      </c>
      <c r="B47" s="72" t="s">
        <v>782</v>
      </c>
      <c r="C47" s="73">
        <v>3.0</v>
      </c>
      <c r="D47" s="74" t="s">
        <v>733</v>
      </c>
      <c r="E47" s="74">
        <v>7.0</v>
      </c>
      <c r="F47" s="75">
        <v>43466.0</v>
      </c>
      <c r="G47" s="75">
        <v>46124.0</v>
      </c>
      <c r="H47" s="76">
        <v>89.0</v>
      </c>
    </row>
    <row r="48" ht="15.75" customHeight="1">
      <c r="A48" s="72" t="s">
        <v>783</v>
      </c>
      <c r="B48" s="72" t="s">
        <v>782</v>
      </c>
      <c r="C48" s="73">
        <v>3.0</v>
      </c>
      <c r="D48" s="74" t="s">
        <v>733</v>
      </c>
      <c r="E48" s="74">
        <v>7.0</v>
      </c>
      <c r="F48" s="75">
        <v>46125.0</v>
      </c>
      <c r="G48" s="75">
        <f>TODAY()+1</f>
        <v>46208</v>
      </c>
      <c r="H48" s="76">
        <v>89.0</v>
      </c>
    </row>
    <row r="49" ht="15.75" customHeight="1">
      <c r="A49" s="72" t="s">
        <v>783</v>
      </c>
      <c r="B49" s="72" t="s">
        <v>782</v>
      </c>
      <c r="C49" s="73">
        <v>3.0</v>
      </c>
      <c r="D49" s="74" t="s">
        <v>733</v>
      </c>
      <c r="E49" s="74">
        <v>7.0</v>
      </c>
      <c r="F49" s="75">
        <v>43466.0</v>
      </c>
      <c r="G49" s="75">
        <v>46124.0</v>
      </c>
      <c r="H49" s="76">
        <v>89.0</v>
      </c>
    </row>
    <row r="50" ht="15.75" customHeight="1">
      <c r="A50" s="72" t="s">
        <v>783</v>
      </c>
      <c r="B50" s="72" t="s">
        <v>782</v>
      </c>
      <c r="C50" s="73">
        <v>3.0</v>
      </c>
      <c r="D50" s="74" t="s">
        <v>733</v>
      </c>
      <c r="E50" s="74">
        <v>7.0</v>
      </c>
      <c r="F50" s="75">
        <v>46125.0</v>
      </c>
      <c r="G50" s="75">
        <f>TODAY()+1</f>
        <v>46208</v>
      </c>
      <c r="H50" s="76">
        <v>89.0</v>
      </c>
    </row>
    <row r="51" ht="15.75" customHeight="1">
      <c r="A51" s="71" t="s">
        <v>784</v>
      </c>
      <c r="B51" s="72" t="s">
        <v>782</v>
      </c>
      <c r="C51" s="73">
        <v>7.0</v>
      </c>
      <c r="D51" s="74" t="s">
        <v>737</v>
      </c>
      <c r="E51" s="74">
        <v>7.0</v>
      </c>
      <c r="F51" s="75">
        <v>43466.0</v>
      </c>
      <c r="G51" s="75">
        <v>46124.0</v>
      </c>
      <c r="H51" s="76">
        <v>89.0</v>
      </c>
    </row>
    <row r="52" ht="15.75" customHeight="1">
      <c r="A52" s="71" t="s">
        <v>784</v>
      </c>
      <c r="B52" s="72" t="s">
        <v>782</v>
      </c>
      <c r="C52" s="73">
        <v>7.0</v>
      </c>
      <c r="D52" s="74" t="s">
        <v>737</v>
      </c>
      <c r="E52" s="74">
        <v>7.0</v>
      </c>
      <c r="F52" s="75">
        <v>46125.0</v>
      </c>
      <c r="G52" s="75">
        <f>TODAY()+1</f>
        <v>46208</v>
      </c>
      <c r="H52" s="76">
        <v>89.0</v>
      </c>
    </row>
    <row r="53" ht="15.75" customHeight="1">
      <c r="A53" s="72" t="s">
        <v>785</v>
      </c>
      <c r="B53" s="72" t="s">
        <v>655</v>
      </c>
      <c r="C53" s="73">
        <v>1.0</v>
      </c>
      <c r="D53" s="74" t="s">
        <v>731</v>
      </c>
      <c r="E53" s="74">
        <v>7.0</v>
      </c>
      <c r="F53" s="75">
        <v>43466.0</v>
      </c>
      <c r="G53" s="75">
        <v>46124.0</v>
      </c>
      <c r="H53" s="76">
        <v>89.0</v>
      </c>
    </row>
    <row r="54" ht="15.75" customHeight="1">
      <c r="A54" s="72" t="s">
        <v>785</v>
      </c>
      <c r="B54" s="72" t="s">
        <v>655</v>
      </c>
      <c r="C54" s="73">
        <v>1.0</v>
      </c>
      <c r="D54" s="74" t="s">
        <v>731</v>
      </c>
      <c r="E54" s="74">
        <v>7.0</v>
      </c>
      <c r="F54" s="75">
        <v>46125.0</v>
      </c>
      <c r="G54" s="75">
        <f>TODAY()+1</f>
        <v>46208</v>
      </c>
      <c r="H54" s="76">
        <v>89.0</v>
      </c>
    </row>
    <row r="55" ht="15.75" customHeight="1">
      <c r="A55" s="72" t="s">
        <v>786</v>
      </c>
      <c r="B55" s="72" t="s">
        <v>655</v>
      </c>
      <c r="C55" s="73">
        <v>3.0</v>
      </c>
      <c r="D55" s="74" t="s">
        <v>733</v>
      </c>
      <c r="E55" s="74">
        <v>7.0</v>
      </c>
      <c r="F55" s="75">
        <v>43466.0</v>
      </c>
      <c r="G55" s="75">
        <v>46124.0</v>
      </c>
      <c r="H55" s="76">
        <v>89.0</v>
      </c>
    </row>
    <row r="56" ht="15.75" customHeight="1">
      <c r="A56" s="72" t="s">
        <v>787</v>
      </c>
      <c r="B56" s="72" t="s">
        <v>788</v>
      </c>
      <c r="C56" s="73">
        <v>0.0</v>
      </c>
      <c r="D56" s="74" t="s">
        <v>789</v>
      </c>
      <c r="E56" s="74">
        <v>3.0</v>
      </c>
      <c r="F56" s="75">
        <v>44896.0</v>
      </c>
      <c r="G56" s="75">
        <f>TODAY()+1</f>
        <v>46208</v>
      </c>
      <c r="H56" s="76">
        <v>28.0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63"/>
    <col customWidth="1" min="2" max="2" width="8.63"/>
    <col customWidth="1" min="3" max="3" width="13.88"/>
    <col customWidth="1" min="4" max="4" width="18.13"/>
    <col customWidth="1" min="5" max="5" width="15.38"/>
    <col customWidth="1" min="6" max="6" width="15.0"/>
    <col customWidth="1" min="7" max="7" width="12.38"/>
    <col customWidth="1" min="8" max="8" width="20.88"/>
    <col customWidth="1" min="9" max="9" width="11.75"/>
    <col customWidth="1" min="10" max="16" width="8.63"/>
  </cols>
  <sheetData>
    <row r="1">
      <c r="A1" s="77" t="s">
        <v>790</v>
      </c>
      <c r="B1" s="78" t="s">
        <v>631</v>
      </c>
      <c r="C1" s="78" t="s">
        <v>791</v>
      </c>
      <c r="D1" s="79" t="s">
        <v>792</v>
      </c>
      <c r="E1" s="78" t="s">
        <v>793</v>
      </c>
      <c r="F1" s="77" t="s">
        <v>794</v>
      </c>
      <c r="G1" s="77" t="s">
        <v>795</v>
      </c>
      <c r="H1" s="80" t="s">
        <v>796</v>
      </c>
      <c r="I1" s="77" t="s">
        <v>797</v>
      </c>
      <c r="J1" s="7"/>
      <c r="K1" s="7"/>
      <c r="L1" s="7"/>
      <c r="M1" s="7"/>
      <c r="N1" s="7"/>
      <c r="O1" s="7"/>
      <c r="P1" s="7"/>
    </row>
    <row r="2">
      <c r="A2" s="81" t="s">
        <v>648</v>
      </c>
      <c r="B2" s="82" t="s">
        <v>60</v>
      </c>
      <c r="C2" s="83" t="s">
        <v>358</v>
      </c>
      <c r="D2" s="52">
        <v>45696.0</v>
      </c>
      <c r="E2" s="82" t="s">
        <v>798</v>
      </c>
      <c r="F2" s="6" t="s">
        <v>799</v>
      </c>
      <c r="G2" s="84">
        <v>4.0</v>
      </c>
      <c r="H2" s="83" t="s">
        <v>652</v>
      </c>
      <c r="I2" s="6" t="s">
        <v>800</v>
      </c>
    </row>
    <row r="3">
      <c r="A3" s="81" t="s">
        <v>648</v>
      </c>
      <c r="B3" s="82" t="s">
        <v>60</v>
      </c>
      <c r="C3" s="83" t="s">
        <v>358</v>
      </c>
      <c r="D3" s="52">
        <v>45696.0</v>
      </c>
      <c r="E3" s="82" t="s">
        <v>801</v>
      </c>
      <c r="F3" s="6" t="s">
        <v>802</v>
      </c>
      <c r="G3" s="84">
        <v>8.0</v>
      </c>
      <c r="H3" s="83" t="s">
        <v>652</v>
      </c>
      <c r="I3" s="6" t="s">
        <v>800</v>
      </c>
    </row>
    <row r="4">
      <c r="A4" s="81" t="s">
        <v>648</v>
      </c>
      <c r="B4" s="82" t="s">
        <v>60</v>
      </c>
      <c r="C4" s="83" t="s">
        <v>358</v>
      </c>
      <c r="D4" s="52">
        <v>45743.0</v>
      </c>
      <c r="E4" s="82" t="s">
        <v>803</v>
      </c>
      <c r="F4" s="6" t="s">
        <v>804</v>
      </c>
      <c r="G4" s="84">
        <v>12.0</v>
      </c>
      <c r="H4" s="83" t="s">
        <v>650</v>
      </c>
      <c r="I4" s="6" t="s">
        <v>800</v>
      </c>
    </row>
    <row r="5">
      <c r="A5" s="81" t="s">
        <v>648</v>
      </c>
      <c r="B5" s="82" t="s">
        <v>60</v>
      </c>
      <c r="C5" s="83" t="s">
        <v>358</v>
      </c>
      <c r="D5" s="52">
        <v>45744.0</v>
      </c>
      <c r="E5" s="82" t="s">
        <v>805</v>
      </c>
      <c r="F5" s="6" t="s">
        <v>804</v>
      </c>
      <c r="G5" s="84">
        <v>12.0</v>
      </c>
      <c r="H5" s="83" t="s">
        <v>651</v>
      </c>
      <c r="I5" s="6" t="s">
        <v>800</v>
      </c>
    </row>
    <row r="6">
      <c r="A6" s="81" t="s">
        <v>648</v>
      </c>
      <c r="B6" s="82" t="s">
        <v>60</v>
      </c>
      <c r="C6" s="83" t="s">
        <v>358</v>
      </c>
      <c r="D6" s="52">
        <v>45744.0</v>
      </c>
      <c r="E6" s="82" t="s">
        <v>806</v>
      </c>
      <c r="F6" s="6" t="s">
        <v>807</v>
      </c>
      <c r="G6" s="84">
        <v>12.0</v>
      </c>
      <c r="H6" s="83" t="s">
        <v>650</v>
      </c>
      <c r="I6" s="6" t="s">
        <v>800</v>
      </c>
    </row>
    <row r="7">
      <c r="A7" s="81" t="s">
        <v>648</v>
      </c>
      <c r="B7" s="82" t="s">
        <v>60</v>
      </c>
      <c r="C7" s="83" t="s">
        <v>358</v>
      </c>
      <c r="D7" s="52">
        <v>45744.0</v>
      </c>
      <c r="E7" s="82" t="s">
        <v>808</v>
      </c>
      <c r="F7" s="6" t="s">
        <v>799</v>
      </c>
      <c r="G7" s="84">
        <v>18.0</v>
      </c>
      <c r="H7" s="83" t="s">
        <v>650</v>
      </c>
      <c r="I7" s="6" t="s">
        <v>800</v>
      </c>
    </row>
    <row r="8">
      <c r="A8" s="81" t="s">
        <v>648</v>
      </c>
      <c r="B8" s="82" t="s">
        <v>60</v>
      </c>
      <c r="C8" s="83" t="s">
        <v>358</v>
      </c>
      <c r="D8" s="52">
        <v>45745.0</v>
      </c>
      <c r="E8" s="82" t="s">
        <v>809</v>
      </c>
      <c r="F8" s="6" t="s">
        <v>807</v>
      </c>
      <c r="G8" s="84">
        <v>12.0</v>
      </c>
      <c r="H8" s="83" t="s">
        <v>651</v>
      </c>
      <c r="I8" s="6" t="s">
        <v>800</v>
      </c>
    </row>
    <row r="9">
      <c r="A9" s="81" t="s">
        <v>648</v>
      </c>
      <c r="B9" s="82" t="s">
        <v>60</v>
      </c>
      <c r="C9" s="83" t="s">
        <v>358</v>
      </c>
      <c r="D9" s="52">
        <v>45745.0</v>
      </c>
      <c r="E9" s="82" t="s">
        <v>810</v>
      </c>
      <c r="F9" s="6" t="s">
        <v>799</v>
      </c>
      <c r="G9" s="84">
        <v>9.0</v>
      </c>
      <c r="H9" s="83" t="s">
        <v>651</v>
      </c>
      <c r="I9" s="6" t="s">
        <v>800</v>
      </c>
    </row>
    <row r="10">
      <c r="A10" s="81" t="s">
        <v>648</v>
      </c>
      <c r="B10" s="82" t="s">
        <v>60</v>
      </c>
      <c r="C10" s="83" t="s">
        <v>358</v>
      </c>
      <c r="D10" s="52">
        <v>45745.0</v>
      </c>
      <c r="E10" s="82" t="s">
        <v>811</v>
      </c>
      <c r="F10" s="6" t="s">
        <v>802</v>
      </c>
      <c r="G10" s="84">
        <v>12.0</v>
      </c>
      <c r="H10" s="83" t="s">
        <v>650</v>
      </c>
      <c r="I10" s="6" t="s">
        <v>800</v>
      </c>
    </row>
    <row r="11">
      <c r="A11" s="81" t="s">
        <v>648</v>
      </c>
      <c r="B11" s="82" t="s">
        <v>60</v>
      </c>
      <c r="C11" s="83" t="s">
        <v>358</v>
      </c>
      <c r="D11" s="52">
        <v>45745.0</v>
      </c>
      <c r="E11" s="82" t="s">
        <v>812</v>
      </c>
      <c r="F11" s="6" t="s">
        <v>802</v>
      </c>
      <c r="G11" s="84">
        <v>12.0</v>
      </c>
      <c r="H11" s="83" t="s">
        <v>651</v>
      </c>
      <c r="I11" s="6" t="s">
        <v>800</v>
      </c>
    </row>
    <row r="12">
      <c r="A12" s="81" t="s">
        <v>648</v>
      </c>
      <c r="B12" s="82" t="s">
        <v>60</v>
      </c>
      <c r="C12" s="83" t="s">
        <v>358</v>
      </c>
      <c r="D12" s="52">
        <v>45750.0</v>
      </c>
      <c r="E12" s="82" t="s">
        <v>813</v>
      </c>
      <c r="F12" s="6" t="s">
        <v>804</v>
      </c>
      <c r="G12" s="84">
        <v>12.0</v>
      </c>
      <c r="H12" s="83" t="s">
        <v>650</v>
      </c>
      <c r="I12" s="6" t="s">
        <v>800</v>
      </c>
    </row>
    <row r="13">
      <c r="A13" s="81" t="s">
        <v>648</v>
      </c>
      <c r="B13" s="82" t="s">
        <v>60</v>
      </c>
      <c r="C13" s="83" t="s">
        <v>358</v>
      </c>
      <c r="D13" s="52">
        <v>45750.0</v>
      </c>
      <c r="E13" s="82" t="s">
        <v>814</v>
      </c>
      <c r="F13" s="6" t="s">
        <v>804</v>
      </c>
      <c r="G13" s="84">
        <v>12.0</v>
      </c>
      <c r="H13" s="83" t="s">
        <v>650</v>
      </c>
      <c r="I13" s="6" t="s">
        <v>800</v>
      </c>
    </row>
    <row r="14">
      <c r="A14" s="81" t="s">
        <v>648</v>
      </c>
      <c r="B14" s="82" t="s">
        <v>60</v>
      </c>
      <c r="C14" s="83" t="s">
        <v>358</v>
      </c>
      <c r="D14" s="52">
        <v>45751.0</v>
      </c>
      <c r="E14" s="82" t="s">
        <v>815</v>
      </c>
      <c r="F14" s="6" t="s">
        <v>807</v>
      </c>
      <c r="G14" s="84">
        <v>12.0</v>
      </c>
      <c r="H14" s="83" t="s">
        <v>650</v>
      </c>
      <c r="I14" s="6" t="s">
        <v>800</v>
      </c>
    </row>
    <row r="15">
      <c r="A15" s="81" t="s">
        <v>648</v>
      </c>
      <c r="B15" s="82" t="s">
        <v>60</v>
      </c>
      <c r="C15" s="83" t="s">
        <v>358</v>
      </c>
      <c r="D15" s="52">
        <v>45751.0</v>
      </c>
      <c r="E15" s="82" t="s">
        <v>816</v>
      </c>
      <c r="F15" s="6" t="s">
        <v>799</v>
      </c>
      <c r="G15" s="84">
        <v>14.0</v>
      </c>
      <c r="H15" s="83" t="s">
        <v>650</v>
      </c>
      <c r="I15" s="6" t="s">
        <v>800</v>
      </c>
    </row>
    <row r="16">
      <c r="A16" s="81" t="s">
        <v>648</v>
      </c>
      <c r="B16" s="82" t="s">
        <v>60</v>
      </c>
      <c r="C16" s="83" t="s">
        <v>358</v>
      </c>
      <c r="D16" s="52">
        <v>45752.0</v>
      </c>
      <c r="E16" s="82" t="s">
        <v>817</v>
      </c>
      <c r="F16" s="6" t="s">
        <v>807</v>
      </c>
      <c r="G16" s="84">
        <v>12.0</v>
      </c>
      <c r="H16" s="83" t="s">
        <v>651</v>
      </c>
      <c r="I16" s="6" t="s">
        <v>800</v>
      </c>
    </row>
    <row r="17">
      <c r="A17" s="81" t="s">
        <v>648</v>
      </c>
      <c r="B17" s="82" t="s">
        <v>60</v>
      </c>
      <c r="C17" s="83" t="s">
        <v>358</v>
      </c>
      <c r="D17" s="52">
        <v>45752.0</v>
      </c>
      <c r="E17" s="82" t="s">
        <v>818</v>
      </c>
      <c r="F17" s="6" t="s">
        <v>799</v>
      </c>
      <c r="G17" s="84">
        <v>9.0</v>
      </c>
      <c r="H17" s="83" t="s">
        <v>651</v>
      </c>
      <c r="I17" s="6" t="s">
        <v>800</v>
      </c>
    </row>
    <row r="18">
      <c r="A18" s="81" t="s">
        <v>648</v>
      </c>
      <c r="B18" s="82" t="s">
        <v>60</v>
      </c>
      <c r="C18" s="83" t="s">
        <v>358</v>
      </c>
      <c r="D18" s="52">
        <v>45752.0</v>
      </c>
      <c r="E18" s="82" t="s">
        <v>819</v>
      </c>
      <c r="F18" s="6" t="s">
        <v>802</v>
      </c>
      <c r="G18" s="84">
        <v>12.0</v>
      </c>
      <c r="H18" s="83" t="s">
        <v>650</v>
      </c>
      <c r="I18" s="6" t="s">
        <v>800</v>
      </c>
    </row>
    <row r="19">
      <c r="A19" s="81" t="s">
        <v>648</v>
      </c>
      <c r="B19" s="82" t="s">
        <v>60</v>
      </c>
      <c r="C19" s="83" t="s">
        <v>358</v>
      </c>
      <c r="D19" s="52">
        <v>45752.0</v>
      </c>
      <c r="E19" s="82" t="s">
        <v>820</v>
      </c>
      <c r="F19" s="6" t="s">
        <v>802</v>
      </c>
      <c r="G19" s="84">
        <v>12.0</v>
      </c>
      <c r="H19" s="83" t="s">
        <v>651</v>
      </c>
      <c r="I19" s="6" t="s">
        <v>800</v>
      </c>
    </row>
    <row r="20">
      <c r="A20" s="81" t="s">
        <v>648</v>
      </c>
      <c r="B20" s="82" t="s">
        <v>60</v>
      </c>
      <c r="C20" s="83" t="s">
        <v>358</v>
      </c>
      <c r="D20" s="52">
        <v>45757.0</v>
      </c>
      <c r="E20" s="82" t="s">
        <v>821</v>
      </c>
      <c r="F20" s="6" t="s">
        <v>804</v>
      </c>
      <c r="G20" s="84">
        <v>12.0</v>
      </c>
      <c r="H20" s="83" t="s">
        <v>651</v>
      </c>
      <c r="I20" s="6" t="s">
        <v>800</v>
      </c>
    </row>
    <row r="21" ht="15.75" customHeight="1">
      <c r="A21" s="81" t="s">
        <v>648</v>
      </c>
      <c r="B21" s="82" t="s">
        <v>60</v>
      </c>
      <c r="C21" s="83" t="s">
        <v>358</v>
      </c>
      <c r="D21" s="52">
        <v>45758.0</v>
      </c>
      <c r="E21" s="82" t="s">
        <v>822</v>
      </c>
      <c r="F21" s="6" t="s">
        <v>807</v>
      </c>
      <c r="G21" s="84">
        <v>12.0</v>
      </c>
      <c r="H21" s="83" t="s">
        <v>651</v>
      </c>
      <c r="I21" s="6" t="s">
        <v>800</v>
      </c>
    </row>
    <row r="22" ht="15.75" customHeight="1">
      <c r="A22" s="81" t="s">
        <v>648</v>
      </c>
      <c r="B22" s="82" t="s">
        <v>60</v>
      </c>
      <c r="C22" s="83" t="s">
        <v>358</v>
      </c>
      <c r="D22" s="52">
        <v>45759.0</v>
      </c>
      <c r="E22" s="82" t="s">
        <v>823</v>
      </c>
      <c r="F22" s="6" t="s">
        <v>804</v>
      </c>
      <c r="G22" s="84">
        <v>12.0</v>
      </c>
      <c r="H22" s="83" t="s">
        <v>652</v>
      </c>
      <c r="I22" s="6" t="s">
        <v>800</v>
      </c>
    </row>
    <row r="23" ht="15.75" customHeight="1">
      <c r="A23" s="81" t="s">
        <v>648</v>
      </c>
      <c r="B23" s="82" t="s">
        <v>60</v>
      </c>
      <c r="C23" s="83" t="s">
        <v>358</v>
      </c>
      <c r="D23" s="52">
        <v>45759.0</v>
      </c>
      <c r="E23" s="82" t="s">
        <v>824</v>
      </c>
      <c r="F23" s="6" t="s">
        <v>807</v>
      </c>
      <c r="G23" s="84">
        <v>12.0</v>
      </c>
      <c r="H23" s="83" t="s">
        <v>652</v>
      </c>
      <c r="I23" s="6" t="s">
        <v>800</v>
      </c>
    </row>
    <row r="24" ht="15.75" customHeight="1">
      <c r="A24" s="81" t="s">
        <v>648</v>
      </c>
      <c r="B24" s="82" t="s">
        <v>60</v>
      </c>
      <c r="C24" s="83" t="s">
        <v>358</v>
      </c>
      <c r="D24" s="52">
        <v>45759.0</v>
      </c>
      <c r="E24" s="82" t="s">
        <v>825</v>
      </c>
      <c r="F24" s="6" t="s">
        <v>799</v>
      </c>
      <c r="G24" s="84">
        <v>9.0</v>
      </c>
      <c r="H24" s="83" t="s">
        <v>651</v>
      </c>
      <c r="I24" s="6" t="s">
        <v>800</v>
      </c>
    </row>
    <row r="25" ht="15.75" customHeight="1">
      <c r="A25" s="81" t="s">
        <v>648</v>
      </c>
      <c r="B25" s="82" t="s">
        <v>60</v>
      </c>
      <c r="C25" s="83" t="s">
        <v>358</v>
      </c>
      <c r="D25" s="52">
        <v>45759.0</v>
      </c>
      <c r="E25" s="82" t="s">
        <v>826</v>
      </c>
      <c r="F25" s="6" t="s">
        <v>799</v>
      </c>
      <c r="G25" s="84">
        <v>8.0</v>
      </c>
      <c r="H25" s="83" t="s">
        <v>652</v>
      </c>
      <c r="I25" s="6" t="s">
        <v>800</v>
      </c>
    </row>
    <row r="26" ht="15.75" customHeight="1">
      <c r="A26" s="81" t="s">
        <v>648</v>
      </c>
      <c r="B26" s="82" t="s">
        <v>60</v>
      </c>
      <c r="C26" s="83" t="s">
        <v>358</v>
      </c>
      <c r="D26" s="52">
        <v>45759.0</v>
      </c>
      <c r="E26" s="82" t="s">
        <v>827</v>
      </c>
      <c r="F26" s="6" t="s">
        <v>802</v>
      </c>
      <c r="G26" s="84">
        <v>12.0</v>
      </c>
      <c r="H26" s="83" t="s">
        <v>651</v>
      </c>
      <c r="I26" s="6" t="s">
        <v>800</v>
      </c>
    </row>
    <row r="27" ht="15.75" customHeight="1">
      <c r="A27" s="81" t="s">
        <v>648</v>
      </c>
      <c r="B27" s="82" t="s">
        <v>60</v>
      </c>
      <c r="C27" s="83" t="s">
        <v>358</v>
      </c>
      <c r="D27" s="52">
        <v>45759.0</v>
      </c>
      <c r="E27" s="82" t="s">
        <v>828</v>
      </c>
      <c r="F27" s="6" t="s">
        <v>802</v>
      </c>
      <c r="G27" s="84">
        <v>12.0</v>
      </c>
      <c r="H27" s="83" t="s">
        <v>652</v>
      </c>
      <c r="I27" s="6" t="s">
        <v>800</v>
      </c>
    </row>
    <row r="28" ht="15.75" customHeight="1">
      <c r="A28" s="81" t="s">
        <v>648</v>
      </c>
      <c r="B28" s="82" t="s">
        <v>60</v>
      </c>
      <c r="C28" s="83" t="s">
        <v>358</v>
      </c>
      <c r="D28" s="52">
        <v>45759.0</v>
      </c>
      <c r="E28" s="82" t="s">
        <v>829</v>
      </c>
      <c r="F28" s="6" t="s">
        <v>830</v>
      </c>
      <c r="G28" s="84">
        <v>5.0</v>
      </c>
      <c r="H28" s="83" t="s">
        <v>651</v>
      </c>
      <c r="I28" s="6" t="s">
        <v>800</v>
      </c>
    </row>
    <row r="29" ht="15.75" customHeight="1">
      <c r="A29" s="81" t="s">
        <v>648</v>
      </c>
      <c r="B29" s="82" t="s">
        <v>60</v>
      </c>
      <c r="C29" s="83" t="s">
        <v>358</v>
      </c>
      <c r="D29" s="52">
        <v>45745.0</v>
      </c>
      <c r="E29" s="82" t="s">
        <v>831</v>
      </c>
      <c r="F29" s="6" t="s">
        <v>830</v>
      </c>
      <c r="G29" s="84">
        <v>5.0</v>
      </c>
      <c r="H29" s="83" t="s">
        <v>651</v>
      </c>
      <c r="I29" s="6" t="s">
        <v>800</v>
      </c>
    </row>
    <row r="30" ht="15.75" customHeight="1">
      <c r="A30" s="81" t="s">
        <v>648</v>
      </c>
      <c r="B30" s="82" t="s">
        <v>60</v>
      </c>
      <c r="C30" s="83" t="s">
        <v>358</v>
      </c>
      <c r="D30" s="52">
        <v>45745.0</v>
      </c>
      <c r="E30" s="82" t="s">
        <v>832</v>
      </c>
      <c r="F30" s="6" t="s">
        <v>830</v>
      </c>
      <c r="G30" s="84">
        <v>5.0</v>
      </c>
      <c r="H30" s="83" t="s">
        <v>650</v>
      </c>
      <c r="I30" s="6" t="s">
        <v>800</v>
      </c>
    </row>
    <row r="31" ht="15.75" customHeight="1">
      <c r="A31" s="81" t="s">
        <v>648</v>
      </c>
      <c r="B31" s="82" t="s">
        <v>60</v>
      </c>
      <c r="C31" s="83" t="s">
        <v>358</v>
      </c>
      <c r="D31" s="52">
        <v>45752.0</v>
      </c>
      <c r="E31" s="82" t="s">
        <v>833</v>
      </c>
      <c r="F31" s="6" t="s">
        <v>830</v>
      </c>
      <c r="G31" s="84">
        <v>5.0</v>
      </c>
      <c r="H31" s="83" t="s">
        <v>650</v>
      </c>
      <c r="I31" s="6" t="s">
        <v>800</v>
      </c>
    </row>
    <row r="32" ht="15.75" customHeight="1">
      <c r="A32" s="81" t="s">
        <v>648</v>
      </c>
      <c r="B32" s="82" t="s">
        <v>60</v>
      </c>
      <c r="C32" s="83" t="s">
        <v>358</v>
      </c>
      <c r="D32" s="52">
        <v>45752.0</v>
      </c>
      <c r="E32" s="82" t="s">
        <v>834</v>
      </c>
      <c r="F32" s="6" t="s">
        <v>830</v>
      </c>
      <c r="G32" s="84">
        <v>5.0</v>
      </c>
      <c r="H32" s="83" t="s">
        <v>651</v>
      </c>
      <c r="I32" s="6" t="s">
        <v>800</v>
      </c>
    </row>
    <row r="33" ht="15.75" customHeight="1">
      <c r="A33" s="81" t="s">
        <v>648</v>
      </c>
      <c r="B33" s="82" t="s">
        <v>60</v>
      </c>
      <c r="C33" s="83" t="s">
        <v>358</v>
      </c>
      <c r="D33" s="52">
        <v>45760.0</v>
      </c>
      <c r="E33" s="82" t="s">
        <v>835</v>
      </c>
      <c r="F33" s="6" t="s">
        <v>830</v>
      </c>
      <c r="G33" s="84">
        <v>3.0</v>
      </c>
      <c r="H33" s="83" t="s">
        <v>652</v>
      </c>
      <c r="I33" s="6" t="s">
        <v>800</v>
      </c>
    </row>
    <row r="34" ht="15.75" customHeight="1">
      <c r="A34" s="81" t="s">
        <v>648</v>
      </c>
      <c r="B34" s="82" t="s">
        <v>53</v>
      </c>
      <c r="C34" s="83" t="s">
        <v>298</v>
      </c>
      <c r="D34" s="52">
        <v>44607.0</v>
      </c>
      <c r="E34" s="82" t="s">
        <v>836</v>
      </c>
      <c r="F34" s="6" t="s">
        <v>837</v>
      </c>
      <c r="G34" s="84">
        <v>8.0</v>
      </c>
      <c r="H34" s="83" t="s">
        <v>647</v>
      </c>
      <c r="I34" s="6" t="s">
        <v>838</v>
      </c>
    </row>
    <row r="35" ht="15.75" customHeight="1">
      <c r="A35" s="81" t="s">
        <v>648</v>
      </c>
      <c r="B35" s="82" t="s">
        <v>28</v>
      </c>
      <c r="C35" s="83" t="s">
        <v>268</v>
      </c>
      <c r="D35" s="52">
        <v>45583.0</v>
      </c>
      <c r="E35" s="82" t="s">
        <v>839</v>
      </c>
      <c r="F35" s="6" t="s">
        <v>840</v>
      </c>
      <c r="G35" s="84">
        <v>6.0</v>
      </c>
      <c r="H35" s="83" t="s">
        <v>650</v>
      </c>
      <c r="I35" s="6" t="s">
        <v>800</v>
      </c>
    </row>
    <row r="36" ht="15.75" customHeight="1">
      <c r="A36" s="81" t="s">
        <v>648</v>
      </c>
      <c r="B36" s="82" t="s">
        <v>28</v>
      </c>
      <c r="C36" s="83" t="s">
        <v>268</v>
      </c>
      <c r="D36" s="52">
        <v>45584.0</v>
      </c>
      <c r="E36" s="82" t="s">
        <v>841</v>
      </c>
      <c r="F36" s="6" t="s">
        <v>837</v>
      </c>
      <c r="G36" s="84">
        <v>8.0</v>
      </c>
      <c r="H36" s="83" t="s">
        <v>650</v>
      </c>
      <c r="I36" s="6" t="s">
        <v>800</v>
      </c>
    </row>
    <row r="37" ht="15.75" customHeight="1">
      <c r="A37" s="81" t="s">
        <v>648</v>
      </c>
      <c r="B37" s="82" t="s">
        <v>38</v>
      </c>
      <c r="C37" s="83" t="s">
        <v>342</v>
      </c>
      <c r="D37" s="52">
        <v>45120.0</v>
      </c>
      <c r="E37" s="82" t="s">
        <v>842</v>
      </c>
      <c r="F37" s="6" t="s">
        <v>840</v>
      </c>
      <c r="G37" s="84">
        <v>3.0</v>
      </c>
      <c r="H37" s="83" t="s">
        <v>649</v>
      </c>
      <c r="I37" s="6" t="s">
        <v>800</v>
      </c>
    </row>
    <row r="38" ht="15.75" customHeight="1">
      <c r="A38" s="81" t="s">
        <v>648</v>
      </c>
      <c r="B38" s="82" t="s">
        <v>45</v>
      </c>
      <c r="C38" s="83" t="s">
        <v>178</v>
      </c>
      <c r="D38" s="52">
        <v>44757.0</v>
      </c>
      <c r="E38" s="82" t="s">
        <v>843</v>
      </c>
      <c r="F38" s="6" t="s">
        <v>844</v>
      </c>
      <c r="G38" s="84">
        <v>7.0</v>
      </c>
      <c r="H38" s="83" t="s">
        <v>647</v>
      </c>
      <c r="I38" s="6" t="s">
        <v>838</v>
      </c>
    </row>
    <row r="39" ht="15.75" customHeight="1">
      <c r="A39" s="81"/>
      <c r="B39" s="82"/>
      <c r="C39" s="83"/>
      <c r="D39" s="52"/>
      <c r="E39" s="82"/>
      <c r="F39" s="6"/>
      <c r="G39" s="84"/>
      <c r="H39" s="83"/>
      <c r="I39" s="6"/>
    </row>
    <row r="40" ht="15.75" customHeight="1">
      <c r="C40" s="85"/>
      <c r="E40" s="85"/>
      <c r="H40" s="86"/>
    </row>
    <row r="41" ht="15.75" customHeight="1">
      <c r="C41" s="85"/>
      <c r="E41" s="85"/>
      <c r="H41" s="86"/>
    </row>
    <row r="42" ht="15.75" customHeight="1">
      <c r="C42" s="85"/>
      <c r="E42" s="85"/>
      <c r="H42" s="86"/>
    </row>
    <row r="43" ht="15.75" customHeight="1">
      <c r="C43" s="85"/>
      <c r="E43" s="85"/>
      <c r="H43" s="86"/>
    </row>
    <row r="44" ht="15.75" customHeight="1">
      <c r="C44" s="85"/>
      <c r="E44" s="85"/>
      <c r="H44" s="86"/>
    </row>
    <row r="45" ht="15.75" customHeight="1">
      <c r="C45" s="85"/>
      <c r="E45" s="85"/>
      <c r="H45" s="86"/>
    </row>
    <row r="46" ht="15.75" customHeight="1">
      <c r="C46" s="85"/>
      <c r="E46" s="85"/>
      <c r="H46" s="86"/>
    </row>
    <row r="47" ht="15.75" customHeight="1">
      <c r="C47" s="85"/>
      <c r="E47" s="85"/>
      <c r="H47" s="86"/>
    </row>
    <row r="48" ht="15.75" customHeight="1">
      <c r="C48" s="85"/>
      <c r="E48" s="85"/>
      <c r="H48" s="86"/>
    </row>
    <row r="49" ht="15.75" customHeight="1">
      <c r="C49" s="85"/>
      <c r="E49" s="85"/>
      <c r="H49" s="86"/>
    </row>
    <row r="50" ht="15.75" customHeight="1">
      <c r="C50" s="85"/>
      <c r="E50" s="85"/>
      <c r="H50" s="86"/>
    </row>
    <row r="51" ht="15.75" customHeight="1">
      <c r="C51" s="85"/>
      <c r="E51" s="85"/>
      <c r="H51" s="86"/>
    </row>
    <row r="52" ht="15.75" customHeight="1">
      <c r="C52" s="85"/>
      <c r="E52" s="85"/>
      <c r="H52" s="86"/>
    </row>
    <row r="53" ht="15.75" customHeight="1">
      <c r="C53" s="85"/>
      <c r="E53" s="85"/>
      <c r="H53" s="86"/>
    </row>
    <row r="54" ht="15.75" customHeight="1">
      <c r="C54" s="85"/>
      <c r="E54" s="85"/>
      <c r="H54" s="86"/>
    </row>
    <row r="55" ht="15.75" customHeight="1">
      <c r="C55" s="85"/>
      <c r="E55" s="85"/>
      <c r="H55" s="86"/>
    </row>
    <row r="56" ht="15.75" customHeight="1">
      <c r="C56" s="85"/>
      <c r="E56" s="85"/>
      <c r="H56" s="86"/>
    </row>
    <row r="57" ht="15.75" customHeight="1">
      <c r="C57" s="85"/>
      <c r="E57" s="85"/>
      <c r="H57" s="86"/>
    </row>
    <row r="58" ht="15.75" customHeight="1">
      <c r="C58" s="85"/>
      <c r="E58" s="85"/>
      <c r="H58" s="86"/>
    </row>
    <row r="59" ht="15.75" customHeight="1">
      <c r="C59" s="85"/>
      <c r="E59" s="85"/>
      <c r="H59" s="86"/>
    </row>
    <row r="60" ht="15.75" customHeight="1">
      <c r="C60" s="85"/>
      <c r="E60" s="85"/>
      <c r="H60" s="86"/>
    </row>
    <row r="61" ht="15.75" customHeight="1">
      <c r="C61" s="85"/>
      <c r="E61" s="85"/>
      <c r="H61" s="86"/>
    </row>
    <row r="62" ht="15.75" customHeight="1">
      <c r="C62" s="85"/>
      <c r="E62" s="85"/>
      <c r="H62" s="86"/>
    </row>
    <row r="63" ht="15.75" customHeight="1">
      <c r="C63" s="85"/>
      <c r="E63" s="85"/>
      <c r="H63" s="86"/>
    </row>
    <row r="64" ht="15.75" customHeight="1">
      <c r="C64" s="85"/>
      <c r="E64" s="85"/>
      <c r="H64" s="86"/>
    </row>
    <row r="65" ht="15.75" customHeight="1">
      <c r="C65" s="85"/>
      <c r="E65" s="85"/>
      <c r="H65" s="86"/>
    </row>
    <row r="66" ht="15.75" customHeight="1">
      <c r="C66" s="85"/>
      <c r="E66" s="85"/>
      <c r="H66" s="86"/>
    </row>
    <row r="67" ht="15.75" customHeight="1">
      <c r="C67" s="85"/>
      <c r="E67" s="85"/>
      <c r="H67" s="86"/>
    </row>
    <row r="68" ht="15.75" customHeight="1">
      <c r="C68" s="85"/>
      <c r="E68" s="85"/>
      <c r="H68" s="86"/>
    </row>
    <row r="69" ht="15.75" customHeight="1">
      <c r="C69" s="85"/>
      <c r="E69" s="85"/>
      <c r="H69" s="86"/>
    </row>
    <row r="70" ht="15.75" customHeight="1">
      <c r="C70" s="85"/>
      <c r="E70" s="85"/>
      <c r="H70" s="86"/>
    </row>
    <row r="71" ht="15.75" customHeight="1">
      <c r="C71" s="85"/>
      <c r="E71" s="85"/>
      <c r="H71" s="86"/>
    </row>
    <row r="72" ht="15.75" customHeight="1">
      <c r="C72" s="85"/>
      <c r="E72" s="85"/>
      <c r="H72" s="86"/>
    </row>
    <row r="73" ht="15.75" customHeight="1">
      <c r="C73" s="85"/>
      <c r="E73" s="85"/>
      <c r="H73" s="86"/>
    </row>
    <row r="74" ht="15.75" customHeight="1">
      <c r="C74" s="85"/>
      <c r="E74" s="85"/>
      <c r="H74" s="86"/>
    </row>
    <row r="75" ht="15.75" customHeight="1">
      <c r="C75" s="85"/>
      <c r="E75" s="85"/>
      <c r="H75" s="86"/>
    </row>
    <row r="76" ht="15.75" customHeight="1">
      <c r="C76" s="85"/>
      <c r="E76" s="85"/>
      <c r="H76" s="86"/>
    </row>
    <row r="77" ht="15.75" customHeight="1">
      <c r="C77" s="85"/>
      <c r="E77" s="85"/>
      <c r="H77" s="86"/>
    </row>
    <row r="78" ht="15.75" customHeight="1">
      <c r="C78" s="85"/>
      <c r="E78" s="85"/>
      <c r="H78" s="86"/>
    </row>
    <row r="79" ht="15.75" customHeight="1">
      <c r="C79" s="85"/>
      <c r="E79" s="85"/>
      <c r="H79" s="86"/>
    </row>
    <row r="80" ht="15.75" customHeight="1">
      <c r="C80" s="85"/>
      <c r="E80" s="85"/>
      <c r="H80" s="86"/>
    </row>
    <row r="81" ht="15.75" customHeight="1">
      <c r="C81" s="85"/>
      <c r="E81" s="85"/>
      <c r="H81" s="86"/>
    </row>
    <row r="82" ht="15.75" customHeight="1">
      <c r="C82" s="85"/>
      <c r="E82" s="85"/>
      <c r="H82" s="86"/>
    </row>
    <row r="83" ht="15.75" customHeight="1">
      <c r="C83" s="85"/>
      <c r="E83" s="85"/>
      <c r="H83" s="86"/>
    </row>
    <row r="84" ht="15.75" customHeight="1">
      <c r="C84" s="85"/>
      <c r="E84" s="85"/>
      <c r="H84" s="86"/>
    </row>
    <row r="85" ht="15.75" customHeight="1">
      <c r="C85" s="85"/>
      <c r="E85" s="85"/>
      <c r="H85" s="86"/>
    </row>
    <row r="86" ht="15.75" customHeight="1">
      <c r="C86" s="85"/>
      <c r="E86" s="85"/>
      <c r="H86" s="86"/>
    </row>
    <row r="87" ht="15.75" customHeight="1">
      <c r="C87" s="85"/>
      <c r="E87" s="85"/>
      <c r="H87" s="86"/>
    </row>
    <row r="88" ht="15.75" customHeight="1">
      <c r="C88" s="85"/>
      <c r="E88" s="85"/>
      <c r="H88" s="86"/>
    </row>
    <row r="89" ht="15.75" customHeight="1">
      <c r="C89" s="85"/>
      <c r="E89" s="85"/>
      <c r="H89" s="86"/>
    </row>
    <row r="90" ht="15.75" customHeight="1">
      <c r="C90" s="85"/>
      <c r="E90" s="85"/>
      <c r="H90" s="86"/>
    </row>
    <row r="91" ht="15.75" customHeight="1">
      <c r="C91" s="85"/>
      <c r="E91" s="85"/>
      <c r="H91" s="86"/>
    </row>
    <row r="92" ht="15.75" customHeight="1">
      <c r="C92" s="85"/>
      <c r="E92" s="85"/>
      <c r="H92" s="86"/>
    </row>
    <row r="93" ht="15.75" customHeight="1">
      <c r="C93" s="85"/>
      <c r="E93" s="85"/>
      <c r="H93" s="86"/>
    </row>
    <row r="94" ht="15.75" customHeight="1">
      <c r="C94" s="85"/>
      <c r="E94" s="85"/>
      <c r="H94" s="86"/>
    </row>
    <row r="95" ht="15.75" customHeight="1">
      <c r="C95" s="85"/>
      <c r="E95" s="85"/>
      <c r="H95" s="86"/>
    </row>
    <row r="96" ht="15.75" customHeight="1">
      <c r="C96" s="85"/>
      <c r="E96" s="85"/>
      <c r="H96" s="86"/>
    </row>
    <row r="97" ht="15.75" customHeight="1">
      <c r="C97" s="85"/>
      <c r="E97" s="85"/>
      <c r="H97" s="86"/>
    </row>
    <row r="98" ht="15.75" customHeight="1">
      <c r="C98" s="85"/>
      <c r="E98" s="85"/>
      <c r="H98" s="86"/>
    </row>
    <row r="99" ht="15.75" customHeight="1">
      <c r="C99" s="85"/>
      <c r="E99" s="85"/>
      <c r="H99" s="86"/>
    </row>
    <row r="100" ht="15.75" customHeight="1">
      <c r="C100" s="85"/>
      <c r="E100" s="85"/>
      <c r="H100" s="86"/>
    </row>
    <row r="101" ht="15.75" customHeight="1">
      <c r="C101" s="85"/>
      <c r="E101" s="85"/>
      <c r="H101" s="86"/>
    </row>
    <row r="102" ht="15.75" customHeight="1">
      <c r="C102" s="85"/>
      <c r="E102" s="85"/>
      <c r="H102" s="86"/>
    </row>
    <row r="103" ht="15.75" customHeight="1">
      <c r="C103" s="85"/>
      <c r="E103" s="85"/>
      <c r="H103" s="86"/>
    </row>
    <row r="104" ht="15.75" customHeight="1">
      <c r="C104" s="85"/>
      <c r="E104" s="85"/>
      <c r="H104" s="86"/>
    </row>
    <row r="105" ht="15.75" customHeight="1">
      <c r="C105" s="85"/>
      <c r="E105" s="85"/>
      <c r="H105" s="86"/>
    </row>
    <row r="106" ht="15.75" customHeight="1">
      <c r="C106" s="85"/>
      <c r="E106" s="85"/>
      <c r="H106" s="86"/>
    </row>
    <row r="107" ht="15.75" customHeight="1">
      <c r="C107" s="85"/>
      <c r="E107" s="85"/>
      <c r="H107" s="86"/>
    </row>
    <row r="108" ht="15.75" customHeight="1">
      <c r="C108" s="85"/>
      <c r="E108" s="85"/>
      <c r="H108" s="86"/>
    </row>
    <row r="109" ht="15.75" customHeight="1">
      <c r="C109" s="85"/>
      <c r="E109" s="85"/>
      <c r="H109" s="86"/>
    </row>
    <row r="110" ht="15.75" customHeight="1">
      <c r="C110" s="85"/>
      <c r="E110" s="85"/>
      <c r="H110" s="86"/>
    </row>
    <row r="111" ht="15.75" customHeight="1">
      <c r="C111" s="85"/>
      <c r="E111" s="85"/>
      <c r="H111" s="86"/>
    </row>
    <row r="112" ht="15.75" customHeight="1">
      <c r="C112" s="85"/>
      <c r="E112" s="85"/>
      <c r="H112" s="86"/>
    </row>
    <row r="113" ht="15.75" customHeight="1">
      <c r="C113" s="85"/>
      <c r="E113" s="85"/>
      <c r="H113" s="86"/>
    </row>
    <row r="114" ht="15.75" customHeight="1">
      <c r="C114" s="85"/>
      <c r="E114" s="85"/>
      <c r="H114" s="86"/>
    </row>
    <row r="115" ht="15.75" customHeight="1">
      <c r="C115" s="85"/>
      <c r="E115" s="85"/>
      <c r="H115" s="86"/>
    </row>
    <row r="116" ht="15.75" customHeight="1">
      <c r="C116" s="85"/>
      <c r="E116" s="85"/>
      <c r="H116" s="86"/>
    </row>
    <row r="117" ht="15.75" customHeight="1">
      <c r="C117" s="85"/>
      <c r="E117" s="85"/>
      <c r="H117" s="86"/>
    </row>
    <row r="118" ht="15.75" customHeight="1">
      <c r="C118" s="85"/>
      <c r="E118" s="85"/>
      <c r="H118" s="86"/>
    </row>
    <row r="119" ht="15.75" customHeight="1">
      <c r="C119" s="85"/>
      <c r="E119" s="85"/>
      <c r="H119" s="86"/>
    </row>
    <row r="120" ht="15.75" customHeight="1">
      <c r="C120" s="85"/>
      <c r="E120" s="85"/>
      <c r="H120" s="86"/>
    </row>
    <row r="121" ht="15.75" customHeight="1">
      <c r="C121" s="85"/>
      <c r="E121" s="85"/>
      <c r="H121" s="86"/>
    </row>
    <row r="122" ht="15.75" customHeight="1">
      <c r="C122" s="85"/>
      <c r="E122" s="85"/>
      <c r="H122" s="86"/>
    </row>
    <row r="123" ht="15.75" customHeight="1">
      <c r="C123" s="85"/>
      <c r="E123" s="85"/>
      <c r="H123" s="86"/>
    </row>
    <row r="124" ht="15.75" customHeight="1">
      <c r="C124" s="85"/>
      <c r="E124" s="85"/>
      <c r="H124" s="86"/>
    </row>
    <row r="125" ht="15.75" customHeight="1">
      <c r="C125" s="85"/>
      <c r="E125" s="85"/>
      <c r="H125" s="86"/>
    </row>
    <row r="126" ht="15.75" customHeight="1">
      <c r="C126" s="85"/>
      <c r="E126" s="85"/>
      <c r="H126" s="86"/>
    </row>
    <row r="127" ht="15.75" customHeight="1">
      <c r="C127" s="85"/>
      <c r="E127" s="85"/>
      <c r="H127" s="86"/>
    </row>
    <row r="128" ht="15.75" customHeight="1">
      <c r="C128" s="85"/>
      <c r="E128" s="85"/>
      <c r="H128" s="86"/>
    </row>
    <row r="129" ht="15.75" customHeight="1">
      <c r="C129" s="85"/>
      <c r="E129" s="85"/>
      <c r="H129" s="86"/>
    </row>
    <row r="130" ht="15.75" customHeight="1">
      <c r="C130" s="85"/>
      <c r="E130" s="85"/>
      <c r="H130" s="86"/>
    </row>
    <row r="131" ht="15.75" customHeight="1">
      <c r="C131" s="85"/>
      <c r="E131" s="85"/>
      <c r="H131" s="86"/>
    </row>
    <row r="132" ht="15.75" customHeight="1">
      <c r="C132" s="85"/>
      <c r="E132" s="85"/>
      <c r="H132" s="86"/>
    </row>
    <row r="133" ht="15.75" customHeight="1">
      <c r="C133" s="85"/>
      <c r="E133" s="85"/>
      <c r="H133" s="86"/>
    </row>
    <row r="134" ht="15.75" customHeight="1">
      <c r="C134" s="85"/>
      <c r="E134" s="85"/>
      <c r="H134" s="86"/>
    </row>
    <row r="135" ht="15.75" customHeight="1">
      <c r="C135" s="85"/>
      <c r="E135" s="85"/>
      <c r="H135" s="86"/>
    </row>
    <row r="136" ht="15.75" customHeight="1">
      <c r="C136" s="85"/>
      <c r="E136" s="85"/>
      <c r="H136" s="86"/>
    </row>
    <row r="137" ht="15.75" customHeight="1">
      <c r="C137" s="85"/>
      <c r="E137" s="85"/>
      <c r="H137" s="86"/>
    </row>
    <row r="138" ht="15.75" customHeight="1">
      <c r="C138" s="85"/>
      <c r="E138" s="85"/>
      <c r="H138" s="86"/>
    </row>
    <row r="139" ht="15.75" customHeight="1">
      <c r="C139" s="85"/>
      <c r="E139" s="85"/>
      <c r="H139" s="86"/>
    </row>
    <row r="140" ht="15.75" customHeight="1">
      <c r="C140" s="85"/>
      <c r="E140" s="85"/>
      <c r="H140" s="86"/>
    </row>
    <row r="141" ht="15.75" customHeight="1">
      <c r="C141" s="85"/>
      <c r="E141" s="85"/>
      <c r="H141" s="86"/>
    </row>
    <row r="142" ht="15.75" customHeight="1">
      <c r="C142" s="85"/>
      <c r="E142" s="85"/>
      <c r="H142" s="86"/>
    </row>
    <row r="143" ht="15.75" customHeight="1">
      <c r="C143" s="85"/>
      <c r="E143" s="85"/>
      <c r="H143" s="86"/>
    </row>
    <row r="144" ht="15.75" customHeight="1">
      <c r="C144" s="85"/>
      <c r="E144" s="85"/>
      <c r="H144" s="86"/>
    </row>
    <row r="145" ht="15.75" customHeight="1">
      <c r="C145" s="85"/>
      <c r="E145" s="85"/>
      <c r="H145" s="86"/>
    </row>
    <row r="146" ht="15.75" customHeight="1">
      <c r="C146" s="85"/>
      <c r="E146" s="85"/>
      <c r="H146" s="86"/>
    </row>
    <row r="147" ht="15.75" customHeight="1">
      <c r="C147" s="85"/>
      <c r="E147" s="85"/>
      <c r="H147" s="86"/>
    </row>
    <row r="148" ht="15.75" customHeight="1">
      <c r="C148" s="85"/>
      <c r="E148" s="85"/>
      <c r="H148" s="86"/>
    </row>
    <row r="149" ht="15.75" customHeight="1">
      <c r="C149" s="85"/>
      <c r="E149" s="85"/>
      <c r="H149" s="86"/>
    </row>
    <row r="150" ht="15.75" customHeight="1">
      <c r="C150" s="85"/>
      <c r="E150" s="85"/>
      <c r="H150" s="86"/>
    </row>
    <row r="151" ht="15.75" customHeight="1">
      <c r="C151" s="85"/>
      <c r="E151" s="85"/>
      <c r="H151" s="86"/>
    </row>
    <row r="152" ht="15.75" customHeight="1">
      <c r="C152" s="85"/>
      <c r="E152" s="85"/>
      <c r="H152" s="86"/>
    </row>
    <row r="153" ht="15.75" customHeight="1">
      <c r="C153" s="85"/>
      <c r="E153" s="85"/>
      <c r="H153" s="86"/>
    </row>
    <row r="154" ht="15.75" customHeight="1">
      <c r="C154" s="85"/>
      <c r="E154" s="85"/>
      <c r="H154" s="86"/>
    </row>
    <row r="155" ht="15.75" customHeight="1">
      <c r="C155" s="85"/>
      <c r="E155" s="85"/>
      <c r="H155" s="86"/>
    </row>
    <row r="156" ht="15.75" customHeight="1">
      <c r="C156" s="85"/>
      <c r="E156" s="85"/>
      <c r="H156" s="86"/>
    </row>
    <row r="157" ht="15.75" customHeight="1">
      <c r="C157" s="85"/>
      <c r="E157" s="85"/>
      <c r="H157" s="86"/>
    </row>
    <row r="158" ht="15.75" customHeight="1">
      <c r="C158" s="85"/>
      <c r="E158" s="85"/>
      <c r="H158" s="86"/>
    </row>
    <row r="159" ht="15.75" customHeight="1">
      <c r="C159" s="85"/>
      <c r="E159" s="85"/>
      <c r="H159" s="86"/>
    </row>
    <row r="160" ht="15.75" customHeight="1">
      <c r="C160" s="85"/>
      <c r="E160" s="85"/>
      <c r="H160" s="86"/>
    </row>
    <row r="161" ht="15.75" customHeight="1">
      <c r="C161" s="85"/>
      <c r="E161" s="85"/>
      <c r="H161" s="86"/>
    </row>
    <row r="162" ht="15.75" customHeight="1">
      <c r="C162" s="85"/>
      <c r="E162" s="85"/>
      <c r="H162" s="86"/>
    </row>
    <row r="163" ht="15.75" customHeight="1">
      <c r="C163" s="85"/>
      <c r="E163" s="85"/>
      <c r="H163" s="86"/>
    </row>
    <row r="164" ht="15.75" customHeight="1">
      <c r="C164" s="85"/>
      <c r="E164" s="85"/>
      <c r="H164" s="86"/>
    </row>
    <row r="165" ht="15.75" customHeight="1">
      <c r="C165" s="85"/>
      <c r="E165" s="85"/>
      <c r="H165" s="86"/>
    </row>
    <row r="166" ht="15.75" customHeight="1">
      <c r="C166" s="85"/>
      <c r="E166" s="85"/>
      <c r="H166" s="86"/>
    </row>
    <row r="167" ht="15.75" customHeight="1">
      <c r="C167" s="85"/>
      <c r="E167" s="85"/>
      <c r="H167" s="86"/>
    </row>
    <row r="168" ht="15.75" customHeight="1">
      <c r="C168" s="85"/>
      <c r="E168" s="85"/>
      <c r="H168" s="86"/>
    </row>
    <row r="169" ht="15.75" customHeight="1">
      <c r="C169" s="85"/>
      <c r="E169" s="85"/>
      <c r="H169" s="86"/>
    </row>
    <row r="170" ht="15.75" customHeight="1">
      <c r="C170" s="85"/>
      <c r="E170" s="85"/>
      <c r="H170" s="86"/>
    </row>
    <row r="171" ht="15.75" customHeight="1">
      <c r="C171" s="85"/>
      <c r="E171" s="85"/>
      <c r="H171" s="86"/>
    </row>
    <row r="172" ht="15.75" customHeight="1">
      <c r="C172" s="85"/>
      <c r="E172" s="85"/>
      <c r="H172" s="86"/>
    </row>
    <row r="173" ht="15.75" customHeight="1">
      <c r="C173" s="85"/>
      <c r="E173" s="85"/>
      <c r="H173" s="86"/>
    </row>
    <row r="174" ht="15.75" customHeight="1">
      <c r="C174" s="85"/>
      <c r="E174" s="85"/>
      <c r="H174" s="86"/>
    </row>
    <row r="175" ht="15.75" customHeight="1">
      <c r="C175" s="85"/>
      <c r="E175" s="85"/>
      <c r="H175" s="86"/>
    </row>
    <row r="176" ht="15.75" customHeight="1">
      <c r="C176" s="85"/>
      <c r="E176" s="85"/>
      <c r="H176" s="86"/>
    </row>
    <row r="177" ht="15.75" customHeight="1">
      <c r="C177" s="85"/>
      <c r="E177" s="85"/>
      <c r="H177" s="86"/>
    </row>
    <row r="178" ht="15.75" customHeight="1">
      <c r="C178" s="85"/>
      <c r="E178" s="85"/>
      <c r="H178" s="86"/>
    </row>
    <row r="179" ht="15.75" customHeight="1">
      <c r="C179" s="85"/>
      <c r="E179" s="85"/>
      <c r="H179" s="86"/>
    </row>
    <row r="180" ht="15.75" customHeight="1">
      <c r="C180" s="85"/>
      <c r="E180" s="85"/>
      <c r="H180" s="86"/>
    </row>
    <row r="181" ht="15.75" customHeight="1">
      <c r="C181" s="85"/>
      <c r="E181" s="85"/>
      <c r="H181" s="86"/>
    </row>
    <row r="182" ht="15.75" customHeight="1">
      <c r="C182" s="85"/>
      <c r="E182" s="85"/>
      <c r="H182" s="86"/>
    </row>
    <row r="183" ht="15.75" customHeight="1">
      <c r="C183" s="85"/>
      <c r="E183" s="85"/>
      <c r="H183" s="86"/>
    </row>
    <row r="184" ht="15.75" customHeight="1">
      <c r="C184" s="85"/>
      <c r="E184" s="85"/>
      <c r="H184" s="86"/>
    </row>
    <row r="185" ht="15.75" customHeight="1">
      <c r="C185" s="85"/>
      <c r="E185" s="85"/>
      <c r="H185" s="86"/>
    </row>
    <row r="186" ht="15.75" customHeight="1">
      <c r="C186" s="85"/>
      <c r="E186" s="85"/>
      <c r="H186" s="86"/>
    </row>
    <row r="187" ht="15.75" customHeight="1">
      <c r="C187" s="85"/>
      <c r="E187" s="85"/>
      <c r="H187" s="86"/>
    </row>
    <row r="188" ht="15.75" customHeight="1">
      <c r="C188" s="85"/>
      <c r="E188" s="85"/>
      <c r="H188" s="86"/>
    </row>
    <row r="189" ht="15.75" customHeight="1">
      <c r="C189" s="85"/>
      <c r="E189" s="85"/>
      <c r="H189" s="86"/>
    </row>
    <row r="190" ht="15.75" customHeight="1">
      <c r="C190" s="85"/>
      <c r="E190" s="85"/>
      <c r="H190" s="86"/>
    </row>
    <row r="191" ht="15.75" customHeight="1">
      <c r="C191" s="85"/>
      <c r="E191" s="85"/>
      <c r="H191" s="86"/>
    </row>
    <row r="192" ht="15.75" customHeight="1">
      <c r="C192" s="85"/>
      <c r="E192" s="85"/>
      <c r="H192" s="86"/>
    </row>
    <row r="193" ht="15.75" customHeight="1">
      <c r="C193" s="85"/>
      <c r="E193" s="85"/>
      <c r="H193" s="86"/>
    </row>
    <row r="194" ht="15.75" customHeight="1">
      <c r="C194" s="85"/>
      <c r="E194" s="85"/>
      <c r="H194" s="86"/>
    </row>
    <row r="195" ht="15.75" customHeight="1">
      <c r="C195" s="85"/>
      <c r="E195" s="85"/>
      <c r="H195" s="86"/>
    </row>
    <row r="196" ht="15.75" customHeight="1">
      <c r="C196" s="85"/>
      <c r="E196" s="85"/>
      <c r="H196" s="86"/>
    </row>
    <row r="197" ht="15.75" customHeight="1">
      <c r="C197" s="85"/>
      <c r="E197" s="85"/>
      <c r="H197" s="86"/>
    </row>
    <row r="198" ht="15.75" customHeight="1">
      <c r="C198" s="85"/>
      <c r="E198" s="85"/>
      <c r="H198" s="86"/>
    </row>
    <row r="199" ht="15.75" customHeight="1">
      <c r="C199" s="85"/>
      <c r="E199" s="85"/>
      <c r="H199" s="86"/>
    </row>
    <row r="200" ht="15.75" customHeight="1">
      <c r="C200" s="85"/>
      <c r="E200" s="85"/>
      <c r="H200" s="86"/>
    </row>
    <row r="201" ht="15.75" customHeight="1">
      <c r="C201" s="85"/>
      <c r="E201" s="85"/>
      <c r="H201" s="86"/>
    </row>
    <row r="202" ht="15.75" customHeight="1">
      <c r="C202" s="85"/>
      <c r="E202" s="85"/>
      <c r="H202" s="86"/>
    </row>
    <row r="203" ht="15.75" customHeight="1">
      <c r="C203" s="85"/>
      <c r="E203" s="85"/>
      <c r="H203" s="86"/>
    </row>
    <row r="204" ht="15.75" customHeight="1">
      <c r="C204" s="85"/>
      <c r="E204" s="85"/>
      <c r="H204" s="86"/>
    </row>
    <row r="205" ht="15.75" customHeight="1">
      <c r="C205" s="85"/>
      <c r="E205" s="85"/>
      <c r="H205" s="86"/>
    </row>
    <row r="206" ht="15.75" customHeight="1">
      <c r="C206" s="85"/>
      <c r="E206" s="85"/>
      <c r="H206" s="86"/>
    </row>
    <row r="207" ht="15.75" customHeight="1">
      <c r="C207" s="85"/>
      <c r="E207" s="85"/>
      <c r="H207" s="86"/>
    </row>
    <row r="208" ht="15.75" customHeight="1">
      <c r="C208" s="85"/>
      <c r="E208" s="85"/>
      <c r="H208" s="86"/>
    </row>
    <row r="209" ht="15.75" customHeight="1">
      <c r="C209" s="85"/>
      <c r="E209" s="85"/>
      <c r="H209" s="86"/>
    </row>
    <row r="210" ht="15.75" customHeight="1">
      <c r="C210" s="85"/>
      <c r="E210" s="85"/>
      <c r="H210" s="86"/>
    </row>
    <row r="211" ht="15.75" customHeight="1">
      <c r="C211" s="85"/>
      <c r="E211" s="85"/>
      <c r="H211" s="86"/>
    </row>
    <row r="212" ht="15.75" customHeight="1">
      <c r="C212" s="85"/>
      <c r="E212" s="85"/>
      <c r="H212" s="86"/>
    </row>
    <row r="213" ht="15.75" customHeight="1">
      <c r="C213" s="85"/>
      <c r="E213" s="85"/>
      <c r="H213" s="86"/>
    </row>
    <row r="214" ht="15.75" customHeight="1">
      <c r="C214" s="85"/>
      <c r="E214" s="85"/>
      <c r="H214" s="86"/>
    </row>
    <row r="215" ht="15.75" customHeight="1">
      <c r="C215" s="85"/>
      <c r="E215" s="85"/>
      <c r="H215" s="86"/>
    </row>
    <row r="216" ht="15.75" customHeight="1">
      <c r="C216" s="85"/>
      <c r="E216" s="85"/>
      <c r="H216" s="86"/>
    </row>
    <row r="217" ht="15.75" customHeight="1">
      <c r="C217" s="85"/>
      <c r="E217" s="85"/>
      <c r="H217" s="86"/>
    </row>
    <row r="218" ht="15.75" customHeight="1">
      <c r="C218" s="85"/>
      <c r="E218" s="85"/>
      <c r="H218" s="86"/>
    </row>
    <row r="219" ht="15.75" customHeight="1">
      <c r="C219" s="85"/>
      <c r="E219" s="85"/>
      <c r="H219" s="86"/>
    </row>
    <row r="220" ht="15.75" customHeight="1">
      <c r="C220" s="85"/>
      <c r="E220" s="85"/>
      <c r="H220" s="86"/>
    </row>
    <row r="221" ht="15.75" customHeight="1">
      <c r="C221" s="85"/>
      <c r="E221" s="85"/>
      <c r="H221" s="86"/>
    </row>
    <row r="222" ht="15.75" customHeight="1">
      <c r="C222" s="85"/>
      <c r="E222" s="85"/>
      <c r="H222" s="86"/>
    </row>
    <row r="223" ht="15.75" customHeight="1">
      <c r="C223" s="85"/>
      <c r="E223" s="85"/>
      <c r="H223" s="86"/>
    </row>
    <row r="224" ht="15.75" customHeight="1">
      <c r="C224" s="85"/>
      <c r="E224" s="85"/>
      <c r="H224" s="86"/>
    </row>
    <row r="225" ht="15.75" customHeight="1">
      <c r="C225" s="85"/>
      <c r="E225" s="85"/>
      <c r="H225" s="86"/>
    </row>
    <row r="226" ht="15.75" customHeight="1">
      <c r="C226" s="85"/>
      <c r="E226" s="85"/>
      <c r="H226" s="86"/>
    </row>
    <row r="227" ht="15.75" customHeight="1">
      <c r="C227" s="85"/>
      <c r="E227" s="85"/>
      <c r="H227" s="86"/>
    </row>
    <row r="228" ht="15.75" customHeight="1">
      <c r="C228" s="85"/>
      <c r="E228" s="85"/>
      <c r="H228" s="86"/>
    </row>
    <row r="229" ht="15.75" customHeight="1">
      <c r="C229" s="85"/>
      <c r="E229" s="85"/>
      <c r="H229" s="86"/>
    </row>
    <row r="230" ht="15.75" customHeight="1">
      <c r="C230" s="85"/>
      <c r="E230" s="85"/>
      <c r="H230" s="86"/>
    </row>
    <row r="231" ht="15.75" customHeight="1">
      <c r="C231" s="85"/>
      <c r="E231" s="85"/>
      <c r="H231" s="86"/>
    </row>
    <row r="232" ht="15.75" customHeight="1">
      <c r="C232" s="85"/>
      <c r="E232" s="85"/>
      <c r="H232" s="86"/>
    </row>
    <row r="233" ht="15.75" customHeight="1">
      <c r="C233" s="85"/>
      <c r="E233" s="85"/>
      <c r="H233" s="86"/>
    </row>
    <row r="234" ht="15.75" customHeight="1">
      <c r="C234" s="85"/>
      <c r="E234" s="85"/>
      <c r="H234" s="86"/>
    </row>
    <row r="235" ht="15.75" customHeight="1">
      <c r="C235" s="85"/>
      <c r="E235" s="85"/>
      <c r="H235" s="86"/>
    </row>
    <row r="236" ht="15.75" customHeight="1">
      <c r="C236" s="85"/>
      <c r="E236" s="85"/>
      <c r="H236" s="86"/>
    </row>
    <row r="237" ht="15.75" customHeight="1">
      <c r="C237" s="85"/>
      <c r="E237" s="85"/>
      <c r="H237" s="86"/>
    </row>
    <row r="238" ht="15.75" customHeight="1">
      <c r="C238" s="85"/>
      <c r="E238" s="85"/>
      <c r="H238" s="86"/>
    </row>
    <row r="239" ht="15.75" customHeight="1">
      <c r="C239" s="85"/>
      <c r="E239" s="85"/>
      <c r="H239" s="86"/>
    </row>
    <row r="240" ht="15.75" customHeight="1">
      <c r="C240" s="85"/>
      <c r="E240" s="85"/>
      <c r="H240" s="86"/>
    </row>
    <row r="241" ht="15.75" customHeight="1">
      <c r="C241" s="85"/>
      <c r="E241" s="85"/>
      <c r="H241" s="86"/>
    </row>
    <row r="242" ht="15.75" customHeight="1">
      <c r="C242" s="85"/>
      <c r="E242" s="85"/>
      <c r="H242" s="86"/>
    </row>
    <row r="243" ht="15.75" customHeight="1">
      <c r="C243" s="85"/>
      <c r="E243" s="85"/>
      <c r="H243" s="86"/>
    </row>
    <row r="244" ht="15.75" customHeight="1">
      <c r="C244" s="85"/>
      <c r="E244" s="85"/>
      <c r="H244" s="86"/>
    </row>
    <row r="245" ht="15.75" customHeight="1">
      <c r="C245" s="85"/>
      <c r="E245" s="85"/>
      <c r="H245" s="86"/>
    </row>
    <row r="246" ht="15.75" customHeight="1">
      <c r="C246" s="85"/>
      <c r="E246" s="85"/>
      <c r="H246" s="86"/>
    </row>
    <row r="247" ht="15.75" customHeight="1">
      <c r="C247" s="85"/>
      <c r="E247" s="85"/>
      <c r="H247" s="86"/>
    </row>
    <row r="248" ht="15.75" customHeight="1">
      <c r="C248" s="85"/>
      <c r="E248" s="85"/>
      <c r="H248" s="86"/>
    </row>
    <row r="249" ht="15.75" customHeight="1">
      <c r="C249" s="85"/>
      <c r="E249" s="85"/>
      <c r="H249" s="86"/>
    </row>
    <row r="250" ht="15.75" customHeight="1">
      <c r="C250" s="85"/>
      <c r="E250" s="85"/>
      <c r="H250" s="86"/>
    </row>
    <row r="251" ht="15.75" customHeight="1">
      <c r="C251" s="85"/>
      <c r="E251" s="85"/>
      <c r="H251" s="86"/>
    </row>
    <row r="252" ht="15.75" customHeight="1">
      <c r="C252" s="85"/>
      <c r="E252" s="85"/>
      <c r="H252" s="86"/>
    </row>
    <row r="253" ht="15.75" customHeight="1">
      <c r="C253" s="85"/>
      <c r="E253" s="85"/>
      <c r="H253" s="86"/>
    </row>
    <row r="254" ht="15.75" customHeight="1">
      <c r="C254" s="85"/>
      <c r="E254" s="85"/>
      <c r="H254" s="86"/>
    </row>
    <row r="255" ht="15.75" customHeight="1">
      <c r="C255" s="85"/>
      <c r="E255" s="85"/>
      <c r="H255" s="86"/>
    </row>
    <row r="256" ht="15.75" customHeight="1">
      <c r="C256" s="85"/>
      <c r="E256" s="85"/>
      <c r="H256" s="86"/>
    </row>
    <row r="257" ht="15.75" customHeight="1">
      <c r="C257" s="85"/>
      <c r="E257" s="85"/>
      <c r="H257" s="86"/>
    </row>
    <row r="258" ht="15.75" customHeight="1">
      <c r="C258" s="85"/>
      <c r="E258" s="85"/>
      <c r="H258" s="86"/>
    </row>
    <row r="259" ht="15.75" customHeight="1">
      <c r="C259" s="85"/>
      <c r="E259" s="85"/>
      <c r="H259" s="86"/>
    </row>
    <row r="260" ht="15.75" customHeight="1">
      <c r="C260" s="85"/>
      <c r="E260" s="85"/>
      <c r="H260" s="86"/>
    </row>
    <row r="261" ht="15.75" customHeight="1">
      <c r="C261" s="85"/>
      <c r="E261" s="85"/>
      <c r="H261" s="86"/>
    </row>
    <row r="262" ht="15.75" customHeight="1">
      <c r="C262" s="85"/>
      <c r="E262" s="85"/>
      <c r="H262" s="86"/>
    </row>
    <row r="263" ht="15.75" customHeight="1">
      <c r="C263" s="85"/>
      <c r="E263" s="85"/>
      <c r="H263" s="86"/>
    </row>
    <row r="264" ht="15.75" customHeight="1">
      <c r="C264" s="85"/>
      <c r="E264" s="85"/>
      <c r="H264" s="86"/>
    </row>
    <row r="265" ht="15.75" customHeight="1">
      <c r="C265" s="85"/>
      <c r="E265" s="85"/>
      <c r="H265" s="86"/>
    </row>
    <row r="266" ht="15.75" customHeight="1">
      <c r="C266" s="85"/>
      <c r="E266" s="85"/>
      <c r="H266" s="86"/>
    </row>
    <row r="267" ht="15.75" customHeight="1">
      <c r="C267" s="85"/>
      <c r="E267" s="85"/>
      <c r="H267" s="86"/>
    </row>
    <row r="268" ht="15.75" customHeight="1">
      <c r="C268" s="85"/>
      <c r="E268" s="85"/>
      <c r="H268" s="86"/>
    </row>
    <row r="269" ht="15.75" customHeight="1">
      <c r="C269" s="85"/>
      <c r="E269" s="85"/>
      <c r="H269" s="86"/>
    </row>
    <row r="270" ht="15.75" customHeight="1">
      <c r="C270" s="85"/>
      <c r="E270" s="85"/>
      <c r="H270" s="86"/>
    </row>
    <row r="271" ht="15.75" customHeight="1">
      <c r="C271" s="85"/>
      <c r="E271" s="85"/>
      <c r="H271" s="86"/>
    </row>
    <row r="272" ht="15.75" customHeight="1">
      <c r="C272" s="85"/>
      <c r="E272" s="85"/>
      <c r="H272" s="86"/>
    </row>
    <row r="273" ht="15.75" customHeight="1">
      <c r="C273" s="85"/>
      <c r="E273" s="85"/>
      <c r="H273" s="86"/>
    </row>
    <row r="274" ht="15.75" customHeight="1">
      <c r="C274" s="85"/>
      <c r="E274" s="85"/>
      <c r="H274" s="86"/>
    </row>
    <row r="275" ht="15.75" customHeight="1">
      <c r="C275" s="85"/>
      <c r="E275" s="85"/>
      <c r="H275" s="86"/>
    </row>
    <row r="276" ht="15.75" customHeight="1">
      <c r="C276" s="85"/>
      <c r="E276" s="85"/>
      <c r="H276" s="86"/>
    </row>
    <row r="277" ht="15.75" customHeight="1">
      <c r="C277" s="85"/>
      <c r="E277" s="85"/>
      <c r="H277" s="86"/>
    </row>
    <row r="278" ht="15.75" customHeight="1">
      <c r="C278" s="85"/>
      <c r="E278" s="85"/>
      <c r="H278" s="86"/>
    </row>
    <row r="279" ht="15.75" customHeight="1">
      <c r="C279" s="85"/>
      <c r="E279" s="85"/>
      <c r="H279" s="86"/>
    </row>
    <row r="280" ht="15.75" customHeight="1">
      <c r="C280" s="85"/>
      <c r="E280" s="85"/>
      <c r="H280" s="86"/>
    </row>
    <row r="281" ht="15.75" customHeight="1">
      <c r="C281" s="85"/>
      <c r="E281" s="85"/>
      <c r="H281" s="86"/>
    </row>
    <row r="282" ht="15.75" customHeight="1">
      <c r="C282" s="85"/>
      <c r="E282" s="85"/>
      <c r="H282" s="86"/>
    </row>
    <row r="283" ht="15.75" customHeight="1">
      <c r="C283" s="85"/>
      <c r="E283" s="85"/>
      <c r="H283" s="86"/>
    </row>
    <row r="284" ht="15.75" customHeight="1">
      <c r="C284" s="85"/>
      <c r="E284" s="85"/>
      <c r="H284" s="86"/>
    </row>
    <row r="285" ht="15.75" customHeight="1">
      <c r="C285" s="85"/>
      <c r="E285" s="85"/>
      <c r="H285" s="86"/>
    </row>
    <row r="286" ht="15.75" customHeight="1">
      <c r="C286" s="85"/>
      <c r="E286" s="85"/>
      <c r="H286" s="86"/>
    </row>
    <row r="287" ht="15.75" customHeight="1">
      <c r="C287" s="85"/>
      <c r="E287" s="85"/>
      <c r="H287" s="86"/>
    </row>
    <row r="288" ht="15.75" customHeight="1">
      <c r="C288" s="85"/>
      <c r="E288" s="85"/>
      <c r="H288" s="86"/>
    </row>
    <row r="289" ht="15.75" customHeight="1">
      <c r="C289" s="85"/>
      <c r="E289" s="85"/>
      <c r="H289" s="86"/>
    </row>
    <row r="290" ht="15.75" customHeight="1">
      <c r="C290" s="85"/>
      <c r="E290" s="85"/>
      <c r="H290" s="86"/>
    </row>
    <row r="291" ht="15.75" customHeight="1">
      <c r="C291" s="85"/>
      <c r="E291" s="85"/>
      <c r="H291" s="86"/>
    </row>
    <row r="292" ht="15.75" customHeight="1">
      <c r="C292" s="85"/>
      <c r="E292" s="85"/>
      <c r="H292" s="86"/>
    </row>
    <row r="293" ht="15.75" customHeight="1">
      <c r="C293" s="85"/>
      <c r="E293" s="85"/>
      <c r="H293" s="86"/>
    </row>
    <row r="294" ht="15.75" customHeight="1">
      <c r="C294" s="85"/>
      <c r="E294" s="85"/>
      <c r="H294" s="86"/>
    </row>
    <row r="295" ht="15.75" customHeight="1">
      <c r="C295" s="85"/>
      <c r="E295" s="85"/>
      <c r="H295" s="86"/>
    </row>
    <row r="296" ht="15.75" customHeight="1">
      <c r="C296" s="85"/>
      <c r="E296" s="85"/>
      <c r="H296" s="86"/>
    </row>
    <row r="297" ht="15.75" customHeight="1">
      <c r="C297" s="85"/>
      <c r="E297" s="85"/>
      <c r="H297" s="86"/>
    </row>
    <row r="298" ht="15.75" customHeight="1">
      <c r="C298" s="85"/>
      <c r="E298" s="85"/>
      <c r="H298" s="86"/>
    </row>
    <row r="299" ht="15.75" customHeight="1">
      <c r="C299" s="85"/>
      <c r="E299" s="85"/>
      <c r="H299" s="86"/>
    </row>
    <row r="300" ht="15.75" customHeight="1">
      <c r="C300" s="85"/>
      <c r="E300" s="85"/>
      <c r="H300" s="86"/>
    </row>
    <row r="301" ht="15.75" customHeight="1">
      <c r="C301" s="85"/>
      <c r="E301" s="85"/>
      <c r="H301" s="86"/>
    </row>
    <row r="302" ht="15.75" customHeight="1">
      <c r="C302" s="85"/>
      <c r="E302" s="85"/>
      <c r="H302" s="86"/>
    </row>
    <row r="303" ht="15.75" customHeight="1">
      <c r="C303" s="85"/>
      <c r="E303" s="85"/>
      <c r="H303" s="86"/>
    </row>
    <row r="304" ht="15.75" customHeight="1">
      <c r="C304" s="85"/>
      <c r="E304" s="85"/>
      <c r="H304" s="86"/>
    </row>
    <row r="305" ht="15.75" customHeight="1">
      <c r="C305" s="85"/>
      <c r="E305" s="85"/>
      <c r="H305" s="86"/>
    </row>
    <row r="306" ht="15.75" customHeight="1">
      <c r="C306" s="85"/>
      <c r="E306" s="85"/>
      <c r="H306" s="86"/>
    </row>
    <row r="307" ht="15.75" customHeight="1">
      <c r="C307" s="85"/>
      <c r="E307" s="85"/>
      <c r="H307" s="86"/>
    </row>
    <row r="308" ht="15.75" customHeight="1">
      <c r="C308" s="85"/>
      <c r="E308" s="85"/>
      <c r="H308" s="86"/>
    </row>
    <row r="309" ht="15.75" customHeight="1">
      <c r="C309" s="85"/>
      <c r="E309" s="85"/>
      <c r="H309" s="86"/>
    </row>
    <row r="310" ht="15.75" customHeight="1">
      <c r="C310" s="85"/>
      <c r="E310" s="85"/>
      <c r="H310" s="86"/>
    </row>
    <row r="311" ht="15.75" customHeight="1">
      <c r="C311" s="85"/>
      <c r="E311" s="85"/>
      <c r="H311" s="86"/>
    </row>
    <row r="312" ht="15.75" customHeight="1">
      <c r="C312" s="85"/>
      <c r="E312" s="85"/>
      <c r="H312" s="86"/>
    </row>
    <row r="313" ht="15.75" customHeight="1">
      <c r="C313" s="85"/>
      <c r="E313" s="85"/>
      <c r="H313" s="86"/>
    </row>
    <row r="314" ht="15.75" customHeight="1">
      <c r="C314" s="85"/>
      <c r="E314" s="85"/>
      <c r="H314" s="86"/>
    </row>
    <row r="315" ht="15.75" customHeight="1">
      <c r="C315" s="85"/>
      <c r="E315" s="85"/>
      <c r="H315" s="86"/>
    </row>
    <row r="316" ht="15.75" customHeight="1">
      <c r="C316" s="85"/>
      <c r="E316" s="85"/>
      <c r="H316" s="86"/>
    </row>
    <row r="317" ht="15.75" customHeight="1">
      <c r="C317" s="85"/>
      <c r="E317" s="85"/>
      <c r="H317" s="86"/>
    </row>
    <row r="318" ht="15.75" customHeight="1">
      <c r="C318" s="85"/>
      <c r="E318" s="85"/>
      <c r="H318" s="86"/>
    </row>
    <row r="319" ht="15.75" customHeight="1">
      <c r="C319" s="85"/>
      <c r="E319" s="85"/>
      <c r="H319" s="86"/>
    </row>
    <row r="320" ht="15.75" customHeight="1">
      <c r="C320" s="85"/>
      <c r="E320" s="85"/>
      <c r="H320" s="86"/>
    </row>
    <row r="321" ht="15.75" customHeight="1">
      <c r="C321" s="85"/>
      <c r="E321" s="85"/>
      <c r="H321" s="86"/>
    </row>
    <row r="322" ht="15.75" customHeight="1">
      <c r="C322" s="85"/>
      <c r="E322" s="85"/>
      <c r="H322" s="86"/>
    </row>
    <row r="323" ht="15.75" customHeight="1">
      <c r="C323" s="85"/>
      <c r="E323" s="85"/>
      <c r="H323" s="86"/>
    </row>
    <row r="324" ht="15.75" customHeight="1">
      <c r="C324" s="85"/>
      <c r="E324" s="85"/>
      <c r="H324" s="86"/>
    </row>
    <row r="325" ht="15.75" customHeight="1">
      <c r="C325" s="85"/>
      <c r="E325" s="85"/>
      <c r="H325" s="86"/>
    </row>
    <row r="326" ht="15.75" customHeight="1">
      <c r="C326" s="85"/>
      <c r="E326" s="85"/>
      <c r="H326" s="86"/>
    </row>
    <row r="327" ht="15.75" customHeight="1">
      <c r="C327" s="85"/>
      <c r="E327" s="85"/>
      <c r="H327" s="86"/>
    </row>
    <row r="328" ht="15.75" customHeight="1">
      <c r="C328" s="85"/>
      <c r="E328" s="85"/>
      <c r="H328" s="86"/>
    </row>
    <row r="329" ht="15.75" customHeight="1">
      <c r="C329" s="85"/>
      <c r="E329" s="85"/>
      <c r="H329" s="86"/>
    </row>
    <row r="330" ht="15.75" customHeight="1">
      <c r="C330" s="85"/>
      <c r="E330" s="85"/>
      <c r="H330" s="86"/>
    </row>
    <row r="331" ht="15.75" customHeight="1">
      <c r="C331" s="85"/>
      <c r="E331" s="85"/>
      <c r="H331" s="86"/>
    </row>
    <row r="332" ht="15.75" customHeight="1">
      <c r="C332" s="85"/>
      <c r="E332" s="85"/>
      <c r="H332" s="86"/>
    </row>
    <row r="333" ht="15.75" customHeight="1">
      <c r="C333" s="85"/>
      <c r="E333" s="85"/>
      <c r="H333" s="86"/>
    </row>
    <row r="334" ht="15.75" customHeight="1">
      <c r="C334" s="85"/>
      <c r="E334" s="85"/>
      <c r="H334" s="86"/>
    </row>
    <row r="335" ht="15.75" customHeight="1">
      <c r="C335" s="85"/>
      <c r="E335" s="85"/>
      <c r="H335" s="86"/>
    </row>
    <row r="336" ht="15.75" customHeight="1">
      <c r="C336" s="85"/>
      <c r="E336" s="85"/>
      <c r="H336" s="86"/>
    </row>
    <row r="337" ht="15.75" customHeight="1">
      <c r="C337" s="85"/>
      <c r="E337" s="85"/>
      <c r="H337" s="86"/>
    </row>
    <row r="338" ht="15.75" customHeight="1">
      <c r="C338" s="85"/>
      <c r="E338" s="85"/>
      <c r="H338" s="86"/>
    </row>
    <row r="339" ht="15.75" customHeight="1">
      <c r="C339" s="85"/>
      <c r="E339" s="85"/>
      <c r="H339" s="86"/>
    </row>
    <row r="340" ht="15.75" customHeight="1">
      <c r="C340" s="85"/>
      <c r="E340" s="85"/>
      <c r="H340" s="86"/>
    </row>
    <row r="341" ht="15.75" customHeight="1">
      <c r="C341" s="85"/>
      <c r="E341" s="85"/>
      <c r="H341" s="86"/>
    </row>
    <row r="342" ht="15.75" customHeight="1">
      <c r="C342" s="85"/>
      <c r="E342" s="85"/>
      <c r="H342" s="86"/>
    </row>
    <row r="343" ht="15.75" customHeight="1">
      <c r="C343" s="85"/>
      <c r="E343" s="85"/>
      <c r="H343" s="86"/>
    </row>
    <row r="344" ht="15.75" customHeight="1">
      <c r="C344" s="85"/>
      <c r="E344" s="85"/>
      <c r="H344" s="86"/>
    </row>
    <row r="345" ht="15.75" customHeight="1">
      <c r="C345" s="85"/>
      <c r="E345" s="85"/>
      <c r="H345" s="86"/>
    </row>
    <row r="346" ht="15.75" customHeight="1">
      <c r="C346" s="85"/>
      <c r="E346" s="85"/>
      <c r="H346" s="86"/>
    </row>
    <row r="347" ht="15.75" customHeight="1">
      <c r="C347" s="85"/>
      <c r="E347" s="85"/>
      <c r="H347" s="86"/>
    </row>
    <row r="348" ht="15.75" customHeight="1">
      <c r="C348" s="85"/>
      <c r="E348" s="85"/>
      <c r="H348" s="86"/>
    </row>
    <row r="349" ht="15.75" customHeight="1">
      <c r="C349" s="85"/>
      <c r="E349" s="85"/>
      <c r="H349" s="86"/>
    </row>
    <row r="350" ht="15.75" customHeight="1">
      <c r="C350" s="85"/>
      <c r="E350" s="85"/>
      <c r="H350" s="86"/>
    </row>
    <row r="351" ht="15.75" customHeight="1">
      <c r="C351" s="85"/>
      <c r="E351" s="85"/>
      <c r="H351" s="86"/>
    </row>
    <row r="352" ht="15.75" customHeight="1">
      <c r="C352" s="85"/>
      <c r="E352" s="85"/>
      <c r="H352" s="86"/>
    </row>
    <row r="353" ht="15.75" customHeight="1">
      <c r="C353" s="85"/>
      <c r="E353" s="85"/>
      <c r="H353" s="86"/>
    </row>
    <row r="354" ht="15.75" customHeight="1">
      <c r="C354" s="85"/>
      <c r="E354" s="85"/>
      <c r="H354" s="86"/>
    </row>
    <row r="355" ht="15.75" customHeight="1">
      <c r="C355" s="85"/>
      <c r="E355" s="85"/>
      <c r="H355" s="86"/>
    </row>
    <row r="356" ht="15.75" customHeight="1">
      <c r="C356" s="85"/>
      <c r="E356" s="85"/>
      <c r="H356" s="86"/>
    </row>
    <row r="357" ht="15.75" customHeight="1">
      <c r="C357" s="85"/>
      <c r="E357" s="85"/>
      <c r="H357" s="86"/>
    </row>
    <row r="358" ht="15.75" customHeight="1">
      <c r="C358" s="85"/>
      <c r="E358" s="85"/>
      <c r="H358" s="86"/>
    </row>
    <row r="359" ht="15.75" customHeight="1">
      <c r="C359" s="85"/>
      <c r="E359" s="85"/>
      <c r="H359" s="86"/>
    </row>
    <row r="360" ht="15.75" customHeight="1">
      <c r="C360" s="85"/>
      <c r="E360" s="85"/>
      <c r="H360" s="86"/>
    </row>
    <row r="361" ht="15.75" customHeight="1">
      <c r="C361" s="85"/>
      <c r="E361" s="85"/>
      <c r="H361" s="86"/>
    </row>
    <row r="362" ht="15.75" customHeight="1">
      <c r="C362" s="85"/>
      <c r="E362" s="85"/>
      <c r="H362" s="86"/>
    </row>
    <row r="363" ht="15.75" customHeight="1">
      <c r="C363" s="85"/>
      <c r="E363" s="85"/>
      <c r="H363" s="86"/>
    </row>
    <row r="364" ht="15.75" customHeight="1">
      <c r="C364" s="85"/>
      <c r="E364" s="85"/>
      <c r="H364" s="86"/>
    </row>
    <row r="365" ht="15.75" customHeight="1">
      <c r="C365" s="85"/>
      <c r="E365" s="85"/>
      <c r="H365" s="86"/>
    </row>
    <row r="366" ht="15.75" customHeight="1">
      <c r="C366" s="85"/>
      <c r="E366" s="85"/>
      <c r="H366" s="86"/>
    </row>
    <row r="367" ht="15.75" customHeight="1">
      <c r="C367" s="85"/>
      <c r="E367" s="85"/>
      <c r="H367" s="86"/>
    </row>
    <row r="368" ht="15.75" customHeight="1">
      <c r="C368" s="85"/>
      <c r="E368" s="85"/>
      <c r="H368" s="86"/>
    </row>
    <row r="369" ht="15.75" customHeight="1">
      <c r="C369" s="85"/>
      <c r="E369" s="85"/>
      <c r="H369" s="86"/>
    </row>
    <row r="370" ht="15.75" customHeight="1">
      <c r="C370" s="85"/>
      <c r="E370" s="85"/>
      <c r="H370" s="86"/>
    </row>
    <row r="371" ht="15.75" customHeight="1">
      <c r="C371" s="85"/>
      <c r="E371" s="85"/>
      <c r="H371" s="86"/>
    </row>
    <row r="372" ht="15.75" customHeight="1">
      <c r="C372" s="85"/>
      <c r="E372" s="85"/>
      <c r="H372" s="86"/>
    </row>
    <row r="373" ht="15.75" customHeight="1">
      <c r="C373" s="85"/>
      <c r="E373" s="85"/>
      <c r="H373" s="86"/>
    </row>
    <row r="374" ht="15.75" customHeight="1">
      <c r="C374" s="85"/>
      <c r="E374" s="85"/>
      <c r="H374" s="86"/>
    </row>
    <row r="375" ht="15.75" customHeight="1">
      <c r="C375" s="85"/>
      <c r="E375" s="85"/>
      <c r="H375" s="86"/>
    </row>
    <row r="376" ht="15.75" customHeight="1">
      <c r="C376" s="85"/>
      <c r="E376" s="85"/>
      <c r="H376" s="86"/>
    </row>
    <row r="377" ht="15.75" customHeight="1">
      <c r="C377" s="85"/>
      <c r="E377" s="85"/>
      <c r="H377" s="86"/>
    </row>
    <row r="378" ht="15.75" customHeight="1">
      <c r="C378" s="85"/>
      <c r="E378" s="85"/>
      <c r="H378" s="86"/>
    </row>
    <row r="379" ht="15.75" customHeight="1">
      <c r="C379" s="85"/>
      <c r="E379" s="85"/>
      <c r="H379" s="86"/>
    </row>
    <row r="380" ht="15.75" customHeight="1">
      <c r="C380" s="85"/>
      <c r="E380" s="85"/>
      <c r="H380" s="86"/>
    </row>
    <row r="381" ht="15.75" customHeight="1">
      <c r="C381" s="85"/>
      <c r="E381" s="85"/>
      <c r="H381" s="86"/>
    </row>
    <row r="382" ht="15.75" customHeight="1">
      <c r="C382" s="85"/>
      <c r="E382" s="85"/>
      <c r="H382" s="86"/>
    </row>
    <row r="383" ht="15.75" customHeight="1">
      <c r="C383" s="85"/>
      <c r="E383" s="85"/>
      <c r="H383" s="86"/>
    </row>
    <row r="384" ht="15.75" customHeight="1">
      <c r="C384" s="85"/>
      <c r="E384" s="85"/>
      <c r="H384" s="86"/>
    </row>
    <row r="385" ht="15.75" customHeight="1">
      <c r="C385" s="85"/>
      <c r="E385" s="85"/>
      <c r="H385" s="86"/>
    </row>
    <row r="386" ht="15.75" customHeight="1">
      <c r="C386" s="85"/>
      <c r="E386" s="85"/>
      <c r="H386" s="86"/>
    </row>
    <row r="387" ht="15.75" customHeight="1">
      <c r="C387" s="85"/>
      <c r="E387" s="85"/>
      <c r="H387" s="86"/>
    </row>
    <row r="388" ht="15.75" customHeight="1">
      <c r="C388" s="85"/>
      <c r="E388" s="85"/>
      <c r="H388" s="86"/>
    </row>
    <row r="389" ht="15.75" customHeight="1">
      <c r="C389" s="85"/>
      <c r="E389" s="85"/>
      <c r="H389" s="86"/>
    </row>
    <row r="390" ht="15.75" customHeight="1">
      <c r="C390" s="85"/>
      <c r="E390" s="85"/>
      <c r="H390" s="86"/>
    </row>
    <row r="391" ht="15.75" customHeight="1">
      <c r="C391" s="85"/>
      <c r="E391" s="85"/>
      <c r="H391" s="86"/>
    </row>
    <row r="392" ht="15.75" customHeight="1">
      <c r="C392" s="85"/>
      <c r="E392" s="85"/>
      <c r="H392" s="86"/>
    </row>
    <row r="393" ht="15.75" customHeight="1">
      <c r="C393" s="85"/>
      <c r="E393" s="85"/>
      <c r="H393" s="86"/>
    </row>
    <row r="394" ht="15.75" customHeight="1">
      <c r="C394" s="85"/>
      <c r="E394" s="85"/>
      <c r="H394" s="86"/>
    </row>
    <row r="395" ht="15.75" customHeight="1">
      <c r="C395" s="85"/>
      <c r="E395" s="85"/>
      <c r="H395" s="86"/>
    </row>
    <row r="396" ht="15.75" customHeight="1">
      <c r="C396" s="85"/>
      <c r="E396" s="85"/>
      <c r="H396" s="86"/>
    </row>
    <row r="397" ht="15.75" customHeight="1">
      <c r="C397" s="85"/>
      <c r="E397" s="85"/>
      <c r="H397" s="86"/>
    </row>
    <row r="398" ht="15.75" customHeight="1">
      <c r="C398" s="85"/>
      <c r="E398" s="85"/>
      <c r="H398" s="86"/>
    </row>
    <row r="399" ht="15.75" customHeight="1">
      <c r="C399" s="85"/>
      <c r="E399" s="85"/>
      <c r="H399" s="86"/>
    </row>
    <row r="400" ht="15.75" customHeight="1">
      <c r="C400" s="85"/>
      <c r="E400" s="85"/>
      <c r="H400" s="86"/>
    </row>
    <row r="401" ht="15.75" customHeight="1">
      <c r="C401" s="85"/>
      <c r="E401" s="85"/>
      <c r="H401" s="86"/>
    </row>
    <row r="402" ht="15.75" customHeight="1">
      <c r="C402" s="85"/>
      <c r="E402" s="85"/>
      <c r="H402" s="86"/>
    </row>
    <row r="403" ht="15.75" customHeight="1">
      <c r="C403" s="85"/>
      <c r="E403" s="85"/>
      <c r="H403" s="86"/>
    </row>
    <row r="404" ht="15.75" customHeight="1">
      <c r="C404" s="85"/>
      <c r="E404" s="85"/>
      <c r="H404" s="86"/>
    </row>
    <row r="405" ht="15.75" customHeight="1">
      <c r="C405" s="85"/>
      <c r="E405" s="85"/>
      <c r="H405" s="86"/>
    </row>
    <row r="406" ht="15.75" customHeight="1">
      <c r="C406" s="85"/>
      <c r="E406" s="85"/>
      <c r="H406" s="86"/>
    </row>
    <row r="407" ht="15.75" customHeight="1">
      <c r="C407" s="85"/>
      <c r="E407" s="85"/>
      <c r="H407" s="86"/>
    </row>
    <row r="408" ht="15.75" customHeight="1">
      <c r="C408" s="85"/>
      <c r="E408" s="85"/>
      <c r="H408" s="86"/>
    </row>
    <row r="409" ht="15.75" customHeight="1">
      <c r="C409" s="85"/>
      <c r="E409" s="85"/>
      <c r="H409" s="86"/>
    </row>
    <row r="410" ht="15.75" customHeight="1">
      <c r="C410" s="85"/>
      <c r="E410" s="85"/>
      <c r="H410" s="86"/>
    </row>
    <row r="411" ht="15.75" customHeight="1">
      <c r="C411" s="85"/>
      <c r="E411" s="85"/>
      <c r="H411" s="86"/>
    </row>
    <row r="412" ht="15.75" customHeight="1">
      <c r="C412" s="85"/>
      <c r="E412" s="85"/>
      <c r="H412" s="86"/>
    </row>
    <row r="413" ht="15.75" customHeight="1">
      <c r="C413" s="85"/>
      <c r="E413" s="85"/>
      <c r="H413" s="86"/>
    </row>
    <row r="414" ht="15.75" customHeight="1">
      <c r="C414" s="85"/>
      <c r="E414" s="85"/>
      <c r="H414" s="86"/>
    </row>
    <row r="415" ht="15.75" customHeight="1">
      <c r="C415" s="85"/>
      <c r="E415" s="85"/>
      <c r="H415" s="86"/>
    </row>
    <row r="416" ht="15.75" customHeight="1">
      <c r="C416" s="85"/>
      <c r="E416" s="85"/>
      <c r="H416" s="86"/>
    </row>
    <row r="417" ht="15.75" customHeight="1">
      <c r="C417" s="85"/>
      <c r="E417" s="85"/>
      <c r="H417" s="86"/>
    </row>
    <row r="418" ht="15.75" customHeight="1">
      <c r="C418" s="85"/>
      <c r="E418" s="85"/>
      <c r="H418" s="86"/>
    </row>
    <row r="419" ht="15.75" customHeight="1">
      <c r="C419" s="85"/>
      <c r="E419" s="85"/>
      <c r="H419" s="86"/>
    </row>
    <row r="420" ht="15.75" customHeight="1">
      <c r="C420" s="85"/>
      <c r="E420" s="85"/>
      <c r="H420" s="86"/>
    </row>
    <row r="421" ht="15.75" customHeight="1">
      <c r="C421" s="85"/>
      <c r="E421" s="85"/>
      <c r="H421" s="86"/>
    </row>
    <row r="422" ht="15.75" customHeight="1">
      <c r="C422" s="85"/>
      <c r="E422" s="85"/>
      <c r="H422" s="86"/>
    </row>
    <row r="423" ht="15.75" customHeight="1">
      <c r="C423" s="85"/>
      <c r="E423" s="85"/>
      <c r="H423" s="86"/>
    </row>
    <row r="424" ht="15.75" customHeight="1">
      <c r="C424" s="85"/>
      <c r="E424" s="85"/>
      <c r="H424" s="86"/>
    </row>
    <row r="425" ht="15.75" customHeight="1">
      <c r="C425" s="85"/>
      <c r="E425" s="85"/>
      <c r="H425" s="86"/>
    </row>
    <row r="426" ht="15.75" customHeight="1">
      <c r="C426" s="85"/>
      <c r="E426" s="85"/>
      <c r="H426" s="86"/>
    </row>
    <row r="427" ht="15.75" customHeight="1">
      <c r="C427" s="85"/>
      <c r="E427" s="85"/>
      <c r="H427" s="86"/>
    </row>
    <row r="428" ht="15.75" customHeight="1">
      <c r="C428" s="85"/>
      <c r="E428" s="85"/>
      <c r="H428" s="86"/>
    </row>
    <row r="429" ht="15.75" customHeight="1">
      <c r="C429" s="85"/>
      <c r="E429" s="85"/>
      <c r="H429" s="86"/>
    </row>
    <row r="430" ht="15.75" customHeight="1">
      <c r="C430" s="85"/>
      <c r="E430" s="85"/>
      <c r="H430" s="86"/>
    </row>
    <row r="431" ht="15.75" customHeight="1">
      <c r="C431" s="85"/>
      <c r="E431" s="85"/>
      <c r="H431" s="86"/>
    </row>
    <row r="432" ht="15.75" customHeight="1">
      <c r="C432" s="85"/>
      <c r="E432" s="85"/>
      <c r="H432" s="86"/>
    </row>
    <row r="433" ht="15.75" customHeight="1">
      <c r="C433" s="85"/>
      <c r="E433" s="85"/>
      <c r="H433" s="86"/>
    </row>
    <row r="434" ht="15.75" customHeight="1">
      <c r="C434" s="85"/>
      <c r="E434" s="85"/>
      <c r="H434" s="86"/>
    </row>
    <row r="435" ht="15.75" customHeight="1">
      <c r="C435" s="85"/>
      <c r="E435" s="85"/>
      <c r="H435" s="86"/>
    </row>
    <row r="436" ht="15.75" customHeight="1">
      <c r="C436" s="85"/>
      <c r="E436" s="85"/>
      <c r="H436" s="86"/>
    </row>
    <row r="437" ht="15.75" customHeight="1">
      <c r="C437" s="85"/>
      <c r="E437" s="85"/>
      <c r="H437" s="86"/>
    </row>
    <row r="438" ht="15.75" customHeight="1">
      <c r="C438" s="85"/>
      <c r="E438" s="85"/>
      <c r="H438" s="86"/>
    </row>
    <row r="439" ht="15.75" customHeight="1">
      <c r="C439" s="85"/>
      <c r="E439" s="85"/>
      <c r="H439" s="86"/>
    </row>
    <row r="440" ht="15.75" customHeight="1">
      <c r="C440" s="85"/>
      <c r="E440" s="85"/>
      <c r="H440" s="86"/>
    </row>
    <row r="441" ht="15.75" customHeight="1">
      <c r="C441" s="85"/>
      <c r="E441" s="85"/>
      <c r="H441" s="86"/>
    </row>
    <row r="442" ht="15.75" customHeight="1">
      <c r="C442" s="85"/>
      <c r="E442" s="85"/>
      <c r="H442" s="86"/>
    </row>
    <row r="443" ht="15.75" customHeight="1">
      <c r="C443" s="85"/>
      <c r="E443" s="85"/>
      <c r="H443" s="86"/>
    </row>
    <row r="444" ht="15.75" customHeight="1">
      <c r="C444" s="85"/>
      <c r="E444" s="85"/>
      <c r="H444" s="86"/>
    </row>
    <row r="445" ht="15.75" customHeight="1">
      <c r="C445" s="85"/>
      <c r="E445" s="85"/>
      <c r="H445" s="86"/>
    </row>
    <row r="446" ht="15.75" customHeight="1">
      <c r="C446" s="85"/>
      <c r="E446" s="85"/>
      <c r="H446" s="86"/>
    </row>
    <row r="447" ht="15.75" customHeight="1">
      <c r="C447" s="85"/>
      <c r="E447" s="85"/>
      <c r="H447" s="86"/>
    </row>
    <row r="448" ht="15.75" customHeight="1">
      <c r="C448" s="85"/>
      <c r="E448" s="85"/>
      <c r="H448" s="86"/>
    </row>
    <row r="449" ht="15.75" customHeight="1">
      <c r="C449" s="85"/>
      <c r="E449" s="85"/>
      <c r="H449" s="86"/>
    </row>
    <row r="450" ht="15.75" customHeight="1">
      <c r="C450" s="85"/>
      <c r="E450" s="85"/>
      <c r="H450" s="86"/>
    </row>
    <row r="451" ht="15.75" customHeight="1">
      <c r="C451" s="85"/>
      <c r="E451" s="85"/>
      <c r="H451" s="86"/>
    </row>
    <row r="452" ht="15.75" customHeight="1">
      <c r="C452" s="85"/>
      <c r="E452" s="85"/>
      <c r="H452" s="86"/>
    </row>
    <row r="453" ht="15.75" customHeight="1">
      <c r="C453" s="85"/>
      <c r="E453" s="85"/>
      <c r="H453" s="86"/>
    </row>
    <row r="454" ht="15.75" customHeight="1">
      <c r="C454" s="85"/>
      <c r="E454" s="85"/>
      <c r="H454" s="86"/>
    </row>
    <row r="455" ht="15.75" customHeight="1">
      <c r="C455" s="85"/>
      <c r="E455" s="85"/>
      <c r="H455" s="86"/>
    </row>
    <row r="456" ht="15.75" customHeight="1">
      <c r="C456" s="85"/>
      <c r="E456" s="85"/>
      <c r="H456" s="86"/>
    </row>
    <row r="457" ht="15.75" customHeight="1">
      <c r="C457" s="85"/>
      <c r="E457" s="85"/>
      <c r="H457" s="86"/>
    </row>
    <row r="458" ht="15.75" customHeight="1">
      <c r="C458" s="85"/>
      <c r="E458" s="85"/>
      <c r="H458" s="86"/>
    </row>
    <row r="459" ht="15.75" customHeight="1">
      <c r="C459" s="85"/>
      <c r="E459" s="85"/>
      <c r="H459" s="86"/>
    </row>
    <row r="460" ht="15.75" customHeight="1">
      <c r="C460" s="85"/>
      <c r="E460" s="85"/>
      <c r="H460" s="86"/>
    </row>
    <row r="461" ht="15.75" customHeight="1">
      <c r="C461" s="85"/>
      <c r="E461" s="85"/>
      <c r="H461" s="86"/>
    </row>
    <row r="462" ht="15.75" customHeight="1">
      <c r="C462" s="85"/>
      <c r="E462" s="85"/>
      <c r="H462" s="86"/>
    </row>
    <row r="463" ht="15.75" customHeight="1">
      <c r="C463" s="85"/>
      <c r="E463" s="85"/>
      <c r="H463" s="86"/>
    </row>
    <row r="464" ht="15.75" customHeight="1">
      <c r="C464" s="85"/>
      <c r="E464" s="85"/>
      <c r="H464" s="86"/>
    </row>
    <row r="465" ht="15.75" customHeight="1">
      <c r="C465" s="85"/>
      <c r="E465" s="85"/>
      <c r="H465" s="86"/>
    </row>
    <row r="466" ht="15.75" customHeight="1">
      <c r="C466" s="85"/>
      <c r="E466" s="85"/>
      <c r="H466" s="86"/>
    </row>
    <row r="467" ht="15.75" customHeight="1">
      <c r="C467" s="85"/>
      <c r="E467" s="85"/>
      <c r="H467" s="86"/>
    </row>
    <row r="468" ht="15.75" customHeight="1">
      <c r="C468" s="85"/>
      <c r="E468" s="85"/>
      <c r="H468" s="86"/>
    </row>
    <row r="469" ht="15.75" customHeight="1">
      <c r="C469" s="85"/>
      <c r="E469" s="85"/>
      <c r="H469" s="86"/>
    </row>
    <row r="470" ht="15.75" customHeight="1">
      <c r="C470" s="85"/>
      <c r="E470" s="85"/>
      <c r="H470" s="86"/>
    </row>
    <row r="471" ht="15.75" customHeight="1">
      <c r="C471" s="85"/>
      <c r="E471" s="85"/>
      <c r="H471" s="86"/>
    </row>
    <row r="472" ht="15.75" customHeight="1">
      <c r="C472" s="85"/>
      <c r="E472" s="85"/>
      <c r="H472" s="86"/>
    </row>
    <row r="473" ht="15.75" customHeight="1">
      <c r="C473" s="85"/>
      <c r="E473" s="85"/>
      <c r="H473" s="86"/>
    </row>
    <row r="474" ht="15.75" customHeight="1">
      <c r="C474" s="85"/>
      <c r="E474" s="85"/>
      <c r="H474" s="86"/>
    </row>
    <row r="475" ht="15.75" customHeight="1">
      <c r="C475" s="85"/>
      <c r="E475" s="85"/>
      <c r="H475" s="86"/>
    </row>
    <row r="476" ht="15.75" customHeight="1">
      <c r="C476" s="85"/>
      <c r="E476" s="85"/>
      <c r="H476" s="86"/>
    </row>
    <row r="477" ht="15.75" customHeight="1">
      <c r="C477" s="85"/>
      <c r="E477" s="85"/>
      <c r="H477" s="86"/>
    </row>
    <row r="478" ht="15.75" customHeight="1">
      <c r="C478" s="85"/>
      <c r="E478" s="85"/>
      <c r="H478" s="86"/>
    </row>
    <row r="479" ht="15.75" customHeight="1">
      <c r="C479" s="85"/>
      <c r="E479" s="85"/>
      <c r="H479" s="86"/>
    </row>
    <row r="480" ht="15.75" customHeight="1">
      <c r="C480" s="85"/>
      <c r="E480" s="85"/>
      <c r="H480" s="86"/>
    </row>
    <row r="481" ht="15.75" customHeight="1">
      <c r="C481" s="85"/>
      <c r="E481" s="85"/>
      <c r="H481" s="86"/>
    </row>
    <row r="482" ht="15.75" customHeight="1">
      <c r="C482" s="85"/>
      <c r="E482" s="85"/>
      <c r="H482" s="86"/>
    </row>
    <row r="483" ht="15.75" customHeight="1">
      <c r="C483" s="85"/>
      <c r="E483" s="85"/>
      <c r="H483" s="86"/>
    </row>
    <row r="484" ht="15.75" customHeight="1">
      <c r="C484" s="85"/>
      <c r="E484" s="85"/>
      <c r="H484" s="86"/>
    </row>
    <row r="485" ht="15.75" customHeight="1">
      <c r="C485" s="85"/>
      <c r="E485" s="85"/>
      <c r="H485" s="86"/>
    </row>
    <row r="486" ht="15.75" customHeight="1">
      <c r="C486" s="85"/>
      <c r="E486" s="85"/>
      <c r="H486" s="86"/>
    </row>
    <row r="487" ht="15.75" customHeight="1">
      <c r="C487" s="85"/>
      <c r="E487" s="85"/>
      <c r="H487" s="86"/>
    </row>
    <row r="488" ht="15.75" customHeight="1">
      <c r="C488" s="85"/>
      <c r="E488" s="85"/>
      <c r="H488" s="86"/>
    </row>
    <row r="489" ht="15.75" customHeight="1">
      <c r="C489" s="85"/>
      <c r="E489" s="85"/>
      <c r="H489" s="86"/>
    </row>
    <row r="490" ht="15.75" customHeight="1">
      <c r="C490" s="85"/>
      <c r="E490" s="85"/>
      <c r="H490" s="86"/>
    </row>
    <row r="491" ht="15.75" customHeight="1">
      <c r="C491" s="85"/>
      <c r="E491" s="85"/>
      <c r="H491" s="86"/>
    </row>
    <row r="492" ht="15.75" customHeight="1">
      <c r="C492" s="85"/>
      <c r="E492" s="85"/>
      <c r="H492" s="86"/>
    </row>
    <row r="493" ht="15.75" customHeight="1">
      <c r="C493" s="85"/>
      <c r="E493" s="85"/>
      <c r="H493" s="86"/>
    </row>
    <row r="494" ht="15.75" customHeight="1">
      <c r="C494" s="85"/>
      <c r="E494" s="85"/>
      <c r="H494" s="86"/>
    </row>
    <row r="495" ht="15.75" customHeight="1">
      <c r="C495" s="85"/>
      <c r="E495" s="85"/>
      <c r="H495" s="86"/>
    </row>
    <row r="496" ht="15.75" customHeight="1">
      <c r="C496" s="85"/>
      <c r="E496" s="85"/>
      <c r="H496" s="86"/>
    </row>
    <row r="497" ht="15.75" customHeight="1">
      <c r="C497" s="85"/>
      <c r="E497" s="85"/>
      <c r="H497" s="86"/>
    </row>
    <row r="498" ht="15.75" customHeight="1">
      <c r="C498" s="85"/>
      <c r="E498" s="85"/>
      <c r="H498" s="86"/>
    </row>
    <row r="499" ht="15.75" customHeight="1">
      <c r="C499" s="85"/>
      <c r="E499" s="85"/>
      <c r="H499" s="86"/>
    </row>
    <row r="500" ht="15.75" customHeight="1">
      <c r="C500" s="85"/>
      <c r="E500" s="85"/>
      <c r="H500" s="86"/>
    </row>
    <row r="501" ht="15.75" customHeight="1">
      <c r="C501" s="85"/>
      <c r="E501" s="85"/>
      <c r="H501" s="86"/>
    </row>
    <row r="502" ht="15.75" customHeight="1">
      <c r="C502" s="85"/>
      <c r="E502" s="85"/>
      <c r="H502" s="86"/>
    </row>
    <row r="503" ht="15.75" customHeight="1">
      <c r="C503" s="85"/>
      <c r="E503" s="85"/>
      <c r="H503" s="86"/>
    </row>
    <row r="504" ht="15.75" customHeight="1">
      <c r="C504" s="85"/>
      <c r="E504" s="85"/>
      <c r="H504" s="86"/>
    </row>
    <row r="505" ht="15.75" customHeight="1">
      <c r="C505" s="85"/>
      <c r="E505" s="85"/>
      <c r="H505" s="86"/>
    </row>
    <row r="506" ht="15.75" customHeight="1">
      <c r="C506" s="85"/>
      <c r="E506" s="85"/>
      <c r="H506" s="86"/>
    </row>
    <row r="507" ht="15.75" customHeight="1">
      <c r="C507" s="85"/>
      <c r="E507" s="85"/>
      <c r="H507" s="86"/>
    </row>
    <row r="508" ht="15.75" customHeight="1">
      <c r="C508" s="85"/>
      <c r="E508" s="85"/>
      <c r="H508" s="86"/>
    </row>
    <row r="509" ht="15.75" customHeight="1">
      <c r="C509" s="85"/>
      <c r="E509" s="85"/>
      <c r="H509" s="86"/>
    </row>
    <row r="510" ht="15.75" customHeight="1">
      <c r="C510" s="85"/>
      <c r="E510" s="85"/>
      <c r="H510" s="86"/>
    </row>
    <row r="511" ht="15.75" customHeight="1">
      <c r="C511" s="85"/>
      <c r="E511" s="85"/>
      <c r="H511" s="86"/>
    </row>
    <row r="512" ht="15.75" customHeight="1">
      <c r="C512" s="85"/>
      <c r="E512" s="85"/>
      <c r="H512" s="86"/>
    </row>
    <row r="513" ht="15.75" customHeight="1">
      <c r="C513" s="85"/>
      <c r="E513" s="85"/>
      <c r="H513" s="86"/>
    </row>
    <row r="514" ht="15.75" customHeight="1">
      <c r="C514" s="85"/>
      <c r="E514" s="85"/>
      <c r="H514" s="86"/>
    </row>
    <row r="515" ht="15.75" customHeight="1">
      <c r="C515" s="85"/>
      <c r="E515" s="85"/>
      <c r="H515" s="86"/>
    </row>
    <row r="516" ht="15.75" customHeight="1">
      <c r="C516" s="85"/>
      <c r="E516" s="85"/>
      <c r="H516" s="86"/>
    </row>
    <row r="517" ht="15.75" customHeight="1">
      <c r="C517" s="85"/>
      <c r="E517" s="85"/>
      <c r="H517" s="86"/>
    </row>
    <row r="518" ht="15.75" customHeight="1">
      <c r="C518" s="85"/>
      <c r="E518" s="85"/>
      <c r="H518" s="86"/>
    </row>
    <row r="519" ht="15.75" customHeight="1">
      <c r="C519" s="85"/>
      <c r="E519" s="85"/>
      <c r="H519" s="86"/>
    </row>
    <row r="520" ht="15.75" customHeight="1">
      <c r="C520" s="85"/>
      <c r="E520" s="85"/>
      <c r="H520" s="86"/>
    </row>
    <row r="521" ht="15.75" customHeight="1">
      <c r="C521" s="85"/>
      <c r="E521" s="85"/>
      <c r="H521" s="86"/>
    </row>
    <row r="522" ht="15.75" customHeight="1">
      <c r="C522" s="85"/>
      <c r="E522" s="85"/>
      <c r="H522" s="86"/>
    </row>
    <row r="523" ht="15.75" customHeight="1">
      <c r="C523" s="85"/>
      <c r="E523" s="85"/>
      <c r="H523" s="86"/>
    </row>
    <row r="524" ht="15.75" customHeight="1">
      <c r="C524" s="85"/>
      <c r="E524" s="85"/>
      <c r="H524" s="86"/>
    </row>
    <row r="525" ht="15.75" customHeight="1">
      <c r="C525" s="85"/>
      <c r="E525" s="85"/>
      <c r="H525" s="86"/>
    </row>
    <row r="526" ht="15.75" customHeight="1">
      <c r="C526" s="85"/>
      <c r="E526" s="85"/>
      <c r="H526" s="86"/>
    </row>
    <row r="527" ht="15.75" customHeight="1">
      <c r="C527" s="85"/>
      <c r="E527" s="85"/>
      <c r="H527" s="86"/>
    </row>
    <row r="528" ht="15.75" customHeight="1">
      <c r="C528" s="85"/>
      <c r="E528" s="85"/>
      <c r="H528" s="86"/>
    </row>
    <row r="529" ht="15.75" customHeight="1">
      <c r="C529" s="85"/>
      <c r="E529" s="85"/>
      <c r="H529" s="86"/>
    </row>
    <row r="530" ht="15.75" customHeight="1">
      <c r="C530" s="85"/>
      <c r="E530" s="85"/>
      <c r="H530" s="86"/>
    </row>
    <row r="531" ht="15.75" customHeight="1">
      <c r="C531" s="85"/>
      <c r="E531" s="85"/>
      <c r="H531" s="86"/>
    </row>
    <row r="532" ht="15.75" customHeight="1">
      <c r="C532" s="85"/>
      <c r="E532" s="85"/>
      <c r="H532" s="86"/>
    </row>
    <row r="533" ht="15.75" customHeight="1">
      <c r="C533" s="85"/>
      <c r="E533" s="85"/>
      <c r="H533" s="86"/>
    </row>
    <row r="534" ht="15.75" customHeight="1">
      <c r="C534" s="85"/>
      <c r="E534" s="85"/>
      <c r="H534" s="86"/>
    </row>
    <row r="535" ht="15.75" customHeight="1">
      <c r="C535" s="85"/>
      <c r="E535" s="85"/>
      <c r="H535" s="86"/>
    </row>
    <row r="536" ht="15.75" customHeight="1">
      <c r="C536" s="85"/>
      <c r="E536" s="85"/>
      <c r="H536" s="86"/>
    </row>
    <row r="537" ht="15.75" customHeight="1">
      <c r="C537" s="85"/>
      <c r="E537" s="85"/>
      <c r="H537" s="86"/>
    </row>
    <row r="538" ht="15.75" customHeight="1">
      <c r="C538" s="85"/>
      <c r="E538" s="85"/>
      <c r="H538" s="86"/>
    </row>
    <row r="539" ht="15.75" customHeight="1">
      <c r="C539" s="85"/>
      <c r="E539" s="85"/>
      <c r="H539" s="86"/>
    </row>
    <row r="540" ht="15.75" customHeight="1">
      <c r="C540" s="85"/>
      <c r="E540" s="85"/>
      <c r="H540" s="86"/>
    </row>
    <row r="541" ht="15.75" customHeight="1">
      <c r="C541" s="85"/>
      <c r="E541" s="85"/>
      <c r="H541" s="86"/>
    </row>
    <row r="542" ht="15.75" customHeight="1">
      <c r="C542" s="85"/>
      <c r="E542" s="85"/>
      <c r="H542" s="86"/>
    </row>
    <row r="543" ht="15.75" customHeight="1">
      <c r="C543" s="85"/>
      <c r="E543" s="85"/>
      <c r="H543" s="86"/>
    </row>
    <row r="544" ht="15.75" customHeight="1">
      <c r="C544" s="85"/>
      <c r="E544" s="85"/>
      <c r="H544" s="86"/>
    </row>
    <row r="545" ht="15.75" customHeight="1">
      <c r="C545" s="85"/>
      <c r="E545" s="85"/>
      <c r="H545" s="86"/>
    </row>
    <row r="546" ht="15.75" customHeight="1">
      <c r="C546" s="85"/>
      <c r="E546" s="85"/>
      <c r="H546" s="86"/>
    </row>
    <row r="547" ht="15.75" customHeight="1">
      <c r="C547" s="85"/>
      <c r="E547" s="85"/>
      <c r="H547" s="86"/>
    </row>
    <row r="548" ht="15.75" customHeight="1">
      <c r="C548" s="85"/>
      <c r="E548" s="85"/>
      <c r="H548" s="86"/>
    </row>
    <row r="549" ht="15.75" customHeight="1">
      <c r="C549" s="85"/>
      <c r="E549" s="85"/>
      <c r="H549" s="86"/>
    </row>
    <row r="550" ht="15.75" customHeight="1">
      <c r="C550" s="85"/>
      <c r="E550" s="85"/>
      <c r="H550" s="86"/>
    </row>
    <row r="551" ht="15.75" customHeight="1">
      <c r="C551" s="85"/>
      <c r="E551" s="85"/>
      <c r="H551" s="86"/>
    </row>
    <row r="552" ht="15.75" customHeight="1">
      <c r="C552" s="85"/>
      <c r="E552" s="85"/>
      <c r="H552" s="86"/>
    </row>
    <row r="553" ht="15.75" customHeight="1">
      <c r="C553" s="85"/>
      <c r="E553" s="85"/>
      <c r="H553" s="86"/>
    </row>
    <row r="554" ht="15.75" customHeight="1">
      <c r="C554" s="85"/>
      <c r="E554" s="85"/>
      <c r="H554" s="86"/>
    </row>
    <row r="555" ht="15.75" customHeight="1">
      <c r="C555" s="85"/>
      <c r="E555" s="85"/>
      <c r="H555" s="86"/>
    </row>
    <row r="556" ht="15.75" customHeight="1">
      <c r="C556" s="85"/>
      <c r="E556" s="85"/>
      <c r="H556" s="86"/>
    </row>
    <row r="557" ht="15.75" customHeight="1">
      <c r="C557" s="85"/>
      <c r="E557" s="85"/>
      <c r="H557" s="86"/>
    </row>
    <row r="558" ht="15.75" customHeight="1">
      <c r="C558" s="85"/>
      <c r="E558" s="85"/>
      <c r="H558" s="86"/>
    </row>
    <row r="559" ht="15.75" customHeight="1">
      <c r="C559" s="85"/>
      <c r="E559" s="85"/>
      <c r="H559" s="86"/>
    </row>
    <row r="560" ht="15.75" customHeight="1">
      <c r="C560" s="85"/>
      <c r="E560" s="85"/>
      <c r="H560" s="86"/>
    </row>
    <row r="561" ht="15.75" customHeight="1">
      <c r="C561" s="85"/>
      <c r="E561" s="85"/>
      <c r="H561" s="86"/>
    </row>
    <row r="562" ht="15.75" customHeight="1">
      <c r="C562" s="85"/>
      <c r="E562" s="85"/>
      <c r="H562" s="86"/>
    </row>
    <row r="563" ht="15.75" customHeight="1">
      <c r="C563" s="85"/>
      <c r="E563" s="85"/>
      <c r="H563" s="86"/>
    </row>
    <row r="564" ht="15.75" customHeight="1">
      <c r="C564" s="85"/>
      <c r="E564" s="85"/>
      <c r="H564" s="86"/>
    </row>
    <row r="565" ht="15.75" customHeight="1">
      <c r="C565" s="85"/>
      <c r="E565" s="85"/>
      <c r="H565" s="86"/>
    </row>
    <row r="566" ht="15.75" customHeight="1">
      <c r="C566" s="85"/>
      <c r="E566" s="85"/>
      <c r="H566" s="86"/>
    </row>
    <row r="567" ht="15.75" customHeight="1">
      <c r="C567" s="85"/>
      <c r="E567" s="85"/>
      <c r="H567" s="86"/>
    </row>
    <row r="568" ht="15.75" customHeight="1">
      <c r="C568" s="85"/>
      <c r="E568" s="85"/>
      <c r="H568" s="86"/>
    </row>
    <row r="569" ht="15.75" customHeight="1">
      <c r="C569" s="85"/>
      <c r="E569" s="85"/>
      <c r="H569" s="86"/>
    </row>
    <row r="570" ht="15.75" customHeight="1">
      <c r="C570" s="85"/>
      <c r="E570" s="85"/>
      <c r="H570" s="86"/>
    </row>
    <row r="571" ht="15.75" customHeight="1">
      <c r="C571" s="85"/>
      <c r="E571" s="85"/>
      <c r="H571" s="86"/>
    </row>
    <row r="572" ht="15.75" customHeight="1">
      <c r="C572" s="85"/>
      <c r="E572" s="85"/>
      <c r="H572" s="86"/>
    </row>
    <row r="573" ht="15.75" customHeight="1">
      <c r="C573" s="85"/>
      <c r="E573" s="85"/>
      <c r="H573" s="86"/>
    </row>
    <row r="574" ht="15.75" customHeight="1">
      <c r="C574" s="85"/>
      <c r="E574" s="85"/>
      <c r="H574" s="86"/>
    </row>
    <row r="575" ht="15.75" customHeight="1">
      <c r="C575" s="85"/>
      <c r="E575" s="85"/>
      <c r="H575" s="86"/>
    </row>
    <row r="576" ht="15.75" customHeight="1">
      <c r="C576" s="85"/>
      <c r="E576" s="85"/>
      <c r="H576" s="86"/>
    </row>
    <row r="577" ht="15.75" customHeight="1">
      <c r="C577" s="85"/>
      <c r="E577" s="85"/>
      <c r="H577" s="86"/>
    </row>
    <row r="578" ht="15.75" customHeight="1">
      <c r="C578" s="85"/>
      <c r="E578" s="85"/>
      <c r="H578" s="86"/>
    </row>
    <row r="579" ht="15.75" customHeight="1">
      <c r="C579" s="85"/>
      <c r="E579" s="85"/>
      <c r="H579" s="86"/>
    </row>
    <row r="580" ht="15.75" customHeight="1">
      <c r="C580" s="85"/>
      <c r="E580" s="85"/>
      <c r="H580" s="86"/>
    </row>
    <row r="581" ht="15.75" customHeight="1">
      <c r="C581" s="85"/>
      <c r="E581" s="85"/>
      <c r="H581" s="86"/>
    </row>
    <row r="582" ht="15.75" customHeight="1">
      <c r="C582" s="85"/>
      <c r="E582" s="85"/>
      <c r="H582" s="86"/>
    </row>
    <row r="583" ht="15.75" customHeight="1">
      <c r="C583" s="85"/>
      <c r="E583" s="85"/>
      <c r="H583" s="86"/>
    </row>
    <row r="584" ht="15.75" customHeight="1">
      <c r="C584" s="85"/>
      <c r="E584" s="85"/>
      <c r="H584" s="86"/>
    </row>
    <row r="585" ht="15.75" customHeight="1">
      <c r="C585" s="85"/>
      <c r="E585" s="85"/>
      <c r="H585" s="86"/>
    </row>
    <row r="586" ht="15.75" customHeight="1">
      <c r="C586" s="85"/>
      <c r="E586" s="85"/>
      <c r="H586" s="86"/>
    </row>
    <row r="587" ht="15.75" customHeight="1">
      <c r="C587" s="85"/>
      <c r="E587" s="85"/>
      <c r="H587" s="86"/>
    </row>
    <row r="588" ht="15.75" customHeight="1">
      <c r="C588" s="85"/>
      <c r="E588" s="85"/>
      <c r="H588" s="86"/>
    </row>
    <row r="589" ht="15.75" customHeight="1">
      <c r="C589" s="85"/>
      <c r="E589" s="85"/>
      <c r="H589" s="86"/>
    </row>
    <row r="590" ht="15.75" customHeight="1">
      <c r="C590" s="85"/>
      <c r="E590" s="85"/>
      <c r="H590" s="86"/>
    </row>
    <row r="591" ht="15.75" customHeight="1">
      <c r="C591" s="85"/>
      <c r="E591" s="85"/>
      <c r="H591" s="86"/>
    </row>
    <row r="592" ht="15.75" customHeight="1">
      <c r="C592" s="85"/>
      <c r="E592" s="85"/>
      <c r="H592" s="86"/>
    </row>
    <row r="593" ht="15.75" customHeight="1">
      <c r="C593" s="85"/>
      <c r="E593" s="85"/>
      <c r="H593" s="86"/>
    </row>
    <row r="594" ht="15.75" customHeight="1">
      <c r="C594" s="85"/>
      <c r="E594" s="85"/>
      <c r="H594" s="86"/>
    </row>
    <row r="595" ht="15.75" customHeight="1">
      <c r="C595" s="85"/>
      <c r="E595" s="85"/>
      <c r="H595" s="86"/>
    </row>
    <row r="596" ht="15.75" customHeight="1">
      <c r="C596" s="85"/>
      <c r="E596" s="85"/>
      <c r="H596" s="86"/>
    </row>
    <row r="597" ht="15.75" customHeight="1">
      <c r="C597" s="85"/>
      <c r="E597" s="85"/>
      <c r="H597" s="86"/>
    </row>
    <row r="598" ht="15.75" customHeight="1">
      <c r="C598" s="85"/>
      <c r="E598" s="85"/>
      <c r="H598" s="86"/>
    </row>
    <row r="599" ht="15.75" customHeight="1">
      <c r="C599" s="85"/>
      <c r="E599" s="85"/>
      <c r="H599" s="86"/>
    </row>
    <row r="600" ht="15.75" customHeight="1">
      <c r="C600" s="85"/>
      <c r="E600" s="85"/>
      <c r="H600" s="86"/>
    </row>
    <row r="601" ht="15.75" customHeight="1">
      <c r="C601" s="85"/>
      <c r="E601" s="85"/>
      <c r="H601" s="86"/>
    </row>
    <row r="602" ht="15.75" customHeight="1">
      <c r="C602" s="85"/>
      <c r="E602" s="85"/>
      <c r="H602" s="86"/>
    </row>
    <row r="603" ht="15.75" customHeight="1">
      <c r="C603" s="85"/>
      <c r="E603" s="85"/>
      <c r="H603" s="86"/>
    </row>
    <row r="604" ht="15.75" customHeight="1">
      <c r="C604" s="85"/>
      <c r="E604" s="85"/>
      <c r="H604" s="86"/>
    </row>
    <row r="605" ht="15.75" customHeight="1">
      <c r="C605" s="85"/>
      <c r="E605" s="85"/>
      <c r="H605" s="86"/>
    </row>
    <row r="606" ht="15.75" customHeight="1">
      <c r="C606" s="85"/>
      <c r="E606" s="85"/>
      <c r="H606" s="86"/>
    </row>
    <row r="607" ht="15.75" customHeight="1">
      <c r="C607" s="85"/>
      <c r="E607" s="85"/>
      <c r="H607" s="86"/>
    </row>
    <row r="608" ht="15.75" customHeight="1">
      <c r="C608" s="85"/>
      <c r="E608" s="85"/>
      <c r="H608" s="86"/>
    </row>
    <row r="609" ht="15.75" customHeight="1">
      <c r="C609" s="85"/>
      <c r="E609" s="85"/>
      <c r="H609" s="86"/>
    </row>
    <row r="610" ht="15.75" customHeight="1">
      <c r="C610" s="85"/>
      <c r="E610" s="85"/>
      <c r="H610" s="86"/>
    </row>
    <row r="611" ht="15.75" customHeight="1">
      <c r="C611" s="85"/>
      <c r="E611" s="85"/>
      <c r="H611" s="86"/>
    </row>
    <row r="612" ht="15.75" customHeight="1">
      <c r="C612" s="85"/>
      <c r="E612" s="85"/>
      <c r="H612" s="86"/>
    </row>
    <row r="613" ht="15.75" customHeight="1">
      <c r="C613" s="85"/>
      <c r="E613" s="85"/>
      <c r="H613" s="86"/>
    </row>
    <row r="614" ht="15.75" customHeight="1">
      <c r="C614" s="85"/>
      <c r="E614" s="85"/>
      <c r="H614" s="86"/>
    </row>
    <row r="615" ht="15.75" customHeight="1">
      <c r="C615" s="85"/>
      <c r="E615" s="85"/>
      <c r="H615" s="86"/>
    </row>
    <row r="616" ht="15.75" customHeight="1">
      <c r="C616" s="85"/>
      <c r="E616" s="85"/>
      <c r="H616" s="86"/>
    </row>
    <row r="617" ht="15.75" customHeight="1">
      <c r="C617" s="85"/>
      <c r="E617" s="85"/>
      <c r="H617" s="86"/>
    </row>
    <row r="618" ht="15.75" customHeight="1">
      <c r="C618" s="85"/>
      <c r="E618" s="85"/>
      <c r="H618" s="86"/>
    </row>
    <row r="619" ht="15.75" customHeight="1">
      <c r="C619" s="85"/>
      <c r="E619" s="85"/>
      <c r="H619" s="86"/>
    </row>
    <row r="620" ht="15.75" customHeight="1">
      <c r="C620" s="85"/>
      <c r="E620" s="85"/>
      <c r="H620" s="86"/>
    </row>
    <row r="621" ht="15.75" customHeight="1">
      <c r="C621" s="85"/>
      <c r="E621" s="85"/>
      <c r="H621" s="86"/>
    </row>
    <row r="622" ht="15.75" customHeight="1">
      <c r="C622" s="85"/>
      <c r="E622" s="85"/>
      <c r="H622" s="86"/>
    </row>
    <row r="623" ht="15.75" customHeight="1">
      <c r="C623" s="85"/>
      <c r="E623" s="85"/>
      <c r="H623" s="86"/>
    </row>
    <row r="624" ht="15.75" customHeight="1">
      <c r="C624" s="85"/>
      <c r="E624" s="85"/>
      <c r="H624" s="86"/>
    </row>
    <row r="625" ht="15.75" customHeight="1">
      <c r="C625" s="85"/>
      <c r="E625" s="85"/>
      <c r="H625" s="86"/>
    </row>
    <row r="626" ht="15.75" customHeight="1">
      <c r="C626" s="85"/>
      <c r="E626" s="85"/>
      <c r="H626" s="86"/>
    </row>
    <row r="627" ht="15.75" customHeight="1">
      <c r="C627" s="85"/>
      <c r="E627" s="85"/>
      <c r="H627" s="86"/>
    </row>
    <row r="628" ht="15.75" customHeight="1">
      <c r="C628" s="85"/>
      <c r="E628" s="85"/>
      <c r="H628" s="86"/>
    </row>
    <row r="629" ht="15.75" customHeight="1">
      <c r="C629" s="85"/>
      <c r="E629" s="85"/>
      <c r="H629" s="86"/>
    </row>
    <row r="630" ht="15.75" customHeight="1">
      <c r="C630" s="85"/>
      <c r="E630" s="85"/>
      <c r="H630" s="86"/>
    </row>
    <row r="631" ht="15.75" customHeight="1">
      <c r="C631" s="85"/>
      <c r="E631" s="85"/>
      <c r="H631" s="86"/>
    </row>
    <row r="632" ht="15.75" customHeight="1">
      <c r="C632" s="85"/>
      <c r="E632" s="85"/>
      <c r="H632" s="86"/>
    </row>
    <row r="633" ht="15.75" customHeight="1">
      <c r="C633" s="85"/>
      <c r="E633" s="85"/>
      <c r="H633" s="86"/>
    </row>
    <row r="634" ht="15.75" customHeight="1">
      <c r="C634" s="85"/>
      <c r="E634" s="85"/>
      <c r="H634" s="86"/>
    </row>
    <row r="635" ht="15.75" customHeight="1">
      <c r="C635" s="85"/>
      <c r="E635" s="85"/>
      <c r="H635" s="86"/>
    </row>
    <row r="636" ht="15.75" customHeight="1">
      <c r="C636" s="85"/>
      <c r="E636" s="85"/>
      <c r="H636" s="86"/>
    </row>
    <row r="637" ht="15.75" customHeight="1">
      <c r="C637" s="85"/>
      <c r="E637" s="85"/>
      <c r="H637" s="86"/>
    </row>
    <row r="638" ht="15.75" customHeight="1">
      <c r="C638" s="85"/>
      <c r="E638" s="85"/>
      <c r="H638" s="86"/>
    </row>
    <row r="639" ht="15.75" customHeight="1">
      <c r="C639" s="85"/>
      <c r="E639" s="85"/>
      <c r="H639" s="86"/>
    </row>
    <row r="640" ht="15.75" customHeight="1">
      <c r="C640" s="85"/>
      <c r="E640" s="85"/>
      <c r="H640" s="86"/>
    </row>
    <row r="641" ht="15.75" customHeight="1">
      <c r="C641" s="85"/>
      <c r="E641" s="85"/>
      <c r="H641" s="86"/>
    </row>
    <row r="642" ht="15.75" customHeight="1">
      <c r="C642" s="85"/>
      <c r="E642" s="85"/>
      <c r="H642" s="86"/>
    </row>
    <row r="643" ht="15.75" customHeight="1">
      <c r="C643" s="85"/>
      <c r="E643" s="85"/>
      <c r="H643" s="86"/>
    </row>
    <row r="644" ht="15.75" customHeight="1">
      <c r="C644" s="85"/>
      <c r="E644" s="85"/>
      <c r="H644" s="86"/>
    </row>
    <row r="645" ht="15.75" customHeight="1">
      <c r="C645" s="85"/>
      <c r="E645" s="85"/>
      <c r="H645" s="86"/>
    </row>
    <row r="646" ht="15.75" customHeight="1">
      <c r="C646" s="85"/>
      <c r="E646" s="85"/>
      <c r="H646" s="86"/>
    </row>
    <row r="647" ht="15.75" customHeight="1">
      <c r="C647" s="85"/>
      <c r="E647" s="85"/>
      <c r="H647" s="86"/>
    </row>
    <row r="648" ht="15.75" customHeight="1">
      <c r="C648" s="85"/>
      <c r="E648" s="85"/>
      <c r="H648" s="86"/>
    </row>
    <row r="649" ht="15.75" customHeight="1">
      <c r="C649" s="85"/>
      <c r="E649" s="85"/>
      <c r="H649" s="86"/>
    </row>
    <row r="650" ht="15.75" customHeight="1">
      <c r="C650" s="85"/>
      <c r="E650" s="85"/>
      <c r="H650" s="86"/>
    </row>
    <row r="651" ht="15.75" customHeight="1">
      <c r="C651" s="85"/>
      <c r="E651" s="85"/>
      <c r="H651" s="86"/>
    </row>
    <row r="652" ht="15.75" customHeight="1">
      <c r="C652" s="85"/>
      <c r="E652" s="85"/>
      <c r="H652" s="86"/>
    </row>
    <row r="653" ht="15.75" customHeight="1">
      <c r="C653" s="85"/>
      <c r="E653" s="85"/>
      <c r="H653" s="86"/>
    </row>
    <row r="654" ht="15.75" customHeight="1">
      <c r="C654" s="85"/>
      <c r="E654" s="85"/>
      <c r="H654" s="86"/>
    </row>
    <row r="655" ht="15.75" customHeight="1">
      <c r="C655" s="85"/>
      <c r="E655" s="85"/>
      <c r="H655" s="86"/>
    </row>
    <row r="656" ht="15.75" customHeight="1">
      <c r="C656" s="85"/>
      <c r="E656" s="85"/>
      <c r="H656" s="86"/>
    </row>
    <row r="657" ht="15.75" customHeight="1">
      <c r="C657" s="85"/>
      <c r="E657" s="85"/>
      <c r="H657" s="86"/>
    </row>
    <row r="658" ht="15.75" customHeight="1">
      <c r="C658" s="85"/>
      <c r="E658" s="85"/>
      <c r="H658" s="86"/>
    </row>
    <row r="659" ht="15.75" customHeight="1">
      <c r="C659" s="85"/>
      <c r="E659" s="85"/>
      <c r="H659" s="86"/>
    </row>
    <row r="660" ht="15.75" customHeight="1">
      <c r="C660" s="85"/>
      <c r="E660" s="85"/>
      <c r="H660" s="86"/>
    </row>
    <row r="661" ht="15.75" customHeight="1">
      <c r="C661" s="85"/>
      <c r="E661" s="85"/>
      <c r="H661" s="86"/>
    </row>
    <row r="662" ht="15.75" customHeight="1">
      <c r="C662" s="85"/>
      <c r="E662" s="85"/>
      <c r="H662" s="86"/>
    </row>
    <row r="663" ht="15.75" customHeight="1">
      <c r="C663" s="85"/>
      <c r="E663" s="85"/>
      <c r="H663" s="86"/>
    </row>
    <row r="664" ht="15.75" customHeight="1">
      <c r="C664" s="85"/>
      <c r="E664" s="85"/>
      <c r="H664" s="86"/>
    </row>
    <row r="665" ht="15.75" customHeight="1">
      <c r="C665" s="85"/>
      <c r="E665" s="85"/>
      <c r="H665" s="86"/>
    </row>
    <row r="666" ht="15.75" customHeight="1">
      <c r="C666" s="85"/>
      <c r="E666" s="85"/>
      <c r="H666" s="86"/>
    </row>
    <row r="667" ht="15.75" customHeight="1">
      <c r="C667" s="85"/>
      <c r="E667" s="85"/>
      <c r="H667" s="86"/>
    </row>
    <row r="668" ht="15.75" customHeight="1">
      <c r="C668" s="85"/>
      <c r="E668" s="85"/>
      <c r="H668" s="86"/>
    </row>
    <row r="669" ht="15.75" customHeight="1">
      <c r="C669" s="85"/>
      <c r="E669" s="85"/>
      <c r="H669" s="86"/>
    </row>
    <row r="670" ht="15.75" customHeight="1">
      <c r="C670" s="85"/>
      <c r="E670" s="85"/>
      <c r="H670" s="86"/>
    </row>
    <row r="671" ht="15.75" customHeight="1">
      <c r="C671" s="85"/>
      <c r="E671" s="85"/>
      <c r="H671" s="86"/>
    </row>
    <row r="672" ht="15.75" customHeight="1">
      <c r="C672" s="85"/>
      <c r="E672" s="85"/>
      <c r="H672" s="86"/>
    </row>
    <row r="673" ht="15.75" customHeight="1">
      <c r="C673" s="85"/>
      <c r="E673" s="85"/>
      <c r="H673" s="86"/>
    </row>
    <row r="674" ht="15.75" customHeight="1">
      <c r="C674" s="85"/>
      <c r="E674" s="85"/>
      <c r="H674" s="86"/>
    </row>
    <row r="675" ht="15.75" customHeight="1">
      <c r="C675" s="85"/>
      <c r="E675" s="85"/>
      <c r="H675" s="86"/>
    </row>
    <row r="676" ht="15.75" customHeight="1">
      <c r="C676" s="85"/>
      <c r="E676" s="85"/>
      <c r="H676" s="86"/>
    </row>
    <row r="677" ht="15.75" customHeight="1">
      <c r="C677" s="85"/>
      <c r="E677" s="85"/>
      <c r="H677" s="86"/>
    </row>
    <row r="678" ht="15.75" customHeight="1">
      <c r="C678" s="85"/>
      <c r="E678" s="85"/>
      <c r="H678" s="86"/>
    </row>
    <row r="679" ht="15.75" customHeight="1">
      <c r="C679" s="85"/>
      <c r="E679" s="85"/>
      <c r="H679" s="86"/>
    </row>
    <row r="680" ht="15.75" customHeight="1">
      <c r="C680" s="85"/>
      <c r="E680" s="85"/>
      <c r="H680" s="86"/>
    </row>
    <row r="681" ht="15.75" customHeight="1">
      <c r="C681" s="85"/>
      <c r="E681" s="85"/>
      <c r="H681" s="86"/>
    </row>
    <row r="682" ht="15.75" customHeight="1">
      <c r="C682" s="85"/>
      <c r="E682" s="85"/>
      <c r="H682" s="86"/>
    </row>
    <row r="683" ht="15.75" customHeight="1">
      <c r="C683" s="85"/>
      <c r="E683" s="85"/>
      <c r="H683" s="86"/>
    </row>
    <row r="684" ht="15.75" customHeight="1">
      <c r="C684" s="85"/>
      <c r="E684" s="85"/>
      <c r="H684" s="86"/>
    </row>
    <row r="685" ht="15.75" customHeight="1">
      <c r="C685" s="85"/>
      <c r="E685" s="85"/>
      <c r="H685" s="86"/>
    </row>
    <row r="686" ht="15.75" customHeight="1">
      <c r="C686" s="85"/>
      <c r="E686" s="85"/>
      <c r="H686" s="86"/>
    </row>
    <row r="687" ht="15.75" customHeight="1">
      <c r="C687" s="85"/>
      <c r="E687" s="85"/>
      <c r="H687" s="86"/>
    </row>
    <row r="688" ht="15.75" customHeight="1">
      <c r="C688" s="85"/>
      <c r="E688" s="85"/>
      <c r="H688" s="86"/>
    </row>
    <row r="689" ht="15.75" customHeight="1">
      <c r="C689" s="85"/>
      <c r="E689" s="85"/>
      <c r="H689" s="86"/>
    </row>
    <row r="690" ht="15.75" customHeight="1">
      <c r="C690" s="85"/>
      <c r="E690" s="85"/>
      <c r="H690" s="86"/>
    </row>
    <row r="691" ht="15.75" customHeight="1">
      <c r="C691" s="85"/>
      <c r="E691" s="85"/>
      <c r="H691" s="86"/>
    </row>
    <row r="692" ht="15.75" customHeight="1">
      <c r="C692" s="85"/>
      <c r="E692" s="85"/>
      <c r="H692" s="86"/>
    </row>
    <row r="693" ht="15.75" customHeight="1">
      <c r="C693" s="85"/>
      <c r="E693" s="85"/>
      <c r="H693" s="86"/>
    </row>
    <row r="694" ht="15.75" customHeight="1">
      <c r="C694" s="85"/>
      <c r="E694" s="85"/>
      <c r="H694" s="86"/>
    </row>
    <row r="695" ht="15.75" customHeight="1">
      <c r="C695" s="85"/>
      <c r="E695" s="85"/>
      <c r="H695" s="86"/>
    </row>
    <row r="696" ht="15.75" customHeight="1">
      <c r="C696" s="85"/>
      <c r="E696" s="85"/>
      <c r="H696" s="86"/>
    </row>
    <row r="697" ht="15.75" customHeight="1">
      <c r="C697" s="85"/>
      <c r="E697" s="85"/>
      <c r="H697" s="86"/>
    </row>
    <row r="698" ht="15.75" customHeight="1">
      <c r="C698" s="85"/>
      <c r="E698" s="85"/>
      <c r="H698" s="86"/>
    </row>
    <row r="699" ht="15.75" customHeight="1">
      <c r="C699" s="85"/>
      <c r="E699" s="85"/>
      <c r="H699" s="86"/>
    </row>
    <row r="700" ht="15.75" customHeight="1">
      <c r="C700" s="85"/>
      <c r="E700" s="85"/>
      <c r="H700" s="86"/>
    </row>
    <row r="701" ht="15.75" customHeight="1">
      <c r="C701" s="85"/>
      <c r="E701" s="85"/>
      <c r="H701" s="86"/>
    </row>
    <row r="702" ht="15.75" customHeight="1">
      <c r="C702" s="85"/>
      <c r="E702" s="85"/>
      <c r="H702" s="86"/>
    </row>
    <row r="703" ht="15.75" customHeight="1">
      <c r="C703" s="85"/>
      <c r="E703" s="85"/>
      <c r="H703" s="86"/>
    </row>
    <row r="704" ht="15.75" customHeight="1">
      <c r="C704" s="85"/>
      <c r="E704" s="85"/>
      <c r="H704" s="86"/>
    </row>
    <row r="705" ht="15.75" customHeight="1">
      <c r="C705" s="85"/>
      <c r="E705" s="85"/>
      <c r="H705" s="86"/>
    </row>
    <row r="706" ht="15.75" customHeight="1">
      <c r="C706" s="85"/>
      <c r="E706" s="85"/>
      <c r="H706" s="86"/>
    </row>
    <row r="707" ht="15.75" customHeight="1">
      <c r="C707" s="85"/>
      <c r="E707" s="85"/>
      <c r="H707" s="86"/>
    </row>
    <row r="708" ht="15.75" customHeight="1">
      <c r="C708" s="85"/>
      <c r="E708" s="85"/>
      <c r="H708" s="86"/>
    </row>
    <row r="709" ht="15.75" customHeight="1">
      <c r="C709" s="85"/>
      <c r="E709" s="85"/>
      <c r="H709" s="86"/>
    </row>
    <row r="710" ht="15.75" customHeight="1">
      <c r="C710" s="85"/>
      <c r="E710" s="85"/>
      <c r="H710" s="86"/>
    </row>
    <row r="711" ht="15.75" customHeight="1">
      <c r="C711" s="85"/>
      <c r="E711" s="85"/>
      <c r="H711" s="86"/>
    </row>
    <row r="712" ht="15.75" customHeight="1">
      <c r="C712" s="85"/>
      <c r="E712" s="85"/>
      <c r="H712" s="86"/>
    </row>
    <row r="713" ht="15.75" customHeight="1">
      <c r="C713" s="85"/>
      <c r="E713" s="85"/>
      <c r="H713" s="86"/>
    </row>
    <row r="714" ht="15.75" customHeight="1">
      <c r="C714" s="85"/>
      <c r="E714" s="85"/>
      <c r="H714" s="86"/>
    </row>
    <row r="715" ht="15.75" customHeight="1">
      <c r="C715" s="85"/>
      <c r="E715" s="85"/>
      <c r="H715" s="86"/>
    </row>
    <row r="716" ht="15.75" customHeight="1">
      <c r="C716" s="85"/>
      <c r="E716" s="85"/>
      <c r="H716" s="86"/>
    </row>
    <row r="717" ht="15.75" customHeight="1">
      <c r="C717" s="85"/>
      <c r="E717" s="85"/>
      <c r="H717" s="86"/>
    </row>
    <row r="718" ht="15.75" customHeight="1">
      <c r="C718" s="85"/>
      <c r="E718" s="85"/>
      <c r="H718" s="86"/>
    </row>
    <row r="719" ht="15.75" customHeight="1">
      <c r="C719" s="85"/>
      <c r="E719" s="85"/>
      <c r="H719" s="86"/>
    </row>
    <row r="720" ht="15.75" customHeight="1">
      <c r="C720" s="85"/>
      <c r="E720" s="85"/>
      <c r="H720" s="86"/>
    </row>
    <row r="721" ht="15.75" customHeight="1">
      <c r="C721" s="85"/>
      <c r="E721" s="85"/>
      <c r="H721" s="86"/>
    </row>
    <row r="722" ht="15.75" customHeight="1">
      <c r="C722" s="85"/>
      <c r="E722" s="85"/>
      <c r="H722" s="86"/>
    </row>
    <row r="723" ht="15.75" customHeight="1">
      <c r="C723" s="85"/>
      <c r="E723" s="85"/>
      <c r="H723" s="86"/>
    </row>
    <row r="724" ht="15.75" customHeight="1">
      <c r="C724" s="85"/>
      <c r="E724" s="85"/>
      <c r="H724" s="86"/>
    </row>
    <row r="725" ht="15.75" customHeight="1">
      <c r="C725" s="85"/>
      <c r="E725" s="85"/>
      <c r="H725" s="86"/>
    </row>
    <row r="726" ht="15.75" customHeight="1">
      <c r="C726" s="85"/>
      <c r="E726" s="85"/>
      <c r="H726" s="86"/>
    </row>
    <row r="727" ht="15.75" customHeight="1">
      <c r="C727" s="85"/>
      <c r="E727" s="85"/>
      <c r="H727" s="86"/>
    </row>
    <row r="728" ht="15.75" customHeight="1">
      <c r="C728" s="85"/>
      <c r="E728" s="85"/>
      <c r="H728" s="86"/>
    </row>
    <row r="729" ht="15.75" customHeight="1">
      <c r="C729" s="85"/>
      <c r="E729" s="85"/>
      <c r="H729" s="86"/>
    </row>
    <row r="730" ht="15.75" customHeight="1">
      <c r="C730" s="85"/>
      <c r="E730" s="85"/>
      <c r="H730" s="86"/>
    </row>
    <row r="731" ht="15.75" customHeight="1">
      <c r="C731" s="85"/>
      <c r="E731" s="85"/>
      <c r="H731" s="86"/>
    </row>
    <row r="732" ht="15.75" customHeight="1">
      <c r="C732" s="85"/>
      <c r="E732" s="85"/>
      <c r="H732" s="86"/>
    </row>
    <row r="733" ht="15.75" customHeight="1">
      <c r="C733" s="85"/>
      <c r="E733" s="85"/>
      <c r="H733" s="86"/>
    </row>
    <row r="734" ht="15.75" customHeight="1">
      <c r="C734" s="85"/>
      <c r="E734" s="85"/>
      <c r="H734" s="86"/>
    </row>
    <row r="735" ht="15.75" customHeight="1">
      <c r="C735" s="85"/>
      <c r="E735" s="85"/>
      <c r="H735" s="86"/>
    </row>
    <row r="736" ht="15.75" customHeight="1">
      <c r="C736" s="85"/>
      <c r="E736" s="85"/>
      <c r="H736" s="86"/>
    </row>
    <row r="737" ht="15.75" customHeight="1">
      <c r="C737" s="85"/>
      <c r="E737" s="85"/>
      <c r="H737" s="86"/>
    </row>
    <row r="738" ht="15.75" customHeight="1">
      <c r="C738" s="85"/>
      <c r="E738" s="85"/>
      <c r="H738" s="86"/>
    </row>
    <row r="739" ht="15.75" customHeight="1">
      <c r="C739" s="85"/>
      <c r="E739" s="85"/>
      <c r="H739" s="86"/>
    </row>
    <row r="740" ht="15.75" customHeight="1">
      <c r="C740" s="85"/>
      <c r="E740" s="85"/>
      <c r="H740" s="86"/>
    </row>
    <row r="741" ht="15.75" customHeight="1">
      <c r="C741" s="85"/>
      <c r="E741" s="85"/>
      <c r="H741" s="86"/>
    </row>
    <row r="742" ht="15.75" customHeight="1">
      <c r="C742" s="85"/>
      <c r="E742" s="85"/>
      <c r="H742" s="86"/>
    </row>
    <row r="743" ht="15.75" customHeight="1">
      <c r="C743" s="85"/>
      <c r="E743" s="85"/>
      <c r="H743" s="86"/>
    </row>
    <row r="744" ht="15.75" customHeight="1">
      <c r="C744" s="85"/>
      <c r="E744" s="85"/>
      <c r="H744" s="86"/>
    </row>
    <row r="745" ht="15.75" customHeight="1">
      <c r="C745" s="85"/>
      <c r="E745" s="85"/>
      <c r="H745" s="86"/>
    </row>
    <row r="746" ht="15.75" customHeight="1">
      <c r="C746" s="85"/>
      <c r="E746" s="85"/>
      <c r="H746" s="86"/>
    </row>
    <row r="747" ht="15.75" customHeight="1">
      <c r="C747" s="85"/>
      <c r="E747" s="85"/>
      <c r="H747" s="86"/>
    </row>
    <row r="748" ht="15.75" customHeight="1">
      <c r="C748" s="85"/>
      <c r="E748" s="85"/>
      <c r="H748" s="86"/>
    </row>
    <row r="749" ht="15.75" customHeight="1">
      <c r="C749" s="85"/>
      <c r="E749" s="85"/>
      <c r="H749" s="86"/>
    </row>
    <row r="750" ht="15.75" customHeight="1">
      <c r="C750" s="85"/>
      <c r="E750" s="85"/>
      <c r="H750" s="86"/>
    </row>
    <row r="751" ht="15.75" customHeight="1">
      <c r="C751" s="85"/>
      <c r="E751" s="85"/>
      <c r="H751" s="86"/>
    </row>
    <row r="752" ht="15.75" customHeight="1">
      <c r="C752" s="85"/>
      <c r="E752" s="85"/>
      <c r="H752" s="86"/>
    </row>
    <row r="753" ht="15.75" customHeight="1">
      <c r="C753" s="85"/>
      <c r="E753" s="85"/>
      <c r="H753" s="86"/>
    </row>
    <row r="754" ht="15.75" customHeight="1">
      <c r="C754" s="85"/>
      <c r="E754" s="85"/>
      <c r="H754" s="86"/>
    </row>
    <row r="755" ht="15.75" customHeight="1">
      <c r="C755" s="85"/>
      <c r="E755" s="85"/>
      <c r="H755" s="86"/>
    </row>
    <row r="756" ht="15.75" customHeight="1">
      <c r="C756" s="85"/>
      <c r="E756" s="85"/>
      <c r="H756" s="86"/>
    </row>
    <row r="757" ht="15.75" customHeight="1">
      <c r="C757" s="85"/>
      <c r="E757" s="85"/>
      <c r="H757" s="86"/>
    </row>
    <row r="758" ht="15.75" customHeight="1">
      <c r="C758" s="85"/>
      <c r="E758" s="85"/>
      <c r="H758" s="86"/>
    </row>
    <row r="759" ht="15.75" customHeight="1">
      <c r="C759" s="85"/>
      <c r="E759" s="85"/>
      <c r="H759" s="86"/>
    </row>
    <row r="760" ht="15.75" customHeight="1">
      <c r="C760" s="85"/>
      <c r="E760" s="85"/>
      <c r="H760" s="86"/>
    </row>
    <row r="761" ht="15.75" customHeight="1">
      <c r="C761" s="85"/>
      <c r="E761" s="85"/>
      <c r="H761" s="86"/>
    </row>
    <row r="762" ht="15.75" customHeight="1">
      <c r="C762" s="85"/>
      <c r="E762" s="85"/>
      <c r="H762" s="86"/>
    </row>
    <row r="763" ht="15.75" customHeight="1">
      <c r="C763" s="85"/>
      <c r="E763" s="85"/>
      <c r="H763" s="86"/>
    </row>
    <row r="764" ht="15.75" customHeight="1">
      <c r="C764" s="85"/>
      <c r="E764" s="85"/>
      <c r="H764" s="86"/>
    </row>
    <row r="765" ht="15.75" customHeight="1">
      <c r="C765" s="85"/>
      <c r="E765" s="85"/>
      <c r="H765" s="86"/>
    </row>
    <row r="766" ht="15.75" customHeight="1">
      <c r="C766" s="85"/>
      <c r="E766" s="85"/>
      <c r="H766" s="86"/>
    </row>
    <row r="767" ht="15.75" customHeight="1">
      <c r="C767" s="85"/>
      <c r="E767" s="85"/>
      <c r="H767" s="86"/>
    </row>
    <row r="768" ht="15.75" customHeight="1">
      <c r="C768" s="85"/>
      <c r="E768" s="85"/>
      <c r="H768" s="86"/>
    </row>
    <row r="769" ht="15.75" customHeight="1">
      <c r="C769" s="85"/>
      <c r="E769" s="85"/>
      <c r="H769" s="86"/>
    </row>
    <row r="770" ht="15.75" customHeight="1">
      <c r="C770" s="85"/>
      <c r="E770" s="85"/>
      <c r="H770" s="86"/>
    </row>
    <row r="771" ht="15.75" customHeight="1">
      <c r="C771" s="85"/>
      <c r="E771" s="85"/>
      <c r="H771" s="86"/>
    </row>
    <row r="772" ht="15.75" customHeight="1">
      <c r="C772" s="85"/>
      <c r="E772" s="85"/>
      <c r="H772" s="86"/>
    </row>
    <row r="773" ht="15.75" customHeight="1">
      <c r="C773" s="85"/>
      <c r="E773" s="85"/>
      <c r="H773" s="86"/>
    </row>
    <row r="774" ht="15.75" customHeight="1">
      <c r="C774" s="85"/>
      <c r="E774" s="85"/>
      <c r="H774" s="86"/>
    </row>
    <row r="775" ht="15.75" customHeight="1">
      <c r="C775" s="85"/>
      <c r="E775" s="85"/>
      <c r="H775" s="86"/>
    </row>
    <row r="776" ht="15.75" customHeight="1">
      <c r="C776" s="85"/>
      <c r="E776" s="85"/>
      <c r="H776" s="86"/>
    </row>
    <row r="777" ht="15.75" customHeight="1">
      <c r="C777" s="85"/>
      <c r="E777" s="85"/>
      <c r="H777" s="86"/>
    </row>
    <row r="778" ht="15.75" customHeight="1">
      <c r="C778" s="85"/>
      <c r="E778" s="85"/>
      <c r="H778" s="86"/>
    </row>
    <row r="779" ht="15.75" customHeight="1">
      <c r="C779" s="85"/>
      <c r="E779" s="85"/>
      <c r="H779" s="86"/>
    </row>
    <row r="780" ht="15.75" customHeight="1">
      <c r="C780" s="85"/>
      <c r="E780" s="85"/>
      <c r="H780" s="86"/>
    </row>
    <row r="781" ht="15.75" customHeight="1">
      <c r="C781" s="85"/>
      <c r="E781" s="85"/>
      <c r="H781" s="86"/>
    </row>
    <row r="782" ht="15.75" customHeight="1">
      <c r="C782" s="85"/>
      <c r="E782" s="85"/>
      <c r="H782" s="86"/>
    </row>
    <row r="783" ht="15.75" customHeight="1">
      <c r="C783" s="85"/>
      <c r="E783" s="85"/>
      <c r="H783" s="86"/>
    </row>
    <row r="784" ht="15.75" customHeight="1">
      <c r="C784" s="85"/>
      <c r="E784" s="85"/>
      <c r="H784" s="86"/>
    </row>
    <row r="785" ht="15.75" customHeight="1">
      <c r="C785" s="85"/>
      <c r="E785" s="85"/>
      <c r="H785" s="86"/>
    </row>
    <row r="786" ht="15.75" customHeight="1">
      <c r="C786" s="85"/>
      <c r="E786" s="85"/>
      <c r="H786" s="86"/>
    </row>
    <row r="787" ht="15.75" customHeight="1">
      <c r="C787" s="85"/>
      <c r="E787" s="85"/>
      <c r="H787" s="86"/>
    </row>
    <row r="788" ht="15.75" customHeight="1">
      <c r="C788" s="85"/>
      <c r="E788" s="85"/>
      <c r="H788" s="86"/>
    </row>
    <row r="789" ht="15.75" customHeight="1">
      <c r="C789" s="85"/>
      <c r="E789" s="85"/>
      <c r="H789" s="86"/>
    </row>
    <row r="790" ht="15.75" customHeight="1">
      <c r="C790" s="85"/>
      <c r="E790" s="85"/>
      <c r="H790" s="86"/>
    </row>
    <row r="791" ht="15.75" customHeight="1">
      <c r="C791" s="85"/>
      <c r="E791" s="85"/>
      <c r="H791" s="86"/>
    </row>
    <row r="792" ht="15.75" customHeight="1">
      <c r="C792" s="85"/>
      <c r="E792" s="85"/>
      <c r="H792" s="86"/>
    </row>
    <row r="793" ht="15.75" customHeight="1">
      <c r="C793" s="85"/>
      <c r="E793" s="85"/>
      <c r="H793" s="86"/>
    </row>
    <row r="794" ht="15.75" customHeight="1">
      <c r="C794" s="85"/>
      <c r="E794" s="85"/>
      <c r="H794" s="86"/>
    </row>
    <row r="795" ht="15.75" customHeight="1">
      <c r="C795" s="85"/>
      <c r="E795" s="85"/>
      <c r="H795" s="86"/>
    </row>
    <row r="796" ht="15.75" customHeight="1">
      <c r="C796" s="85"/>
      <c r="E796" s="85"/>
      <c r="H796" s="86"/>
    </row>
    <row r="797" ht="15.75" customHeight="1">
      <c r="C797" s="85"/>
      <c r="E797" s="85"/>
      <c r="H797" s="86"/>
    </row>
    <row r="798" ht="15.75" customHeight="1">
      <c r="C798" s="85"/>
      <c r="E798" s="85"/>
      <c r="H798" s="86"/>
    </row>
    <row r="799" ht="15.75" customHeight="1">
      <c r="C799" s="85"/>
      <c r="E799" s="85"/>
      <c r="H799" s="86"/>
    </row>
    <row r="800" ht="15.75" customHeight="1">
      <c r="C800" s="85"/>
      <c r="E800" s="85"/>
      <c r="H800" s="86"/>
    </row>
    <row r="801" ht="15.75" customHeight="1">
      <c r="C801" s="85"/>
      <c r="E801" s="85"/>
      <c r="H801" s="86"/>
    </row>
    <row r="802" ht="15.75" customHeight="1">
      <c r="C802" s="85"/>
      <c r="E802" s="85"/>
      <c r="H802" s="86"/>
    </row>
    <row r="803" ht="15.75" customHeight="1">
      <c r="C803" s="85"/>
      <c r="E803" s="85"/>
      <c r="H803" s="86"/>
    </row>
    <row r="804" ht="15.75" customHeight="1">
      <c r="C804" s="85"/>
      <c r="E804" s="85"/>
      <c r="H804" s="86"/>
    </row>
    <row r="805" ht="15.75" customHeight="1">
      <c r="C805" s="85"/>
      <c r="E805" s="85"/>
      <c r="H805" s="86"/>
    </row>
    <row r="806" ht="15.75" customHeight="1">
      <c r="C806" s="85"/>
      <c r="E806" s="85"/>
      <c r="H806" s="86"/>
    </row>
    <row r="807" ht="15.75" customHeight="1">
      <c r="C807" s="85"/>
      <c r="E807" s="85"/>
      <c r="H807" s="86"/>
    </row>
    <row r="808" ht="15.75" customHeight="1">
      <c r="C808" s="85"/>
      <c r="E808" s="85"/>
      <c r="H808" s="86"/>
    </row>
    <row r="809" ht="15.75" customHeight="1">
      <c r="C809" s="85"/>
      <c r="E809" s="85"/>
      <c r="H809" s="86"/>
    </row>
    <row r="810" ht="15.75" customHeight="1">
      <c r="C810" s="85"/>
      <c r="E810" s="85"/>
      <c r="H810" s="86"/>
    </row>
    <row r="811" ht="15.75" customHeight="1">
      <c r="C811" s="85"/>
      <c r="E811" s="85"/>
      <c r="H811" s="86"/>
    </row>
    <row r="812" ht="15.75" customHeight="1">
      <c r="C812" s="85"/>
      <c r="E812" s="85"/>
      <c r="H812" s="86"/>
    </row>
    <row r="813" ht="15.75" customHeight="1">
      <c r="C813" s="85"/>
      <c r="E813" s="85"/>
      <c r="H813" s="86"/>
    </row>
    <row r="814" ht="15.75" customHeight="1">
      <c r="C814" s="85"/>
      <c r="E814" s="85"/>
      <c r="H814" s="86"/>
    </row>
    <row r="815" ht="15.75" customHeight="1">
      <c r="C815" s="85"/>
      <c r="E815" s="85"/>
      <c r="H815" s="86"/>
    </row>
    <row r="816" ht="15.75" customHeight="1">
      <c r="C816" s="85"/>
      <c r="E816" s="85"/>
      <c r="H816" s="86"/>
    </row>
    <row r="817" ht="15.75" customHeight="1">
      <c r="C817" s="85"/>
      <c r="E817" s="85"/>
      <c r="H817" s="86"/>
    </row>
    <row r="818" ht="15.75" customHeight="1">
      <c r="C818" s="85"/>
      <c r="E818" s="85"/>
      <c r="H818" s="86"/>
    </row>
    <row r="819" ht="15.75" customHeight="1">
      <c r="C819" s="85"/>
      <c r="E819" s="85"/>
      <c r="H819" s="86"/>
    </row>
    <row r="820" ht="15.75" customHeight="1">
      <c r="C820" s="85"/>
      <c r="E820" s="85"/>
      <c r="H820" s="86"/>
    </row>
    <row r="821" ht="15.75" customHeight="1">
      <c r="C821" s="85"/>
      <c r="E821" s="85"/>
      <c r="H821" s="86"/>
    </row>
    <row r="822" ht="15.75" customHeight="1">
      <c r="C822" s="85"/>
      <c r="E822" s="85"/>
      <c r="H822" s="86"/>
    </row>
    <row r="823" ht="15.75" customHeight="1">
      <c r="C823" s="85"/>
      <c r="E823" s="85"/>
      <c r="H823" s="86"/>
    </row>
    <row r="824" ht="15.75" customHeight="1">
      <c r="C824" s="85"/>
      <c r="E824" s="85"/>
      <c r="H824" s="86"/>
    </row>
    <row r="825" ht="15.75" customHeight="1">
      <c r="C825" s="85"/>
      <c r="E825" s="85"/>
      <c r="H825" s="86"/>
    </row>
    <row r="826" ht="15.75" customHeight="1">
      <c r="C826" s="85"/>
      <c r="E826" s="85"/>
      <c r="H826" s="86"/>
    </row>
    <row r="827" ht="15.75" customHeight="1">
      <c r="C827" s="85"/>
      <c r="E827" s="85"/>
      <c r="H827" s="86"/>
    </row>
    <row r="828" ht="15.75" customHeight="1">
      <c r="C828" s="85"/>
      <c r="E828" s="85"/>
      <c r="H828" s="86"/>
    </row>
    <row r="829" ht="15.75" customHeight="1">
      <c r="C829" s="85"/>
      <c r="E829" s="85"/>
      <c r="H829" s="86"/>
    </row>
    <row r="830" ht="15.75" customHeight="1">
      <c r="C830" s="85"/>
      <c r="E830" s="85"/>
      <c r="H830" s="86"/>
    </row>
    <row r="831" ht="15.75" customHeight="1">
      <c r="C831" s="85"/>
      <c r="E831" s="85"/>
      <c r="H831" s="86"/>
    </row>
    <row r="832" ht="15.75" customHeight="1">
      <c r="C832" s="85"/>
      <c r="E832" s="85"/>
      <c r="H832" s="86"/>
    </row>
    <row r="833" ht="15.75" customHeight="1">
      <c r="C833" s="85"/>
      <c r="E833" s="85"/>
      <c r="H833" s="86"/>
    </row>
    <row r="834" ht="15.75" customHeight="1">
      <c r="C834" s="85"/>
      <c r="E834" s="85"/>
      <c r="H834" s="86"/>
    </row>
    <row r="835" ht="15.75" customHeight="1">
      <c r="C835" s="85"/>
      <c r="E835" s="85"/>
      <c r="H835" s="86"/>
    </row>
    <row r="836" ht="15.75" customHeight="1">
      <c r="C836" s="85"/>
      <c r="E836" s="85"/>
      <c r="H836" s="86"/>
    </row>
    <row r="837" ht="15.75" customHeight="1">
      <c r="C837" s="85"/>
      <c r="E837" s="85"/>
      <c r="H837" s="86"/>
    </row>
    <row r="838" ht="15.75" customHeight="1">
      <c r="C838" s="85"/>
      <c r="E838" s="85"/>
      <c r="H838" s="86"/>
    </row>
    <row r="839" ht="15.75" customHeight="1">
      <c r="C839" s="85"/>
      <c r="E839" s="85"/>
      <c r="H839" s="86"/>
    </row>
    <row r="840" ht="15.75" customHeight="1">
      <c r="C840" s="85"/>
      <c r="E840" s="85"/>
      <c r="H840" s="86"/>
    </row>
    <row r="841" ht="15.75" customHeight="1">
      <c r="C841" s="85"/>
      <c r="E841" s="85"/>
      <c r="H841" s="86"/>
    </row>
    <row r="842" ht="15.75" customHeight="1">
      <c r="C842" s="85"/>
      <c r="E842" s="85"/>
      <c r="H842" s="86"/>
    </row>
    <row r="843" ht="15.75" customHeight="1">
      <c r="C843" s="85"/>
      <c r="E843" s="85"/>
      <c r="H843" s="86"/>
    </row>
    <row r="844" ht="15.75" customHeight="1">
      <c r="C844" s="85"/>
      <c r="E844" s="85"/>
      <c r="H844" s="86"/>
    </row>
    <row r="845" ht="15.75" customHeight="1">
      <c r="C845" s="85"/>
      <c r="E845" s="85"/>
      <c r="H845" s="86"/>
    </row>
    <row r="846" ht="15.75" customHeight="1">
      <c r="C846" s="85"/>
      <c r="E846" s="85"/>
      <c r="H846" s="86"/>
    </row>
    <row r="847" ht="15.75" customHeight="1">
      <c r="C847" s="85"/>
      <c r="E847" s="85"/>
      <c r="H847" s="86"/>
    </row>
    <row r="848" ht="15.75" customHeight="1">
      <c r="C848" s="85"/>
      <c r="E848" s="85"/>
      <c r="H848" s="86"/>
    </row>
    <row r="849" ht="15.75" customHeight="1">
      <c r="C849" s="85"/>
      <c r="E849" s="85"/>
      <c r="H849" s="86"/>
    </row>
    <row r="850" ht="15.75" customHeight="1">
      <c r="C850" s="85"/>
      <c r="E850" s="85"/>
      <c r="H850" s="86"/>
    </row>
    <row r="851" ht="15.75" customHeight="1">
      <c r="C851" s="85"/>
      <c r="E851" s="85"/>
      <c r="H851" s="86"/>
    </row>
    <row r="852" ht="15.75" customHeight="1">
      <c r="C852" s="85"/>
      <c r="E852" s="85"/>
      <c r="H852" s="86"/>
    </row>
    <row r="853" ht="15.75" customHeight="1">
      <c r="C853" s="85"/>
      <c r="E853" s="85"/>
      <c r="H853" s="86"/>
    </row>
    <row r="854" ht="15.75" customHeight="1">
      <c r="C854" s="85"/>
      <c r="E854" s="85"/>
      <c r="H854" s="86"/>
    </row>
    <row r="855" ht="15.75" customHeight="1">
      <c r="C855" s="85"/>
      <c r="E855" s="85"/>
      <c r="H855" s="86"/>
    </row>
    <row r="856" ht="15.75" customHeight="1">
      <c r="C856" s="85"/>
      <c r="E856" s="85"/>
      <c r="H856" s="86"/>
    </row>
    <row r="857" ht="15.75" customHeight="1">
      <c r="C857" s="85"/>
      <c r="E857" s="85"/>
      <c r="H857" s="86"/>
    </row>
    <row r="858" ht="15.75" customHeight="1">
      <c r="C858" s="85"/>
      <c r="E858" s="85"/>
      <c r="H858" s="86"/>
    </row>
    <row r="859" ht="15.75" customHeight="1">
      <c r="C859" s="85"/>
      <c r="E859" s="85"/>
      <c r="H859" s="86"/>
    </row>
    <row r="860" ht="15.75" customHeight="1">
      <c r="C860" s="85"/>
      <c r="E860" s="85"/>
      <c r="H860" s="86"/>
    </row>
    <row r="861" ht="15.75" customHeight="1">
      <c r="C861" s="85"/>
      <c r="E861" s="85"/>
      <c r="H861" s="86"/>
    </row>
    <row r="862" ht="15.75" customHeight="1">
      <c r="C862" s="85"/>
      <c r="E862" s="85"/>
      <c r="H862" s="86"/>
    </row>
    <row r="863" ht="15.75" customHeight="1">
      <c r="C863" s="85"/>
      <c r="E863" s="85"/>
      <c r="H863" s="86"/>
    </row>
    <row r="864" ht="15.75" customHeight="1">
      <c r="C864" s="85"/>
      <c r="E864" s="85"/>
      <c r="H864" s="86"/>
    </row>
    <row r="865" ht="15.75" customHeight="1">
      <c r="C865" s="85"/>
      <c r="E865" s="85"/>
      <c r="H865" s="86"/>
    </row>
    <row r="866" ht="15.75" customHeight="1">
      <c r="C866" s="85"/>
      <c r="E866" s="85"/>
      <c r="H866" s="86"/>
    </row>
    <row r="867" ht="15.75" customHeight="1">
      <c r="C867" s="85"/>
      <c r="E867" s="85"/>
      <c r="H867" s="86"/>
    </row>
    <row r="868" ht="15.75" customHeight="1">
      <c r="C868" s="85"/>
      <c r="E868" s="85"/>
      <c r="H868" s="86"/>
    </row>
    <row r="869" ht="15.75" customHeight="1">
      <c r="C869" s="85"/>
      <c r="E869" s="85"/>
      <c r="H869" s="86"/>
    </row>
    <row r="870" ht="15.75" customHeight="1">
      <c r="C870" s="85"/>
      <c r="E870" s="85"/>
      <c r="H870" s="86"/>
    </row>
    <row r="871" ht="15.75" customHeight="1">
      <c r="C871" s="85"/>
      <c r="E871" s="85"/>
      <c r="H871" s="86"/>
    </row>
    <row r="872" ht="15.75" customHeight="1">
      <c r="C872" s="85"/>
      <c r="E872" s="85"/>
      <c r="H872" s="86"/>
    </row>
    <row r="873" ht="15.75" customHeight="1">
      <c r="C873" s="85"/>
      <c r="E873" s="85"/>
      <c r="H873" s="86"/>
    </row>
    <row r="874" ht="15.75" customHeight="1">
      <c r="C874" s="85"/>
      <c r="E874" s="85"/>
      <c r="H874" s="86"/>
    </row>
    <row r="875" ht="15.75" customHeight="1">
      <c r="C875" s="85"/>
      <c r="E875" s="85"/>
      <c r="H875" s="86"/>
    </row>
    <row r="876" ht="15.75" customHeight="1">
      <c r="C876" s="85"/>
      <c r="E876" s="85"/>
      <c r="H876" s="86"/>
    </row>
    <row r="877" ht="15.75" customHeight="1">
      <c r="C877" s="85"/>
      <c r="E877" s="85"/>
      <c r="H877" s="86"/>
    </row>
    <row r="878" ht="15.75" customHeight="1">
      <c r="C878" s="85"/>
      <c r="E878" s="85"/>
      <c r="H878" s="86"/>
    </row>
    <row r="879" ht="15.75" customHeight="1">
      <c r="C879" s="85"/>
      <c r="E879" s="85"/>
      <c r="H879" s="86"/>
    </row>
    <row r="880" ht="15.75" customHeight="1">
      <c r="C880" s="85"/>
      <c r="E880" s="85"/>
      <c r="H880" s="86"/>
    </row>
    <row r="881" ht="15.75" customHeight="1">
      <c r="C881" s="85"/>
      <c r="E881" s="85"/>
      <c r="H881" s="86"/>
    </row>
    <row r="882" ht="15.75" customHeight="1">
      <c r="C882" s="85"/>
      <c r="E882" s="85"/>
      <c r="H882" s="86"/>
    </row>
    <row r="883" ht="15.75" customHeight="1">
      <c r="C883" s="85"/>
      <c r="E883" s="85"/>
      <c r="H883" s="86"/>
    </row>
    <row r="884" ht="15.75" customHeight="1">
      <c r="C884" s="85"/>
      <c r="E884" s="85"/>
      <c r="H884" s="86"/>
    </row>
    <row r="885" ht="15.75" customHeight="1">
      <c r="C885" s="85"/>
      <c r="E885" s="85"/>
      <c r="H885" s="86"/>
    </row>
    <row r="886" ht="15.75" customHeight="1">
      <c r="C886" s="85"/>
      <c r="E886" s="85"/>
      <c r="H886" s="86"/>
    </row>
    <row r="887" ht="15.75" customHeight="1">
      <c r="C887" s="85"/>
      <c r="E887" s="85"/>
      <c r="H887" s="86"/>
    </row>
    <row r="888" ht="15.75" customHeight="1">
      <c r="C888" s="85"/>
      <c r="E888" s="85"/>
      <c r="H888" s="86"/>
    </row>
    <row r="889" ht="15.75" customHeight="1">
      <c r="C889" s="85"/>
      <c r="E889" s="85"/>
      <c r="H889" s="86"/>
    </row>
    <row r="890" ht="15.75" customHeight="1">
      <c r="C890" s="85"/>
      <c r="E890" s="85"/>
      <c r="H890" s="86"/>
    </row>
    <row r="891" ht="15.75" customHeight="1">
      <c r="C891" s="85"/>
      <c r="E891" s="85"/>
      <c r="H891" s="86"/>
    </row>
    <row r="892" ht="15.75" customHeight="1">
      <c r="C892" s="85"/>
      <c r="E892" s="85"/>
      <c r="H892" s="86"/>
    </row>
    <row r="893" ht="15.75" customHeight="1">
      <c r="C893" s="85"/>
      <c r="E893" s="85"/>
      <c r="H893" s="86"/>
    </row>
    <row r="894" ht="15.75" customHeight="1">
      <c r="C894" s="85"/>
      <c r="E894" s="85"/>
      <c r="H894" s="86"/>
    </row>
    <row r="895" ht="15.75" customHeight="1">
      <c r="C895" s="85"/>
      <c r="E895" s="85"/>
      <c r="H895" s="86"/>
    </row>
    <row r="896" ht="15.75" customHeight="1">
      <c r="C896" s="85"/>
      <c r="E896" s="85"/>
      <c r="H896" s="86"/>
    </row>
    <row r="897" ht="15.75" customHeight="1">
      <c r="C897" s="85"/>
      <c r="E897" s="85"/>
      <c r="H897" s="86"/>
    </row>
    <row r="898" ht="15.75" customHeight="1">
      <c r="C898" s="85"/>
      <c r="E898" s="85"/>
      <c r="H898" s="86"/>
    </row>
    <row r="899" ht="15.75" customHeight="1">
      <c r="C899" s="85"/>
      <c r="E899" s="85"/>
      <c r="H899" s="86"/>
    </row>
    <row r="900" ht="15.75" customHeight="1">
      <c r="C900" s="85"/>
      <c r="E900" s="85"/>
      <c r="H900" s="86"/>
    </row>
    <row r="901" ht="15.75" customHeight="1">
      <c r="C901" s="85"/>
      <c r="E901" s="85"/>
      <c r="H901" s="86"/>
    </row>
    <row r="902" ht="15.75" customHeight="1">
      <c r="C902" s="85"/>
      <c r="E902" s="85"/>
      <c r="H902" s="86"/>
    </row>
    <row r="903" ht="15.75" customHeight="1">
      <c r="C903" s="85"/>
      <c r="E903" s="85"/>
      <c r="H903" s="86"/>
    </row>
    <row r="904" ht="15.75" customHeight="1">
      <c r="C904" s="85"/>
      <c r="E904" s="85"/>
      <c r="H904" s="86"/>
    </row>
    <row r="905" ht="15.75" customHeight="1">
      <c r="C905" s="85"/>
      <c r="E905" s="85"/>
      <c r="H905" s="86"/>
    </row>
    <row r="906" ht="15.75" customHeight="1">
      <c r="C906" s="85"/>
      <c r="E906" s="85"/>
      <c r="H906" s="86"/>
    </row>
    <row r="907" ht="15.75" customHeight="1">
      <c r="C907" s="85"/>
      <c r="E907" s="85"/>
      <c r="H907" s="86"/>
    </row>
    <row r="908" ht="15.75" customHeight="1">
      <c r="C908" s="85"/>
      <c r="E908" s="85"/>
      <c r="H908" s="86"/>
    </row>
    <row r="909" ht="15.75" customHeight="1">
      <c r="C909" s="85"/>
      <c r="E909" s="85"/>
      <c r="H909" s="86"/>
    </row>
    <row r="910" ht="15.75" customHeight="1">
      <c r="C910" s="85"/>
      <c r="E910" s="85"/>
      <c r="H910" s="86"/>
    </row>
    <row r="911" ht="15.75" customHeight="1">
      <c r="C911" s="85"/>
      <c r="E911" s="85"/>
      <c r="H911" s="86"/>
    </row>
    <row r="912" ht="15.75" customHeight="1">
      <c r="C912" s="85"/>
      <c r="E912" s="85"/>
      <c r="H912" s="86"/>
    </row>
    <row r="913" ht="15.75" customHeight="1">
      <c r="C913" s="85"/>
      <c r="E913" s="85"/>
      <c r="H913" s="86"/>
    </row>
    <row r="914" ht="15.75" customHeight="1">
      <c r="C914" s="85"/>
      <c r="E914" s="85"/>
      <c r="H914" s="86"/>
    </row>
    <row r="915" ht="15.75" customHeight="1">
      <c r="C915" s="85"/>
      <c r="E915" s="85"/>
      <c r="H915" s="86"/>
    </row>
    <row r="916" ht="15.75" customHeight="1">
      <c r="C916" s="85"/>
      <c r="E916" s="85"/>
      <c r="H916" s="86"/>
    </row>
    <row r="917" ht="15.75" customHeight="1">
      <c r="C917" s="85"/>
      <c r="E917" s="85"/>
      <c r="H917" s="86"/>
    </row>
    <row r="918" ht="15.75" customHeight="1">
      <c r="C918" s="85"/>
      <c r="E918" s="85"/>
      <c r="H918" s="86"/>
    </row>
    <row r="919" ht="15.75" customHeight="1">
      <c r="C919" s="85"/>
      <c r="E919" s="85"/>
      <c r="H919" s="86"/>
    </row>
    <row r="920" ht="15.75" customHeight="1">
      <c r="C920" s="85"/>
      <c r="E920" s="85"/>
      <c r="H920" s="86"/>
    </row>
    <row r="921" ht="15.75" customHeight="1">
      <c r="C921" s="85"/>
      <c r="E921" s="85"/>
      <c r="H921" s="86"/>
    </row>
    <row r="922" ht="15.75" customHeight="1">
      <c r="C922" s="85"/>
      <c r="E922" s="85"/>
      <c r="H922" s="86"/>
    </row>
    <row r="923" ht="15.75" customHeight="1">
      <c r="C923" s="85"/>
      <c r="E923" s="85"/>
      <c r="H923" s="86"/>
    </row>
    <row r="924" ht="15.75" customHeight="1">
      <c r="C924" s="85"/>
      <c r="E924" s="85"/>
      <c r="H924" s="86"/>
    </row>
    <row r="925" ht="15.75" customHeight="1">
      <c r="C925" s="85"/>
      <c r="E925" s="85"/>
      <c r="H925" s="86"/>
    </row>
    <row r="926" ht="15.75" customHeight="1">
      <c r="C926" s="85"/>
      <c r="E926" s="85"/>
      <c r="H926" s="86"/>
    </row>
    <row r="927" ht="15.75" customHeight="1">
      <c r="C927" s="85"/>
      <c r="E927" s="85"/>
      <c r="H927" s="86"/>
    </row>
    <row r="928" ht="15.75" customHeight="1">
      <c r="C928" s="85"/>
      <c r="E928" s="85"/>
      <c r="H928" s="86"/>
    </row>
    <row r="929" ht="15.75" customHeight="1">
      <c r="C929" s="85"/>
      <c r="E929" s="85"/>
      <c r="H929" s="86"/>
    </row>
    <row r="930" ht="15.75" customHeight="1">
      <c r="C930" s="85"/>
      <c r="E930" s="85"/>
      <c r="H930" s="86"/>
    </row>
    <row r="931" ht="15.75" customHeight="1">
      <c r="C931" s="85"/>
      <c r="E931" s="85"/>
      <c r="H931" s="86"/>
    </row>
    <row r="932" ht="15.75" customHeight="1">
      <c r="C932" s="85"/>
      <c r="E932" s="85"/>
      <c r="H932" s="86"/>
    </row>
    <row r="933" ht="15.75" customHeight="1">
      <c r="C933" s="85"/>
      <c r="E933" s="85"/>
      <c r="H933" s="86"/>
    </row>
    <row r="934" ht="15.75" customHeight="1">
      <c r="C934" s="85"/>
      <c r="E934" s="85"/>
      <c r="H934" s="86"/>
    </row>
    <row r="935" ht="15.75" customHeight="1">
      <c r="C935" s="85"/>
      <c r="E935" s="85"/>
      <c r="H935" s="86"/>
    </row>
    <row r="936" ht="15.75" customHeight="1">
      <c r="C936" s="85"/>
      <c r="E936" s="85"/>
      <c r="H936" s="86"/>
    </row>
    <row r="937" ht="15.75" customHeight="1">
      <c r="C937" s="85"/>
      <c r="E937" s="85"/>
      <c r="H937" s="86"/>
    </row>
    <row r="938" ht="15.75" customHeight="1">
      <c r="C938" s="85"/>
      <c r="E938" s="85"/>
      <c r="H938" s="86"/>
    </row>
    <row r="939" ht="15.75" customHeight="1">
      <c r="C939" s="85"/>
      <c r="E939" s="85"/>
      <c r="H939" s="86"/>
    </row>
    <row r="940" ht="15.75" customHeight="1">
      <c r="C940" s="85"/>
      <c r="E940" s="85"/>
      <c r="H940" s="86"/>
    </row>
    <row r="941" ht="15.75" customHeight="1">
      <c r="C941" s="85"/>
      <c r="E941" s="85"/>
      <c r="H941" s="86"/>
    </row>
    <row r="942" ht="15.75" customHeight="1">
      <c r="C942" s="85"/>
      <c r="E942" s="85"/>
      <c r="H942" s="86"/>
    </row>
    <row r="943" ht="15.75" customHeight="1">
      <c r="C943" s="85"/>
      <c r="E943" s="85"/>
      <c r="H943" s="86"/>
    </row>
    <row r="944" ht="15.75" customHeight="1">
      <c r="C944" s="85"/>
      <c r="E944" s="85"/>
      <c r="H944" s="86"/>
    </row>
    <row r="945" ht="15.75" customHeight="1">
      <c r="C945" s="85"/>
      <c r="E945" s="85"/>
      <c r="H945" s="86"/>
    </row>
    <row r="946" ht="15.75" customHeight="1">
      <c r="C946" s="85"/>
      <c r="E946" s="85"/>
      <c r="H946" s="86"/>
    </row>
    <row r="947" ht="15.75" customHeight="1">
      <c r="C947" s="85"/>
      <c r="E947" s="85"/>
      <c r="H947" s="86"/>
    </row>
    <row r="948" ht="15.75" customHeight="1">
      <c r="C948" s="85"/>
      <c r="E948" s="85"/>
      <c r="H948" s="86"/>
    </row>
    <row r="949" ht="15.75" customHeight="1">
      <c r="C949" s="85"/>
      <c r="E949" s="85"/>
      <c r="H949" s="86"/>
    </row>
    <row r="950" ht="15.75" customHeight="1">
      <c r="C950" s="85"/>
      <c r="E950" s="85"/>
      <c r="H950" s="86"/>
    </row>
    <row r="951" ht="15.75" customHeight="1">
      <c r="C951" s="85"/>
      <c r="E951" s="85"/>
      <c r="H951" s="86"/>
    </row>
    <row r="952" ht="15.75" customHeight="1">
      <c r="C952" s="85"/>
      <c r="E952" s="85"/>
      <c r="H952" s="86"/>
    </row>
    <row r="953" ht="15.75" customHeight="1">
      <c r="C953" s="85"/>
      <c r="E953" s="85"/>
      <c r="H953" s="86"/>
    </row>
    <row r="954" ht="15.75" customHeight="1">
      <c r="C954" s="85"/>
      <c r="E954" s="85"/>
      <c r="H954" s="86"/>
    </row>
    <row r="955" ht="15.75" customHeight="1">
      <c r="C955" s="85"/>
      <c r="E955" s="85"/>
      <c r="H955" s="86"/>
    </row>
    <row r="956" ht="15.75" customHeight="1">
      <c r="C956" s="85"/>
      <c r="E956" s="85"/>
      <c r="H956" s="86"/>
    </row>
    <row r="957" ht="15.75" customHeight="1">
      <c r="C957" s="85"/>
      <c r="E957" s="85"/>
      <c r="H957" s="86"/>
    </row>
    <row r="958" ht="15.75" customHeight="1">
      <c r="C958" s="85"/>
      <c r="E958" s="85"/>
      <c r="H958" s="86"/>
    </row>
    <row r="959" ht="15.75" customHeight="1">
      <c r="C959" s="85"/>
      <c r="E959" s="85"/>
      <c r="H959" s="86"/>
    </row>
    <row r="960" ht="15.75" customHeight="1">
      <c r="C960" s="85"/>
      <c r="E960" s="85"/>
      <c r="H960" s="86"/>
    </row>
    <row r="961" ht="15.75" customHeight="1">
      <c r="C961" s="85"/>
      <c r="E961" s="85"/>
      <c r="H961" s="86"/>
    </row>
    <row r="962" ht="15.75" customHeight="1">
      <c r="C962" s="85"/>
      <c r="E962" s="85"/>
      <c r="H962" s="86"/>
    </row>
    <row r="963" ht="15.75" customHeight="1">
      <c r="C963" s="85"/>
      <c r="E963" s="85"/>
      <c r="H963" s="86"/>
    </row>
    <row r="964" ht="15.75" customHeight="1">
      <c r="C964" s="85"/>
      <c r="E964" s="85"/>
      <c r="H964" s="86"/>
    </row>
    <row r="965" ht="15.75" customHeight="1">
      <c r="C965" s="85"/>
      <c r="E965" s="85"/>
      <c r="H965" s="86"/>
    </row>
    <row r="966" ht="15.75" customHeight="1">
      <c r="C966" s="85"/>
      <c r="E966" s="85"/>
      <c r="H966" s="86"/>
    </row>
    <row r="967" ht="15.75" customHeight="1">
      <c r="C967" s="85"/>
      <c r="E967" s="85"/>
      <c r="H967" s="86"/>
    </row>
    <row r="968" ht="15.75" customHeight="1">
      <c r="C968" s="85"/>
      <c r="E968" s="85"/>
      <c r="H968" s="86"/>
    </row>
    <row r="969" ht="15.75" customHeight="1">
      <c r="C969" s="85"/>
      <c r="E969" s="85"/>
      <c r="H969" s="86"/>
    </row>
    <row r="970" ht="15.75" customHeight="1">
      <c r="C970" s="85"/>
      <c r="E970" s="85"/>
      <c r="H970" s="86"/>
    </row>
    <row r="971" ht="15.75" customHeight="1">
      <c r="C971" s="85"/>
      <c r="E971" s="85"/>
      <c r="H971" s="86"/>
    </row>
    <row r="972" ht="15.75" customHeight="1">
      <c r="C972" s="85"/>
      <c r="E972" s="85"/>
      <c r="H972" s="86"/>
    </row>
    <row r="973" ht="15.75" customHeight="1">
      <c r="C973" s="85"/>
      <c r="E973" s="85"/>
      <c r="H973" s="86"/>
    </row>
    <row r="974" ht="15.75" customHeight="1">
      <c r="C974" s="85"/>
      <c r="E974" s="85"/>
      <c r="H974" s="86"/>
    </row>
    <row r="975" ht="15.75" customHeight="1">
      <c r="C975" s="85"/>
      <c r="E975" s="85"/>
      <c r="H975" s="86"/>
    </row>
    <row r="976" ht="15.75" customHeight="1">
      <c r="C976" s="85"/>
      <c r="E976" s="85"/>
      <c r="H976" s="86"/>
    </row>
    <row r="977" ht="15.75" customHeight="1">
      <c r="C977" s="85"/>
      <c r="E977" s="85"/>
      <c r="H977" s="86"/>
    </row>
    <row r="978" ht="15.75" customHeight="1">
      <c r="C978" s="85"/>
      <c r="E978" s="85"/>
      <c r="H978" s="86"/>
    </row>
    <row r="979" ht="15.75" customHeight="1">
      <c r="C979" s="85"/>
      <c r="E979" s="85"/>
      <c r="H979" s="86"/>
    </row>
    <row r="980" ht="15.75" customHeight="1">
      <c r="C980" s="85"/>
      <c r="E980" s="85"/>
      <c r="H980" s="86"/>
    </row>
    <row r="981" ht="15.75" customHeight="1">
      <c r="C981" s="85"/>
      <c r="E981" s="85"/>
      <c r="H981" s="86"/>
    </row>
    <row r="982" ht="15.75" customHeight="1">
      <c r="C982" s="85"/>
      <c r="E982" s="85"/>
      <c r="H982" s="86"/>
    </row>
    <row r="983" ht="15.75" customHeight="1">
      <c r="C983" s="85"/>
      <c r="E983" s="85"/>
      <c r="H983" s="86"/>
    </row>
    <row r="984" ht="15.75" customHeight="1">
      <c r="C984" s="85"/>
      <c r="E984" s="85"/>
      <c r="H984" s="86"/>
    </row>
    <row r="985" ht="15.75" customHeight="1">
      <c r="C985" s="85"/>
      <c r="E985" s="85"/>
      <c r="H985" s="86"/>
    </row>
    <row r="986" ht="15.75" customHeight="1">
      <c r="C986" s="85"/>
      <c r="E986" s="85"/>
      <c r="H986" s="86"/>
    </row>
    <row r="987" ht="15.75" customHeight="1">
      <c r="C987" s="85"/>
      <c r="E987" s="85"/>
      <c r="H987" s="86"/>
    </row>
    <row r="988" ht="15.75" customHeight="1">
      <c r="C988" s="85"/>
      <c r="E988" s="85"/>
      <c r="H988" s="86"/>
    </row>
    <row r="989" ht="15.75" customHeight="1">
      <c r="C989" s="85"/>
      <c r="E989" s="85"/>
      <c r="H989" s="86"/>
    </row>
    <row r="990" ht="15.75" customHeight="1">
      <c r="C990" s="85"/>
      <c r="E990" s="85"/>
      <c r="H990" s="86"/>
    </row>
    <row r="991" ht="15.75" customHeight="1">
      <c r="C991" s="85"/>
      <c r="E991" s="85"/>
      <c r="H991" s="86"/>
    </row>
    <row r="992" ht="15.75" customHeight="1">
      <c r="C992" s="85"/>
      <c r="E992" s="85"/>
      <c r="H992" s="86"/>
    </row>
    <row r="993" ht="15.75" customHeight="1">
      <c r="C993" s="85"/>
      <c r="E993" s="85"/>
      <c r="H993" s="86"/>
    </row>
    <row r="994" ht="15.75" customHeight="1">
      <c r="C994" s="85"/>
      <c r="E994" s="85"/>
      <c r="H994" s="86"/>
    </row>
    <row r="995" ht="15.75" customHeight="1">
      <c r="C995" s="85"/>
      <c r="E995" s="85"/>
      <c r="H995" s="86"/>
    </row>
    <row r="996" ht="15.75" customHeight="1">
      <c r="C996" s="85"/>
      <c r="E996" s="85"/>
      <c r="H996" s="86"/>
    </row>
    <row r="997" ht="15.75" customHeight="1">
      <c r="C997" s="85"/>
      <c r="E997" s="85"/>
      <c r="H997" s="86"/>
    </row>
    <row r="998" ht="15.75" customHeight="1">
      <c r="C998" s="85"/>
      <c r="E998" s="85"/>
      <c r="H998" s="86"/>
    </row>
    <row r="999" ht="15.75" customHeight="1">
      <c r="C999" s="85"/>
      <c r="E999" s="85"/>
      <c r="H999" s="86"/>
    </row>
    <row r="1000" ht="15.75" customHeight="1">
      <c r="C1000" s="85"/>
      <c r="E1000" s="85"/>
      <c r="H1000" s="86"/>
    </row>
  </sheetData>
  <dataValidations>
    <dataValidation type="custom" allowBlank="1" showInputMessage="1" showErrorMessage="1" prompt="DUPLICATE BATCH NUMBER - This Batch Number already exists. Update the existing row instead." sqref="E1">
      <formula1>COUNTIF($F:$F,E1)=1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75"/>
    <col customWidth="1" min="3" max="3" width="11.88"/>
    <col customWidth="1" min="4" max="4" width="14.13"/>
    <col customWidth="1" min="5" max="5" width="10.0"/>
    <col customWidth="1" min="6" max="6" width="8.63"/>
    <col customWidth="1" min="7" max="7" width="18.75"/>
    <col customWidth="1" min="8" max="8" width="15.0"/>
    <col customWidth="1" min="9" max="26" width="8.63"/>
  </cols>
  <sheetData>
    <row r="1">
      <c r="A1" s="87" t="s">
        <v>845</v>
      </c>
      <c r="B1" s="87" t="s">
        <v>846</v>
      </c>
      <c r="C1" s="87" t="s">
        <v>847</v>
      </c>
      <c r="D1" s="87" t="s">
        <v>848</v>
      </c>
      <c r="E1" s="87" t="s">
        <v>849</v>
      </c>
      <c r="F1" s="87" t="s">
        <v>850</v>
      </c>
      <c r="G1" s="87" t="s">
        <v>851</v>
      </c>
      <c r="H1" s="87" t="s">
        <v>852</v>
      </c>
    </row>
    <row r="2">
      <c r="A2" s="88">
        <f>DATE(2019,1,1)</f>
        <v>43466</v>
      </c>
      <c r="B2" s="72" t="str">
        <f t="shared" ref="B2:B2924" si="1">TEXT(A2,"yyyymmdd")</f>
        <v>20190101</v>
      </c>
      <c r="C2" s="72" t="str">
        <f t="shared" ref="C2:C2924" si="2">TEXT(A2,"dddd")</f>
        <v>Tuesday</v>
      </c>
      <c r="D2" s="72" t="str">
        <f t="shared" ref="D2:D2924" si="3">TEXT(A2,"mmmm")</f>
        <v>January</v>
      </c>
      <c r="E2" s="72" t="str">
        <f t="shared" ref="E2:E2924" si="4">"Q"&amp;ROUNDUP(MONTH(A2)/3,0)</f>
        <v>Q1</v>
      </c>
      <c r="F2" s="72">
        <f t="shared" ref="F2:F2924" si="5">YEAR(A2)</f>
        <v>2019</v>
      </c>
      <c r="G2" s="88">
        <f t="shared" ref="G2:G2924" si="6">A2+(7-WEEKDAY(A2,1))</f>
        <v>43470</v>
      </c>
      <c r="H2" s="72" t="str">
        <f t="shared" ref="H2:H2924" si="7">IF(OR(TEXT(A2,"dddd")="Saturday",TEXT(A2,"dddd")="Sunday"),"No","Yes")</f>
        <v>Yes</v>
      </c>
    </row>
    <row r="3">
      <c r="A3" s="88">
        <f t="shared" ref="A3:A2924" si="8">A2+1</f>
        <v>43467</v>
      </c>
      <c r="B3" s="72" t="str">
        <f t="shared" si="1"/>
        <v>20190102</v>
      </c>
      <c r="C3" s="72" t="str">
        <f t="shared" si="2"/>
        <v>Wednesday</v>
      </c>
      <c r="D3" s="72" t="str">
        <f t="shared" si="3"/>
        <v>January</v>
      </c>
      <c r="E3" s="72" t="str">
        <f t="shared" si="4"/>
        <v>Q1</v>
      </c>
      <c r="F3" s="72">
        <f t="shared" si="5"/>
        <v>2019</v>
      </c>
      <c r="G3" s="89">
        <f t="shared" si="6"/>
        <v>43470</v>
      </c>
      <c r="H3" s="72" t="str">
        <f t="shared" si="7"/>
        <v>Yes</v>
      </c>
    </row>
    <row r="4">
      <c r="A4" s="88">
        <f t="shared" si="8"/>
        <v>43468</v>
      </c>
      <c r="B4" s="72" t="str">
        <f t="shared" si="1"/>
        <v>20190103</v>
      </c>
      <c r="C4" s="72" t="str">
        <f t="shared" si="2"/>
        <v>Thursday</v>
      </c>
      <c r="D4" s="72" t="str">
        <f t="shared" si="3"/>
        <v>January</v>
      </c>
      <c r="E4" s="72" t="str">
        <f t="shared" si="4"/>
        <v>Q1</v>
      </c>
      <c r="F4" s="72">
        <f t="shared" si="5"/>
        <v>2019</v>
      </c>
      <c r="G4" s="89">
        <f t="shared" si="6"/>
        <v>43470</v>
      </c>
      <c r="H4" s="72" t="str">
        <f t="shared" si="7"/>
        <v>Yes</v>
      </c>
    </row>
    <row r="5">
      <c r="A5" s="88">
        <f t="shared" si="8"/>
        <v>43469</v>
      </c>
      <c r="B5" s="72" t="str">
        <f t="shared" si="1"/>
        <v>20190104</v>
      </c>
      <c r="C5" s="72" t="str">
        <f t="shared" si="2"/>
        <v>Friday</v>
      </c>
      <c r="D5" s="72" t="str">
        <f t="shared" si="3"/>
        <v>January</v>
      </c>
      <c r="E5" s="72" t="str">
        <f t="shared" si="4"/>
        <v>Q1</v>
      </c>
      <c r="F5" s="72">
        <f t="shared" si="5"/>
        <v>2019</v>
      </c>
      <c r="G5" s="89">
        <f t="shared" si="6"/>
        <v>43470</v>
      </c>
      <c r="H5" s="72" t="str">
        <f t="shared" si="7"/>
        <v>Yes</v>
      </c>
    </row>
    <row r="6">
      <c r="A6" s="88">
        <f t="shared" si="8"/>
        <v>43470</v>
      </c>
      <c r="B6" s="72" t="str">
        <f t="shared" si="1"/>
        <v>20190105</v>
      </c>
      <c r="C6" s="72" t="str">
        <f t="shared" si="2"/>
        <v>Saturday</v>
      </c>
      <c r="D6" s="72" t="str">
        <f t="shared" si="3"/>
        <v>January</v>
      </c>
      <c r="E6" s="72" t="str">
        <f t="shared" si="4"/>
        <v>Q1</v>
      </c>
      <c r="F6" s="72">
        <f t="shared" si="5"/>
        <v>2019</v>
      </c>
      <c r="G6" s="89">
        <f t="shared" si="6"/>
        <v>43470</v>
      </c>
      <c r="H6" s="72" t="str">
        <f t="shared" si="7"/>
        <v>No</v>
      </c>
    </row>
    <row r="7">
      <c r="A7" s="88">
        <f t="shared" si="8"/>
        <v>43471</v>
      </c>
      <c r="B7" s="72" t="str">
        <f t="shared" si="1"/>
        <v>20190106</v>
      </c>
      <c r="C7" s="72" t="str">
        <f t="shared" si="2"/>
        <v>Sunday</v>
      </c>
      <c r="D7" s="72" t="str">
        <f t="shared" si="3"/>
        <v>January</v>
      </c>
      <c r="E7" s="72" t="str">
        <f t="shared" si="4"/>
        <v>Q1</v>
      </c>
      <c r="F7" s="72">
        <f t="shared" si="5"/>
        <v>2019</v>
      </c>
      <c r="G7" s="89">
        <f t="shared" si="6"/>
        <v>43477</v>
      </c>
      <c r="H7" s="72" t="str">
        <f t="shared" si="7"/>
        <v>No</v>
      </c>
    </row>
    <row r="8">
      <c r="A8" s="88">
        <f t="shared" si="8"/>
        <v>43472</v>
      </c>
      <c r="B8" s="72" t="str">
        <f t="shared" si="1"/>
        <v>20190107</v>
      </c>
      <c r="C8" s="72" t="str">
        <f t="shared" si="2"/>
        <v>Monday</v>
      </c>
      <c r="D8" s="72" t="str">
        <f t="shared" si="3"/>
        <v>January</v>
      </c>
      <c r="E8" s="72" t="str">
        <f t="shared" si="4"/>
        <v>Q1</v>
      </c>
      <c r="F8" s="72">
        <f t="shared" si="5"/>
        <v>2019</v>
      </c>
      <c r="G8" s="89">
        <f t="shared" si="6"/>
        <v>43477</v>
      </c>
      <c r="H8" s="72" t="str">
        <f t="shared" si="7"/>
        <v>Yes</v>
      </c>
    </row>
    <row r="9">
      <c r="A9" s="88">
        <f t="shared" si="8"/>
        <v>43473</v>
      </c>
      <c r="B9" s="72" t="str">
        <f t="shared" si="1"/>
        <v>20190108</v>
      </c>
      <c r="C9" s="72" t="str">
        <f t="shared" si="2"/>
        <v>Tuesday</v>
      </c>
      <c r="D9" s="72" t="str">
        <f t="shared" si="3"/>
        <v>January</v>
      </c>
      <c r="E9" s="72" t="str">
        <f t="shared" si="4"/>
        <v>Q1</v>
      </c>
      <c r="F9" s="72">
        <f t="shared" si="5"/>
        <v>2019</v>
      </c>
      <c r="G9" s="89">
        <f t="shared" si="6"/>
        <v>43477</v>
      </c>
      <c r="H9" s="72" t="str">
        <f t="shared" si="7"/>
        <v>Yes</v>
      </c>
    </row>
    <row r="10">
      <c r="A10" s="88">
        <f t="shared" si="8"/>
        <v>43474</v>
      </c>
      <c r="B10" s="72" t="str">
        <f t="shared" si="1"/>
        <v>20190109</v>
      </c>
      <c r="C10" s="72" t="str">
        <f t="shared" si="2"/>
        <v>Wednesday</v>
      </c>
      <c r="D10" s="72" t="str">
        <f t="shared" si="3"/>
        <v>January</v>
      </c>
      <c r="E10" s="72" t="str">
        <f t="shared" si="4"/>
        <v>Q1</v>
      </c>
      <c r="F10" s="72">
        <f t="shared" si="5"/>
        <v>2019</v>
      </c>
      <c r="G10" s="89">
        <f t="shared" si="6"/>
        <v>43477</v>
      </c>
      <c r="H10" s="72" t="str">
        <f t="shared" si="7"/>
        <v>Yes</v>
      </c>
    </row>
    <row r="11">
      <c r="A11" s="88">
        <f t="shared" si="8"/>
        <v>43475</v>
      </c>
      <c r="B11" s="72" t="str">
        <f t="shared" si="1"/>
        <v>20190110</v>
      </c>
      <c r="C11" s="72" t="str">
        <f t="shared" si="2"/>
        <v>Thursday</v>
      </c>
      <c r="D11" s="72" t="str">
        <f t="shared" si="3"/>
        <v>January</v>
      </c>
      <c r="E11" s="72" t="str">
        <f t="shared" si="4"/>
        <v>Q1</v>
      </c>
      <c r="F11" s="72">
        <f t="shared" si="5"/>
        <v>2019</v>
      </c>
      <c r="G11" s="89">
        <f t="shared" si="6"/>
        <v>43477</v>
      </c>
      <c r="H11" s="72" t="str">
        <f t="shared" si="7"/>
        <v>Yes</v>
      </c>
    </row>
    <row r="12">
      <c r="A12" s="88">
        <f t="shared" si="8"/>
        <v>43476</v>
      </c>
      <c r="B12" s="72" t="str">
        <f t="shared" si="1"/>
        <v>20190111</v>
      </c>
      <c r="C12" s="72" t="str">
        <f t="shared" si="2"/>
        <v>Friday</v>
      </c>
      <c r="D12" s="72" t="str">
        <f t="shared" si="3"/>
        <v>January</v>
      </c>
      <c r="E12" s="72" t="str">
        <f t="shared" si="4"/>
        <v>Q1</v>
      </c>
      <c r="F12" s="72">
        <f t="shared" si="5"/>
        <v>2019</v>
      </c>
      <c r="G12" s="89">
        <f t="shared" si="6"/>
        <v>43477</v>
      </c>
      <c r="H12" s="72" t="str">
        <f t="shared" si="7"/>
        <v>Yes</v>
      </c>
    </row>
    <row r="13">
      <c r="A13" s="88">
        <f t="shared" si="8"/>
        <v>43477</v>
      </c>
      <c r="B13" s="72" t="str">
        <f t="shared" si="1"/>
        <v>20190112</v>
      </c>
      <c r="C13" s="72" t="str">
        <f t="shared" si="2"/>
        <v>Saturday</v>
      </c>
      <c r="D13" s="72" t="str">
        <f t="shared" si="3"/>
        <v>January</v>
      </c>
      <c r="E13" s="72" t="str">
        <f t="shared" si="4"/>
        <v>Q1</v>
      </c>
      <c r="F13" s="72">
        <f t="shared" si="5"/>
        <v>2019</v>
      </c>
      <c r="G13" s="89">
        <f t="shared" si="6"/>
        <v>43477</v>
      </c>
      <c r="H13" s="72" t="str">
        <f t="shared" si="7"/>
        <v>No</v>
      </c>
    </row>
    <row r="14">
      <c r="A14" s="88">
        <f t="shared" si="8"/>
        <v>43478</v>
      </c>
      <c r="B14" s="72" t="str">
        <f t="shared" si="1"/>
        <v>20190113</v>
      </c>
      <c r="C14" s="72" t="str">
        <f t="shared" si="2"/>
        <v>Sunday</v>
      </c>
      <c r="D14" s="72" t="str">
        <f t="shared" si="3"/>
        <v>January</v>
      </c>
      <c r="E14" s="72" t="str">
        <f t="shared" si="4"/>
        <v>Q1</v>
      </c>
      <c r="F14" s="72">
        <f t="shared" si="5"/>
        <v>2019</v>
      </c>
      <c r="G14" s="89">
        <f t="shared" si="6"/>
        <v>43484</v>
      </c>
      <c r="H14" s="72" t="str">
        <f t="shared" si="7"/>
        <v>No</v>
      </c>
    </row>
    <row r="15">
      <c r="A15" s="88">
        <f t="shared" si="8"/>
        <v>43479</v>
      </c>
      <c r="B15" s="72" t="str">
        <f t="shared" si="1"/>
        <v>20190114</v>
      </c>
      <c r="C15" s="72" t="str">
        <f t="shared" si="2"/>
        <v>Monday</v>
      </c>
      <c r="D15" s="72" t="str">
        <f t="shared" si="3"/>
        <v>January</v>
      </c>
      <c r="E15" s="72" t="str">
        <f t="shared" si="4"/>
        <v>Q1</v>
      </c>
      <c r="F15" s="72">
        <f t="shared" si="5"/>
        <v>2019</v>
      </c>
      <c r="G15" s="89">
        <f t="shared" si="6"/>
        <v>43484</v>
      </c>
      <c r="H15" s="72" t="str">
        <f t="shared" si="7"/>
        <v>Yes</v>
      </c>
    </row>
    <row r="16">
      <c r="A16" s="88">
        <f t="shared" si="8"/>
        <v>43480</v>
      </c>
      <c r="B16" s="72" t="str">
        <f t="shared" si="1"/>
        <v>20190115</v>
      </c>
      <c r="C16" s="72" t="str">
        <f t="shared" si="2"/>
        <v>Tuesday</v>
      </c>
      <c r="D16" s="72" t="str">
        <f t="shared" si="3"/>
        <v>January</v>
      </c>
      <c r="E16" s="72" t="str">
        <f t="shared" si="4"/>
        <v>Q1</v>
      </c>
      <c r="F16" s="72">
        <f t="shared" si="5"/>
        <v>2019</v>
      </c>
      <c r="G16" s="89">
        <f t="shared" si="6"/>
        <v>43484</v>
      </c>
      <c r="H16" s="72" t="str">
        <f t="shared" si="7"/>
        <v>Yes</v>
      </c>
    </row>
    <row r="17">
      <c r="A17" s="88">
        <f t="shared" si="8"/>
        <v>43481</v>
      </c>
      <c r="B17" s="72" t="str">
        <f t="shared" si="1"/>
        <v>20190116</v>
      </c>
      <c r="C17" s="72" t="str">
        <f t="shared" si="2"/>
        <v>Wednesday</v>
      </c>
      <c r="D17" s="72" t="str">
        <f t="shared" si="3"/>
        <v>January</v>
      </c>
      <c r="E17" s="72" t="str">
        <f t="shared" si="4"/>
        <v>Q1</v>
      </c>
      <c r="F17" s="72">
        <f t="shared" si="5"/>
        <v>2019</v>
      </c>
      <c r="G17" s="89">
        <f t="shared" si="6"/>
        <v>43484</v>
      </c>
      <c r="H17" s="72" t="str">
        <f t="shared" si="7"/>
        <v>Yes</v>
      </c>
    </row>
    <row r="18">
      <c r="A18" s="88">
        <f t="shared" si="8"/>
        <v>43482</v>
      </c>
      <c r="B18" s="72" t="str">
        <f t="shared" si="1"/>
        <v>20190117</v>
      </c>
      <c r="C18" s="72" t="str">
        <f t="shared" si="2"/>
        <v>Thursday</v>
      </c>
      <c r="D18" s="72" t="str">
        <f t="shared" si="3"/>
        <v>January</v>
      </c>
      <c r="E18" s="72" t="str">
        <f t="shared" si="4"/>
        <v>Q1</v>
      </c>
      <c r="F18" s="72">
        <f t="shared" si="5"/>
        <v>2019</v>
      </c>
      <c r="G18" s="89">
        <f t="shared" si="6"/>
        <v>43484</v>
      </c>
      <c r="H18" s="72" t="str">
        <f t="shared" si="7"/>
        <v>Yes</v>
      </c>
    </row>
    <row r="19">
      <c r="A19" s="88">
        <f t="shared" si="8"/>
        <v>43483</v>
      </c>
      <c r="B19" s="72" t="str">
        <f t="shared" si="1"/>
        <v>20190118</v>
      </c>
      <c r="C19" s="72" t="str">
        <f t="shared" si="2"/>
        <v>Friday</v>
      </c>
      <c r="D19" s="72" t="str">
        <f t="shared" si="3"/>
        <v>January</v>
      </c>
      <c r="E19" s="72" t="str">
        <f t="shared" si="4"/>
        <v>Q1</v>
      </c>
      <c r="F19" s="72">
        <f t="shared" si="5"/>
        <v>2019</v>
      </c>
      <c r="G19" s="89">
        <f t="shared" si="6"/>
        <v>43484</v>
      </c>
      <c r="H19" s="72" t="str">
        <f t="shared" si="7"/>
        <v>Yes</v>
      </c>
    </row>
    <row r="20">
      <c r="A20" s="88">
        <f t="shared" si="8"/>
        <v>43484</v>
      </c>
      <c r="B20" s="72" t="str">
        <f t="shared" si="1"/>
        <v>20190119</v>
      </c>
      <c r="C20" s="72" t="str">
        <f t="shared" si="2"/>
        <v>Saturday</v>
      </c>
      <c r="D20" s="72" t="str">
        <f t="shared" si="3"/>
        <v>January</v>
      </c>
      <c r="E20" s="72" t="str">
        <f t="shared" si="4"/>
        <v>Q1</v>
      </c>
      <c r="F20" s="72">
        <f t="shared" si="5"/>
        <v>2019</v>
      </c>
      <c r="G20" s="89">
        <f t="shared" si="6"/>
        <v>43484</v>
      </c>
      <c r="H20" s="72" t="str">
        <f t="shared" si="7"/>
        <v>No</v>
      </c>
    </row>
    <row r="21" ht="15.75" customHeight="1">
      <c r="A21" s="88">
        <f t="shared" si="8"/>
        <v>43485</v>
      </c>
      <c r="B21" s="72" t="str">
        <f t="shared" si="1"/>
        <v>20190120</v>
      </c>
      <c r="C21" s="72" t="str">
        <f t="shared" si="2"/>
        <v>Sunday</v>
      </c>
      <c r="D21" s="72" t="str">
        <f t="shared" si="3"/>
        <v>January</v>
      </c>
      <c r="E21" s="72" t="str">
        <f t="shared" si="4"/>
        <v>Q1</v>
      </c>
      <c r="F21" s="72">
        <f t="shared" si="5"/>
        <v>2019</v>
      </c>
      <c r="G21" s="89">
        <f t="shared" si="6"/>
        <v>43491</v>
      </c>
      <c r="H21" s="72" t="str">
        <f t="shared" si="7"/>
        <v>No</v>
      </c>
    </row>
    <row r="22" ht="15.75" customHeight="1">
      <c r="A22" s="88">
        <f t="shared" si="8"/>
        <v>43486</v>
      </c>
      <c r="B22" s="72" t="str">
        <f t="shared" si="1"/>
        <v>20190121</v>
      </c>
      <c r="C22" s="72" t="str">
        <f t="shared" si="2"/>
        <v>Monday</v>
      </c>
      <c r="D22" s="72" t="str">
        <f t="shared" si="3"/>
        <v>January</v>
      </c>
      <c r="E22" s="72" t="str">
        <f t="shared" si="4"/>
        <v>Q1</v>
      </c>
      <c r="F22" s="72">
        <f t="shared" si="5"/>
        <v>2019</v>
      </c>
      <c r="G22" s="89">
        <f t="shared" si="6"/>
        <v>43491</v>
      </c>
      <c r="H22" s="72" t="str">
        <f t="shared" si="7"/>
        <v>Yes</v>
      </c>
    </row>
    <row r="23" ht="15.75" customHeight="1">
      <c r="A23" s="88">
        <f t="shared" si="8"/>
        <v>43487</v>
      </c>
      <c r="B23" s="72" t="str">
        <f t="shared" si="1"/>
        <v>20190122</v>
      </c>
      <c r="C23" s="72" t="str">
        <f t="shared" si="2"/>
        <v>Tuesday</v>
      </c>
      <c r="D23" s="72" t="str">
        <f t="shared" si="3"/>
        <v>January</v>
      </c>
      <c r="E23" s="72" t="str">
        <f t="shared" si="4"/>
        <v>Q1</v>
      </c>
      <c r="F23" s="72">
        <f t="shared" si="5"/>
        <v>2019</v>
      </c>
      <c r="G23" s="89">
        <f t="shared" si="6"/>
        <v>43491</v>
      </c>
      <c r="H23" s="72" t="str">
        <f t="shared" si="7"/>
        <v>Yes</v>
      </c>
    </row>
    <row r="24" ht="15.75" customHeight="1">
      <c r="A24" s="88">
        <f t="shared" si="8"/>
        <v>43488</v>
      </c>
      <c r="B24" s="72" t="str">
        <f t="shared" si="1"/>
        <v>20190123</v>
      </c>
      <c r="C24" s="72" t="str">
        <f t="shared" si="2"/>
        <v>Wednesday</v>
      </c>
      <c r="D24" s="72" t="str">
        <f t="shared" si="3"/>
        <v>January</v>
      </c>
      <c r="E24" s="72" t="str">
        <f t="shared" si="4"/>
        <v>Q1</v>
      </c>
      <c r="F24" s="72">
        <f t="shared" si="5"/>
        <v>2019</v>
      </c>
      <c r="G24" s="89">
        <f t="shared" si="6"/>
        <v>43491</v>
      </c>
      <c r="H24" s="72" t="str">
        <f t="shared" si="7"/>
        <v>Yes</v>
      </c>
    </row>
    <row r="25" ht="15.75" customHeight="1">
      <c r="A25" s="88">
        <f t="shared" si="8"/>
        <v>43489</v>
      </c>
      <c r="B25" s="72" t="str">
        <f t="shared" si="1"/>
        <v>20190124</v>
      </c>
      <c r="C25" s="72" t="str">
        <f t="shared" si="2"/>
        <v>Thursday</v>
      </c>
      <c r="D25" s="72" t="str">
        <f t="shared" si="3"/>
        <v>January</v>
      </c>
      <c r="E25" s="72" t="str">
        <f t="shared" si="4"/>
        <v>Q1</v>
      </c>
      <c r="F25" s="72">
        <f t="shared" si="5"/>
        <v>2019</v>
      </c>
      <c r="G25" s="89">
        <f t="shared" si="6"/>
        <v>43491</v>
      </c>
      <c r="H25" s="72" t="str">
        <f t="shared" si="7"/>
        <v>Yes</v>
      </c>
    </row>
    <row r="26" ht="15.75" customHeight="1">
      <c r="A26" s="88">
        <f t="shared" si="8"/>
        <v>43490</v>
      </c>
      <c r="B26" s="72" t="str">
        <f t="shared" si="1"/>
        <v>20190125</v>
      </c>
      <c r="C26" s="72" t="str">
        <f t="shared" si="2"/>
        <v>Friday</v>
      </c>
      <c r="D26" s="72" t="str">
        <f t="shared" si="3"/>
        <v>January</v>
      </c>
      <c r="E26" s="72" t="str">
        <f t="shared" si="4"/>
        <v>Q1</v>
      </c>
      <c r="F26" s="72">
        <f t="shared" si="5"/>
        <v>2019</v>
      </c>
      <c r="G26" s="89">
        <f t="shared" si="6"/>
        <v>43491</v>
      </c>
      <c r="H26" s="72" t="str">
        <f t="shared" si="7"/>
        <v>Yes</v>
      </c>
    </row>
    <row r="27" ht="15.75" customHeight="1">
      <c r="A27" s="88">
        <f t="shared" si="8"/>
        <v>43491</v>
      </c>
      <c r="B27" s="72" t="str">
        <f t="shared" si="1"/>
        <v>20190126</v>
      </c>
      <c r="C27" s="72" t="str">
        <f t="shared" si="2"/>
        <v>Saturday</v>
      </c>
      <c r="D27" s="72" t="str">
        <f t="shared" si="3"/>
        <v>January</v>
      </c>
      <c r="E27" s="72" t="str">
        <f t="shared" si="4"/>
        <v>Q1</v>
      </c>
      <c r="F27" s="72">
        <f t="shared" si="5"/>
        <v>2019</v>
      </c>
      <c r="G27" s="89">
        <f t="shared" si="6"/>
        <v>43491</v>
      </c>
      <c r="H27" s="72" t="str">
        <f t="shared" si="7"/>
        <v>No</v>
      </c>
    </row>
    <row r="28" ht="15.75" customHeight="1">
      <c r="A28" s="88">
        <f t="shared" si="8"/>
        <v>43492</v>
      </c>
      <c r="B28" s="72" t="str">
        <f t="shared" si="1"/>
        <v>20190127</v>
      </c>
      <c r="C28" s="72" t="str">
        <f t="shared" si="2"/>
        <v>Sunday</v>
      </c>
      <c r="D28" s="72" t="str">
        <f t="shared" si="3"/>
        <v>January</v>
      </c>
      <c r="E28" s="72" t="str">
        <f t="shared" si="4"/>
        <v>Q1</v>
      </c>
      <c r="F28" s="72">
        <f t="shared" si="5"/>
        <v>2019</v>
      </c>
      <c r="G28" s="89">
        <f t="shared" si="6"/>
        <v>43498</v>
      </c>
      <c r="H28" s="72" t="str">
        <f t="shared" si="7"/>
        <v>No</v>
      </c>
    </row>
    <row r="29" ht="15.75" customHeight="1">
      <c r="A29" s="88">
        <f t="shared" si="8"/>
        <v>43493</v>
      </c>
      <c r="B29" s="72" t="str">
        <f t="shared" si="1"/>
        <v>20190128</v>
      </c>
      <c r="C29" s="72" t="str">
        <f t="shared" si="2"/>
        <v>Monday</v>
      </c>
      <c r="D29" s="72" t="str">
        <f t="shared" si="3"/>
        <v>January</v>
      </c>
      <c r="E29" s="72" t="str">
        <f t="shared" si="4"/>
        <v>Q1</v>
      </c>
      <c r="F29" s="72">
        <f t="shared" si="5"/>
        <v>2019</v>
      </c>
      <c r="G29" s="89">
        <f t="shared" si="6"/>
        <v>43498</v>
      </c>
      <c r="H29" s="72" t="str">
        <f t="shared" si="7"/>
        <v>Yes</v>
      </c>
    </row>
    <row r="30" ht="15.75" customHeight="1">
      <c r="A30" s="88">
        <f t="shared" si="8"/>
        <v>43494</v>
      </c>
      <c r="B30" s="72" t="str">
        <f t="shared" si="1"/>
        <v>20190129</v>
      </c>
      <c r="C30" s="72" t="str">
        <f t="shared" si="2"/>
        <v>Tuesday</v>
      </c>
      <c r="D30" s="72" t="str">
        <f t="shared" si="3"/>
        <v>January</v>
      </c>
      <c r="E30" s="72" t="str">
        <f t="shared" si="4"/>
        <v>Q1</v>
      </c>
      <c r="F30" s="72">
        <f t="shared" si="5"/>
        <v>2019</v>
      </c>
      <c r="G30" s="89">
        <f t="shared" si="6"/>
        <v>43498</v>
      </c>
      <c r="H30" s="72" t="str">
        <f t="shared" si="7"/>
        <v>Yes</v>
      </c>
    </row>
    <row r="31" ht="15.75" customHeight="1">
      <c r="A31" s="88">
        <f t="shared" si="8"/>
        <v>43495</v>
      </c>
      <c r="B31" s="72" t="str">
        <f t="shared" si="1"/>
        <v>20190130</v>
      </c>
      <c r="C31" s="72" t="str">
        <f t="shared" si="2"/>
        <v>Wednesday</v>
      </c>
      <c r="D31" s="72" t="str">
        <f t="shared" si="3"/>
        <v>January</v>
      </c>
      <c r="E31" s="72" t="str">
        <f t="shared" si="4"/>
        <v>Q1</v>
      </c>
      <c r="F31" s="72">
        <f t="shared" si="5"/>
        <v>2019</v>
      </c>
      <c r="G31" s="89">
        <f t="shared" si="6"/>
        <v>43498</v>
      </c>
      <c r="H31" s="72" t="str">
        <f t="shared" si="7"/>
        <v>Yes</v>
      </c>
    </row>
    <row r="32" ht="15.75" customHeight="1">
      <c r="A32" s="88">
        <f t="shared" si="8"/>
        <v>43496</v>
      </c>
      <c r="B32" s="72" t="str">
        <f t="shared" si="1"/>
        <v>20190131</v>
      </c>
      <c r="C32" s="72" t="str">
        <f t="shared" si="2"/>
        <v>Thursday</v>
      </c>
      <c r="D32" s="72" t="str">
        <f t="shared" si="3"/>
        <v>January</v>
      </c>
      <c r="E32" s="72" t="str">
        <f t="shared" si="4"/>
        <v>Q1</v>
      </c>
      <c r="F32" s="72">
        <f t="shared" si="5"/>
        <v>2019</v>
      </c>
      <c r="G32" s="89">
        <f t="shared" si="6"/>
        <v>43498</v>
      </c>
      <c r="H32" s="72" t="str">
        <f t="shared" si="7"/>
        <v>Yes</v>
      </c>
    </row>
    <row r="33" ht="15.75" customHeight="1">
      <c r="A33" s="88">
        <f t="shared" si="8"/>
        <v>43497</v>
      </c>
      <c r="B33" s="72" t="str">
        <f t="shared" si="1"/>
        <v>20190201</v>
      </c>
      <c r="C33" s="72" t="str">
        <f t="shared" si="2"/>
        <v>Friday</v>
      </c>
      <c r="D33" s="72" t="str">
        <f t="shared" si="3"/>
        <v>February</v>
      </c>
      <c r="E33" s="72" t="str">
        <f t="shared" si="4"/>
        <v>Q1</v>
      </c>
      <c r="F33" s="72">
        <f t="shared" si="5"/>
        <v>2019</v>
      </c>
      <c r="G33" s="89">
        <f t="shared" si="6"/>
        <v>43498</v>
      </c>
      <c r="H33" s="72" t="str">
        <f t="shared" si="7"/>
        <v>Yes</v>
      </c>
    </row>
    <row r="34" ht="15.75" customHeight="1">
      <c r="A34" s="88">
        <f t="shared" si="8"/>
        <v>43498</v>
      </c>
      <c r="B34" s="72" t="str">
        <f t="shared" si="1"/>
        <v>20190202</v>
      </c>
      <c r="C34" s="72" t="str">
        <f t="shared" si="2"/>
        <v>Saturday</v>
      </c>
      <c r="D34" s="72" t="str">
        <f t="shared" si="3"/>
        <v>February</v>
      </c>
      <c r="E34" s="72" t="str">
        <f t="shared" si="4"/>
        <v>Q1</v>
      </c>
      <c r="F34" s="72">
        <f t="shared" si="5"/>
        <v>2019</v>
      </c>
      <c r="G34" s="89">
        <f t="shared" si="6"/>
        <v>43498</v>
      </c>
      <c r="H34" s="72" t="str">
        <f t="shared" si="7"/>
        <v>No</v>
      </c>
    </row>
    <row r="35" ht="15.75" customHeight="1">
      <c r="A35" s="88">
        <f t="shared" si="8"/>
        <v>43499</v>
      </c>
      <c r="B35" s="72" t="str">
        <f t="shared" si="1"/>
        <v>20190203</v>
      </c>
      <c r="C35" s="72" t="str">
        <f t="shared" si="2"/>
        <v>Sunday</v>
      </c>
      <c r="D35" s="72" t="str">
        <f t="shared" si="3"/>
        <v>February</v>
      </c>
      <c r="E35" s="72" t="str">
        <f t="shared" si="4"/>
        <v>Q1</v>
      </c>
      <c r="F35" s="72">
        <f t="shared" si="5"/>
        <v>2019</v>
      </c>
      <c r="G35" s="89">
        <f t="shared" si="6"/>
        <v>43505</v>
      </c>
      <c r="H35" s="72" t="str">
        <f t="shared" si="7"/>
        <v>No</v>
      </c>
    </row>
    <row r="36" ht="15.75" customHeight="1">
      <c r="A36" s="88">
        <f t="shared" si="8"/>
        <v>43500</v>
      </c>
      <c r="B36" s="72" t="str">
        <f t="shared" si="1"/>
        <v>20190204</v>
      </c>
      <c r="C36" s="72" t="str">
        <f t="shared" si="2"/>
        <v>Monday</v>
      </c>
      <c r="D36" s="72" t="str">
        <f t="shared" si="3"/>
        <v>February</v>
      </c>
      <c r="E36" s="72" t="str">
        <f t="shared" si="4"/>
        <v>Q1</v>
      </c>
      <c r="F36" s="72">
        <f t="shared" si="5"/>
        <v>2019</v>
      </c>
      <c r="G36" s="89">
        <f t="shared" si="6"/>
        <v>43505</v>
      </c>
      <c r="H36" s="72" t="str">
        <f t="shared" si="7"/>
        <v>Yes</v>
      </c>
    </row>
    <row r="37" ht="15.75" customHeight="1">
      <c r="A37" s="88">
        <f t="shared" si="8"/>
        <v>43501</v>
      </c>
      <c r="B37" s="72" t="str">
        <f t="shared" si="1"/>
        <v>20190205</v>
      </c>
      <c r="C37" s="72" t="str">
        <f t="shared" si="2"/>
        <v>Tuesday</v>
      </c>
      <c r="D37" s="72" t="str">
        <f t="shared" si="3"/>
        <v>February</v>
      </c>
      <c r="E37" s="72" t="str">
        <f t="shared" si="4"/>
        <v>Q1</v>
      </c>
      <c r="F37" s="72">
        <f t="shared" si="5"/>
        <v>2019</v>
      </c>
      <c r="G37" s="89">
        <f t="shared" si="6"/>
        <v>43505</v>
      </c>
      <c r="H37" s="72" t="str">
        <f t="shared" si="7"/>
        <v>Yes</v>
      </c>
    </row>
    <row r="38" ht="15.75" customHeight="1">
      <c r="A38" s="88">
        <f t="shared" si="8"/>
        <v>43502</v>
      </c>
      <c r="B38" s="72" t="str">
        <f t="shared" si="1"/>
        <v>20190206</v>
      </c>
      <c r="C38" s="72" t="str">
        <f t="shared" si="2"/>
        <v>Wednesday</v>
      </c>
      <c r="D38" s="72" t="str">
        <f t="shared" si="3"/>
        <v>February</v>
      </c>
      <c r="E38" s="72" t="str">
        <f t="shared" si="4"/>
        <v>Q1</v>
      </c>
      <c r="F38" s="72">
        <f t="shared" si="5"/>
        <v>2019</v>
      </c>
      <c r="G38" s="89">
        <f t="shared" si="6"/>
        <v>43505</v>
      </c>
      <c r="H38" s="72" t="str">
        <f t="shared" si="7"/>
        <v>Yes</v>
      </c>
    </row>
    <row r="39" ht="15.75" customHeight="1">
      <c r="A39" s="88">
        <f t="shared" si="8"/>
        <v>43503</v>
      </c>
      <c r="B39" s="72" t="str">
        <f t="shared" si="1"/>
        <v>20190207</v>
      </c>
      <c r="C39" s="72" t="str">
        <f t="shared" si="2"/>
        <v>Thursday</v>
      </c>
      <c r="D39" s="72" t="str">
        <f t="shared" si="3"/>
        <v>February</v>
      </c>
      <c r="E39" s="72" t="str">
        <f t="shared" si="4"/>
        <v>Q1</v>
      </c>
      <c r="F39" s="72">
        <f t="shared" si="5"/>
        <v>2019</v>
      </c>
      <c r="G39" s="89">
        <f t="shared" si="6"/>
        <v>43505</v>
      </c>
      <c r="H39" s="72" t="str">
        <f t="shared" si="7"/>
        <v>Yes</v>
      </c>
    </row>
    <row r="40" ht="15.75" customHeight="1">
      <c r="A40" s="88">
        <f t="shared" si="8"/>
        <v>43504</v>
      </c>
      <c r="B40" s="72" t="str">
        <f t="shared" si="1"/>
        <v>20190208</v>
      </c>
      <c r="C40" s="72" t="str">
        <f t="shared" si="2"/>
        <v>Friday</v>
      </c>
      <c r="D40" s="72" t="str">
        <f t="shared" si="3"/>
        <v>February</v>
      </c>
      <c r="E40" s="72" t="str">
        <f t="shared" si="4"/>
        <v>Q1</v>
      </c>
      <c r="F40" s="72">
        <f t="shared" si="5"/>
        <v>2019</v>
      </c>
      <c r="G40" s="89">
        <f t="shared" si="6"/>
        <v>43505</v>
      </c>
      <c r="H40" s="72" t="str">
        <f t="shared" si="7"/>
        <v>Yes</v>
      </c>
    </row>
    <row r="41" ht="15.75" customHeight="1">
      <c r="A41" s="88">
        <f t="shared" si="8"/>
        <v>43505</v>
      </c>
      <c r="B41" s="72" t="str">
        <f t="shared" si="1"/>
        <v>20190209</v>
      </c>
      <c r="C41" s="72" t="str">
        <f t="shared" si="2"/>
        <v>Saturday</v>
      </c>
      <c r="D41" s="72" t="str">
        <f t="shared" si="3"/>
        <v>February</v>
      </c>
      <c r="E41" s="72" t="str">
        <f t="shared" si="4"/>
        <v>Q1</v>
      </c>
      <c r="F41" s="72">
        <f t="shared" si="5"/>
        <v>2019</v>
      </c>
      <c r="G41" s="89">
        <f t="shared" si="6"/>
        <v>43505</v>
      </c>
      <c r="H41" s="72" t="str">
        <f t="shared" si="7"/>
        <v>No</v>
      </c>
    </row>
    <row r="42" ht="15.75" customHeight="1">
      <c r="A42" s="88">
        <f t="shared" si="8"/>
        <v>43506</v>
      </c>
      <c r="B42" s="72" t="str">
        <f t="shared" si="1"/>
        <v>20190210</v>
      </c>
      <c r="C42" s="72" t="str">
        <f t="shared" si="2"/>
        <v>Sunday</v>
      </c>
      <c r="D42" s="72" t="str">
        <f t="shared" si="3"/>
        <v>February</v>
      </c>
      <c r="E42" s="72" t="str">
        <f t="shared" si="4"/>
        <v>Q1</v>
      </c>
      <c r="F42" s="72">
        <f t="shared" si="5"/>
        <v>2019</v>
      </c>
      <c r="G42" s="89">
        <f t="shared" si="6"/>
        <v>43512</v>
      </c>
      <c r="H42" s="72" t="str">
        <f t="shared" si="7"/>
        <v>No</v>
      </c>
    </row>
    <row r="43" ht="15.75" customHeight="1">
      <c r="A43" s="88">
        <f t="shared" si="8"/>
        <v>43507</v>
      </c>
      <c r="B43" s="72" t="str">
        <f t="shared" si="1"/>
        <v>20190211</v>
      </c>
      <c r="C43" s="72" t="str">
        <f t="shared" si="2"/>
        <v>Monday</v>
      </c>
      <c r="D43" s="72" t="str">
        <f t="shared" si="3"/>
        <v>February</v>
      </c>
      <c r="E43" s="72" t="str">
        <f t="shared" si="4"/>
        <v>Q1</v>
      </c>
      <c r="F43" s="72">
        <f t="shared" si="5"/>
        <v>2019</v>
      </c>
      <c r="G43" s="89">
        <f t="shared" si="6"/>
        <v>43512</v>
      </c>
      <c r="H43" s="72" t="str">
        <f t="shared" si="7"/>
        <v>Yes</v>
      </c>
    </row>
    <row r="44" ht="15.75" customHeight="1">
      <c r="A44" s="88">
        <f t="shared" si="8"/>
        <v>43508</v>
      </c>
      <c r="B44" s="72" t="str">
        <f t="shared" si="1"/>
        <v>20190212</v>
      </c>
      <c r="C44" s="72" t="str">
        <f t="shared" si="2"/>
        <v>Tuesday</v>
      </c>
      <c r="D44" s="72" t="str">
        <f t="shared" si="3"/>
        <v>February</v>
      </c>
      <c r="E44" s="72" t="str">
        <f t="shared" si="4"/>
        <v>Q1</v>
      </c>
      <c r="F44" s="72">
        <f t="shared" si="5"/>
        <v>2019</v>
      </c>
      <c r="G44" s="89">
        <f t="shared" si="6"/>
        <v>43512</v>
      </c>
      <c r="H44" s="72" t="str">
        <f t="shared" si="7"/>
        <v>Yes</v>
      </c>
    </row>
    <row r="45" ht="15.75" customHeight="1">
      <c r="A45" s="88">
        <f t="shared" si="8"/>
        <v>43509</v>
      </c>
      <c r="B45" s="72" t="str">
        <f t="shared" si="1"/>
        <v>20190213</v>
      </c>
      <c r="C45" s="72" t="str">
        <f t="shared" si="2"/>
        <v>Wednesday</v>
      </c>
      <c r="D45" s="72" t="str">
        <f t="shared" si="3"/>
        <v>February</v>
      </c>
      <c r="E45" s="72" t="str">
        <f t="shared" si="4"/>
        <v>Q1</v>
      </c>
      <c r="F45" s="72">
        <f t="shared" si="5"/>
        <v>2019</v>
      </c>
      <c r="G45" s="89">
        <f t="shared" si="6"/>
        <v>43512</v>
      </c>
      <c r="H45" s="72" t="str">
        <f t="shared" si="7"/>
        <v>Yes</v>
      </c>
    </row>
    <row r="46" ht="15.75" customHeight="1">
      <c r="A46" s="88">
        <f t="shared" si="8"/>
        <v>43510</v>
      </c>
      <c r="B46" s="72" t="str">
        <f t="shared" si="1"/>
        <v>20190214</v>
      </c>
      <c r="C46" s="72" t="str">
        <f t="shared" si="2"/>
        <v>Thursday</v>
      </c>
      <c r="D46" s="72" t="str">
        <f t="shared" si="3"/>
        <v>February</v>
      </c>
      <c r="E46" s="72" t="str">
        <f t="shared" si="4"/>
        <v>Q1</v>
      </c>
      <c r="F46" s="72">
        <f t="shared" si="5"/>
        <v>2019</v>
      </c>
      <c r="G46" s="89">
        <f t="shared" si="6"/>
        <v>43512</v>
      </c>
      <c r="H46" s="72" t="str">
        <f t="shared" si="7"/>
        <v>Yes</v>
      </c>
    </row>
    <row r="47" ht="15.75" customHeight="1">
      <c r="A47" s="88">
        <f t="shared" si="8"/>
        <v>43511</v>
      </c>
      <c r="B47" s="72" t="str">
        <f t="shared" si="1"/>
        <v>20190215</v>
      </c>
      <c r="C47" s="72" t="str">
        <f t="shared" si="2"/>
        <v>Friday</v>
      </c>
      <c r="D47" s="72" t="str">
        <f t="shared" si="3"/>
        <v>February</v>
      </c>
      <c r="E47" s="72" t="str">
        <f t="shared" si="4"/>
        <v>Q1</v>
      </c>
      <c r="F47" s="72">
        <f t="shared" si="5"/>
        <v>2019</v>
      </c>
      <c r="G47" s="89">
        <f t="shared" si="6"/>
        <v>43512</v>
      </c>
      <c r="H47" s="72" t="str">
        <f t="shared" si="7"/>
        <v>Yes</v>
      </c>
    </row>
    <row r="48" ht="15.75" customHeight="1">
      <c r="A48" s="88">
        <f t="shared" si="8"/>
        <v>43512</v>
      </c>
      <c r="B48" s="72" t="str">
        <f t="shared" si="1"/>
        <v>20190216</v>
      </c>
      <c r="C48" s="72" t="str">
        <f t="shared" si="2"/>
        <v>Saturday</v>
      </c>
      <c r="D48" s="72" t="str">
        <f t="shared" si="3"/>
        <v>February</v>
      </c>
      <c r="E48" s="72" t="str">
        <f t="shared" si="4"/>
        <v>Q1</v>
      </c>
      <c r="F48" s="72">
        <f t="shared" si="5"/>
        <v>2019</v>
      </c>
      <c r="G48" s="89">
        <f t="shared" si="6"/>
        <v>43512</v>
      </c>
      <c r="H48" s="72" t="str">
        <f t="shared" si="7"/>
        <v>No</v>
      </c>
    </row>
    <row r="49" ht="15.75" customHeight="1">
      <c r="A49" s="88">
        <f t="shared" si="8"/>
        <v>43513</v>
      </c>
      <c r="B49" s="72" t="str">
        <f t="shared" si="1"/>
        <v>20190217</v>
      </c>
      <c r="C49" s="72" t="str">
        <f t="shared" si="2"/>
        <v>Sunday</v>
      </c>
      <c r="D49" s="72" t="str">
        <f t="shared" si="3"/>
        <v>February</v>
      </c>
      <c r="E49" s="72" t="str">
        <f t="shared" si="4"/>
        <v>Q1</v>
      </c>
      <c r="F49" s="72">
        <f t="shared" si="5"/>
        <v>2019</v>
      </c>
      <c r="G49" s="89">
        <f t="shared" si="6"/>
        <v>43519</v>
      </c>
      <c r="H49" s="72" t="str">
        <f t="shared" si="7"/>
        <v>No</v>
      </c>
    </row>
    <row r="50" ht="15.75" customHeight="1">
      <c r="A50" s="88">
        <f t="shared" si="8"/>
        <v>43514</v>
      </c>
      <c r="B50" s="72" t="str">
        <f t="shared" si="1"/>
        <v>20190218</v>
      </c>
      <c r="C50" s="72" t="str">
        <f t="shared" si="2"/>
        <v>Monday</v>
      </c>
      <c r="D50" s="72" t="str">
        <f t="shared" si="3"/>
        <v>February</v>
      </c>
      <c r="E50" s="72" t="str">
        <f t="shared" si="4"/>
        <v>Q1</v>
      </c>
      <c r="F50" s="72">
        <f t="shared" si="5"/>
        <v>2019</v>
      </c>
      <c r="G50" s="89">
        <f t="shared" si="6"/>
        <v>43519</v>
      </c>
      <c r="H50" s="72" t="str">
        <f t="shared" si="7"/>
        <v>Yes</v>
      </c>
    </row>
    <row r="51" ht="15.75" customHeight="1">
      <c r="A51" s="88">
        <f t="shared" si="8"/>
        <v>43515</v>
      </c>
      <c r="B51" s="72" t="str">
        <f t="shared" si="1"/>
        <v>20190219</v>
      </c>
      <c r="C51" s="72" t="str">
        <f t="shared" si="2"/>
        <v>Tuesday</v>
      </c>
      <c r="D51" s="72" t="str">
        <f t="shared" si="3"/>
        <v>February</v>
      </c>
      <c r="E51" s="72" t="str">
        <f t="shared" si="4"/>
        <v>Q1</v>
      </c>
      <c r="F51" s="72">
        <f t="shared" si="5"/>
        <v>2019</v>
      </c>
      <c r="G51" s="89">
        <f t="shared" si="6"/>
        <v>43519</v>
      </c>
      <c r="H51" s="72" t="str">
        <f t="shared" si="7"/>
        <v>Yes</v>
      </c>
    </row>
    <row r="52" ht="15.75" customHeight="1">
      <c r="A52" s="88">
        <f t="shared" si="8"/>
        <v>43516</v>
      </c>
      <c r="B52" s="72" t="str">
        <f t="shared" si="1"/>
        <v>20190220</v>
      </c>
      <c r="C52" s="72" t="str">
        <f t="shared" si="2"/>
        <v>Wednesday</v>
      </c>
      <c r="D52" s="72" t="str">
        <f t="shared" si="3"/>
        <v>February</v>
      </c>
      <c r="E52" s="72" t="str">
        <f t="shared" si="4"/>
        <v>Q1</v>
      </c>
      <c r="F52" s="72">
        <f t="shared" si="5"/>
        <v>2019</v>
      </c>
      <c r="G52" s="89">
        <f t="shared" si="6"/>
        <v>43519</v>
      </c>
      <c r="H52" s="72" t="str">
        <f t="shared" si="7"/>
        <v>Yes</v>
      </c>
    </row>
    <row r="53" ht="15.75" customHeight="1">
      <c r="A53" s="88">
        <f t="shared" si="8"/>
        <v>43517</v>
      </c>
      <c r="B53" s="72" t="str">
        <f t="shared" si="1"/>
        <v>20190221</v>
      </c>
      <c r="C53" s="72" t="str">
        <f t="shared" si="2"/>
        <v>Thursday</v>
      </c>
      <c r="D53" s="72" t="str">
        <f t="shared" si="3"/>
        <v>February</v>
      </c>
      <c r="E53" s="72" t="str">
        <f t="shared" si="4"/>
        <v>Q1</v>
      </c>
      <c r="F53" s="72">
        <f t="shared" si="5"/>
        <v>2019</v>
      </c>
      <c r="G53" s="89">
        <f t="shared" si="6"/>
        <v>43519</v>
      </c>
      <c r="H53" s="72" t="str">
        <f t="shared" si="7"/>
        <v>Yes</v>
      </c>
    </row>
    <row r="54" ht="15.75" customHeight="1">
      <c r="A54" s="88">
        <f t="shared" si="8"/>
        <v>43518</v>
      </c>
      <c r="B54" s="72" t="str">
        <f t="shared" si="1"/>
        <v>20190222</v>
      </c>
      <c r="C54" s="72" t="str">
        <f t="shared" si="2"/>
        <v>Friday</v>
      </c>
      <c r="D54" s="72" t="str">
        <f t="shared" si="3"/>
        <v>February</v>
      </c>
      <c r="E54" s="72" t="str">
        <f t="shared" si="4"/>
        <v>Q1</v>
      </c>
      <c r="F54" s="72">
        <f t="shared" si="5"/>
        <v>2019</v>
      </c>
      <c r="G54" s="89">
        <f t="shared" si="6"/>
        <v>43519</v>
      </c>
      <c r="H54" s="72" t="str">
        <f t="shared" si="7"/>
        <v>Yes</v>
      </c>
    </row>
    <row r="55" ht="15.75" customHeight="1">
      <c r="A55" s="88">
        <f t="shared" si="8"/>
        <v>43519</v>
      </c>
      <c r="B55" s="72" t="str">
        <f t="shared" si="1"/>
        <v>20190223</v>
      </c>
      <c r="C55" s="72" t="str">
        <f t="shared" si="2"/>
        <v>Saturday</v>
      </c>
      <c r="D55" s="72" t="str">
        <f t="shared" si="3"/>
        <v>February</v>
      </c>
      <c r="E55" s="72" t="str">
        <f t="shared" si="4"/>
        <v>Q1</v>
      </c>
      <c r="F55" s="72">
        <f t="shared" si="5"/>
        <v>2019</v>
      </c>
      <c r="G55" s="89">
        <f t="shared" si="6"/>
        <v>43519</v>
      </c>
      <c r="H55" s="72" t="str">
        <f t="shared" si="7"/>
        <v>No</v>
      </c>
    </row>
    <row r="56" ht="15.75" customHeight="1">
      <c r="A56" s="88">
        <f t="shared" si="8"/>
        <v>43520</v>
      </c>
      <c r="B56" s="72" t="str">
        <f t="shared" si="1"/>
        <v>20190224</v>
      </c>
      <c r="C56" s="72" t="str">
        <f t="shared" si="2"/>
        <v>Sunday</v>
      </c>
      <c r="D56" s="72" t="str">
        <f t="shared" si="3"/>
        <v>February</v>
      </c>
      <c r="E56" s="72" t="str">
        <f t="shared" si="4"/>
        <v>Q1</v>
      </c>
      <c r="F56" s="72">
        <f t="shared" si="5"/>
        <v>2019</v>
      </c>
      <c r="G56" s="89">
        <f t="shared" si="6"/>
        <v>43526</v>
      </c>
      <c r="H56" s="72" t="str">
        <f t="shared" si="7"/>
        <v>No</v>
      </c>
    </row>
    <row r="57" ht="15.75" customHeight="1">
      <c r="A57" s="88">
        <f t="shared" si="8"/>
        <v>43521</v>
      </c>
      <c r="B57" s="72" t="str">
        <f t="shared" si="1"/>
        <v>20190225</v>
      </c>
      <c r="C57" s="72" t="str">
        <f t="shared" si="2"/>
        <v>Monday</v>
      </c>
      <c r="D57" s="72" t="str">
        <f t="shared" si="3"/>
        <v>February</v>
      </c>
      <c r="E57" s="72" t="str">
        <f t="shared" si="4"/>
        <v>Q1</v>
      </c>
      <c r="F57" s="72">
        <f t="shared" si="5"/>
        <v>2019</v>
      </c>
      <c r="G57" s="89">
        <f t="shared" si="6"/>
        <v>43526</v>
      </c>
      <c r="H57" s="72" t="str">
        <f t="shared" si="7"/>
        <v>Yes</v>
      </c>
    </row>
    <row r="58" ht="15.75" customHeight="1">
      <c r="A58" s="88">
        <f t="shared" si="8"/>
        <v>43522</v>
      </c>
      <c r="B58" s="72" t="str">
        <f t="shared" si="1"/>
        <v>20190226</v>
      </c>
      <c r="C58" s="72" t="str">
        <f t="shared" si="2"/>
        <v>Tuesday</v>
      </c>
      <c r="D58" s="72" t="str">
        <f t="shared" si="3"/>
        <v>February</v>
      </c>
      <c r="E58" s="72" t="str">
        <f t="shared" si="4"/>
        <v>Q1</v>
      </c>
      <c r="F58" s="72">
        <f t="shared" si="5"/>
        <v>2019</v>
      </c>
      <c r="G58" s="89">
        <f t="shared" si="6"/>
        <v>43526</v>
      </c>
      <c r="H58" s="72" t="str">
        <f t="shared" si="7"/>
        <v>Yes</v>
      </c>
    </row>
    <row r="59" ht="15.75" customHeight="1">
      <c r="A59" s="88">
        <f t="shared" si="8"/>
        <v>43523</v>
      </c>
      <c r="B59" s="72" t="str">
        <f t="shared" si="1"/>
        <v>20190227</v>
      </c>
      <c r="C59" s="72" t="str">
        <f t="shared" si="2"/>
        <v>Wednesday</v>
      </c>
      <c r="D59" s="72" t="str">
        <f t="shared" si="3"/>
        <v>February</v>
      </c>
      <c r="E59" s="72" t="str">
        <f t="shared" si="4"/>
        <v>Q1</v>
      </c>
      <c r="F59" s="72">
        <f t="shared" si="5"/>
        <v>2019</v>
      </c>
      <c r="G59" s="89">
        <f t="shared" si="6"/>
        <v>43526</v>
      </c>
      <c r="H59" s="72" t="str">
        <f t="shared" si="7"/>
        <v>Yes</v>
      </c>
    </row>
    <row r="60" ht="15.75" customHeight="1">
      <c r="A60" s="88">
        <f t="shared" si="8"/>
        <v>43524</v>
      </c>
      <c r="B60" s="72" t="str">
        <f t="shared" si="1"/>
        <v>20190228</v>
      </c>
      <c r="C60" s="72" t="str">
        <f t="shared" si="2"/>
        <v>Thursday</v>
      </c>
      <c r="D60" s="72" t="str">
        <f t="shared" si="3"/>
        <v>February</v>
      </c>
      <c r="E60" s="72" t="str">
        <f t="shared" si="4"/>
        <v>Q1</v>
      </c>
      <c r="F60" s="72">
        <f t="shared" si="5"/>
        <v>2019</v>
      </c>
      <c r="G60" s="89">
        <f t="shared" si="6"/>
        <v>43526</v>
      </c>
      <c r="H60" s="72" t="str">
        <f t="shared" si="7"/>
        <v>Yes</v>
      </c>
    </row>
    <row r="61" ht="15.75" customHeight="1">
      <c r="A61" s="88">
        <f t="shared" si="8"/>
        <v>43525</v>
      </c>
      <c r="B61" s="72" t="str">
        <f t="shared" si="1"/>
        <v>20190301</v>
      </c>
      <c r="C61" s="72" t="str">
        <f t="shared" si="2"/>
        <v>Friday</v>
      </c>
      <c r="D61" s="72" t="str">
        <f t="shared" si="3"/>
        <v>March</v>
      </c>
      <c r="E61" s="72" t="str">
        <f t="shared" si="4"/>
        <v>Q1</v>
      </c>
      <c r="F61" s="72">
        <f t="shared" si="5"/>
        <v>2019</v>
      </c>
      <c r="G61" s="89">
        <f t="shared" si="6"/>
        <v>43526</v>
      </c>
      <c r="H61" s="72" t="str">
        <f t="shared" si="7"/>
        <v>Yes</v>
      </c>
    </row>
    <row r="62" ht="15.75" customHeight="1">
      <c r="A62" s="88">
        <f t="shared" si="8"/>
        <v>43526</v>
      </c>
      <c r="B62" s="72" t="str">
        <f t="shared" si="1"/>
        <v>20190302</v>
      </c>
      <c r="C62" s="72" t="str">
        <f t="shared" si="2"/>
        <v>Saturday</v>
      </c>
      <c r="D62" s="72" t="str">
        <f t="shared" si="3"/>
        <v>March</v>
      </c>
      <c r="E62" s="72" t="str">
        <f t="shared" si="4"/>
        <v>Q1</v>
      </c>
      <c r="F62" s="72">
        <f t="shared" si="5"/>
        <v>2019</v>
      </c>
      <c r="G62" s="89">
        <f t="shared" si="6"/>
        <v>43526</v>
      </c>
      <c r="H62" s="72" t="str">
        <f t="shared" si="7"/>
        <v>No</v>
      </c>
    </row>
    <row r="63" ht="15.75" customHeight="1">
      <c r="A63" s="88">
        <f t="shared" si="8"/>
        <v>43527</v>
      </c>
      <c r="B63" s="72" t="str">
        <f t="shared" si="1"/>
        <v>20190303</v>
      </c>
      <c r="C63" s="72" t="str">
        <f t="shared" si="2"/>
        <v>Sunday</v>
      </c>
      <c r="D63" s="72" t="str">
        <f t="shared" si="3"/>
        <v>March</v>
      </c>
      <c r="E63" s="72" t="str">
        <f t="shared" si="4"/>
        <v>Q1</v>
      </c>
      <c r="F63" s="72">
        <f t="shared" si="5"/>
        <v>2019</v>
      </c>
      <c r="G63" s="89">
        <f t="shared" si="6"/>
        <v>43533</v>
      </c>
      <c r="H63" s="72" t="str">
        <f t="shared" si="7"/>
        <v>No</v>
      </c>
    </row>
    <row r="64" ht="15.75" customHeight="1">
      <c r="A64" s="88">
        <f t="shared" si="8"/>
        <v>43528</v>
      </c>
      <c r="B64" s="72" t="str">
        <f t="shared" si="1"/>
        <v>20190304</v>
      </c>
      <c r="C64" s="72" t="str">
        <f t="shared" si="2"/>
        <v>Monday</v>
      </c>
      <c r="D64" s="72" t="str">
        <f t="shared" si="3"/>
        <v>March</v>
      </c>
      <c r="E64" s="72" t="str">
        <f t="shared" si="4"/>
        <v>Q1</v>
      </c>
      <c r="F64" s="72">
        <f t="shared" si="5"/>
        <v>2019</v>
      </c>
      <c r="G64" s="89">
        <f t="shared" si="6"/>
        <v>43533</v>
      </c>
      <c r="H64" s="72" t="str">
        <f t="shared" si="7"/>
        <v>Yes</v>
      </c>
    </row>
    <row r="65" ht="15.75" customHeight="1">
      <c r="A65" s="88">
        <f t="shared" si="8"/>
        <v>43529</v>
      </c>
      <c r="B65" s="72" t="str">
        <f t="shared" si="1"/>
        <v>20190305</v>
      </c>
      <c r="C65" s="72" t="str">
        <f t="shared" si="2"/>
        <v>Tuesday</v>
      </c>
      <c r="D65" s="72" t="str">
        <f t="shared" si="3"/>
        <v>March</v>
      </c>
      <c r="E65" s="72" t="str">
        <f t="shared" si="4"/>
        <v>Q1</v>
      </c>
      <c r="F65" s="72">
        <f t="shared" si="5"/>
        <v>2019</v>
      </c>
      <c r="G65" s="89">
        <f t="shared" si="6"/>
        <v>43533</v>
      </c>
      <c r="H65" s="72" t="str">
        <f t="shared" si="7"/>
        <v>Yes</v>
      </c>
    </row>
    <row r="66" ht="15.75" customHeight="1">
      <c r="A66" s="88">
        <f t="shared" si="8"/>
        <v>43530</v>
      </c>
      <c r="B66" s="72" t="str">
        <f t="shared" si="1"/>
        <v>20190306</v>
      </c>
      <c r="C66" s="72" t="str">
        <f t="shared" si="2"/>
        <v>Wednesday</v>
      </c>
      <c r="D66" s="72" t="str">
        <f t="shared" si="3"/>
        <v>March</v>
      </c>
      <c r="E66" s="72" t="str">
        <f t="shared" si="4"/>
        <v>Q1</v>
      </c>
      <c r="F66" s="72">
        <f t="shared" si="5"/>
        <v>2019</v>
      </c>
      <c r="G66" s="89">
        <f t="shared" si="6"/>
        <v>43533</v>
      </c>
      <c r="H66" s="72" t="str">
        <f t="shared" si="7"/>
        <v>Yes</v>
      </c>
    </row>
    <row r="67" ht="15.75" customHeight="1">
      <c r="A67" s="88">
        <f t="shared" si="8"/>
        <v>43531</v>
      </c>
      <c r="B67" s="72" t="str">
        <f t="shared" si="1"/>
        <v>20190307</v>
      </c>
      <c r="C67" s="72" t="str">
        <f t="shared" si="2"/>
        <v>Thursday</v>
      </c>
      <c r="D67" s="72" t="str">
        <f t="shared" si="3"/>
        <v>March</v>
      </c>
      <c r="E67" s="72" t="str">
        <f t="shared" si="4"/>
        <v>Q1</v>
      </c>
      <c r="F67" s="72">
        <f t="shared" si="5"/>
        <v>2019</v>
      </c>
      <c r="G67" s="89">
        <f t="shared" si="6"/>
        <v>43533</v>
      </c>
      <c r="H67" s="72" t="str">
        <f t="shared" si="7"/>
        <v>Yes</v>
      </c>
    </row>
    <row r="68" ht="15.75" customHeight="1">
      <c r="A68" s="88">
        <f t="shared" si="8"/>
        <v>43532</v>
      </c>
      <c r="B68" s="72" t="str">
        <f t="shared" si="1"/>
        <v>20190308</v>
      </c>
      <c r="C68" s="72" t="str">
        <f t="shared" si="2"/>
        <v>Friday</v>
      </c>
      <c r="D68" s="72" t="str">
        <f t="shared" si="3"/>
        <v>March</v>
      </c>
      <c r="E68" s="72" t="str">
        <f t="shared" si="4"/>
        <v>Q1</v>
      </c>
      <c r="F68" s="72">
        <f t="shared" si="5"/>
        <v>2019</v>
      </c>
      <c r="G68" s="89">
        <f t="shared" si="6"/>
        <v>43533</v>
      </c>
      <c r="H68" s="72" t="str">
        <f t="shared" si="7"/>
        <v>Yes</v>
      </c>
    </row>
    <row r="69" ht="15.75" customHeight="1">
      <c r="A69" s="88">
        <f t="shared" si="8"/>
        <v>43533</v>
      </c>
      <c r="B69" s="72" t="str">
        <f t="shared" si="1"/>
        <v>20190309</v>
      </c>
      <c r="C69" s="72" t="str">
        <f t="shared" si="2"/>
        <v>Saturday</v>
      </c>
      <c r="D69" s="72" t="str">
        <f t="shared" si="3"/>
        <v>March</v>
      </c>
      <c r="E69" s="72" t="str">
        <f t="shared" si="4"/>
        <v>Q1</v>
      </c>
      <c r="F69" s="72">
        <f t="shared" si="5"/>
        <v>2019</v>
      </c>
      <c r="G69" s="89">
        <f t="shared" si="6"/>
        <v>43533</v>
      </c>
      <c r="H69" s="72" t="str">
        <f t="shared" si="7"/>
        <v>No</v>
      </c>
    </row>
    <row r="70" ht="15.75" customHeight="1">
      <c r="A70" s="88">
        <f t="shared" si="8"/>
        <v>43534</v>
      </c>
      <c r="B70" s="72" t="str">
        <f t="shared" si="1"/>
        <v>20190310</v>
      </c>
      <c r="C70" s="72" t="str">
        <f t="shared" si="2"/>
        <v>Sunday</v>
      </c>
      <c r="D70" s="72" t="str">
        <f t="shared" si="3"/>
        <v>March</v>
      </c>
      <c r="E70" s="72" t="str">
        <f t="shared" si="4"/>
        <v>Q1</v>
      </c>
      <c r="F70" s="72">
        <f t="shared" si="5"/>
        <v>2019</v>
      </c>
      <c r="G70" s="89">
        <f t="shared" si="6"/>
        <v>43540</v>
      </c>
      <c r="H70" s="72" t="str">
        <f t="shared" si="7"/>
        <v>No</v>
      </c>
    </row>
    <row r="71" ht="15.75" customHeight="1">
      <c r="A71" s="88">
        <f t="shared" si="8"/>
        <v>43535</v>
      </c>
      <c r="B71" s="72" t="str">
        <f t="shared" si="1"/>
        <v>20190311</v>
      </c>
      <c r="C71" s="72" t="str">
        <f t="shared" si="2"/>
        <v>Monday</v>
      </c>
      <c r="D71" s="72" t="str">
        <f t="shared" si="3"/>
        <v>March</v>
      </c>
      <c r="E71" s="72" t="str">
        <f t="shared" si="4"/>
        <v>Q1</v>
      </c>
      <c r="F71" s="72">
        <f t="shared" si="5"/>
        <v>2019</v>
      </c>
      <c r="G71" s="89">
        <f t="shared" si="6"/>
        <v>43540</v>
      </c>
      <c r="H71" s="72" t="str">
        <f t="shared" si="7"/>
        <v>Yes</v>
      </c>
    </row>
    <row r="72" ht="15.75" customHeight="1">
      <c r="A72" s="88">
        <f t="shared" si="8"/>
        <v>43536</v>
      </c>
      <c r="B72" s="72" t="str">
        <f t="shared" si="1"/>
        <v>20190312</v>
      </c>
      <c r="C72" s="72" t="str">
        <f t="shared" si="2"/>
        <v>Tuesday</v>
      </c>
      <c r="D72" s="72" t="str">
        <f t="shared" si="3"/>
        <v>March</v>
      </c>
      <c r="E72" s="72" t="str">
        <f t="shared" si="4"/>
        <v>Q1</v>
      </c>
      <c r="F72" s="72">
        <f t="shared" si="5"/>
        <v>2019</v>
      </c>
      <c r="G72" s="89">
        <f t="shared" si="6"/>
        <v>43540</v>
      </c>
      <c r="H72" s="72" t="str">
        <f t="shared" si="7"/>
        <v>Yes</v>
      </c>
    </row>
    <row r="73" ht="15.75" customHeight="1">
      <c r="A73" s="88">
        <f t="shared" si="8"/>
        <v>43537</v>
      </c>
      <c r="B73" s="72" t="str">
        <f t="shared" si="1"/>
        <v>20190313</v>
      </c>
      <c r="C73" s="72" t="str">
        <f t="shared" si="2"/>
        <v>Wednesday</v>
      </c>
      <c r="D73" s="72" t="str">
        <f t="shared" si="3"/>
        <v>March</v>
      </c>
      <c r="E73" s="72" t="str">
        <f t="shared" si="4"/>
        <v>Q1</v>
      </c>
      <c r="F73" s="72">
        <f t="shared" si="5"/>
        <v>2019</v>
      </c>
      <c r="G73" s="89">
        <f t="shared" si="6"/>
        <v>43540</v>
      </c>
      <c r="H73" s="72" t="str">
        <f t="shared" si="7"/>
        <v>Yes</v>
      </c>
    </row>
    <row r="74" ht="15.75" customHeight="1">
      <c r="A74" s="88">
        <f t="shared" si="8"/>
        <v>43538</v>
      </c>
      <c r="B74" s="72" t="str">
        <f t="shared" si="1"/>
        <v>20190314</v>
      </c>
      <c r="C74" s="72" t="str">
        <f t="shared" si="2"/>
        <v>Thursday</v>
      </c>
      <c r="D74" s="72" t="str">
        <f t="shared" si="3"/>
        <v>March</v>
      </c>
      <c r="E74" s="72" t="str">
        <f t="shared" si="4"/>
        <v>Q1</v>
      </c>
      <c r="F74" s="72">
        <f t="shared" si="5"/>
        <v>2019</v>
      </c>
      <c r="G74" s="89">
        <f t="shared" si="6"/>
        <v>43540</v>
      </c>
      <c r="H74" s="72" t="str">
        <f t="shared" si="7"/>
        <v>Yes</v>
      </c>
    </row>
    <row r="75" ht="15.75" customHeight="1">
      <c r="A75" s="88">
        <f t="shared" si="8"/>
        <v>43539</v>
      </c>
      <c r="B75" s="72" t="str">
        <f t="shared" si="1"/>
        <v>20190315</v>
      </c>
      <c r="C75" s="72" t="str">
        <f t="shared" si="2"/>
        <v>Friday</v>
      </c>
      <c r="D75" s="72" t="str">
        <f t="shared" si="3"/>
        <v>March</v>
      </c>
      <c r="E75" s="72" t="str">
        <f t="shared" si="4"/>
        <v>Q1</v>
      </c>
      <c r="F75" s="72">
        <f t="shared" si="5"/>
        <v>2019</v>
      </c>
      <c r="G75" s="89">
        <f t="shared" si="6"/>
        <v>43540</v>
      </c>
      <c r="H75" s="72" t="str">
        <f t="shared" si="7"/>
        <v>Yes</v>
      </c>
    </row>
    <row r="76" ht="15.75" customHeight="1">
      <c r="A76" s="88">
        <f t="shared" si="8"/>
        <v>43540</v>
      </c>
      <c r="B76" s="72" t="str">
        <f t="shared" si="1"/>
        <v>20190316</v>
      </c>
      <c r="C76" s="72" t="str">
        <f t="shared" si="2"/>
        <v>Saturday</v>
      </c>
      <c r="D76" s="72" t="str">
        <f t="shared" si="3"/>
        <v>March</v>
      </c>
      <c r="E76" s="72" t="str">
        <f t="shared" si="4"/>
        <v>Q1</v>
      </c>
      <c r="F76" s="72">
        <f t="shared" si="5"/>
        <v>2019</v>
      </c>
      <c r="G76" s="89">
        <f t="shared" si="6"/>
        <v>43540</v>
      </c>
      <c r="H76" s="72" t="str">
        <f t="shared" si="7"/>
        <v>No</v>
      </c>
    </row>
    <row r="77" ht="15.75" customHeight="1">
      <c r="A77" s="88">
        <f t="shared" si="8"/>
        <v>43541</v>
      </c>
      <c r="B77" s="72" t="str">
        <f t="shared" si="1"/>
        <v>20190317</v>
      </c>
      <c r="C77" s="72" t="str">
        <f t="shared" si="2"/>
        <v>Sunday</v>
      </c>
      <c r="D77" s="72" t="str">
        <f t="shared" si="3"/>
        <v>March</v>
      </c>
      <c r="E77" s="72" t="str">
        <f t="shared" si="4"/>
        <v>Q1</v>
      </c>
      <c r="F77" s="72">
        <f t="shared" si="5"/>
        <v>2019</v>
      </c>
      <c r="G77" s="89">
        <f t="shared" si="6"/>
        <v>43547</v>
      </c>
      <c r="H77" s="72" t="str">
        <f t="shared" si="7"/>
        <v>No</v>
      </c>
    </row>
    <row r="78" ht="15.75" customHeight="1">
      <c r="A78" s="88">
        <f t="shared" si="8"/>
        <v>43542</v>
      </c>
      <c r="B78" s="72" t="str">
        <f t="shared" si="1"/>
        <v>20190318</v>
      </c>
      <c r="C78" s="72" t="str">
        <f t="shared" si="2"/>
        <v>Monday</v>
      </c>
      <c r="D78" s="72" t="str">
        <f t="shared" si="3"/>
        <v>March</v>
      </c>
      <c r="E78" s="72" t="str">
        <f t="shared" si="4"/>
        <v>Q1</v>
      </c>
      <c r="F78" s="72">
        <f t="shared" si="5"/>
        <v>2019</v>
      </c>
      <c r="G78" s="89">
        <f t="shared" si="6"/>
        <v>43547</v>
      </c>
      <c r="H78" s="72" t="str">
        <f t="shared" si="7"/>
        <v>Yes</v>
      </c>
    </row>
    <row r="79" ht="15.75" customHeight="1">
      <c r="A79" s="88">
        <f t="shared" si="8"/>
        <v>43543</v>
      </c>
      <c r="B79" s="72" t="str">
        <f t="shared" si="1"/>
        <v>20190319</v>
      </c>
      <c r="C79" s="72" t="str">
        <f t="shared" si="2"/>
        <v>Tuesday</v>
      </c>
      <c r="D79" s="72" t="str">
        <f t="shared" si="3"/>
        <v>March</v>
      </c>
      <c r="E79" s="72" t="str">
        <f t="shared" si="4"/>
        <v>Q1</v>
      </c>
      <c r="F79" s="72">
        <f t="shared" si="5"/>
        <v>2019</v>
      </c>
      <c r="G79" s="89">
        <f t="shared" si="6"/>
        <v>43547</v>
      </c>
      <c r="H79" s="72" t="str">
        <f t="shared" si="7"/>
        <v>Yes</v>
      </c>
    </row>
    <row r="80" ht="15.75" customHeight="1">
      <c r="A80" s="88">
        <f t="shared" si="8"/>
        <v>43544</v>
      </c>
      <c r="B80" s="72" t="str">
        <f t="shared" si="1"/>
        <v>20190320</v>
      </c>
      <c r="C80" s="72" t="str">
        <f t="shared" si="2"/>
        <v>Wednesday</v>
      </c>
      <c r="D80" s="72" t="str">
        <f t="shared" si="3"/>
        <v>March</v>
      </c>
      <c r="E80" s="72" t="str">
        <f t="shared" si="4"/>
        <v>Q1</v>
      </c>
      <c r="F80" s="72">
        <f t="shared" si="5"/>
        <v>2019</v>
      </c>
      <c r="G80" s="89">
        <f t="shared" si="6"/>
        <v>43547</v>
      </c>
      <c r="H80" s="72" t="str">
        <f t="shared" si="7"/>
        <v>Yes</v>
      </c>
    </row>
    <row r="81" ht="15.75" customHeight="1">
      <c r="A81" s="88">
        <f t="shared" si="8"/>
        <v>43545</v>
      </c>
      <c r="B81" s="72" t="str">
        <f t="shared" si="1"/>
        <v>20190321</v>
      </c>
      <c r="C81" s="72" t="str">
        <f t="shared" si="2"/>
        <v>Thursday</v>
      </c>
      <c r="D81" s="72" t="str">
        <f t="shared" si="3"/>
        <v>March</v>
      </c>
      <c r="E81" s="72" t="str">
        <f t="shared" si="4"/>
        <v>Q1</v>
      </c>
      <c r="F81" s="72">
        <f t="shared" si="5"/>
        <v>2019</v>
      </c>
      <c r="G81" s="89">
        <f t="shared" si="6"/>
        <v>43547</v>
      </c>
      <c r="H81" s="72" t="str">
        <f t="shared" si="7"/>
        <v>Yes</v>
      </c>
    </row>
    <row r="82" ht="15.75" customHeight="1">
      <c r="A82" s="88">
        <f t="shared" si="8"/>
        <v>43546</v>
      </c>
      <c r="B82" s="72" t="str">
        <f t="shared" si="1"/>
        <v>20190322</v>
      </c>
      <c r="C82" s="72" t="str">
        <f t="shared" si="2"/>
        <v>Friday</v>
      </c>
      <c r="D82" s="72" t="str">
        <f t="shared" si="3"/>
        <v>March</v>
      </c>
      <c r="E82" s="72" t="str">
        <f t="shared" si="4"/>
        <v>Q1</v>
      </c>
      <c r="F82" s="72">
        <f t="shared" si="5"/>
        <v>2019</v>
      </c>
      <c r="G82" s="89">
        <f t="shared" si="6"/>
        <v>43547</v>
      </c>
      <c r="H82" s="72" t="str">
        <f t="shared" si="7"/>
        <v>Yes</v>
      </c>
    </row>
    <row r="83" ht="15.75" customHeight="1">
      <c r="A83" s="88">
        <f t="shared" si="8"/>
        <v>43547</v>
      </c>
      <c r="B83" s="72" t="str">
        <f t="shared" si="1"/>
        <v>20190323</v>
      </c>
      <c r="C83" s="72" t="str">
        <f t="shared" si="2"/>
        <v>Saturday</v>
      </c>
      <c r="D83" s="72" t="str">
        <f t="shared" si="3"/>
        <v>March</v>
      </c>
      <c r="E83" s="72" t="str">
        <f t="shared" si="4"/>
        <v>Q1</v>
      </c>
      <c r="F83" s="72">
        <f t="shared" si="5"/>
        <v>2019</v>
      </c>
      <c r="G83" s="89">
        <f t="shared" si="6"/>
        <v>43547</v>
      </c>
      <c r="H83" s="72" t="str">
        <f t="shared" si="7"/>
        <v>No</v>
      </c>
    </row>
    <row r="84" ht="15.75" customHeight="1">
      <c r="A84" s="88">
        <f t="shared" si="8"/>
        <v>43548</v>
      </c>
      <c r="B84" s="72" t="str">
        <f t="shared" si="1"/>
        <v>20190324</v>
      </c>
      <c r="C84" s="72" t="str">
        <f t="shared" si="2"/>
        <v>Sunday</v>
      </c>
      <c r="D84" s="72" t="str">
        <f t="shared" si="3"/>
        <v>March</v>
      </c>
      <c r="E84" s="72" t="str">
        <f t="shared" si="4"/>
        <v>Q1</v>
      </c>
      <c r="F84" s="72">
        <f t="shared" si="5"/>
        <v>2019</v>
      </c>
      <c r="G84" s="89">
        <f t="shared" si="6"/>
        <v>43554</v>
      </c>
      <c r="H84" s="72" t="str">
        <f t="shared" si="7"/>
        <v>No</v>
      </c>
    </row>
    <row r="85" ht="15.75" customHeight="1">
      <c r="A85" s="88">
        <f t="shared" si="8"/>
        <v>43549</v>
      </c>
      <c r="B85" s="72" t="str">
        <f t="shared" si="1"/>
        <v>20190325</v>
      </c>
      <c r="C85" s="72" t="str">
        <f t="shared" si="2"/>
        <v>Monday</v>
      </c>
      <c r="D85" s="72" t="str">
        <f t="shared" si="3"/>
        <v>March</v>
      </c>
      <c r="E85" s="72" t="str">
        <f t="shared" si="4"/>
        <v>Q1</v>
      </c>
      <c r="F85" s="72">
        <f t="shared" si="5"/>
        <v>2019</v>
      </c>
      <c r="G85" s="89">
        <f t="shared" si="6"/>
        <v>43554</v>
      </c>
      <c r="H85" s="72" t="str">
        <f t="shared" si="7"/>
        <v>Yes</v>
      </c>
    </row>
    <row r="86" ht="15.75" customHeight="1">
      <c r="A86" s="88">
        <f t="shared" si="8"/>
        <v>43550</v>
      </c>
      <c r="B86" s="72" t="str">
        <f t="shared" si="1"/>
        <v>20190326</v>
      </c>
      <c r="C86" s="72" t="str">
        <f t="shared" si="2"/>
        <v>Tuesday</v>
      </c>
      <c r="D86" s="72" t="str">
        <f t="shared" si="3"/>
        <v>March</v>
      </c>
      <c r="E86" s="72" t="str">
        <f t="shared" si="4"/>
        <v>Q1</v>
      </c>
      <c r="F86" s="72">
        <f t="shared" si="5"/>
        <v>2019</v>
      </c>
      <c r="G86" s="89">
        <f t="shared" si="6"/>
        <v>43554</v>
      </c>
      <c r="H86" s="72" t="str">
        <f t="shared" si="7"/>
        <v>Yes</v>
      </c>
    </row>
    <row r="87" ht="15.75" customHeight="1">
      <c r="A87" s="88">
        <f t="shared" si="8"/>
        <v>43551</v>
      </c>
      <c r="B87" s="72" t="str">
        <f t="shared" si="1"/>
        <v>20190327</v>
      </c>
      <c r="C87" s="72" t="str">
        <f t="shared" si="2"/>
        <v>Wednesday</v>
      </c>
      <c r="D87" s="72" t="str">
        <f t="shared" si="3"/>
        <v>March</v>
      </c>
      <c r="E87" s="72" t="str">
        <f t="shared" si="4"/>
        <v>Q1</v>
      </c>
      <c r="F87" s="72">
        <f t="shared" si="5"/>
        <v>2019</v>
      </c>
      <c r="G87" s="89">
        <f t="shared" si="6"/>
        <v>43554</v>
      </c>
      <c r="H87" s="72" t="str">
        <f t="shared" si="7"/>
        <v>Yes</v>
      </c>
    </row>
    <row r="88" ht="15.75" customHeight="1">
      <c r="A88" s="88">
        <f t="shared" si="8"/>
        <v>43552</v>
      </c>
      <c r="B88" s="72" t="str">
        <f t="shared" si="1"/>
        <v>20190328</v>
      </c>
      <c r="C88" s="72" t="str">
        <f t="shared" si="2"/>
        <v>Thursday</v>
      </c>
      <c r="D88" s="72" t="str">
        <f t="shared" si="3"/>
        <v>March</v>
      </c>
      <c r="E88" s="72" t="str">
        <f t="shared" si="4"/>
        <v>Q1</v>
      </c>
      <c r="F88" s="72">
        <f t="shared" si="5"/>
        <v>2019</v>
      </c>
      <c r="G88" s="89">
        <f t="shared" si="6"/>
        <v>43554</v>
      </c>
      <c r="H88" s="72" t="str">
        <f t="shared" si="7"/>
        <v>Yes</v>
      </c>
    </row>
    <row r="89" ht="15.75" customHeight="1">
      <c r="A89" s="88">
        <f t="shared" si="8"/>
        <v>43553</v>
      </c>
      <c r="B89" s="72" t="str">
        <f t="shared" si="1"/>
        <v>20190329</v>
      </c>
      <c r="C89" s="72" t="str">
        <f t="shared" si="2"/>
        <v>Friday</v>
      </c>
      <c r="D89" s="72" t="str">
        <f t="shared" si="3"/>
        <v>March</v>
      </c>
      <c r="E89" s="72" t="str">
        <f t="shared" si="4"/>
        <v>Q1</v>
      </c>
      <c r="F89" s="72">
        <f t="shared" si="5"/>
        <v>2019</v>
      </c>
      <c r="G89" s="89">
        <f t="shared" si="6"/>
        <v>43554</v>
      </c>
      <c r="H89" s="72" t="str">
        <f t="shared" si="7"/>
        <v>Yes</v>
      </c>
    </row>
    <row r="90" ht="15.75" customHeight="1">
      <c r="A90" s="88">
        <f t="shared" si="8"/>
        <v>43554</v>
      </c>
      <c r="B90" s="72" t="str">
        <f t="shared" si="1"/>
        <v>20190330</v>
      </c>
      <c r="C90" s="72" t="str">
        <f t="shared" si="2"/>
        <v>Saturday</v>
      </c>
      <c r="D90" s="72" t="str">
        <f t="shared" si="3"/>
        <v>March</v>
      </c>
      <c r="E90" s="72" t="str">
        <f t="shared" si="4"/>
        <v>Q1</v>
      </c>
      <c r="F90" s="72">
        <f t="shared" si="5"/>
        <v>2019</v>
      </c>
      <c r="G90" s="89">
        <f t="shared" si="6"/>
        <v>43554</v>
      </c>
      <c r="H90" s="72" t="str">
        <f t="shared" si="7"/>
        <v>No</v>
      </c>
    </row>
    <row r="91" ht="15.75" customHeight="1">
      <c r="A91" s="88">
        <f t="shared" si="8"/>
        <v>43555</v>
      </c>
      <c r="B91" s="72" t="str">
        <f t="shared" si="1"/>
        <v>20190331</v>
      </c>
      <c r="C91" s="72" t="str">
        <f t="shared" si="2"/>
        <v>Sunday</v>
      </c>
      <c r="D91" s="72" t="str">
        <f t="shared" si="3"/>
        <v>March</v>
      </c>
      <c r="E91" s="72" t="str">
        <f t="shared" si="4"/>
        <v>Q1</v>
      </c>
      <c r="F91" s="72">
        <f t="shared" si="5"/>
        <v>2019</v>
      </c>
      <c r="G91" s="89">
        <f t="shared" si="6"/>
        <v>43561</v>
      </c>
      <c r="H91" s="72" t="str">
        <f t="shared" si="7"/>
        <v>No</v>
      </c>
    </row>
    <row r="92" ht="15.75" customHeight="1">
      <c r="A92" s="88">
        <f t="shared" si="8"/>
        <v>43556</v>
      </c>
      <c r="B92" s="72" t="str">
        <f t="shared" si="1"/>
        <v>20190401</v>
      </c>
      <c r="C92" s="72" t="str">
        <f t="shared" si="2"/>
        <v>Monday</v>
      </c>
      <c r="D92" s="72" t="str">
        <f t="shared" si="3"/>
        <v>April</v>
      </c>
      <c r="E92" s="72" t="str">
        <f t="shared" si="4"/>
        <v>Q2</v>
      </c>
      <c r="F92" s="72">
        <f t="shared" si="5"/>
        <v>2019</v>
      </c>
      <c r="G92" s="89">
        <f t="shared" si="6"/>
        <v>43561</v>
      </c>
      <c r="H92" s="72" t="str">
        <f t="shared" si="7"/>
        <v>Yes</v>
      </c>
    </row>
    <row r="93" ht="15.75" customHeight="1">
      <c r="A93" s="88">
        <f t="shared" si="8"/>
        <v>43557</v>
      </c>
      <c r="B93" s="72" t="str">
        <f t="shared" si="1"/>
        <v>20190402</v>
      </c>
      <c r="C93" s="72" t="str">
        <f t="shared" si="2"/>
        <v>Tuesday</v>
      </c>
      <c r="D93" s="72" t="str">
        <f t="shared" si="3"/>
        <v>April</v>
      </c>
      <c r="E93" s="72" t="str">
        <f t="shared" si="4"/>
        <v>Q2</v>
      </c>
      <c r="F93" s="72">
        <f t="shared" si="5"/>
        <v>2019</v>
      </c>
      <c r="G93" s="89">
        <f t="shared" si="6"/>
        <v>43561</v>
      </c>
      <c r="H93" s="72" t="str">
        <f t="shared" si="7"/>
        <v>Yes</v>
      </c>
    </row>
    <row r="94" ht="15.75" customHeight="1">
      <c r="A94" s="88">
        <f t="shared" si="8"/>
        <v>43558</v>
      </c>
      <c r="B94" s="72" t="str">
        <f t="shared" si="1"/>
        <v>20190403</v>
      </c>
      <c r="C94" s="72" t="str">
        <f t="shared" si="2"/>
        <v>Wednesday</v>
      </c>
      <c r="D94" s="72" t="str">
        <f t="shared" si="3"/>
        <v>April</v>
      </c>
      <c r="E94" s="72" t="str">
        <f t="shared" si="4"/>
        <v>Q2</v>
      </c>
      <c r="F94" s="72">
        <f t="shared" si="5"/>
        <v>2019</v>
      </c>
      <c r="G94" s="89">
        <f t="shared" si="6"/>
        <v>43561</v>
      </c>
      <c r="H94" s="72" t="str">
        <f t="shared" si="7"/>
        <v>Yes</v>
      </c>
    </row>
    <row r="95" ht="15.75" customHeight="1">
      <c r="A95" s="88">
        <f t="shared" si="8"/>
        <v>43559</v>
      </c>
      <c r="B95" s="72" t="str">
        <f t="shared" si="1"/>
        <v>20190404</v>
      </c>
      <c r="C95" s="72" t="str">
        <f t="shared" si="2"/>
        <v>Thursday</v>
      </c>
      <c r="D95" s="72" t="str">
        <f t="shared" si="3"/>
        <v>April</v>
      </c>
      <c r="E95" s="72" t="str">
        <f t="shared" si="4"/>
        <v>Q2</v>
      </c>
      <c r="F95" s="72">
        <f t="shared" si="5"/>
        <v>2019</v>
      </c>
      <c r="G95" s="89">
        <f t="shared" si="6"/>
        <v>43561</v>
      </c>
      <c r="H95" s="72" t="str">
        <f t="shared" si="7"/>
        <v>Yes</v>
      </c>
    </row>
    <row r="96" ht="15.75" customHeight="1">
      <c r="A96" s="88">
        <f t="shared" si="8"/>
        <v>43560</v>
      </c>
      <c r="B96" s="72" t="str">
        <f t="shared" si="1"/>
        <v>20190405</v>
      </c>
      <c r="C96" s="72" t="str">
        <f t="shared" si="2"/>
        <v>Friday</v>
      </c>
      <c r="D96" s="72" t="str">
        <f t="shared" si="3"/>
        <v>April</v>
      </c>
      <c r="E96" s="72" t="str">
        <f t="shared" si="4"/>
        <v>Q2</v>
      </c>
      <c r="F96" s="72">
        <f t="shared" si="5"/>
        <v>2019</v>
      </c>
      <c r="G96" s="89">
        <f t="shared" si="6"/>
        <v>43561</v>
      </c>
      <c r="H96" s="72" t="str">
        <f t="shared" si="7"/>
        <v>Yes</v>
      </c>
    </row>
    <row r="97" ht="15.75" customHeight="1">
      <c r="A97" s="88">
        <f t="shared" si="8"/>
        <v>43561</v>
      </c>
      <c r="B97" s="72" t="str">
        <f t="shared" si="1"/>
        <v>20190406</v>
      </c>
      <c r="C97" s="72" t="str">
        <f t="shared" si="2"/>
        <v>Saturday</v>
      </c>
      <c r="D97" s="72" t="str">
        <f t="shared" si="3"/>
        <v>April</v>
      </c>
      <c r="E97" s="72" t="str">
        <f t="shared" si="4"/>
        <v>Q2</v>
      </c>
      <c r="F97" s="72">
        <f t="shared" si="5"/>
        <v>2019</v>
      </c>
      <c r="G97" s="89">
        <f t="shared" si="6"/>
        <v>43561</v>
      </c>
      <c r="H97" s="72" t="str">
        <f t="shared" si="7"/>
        <v>No</v>
      </c>
    </row>
    <row r="98" ht="15.75" customHeight="1">
      <c r="A98" s="88">
        <f t="shared" si="8"/>
        <v>43562</v>
      </c>
      <c r="B98" s="72" t="str">
        <f t="shared" si="1"/>
        <v>20190407</v>
      </c>
      <c r="C98" s="72" t="str">
        <f t="shared" si="2"/>
        <v>Sunday</v>
      </c>
      <c r="D98" s="72" t="str">
        <f t="shared" si="3"/>
        <v>April</v>
      </c>
      <c r="E98" s="72" t="str">
        <f t="shared" si="4"/>
        <v>Q2</v>
      </c>
      <c r="F98" s="72">
        <f t="shared" si="5"/>
        <v>2019</v>
      </c>
      <c r="G98" s="89">
        <f t="shared" si="6"/>
        <v>43568</v>
      </c>
      <c r="H98" s="72" t="str">
        <f t="shared" si="7"/>
        <v>No</v>
      </c>
    </row>
    <row r="99" ht="15.75" customHeight="1">
      <c r="A99" s="88">
        <f t="shared" si="8"/>
        <v>43563</v>
      </c>
      <c r="B99" s="72" t="str">
        <f t="shared" si="1"/>
        <v>20190408</v>
      </c>
      <c r="C99" s="72" t="str">
        <f t="shared" si="2"/>
        <v>Monday</v>
      </c>
      <c r="D99" s="72" t="str">
        <f t="shared" si="3"/>
        <v>April</v>
      </c>
      <c r="E99" s="72" t="str">
        <f t="shared" si="4"/>
        <v>Q2</v>
      </c>
      <c r="F99" s="72">
        <f t="shared" si="5"/>
        <v>2019</v>
      </c>
      <c r="G99" s="89">
        <f t="shared" si="6"/>
        <v>43568</v>
      </c>
      <c r="H99" s="72" t="str">
        <f t="shared" si="7"/>
        <v>Yes</v>
      </c>
    </row>
    <row r="100" ht="15.75" customHeight="1">
      <c r="A100" s="88">
        <f t="shared" si="8"/>
        <v>43564</v>
      </c>
      <c r="B100" s="72" t="str">
        <f t="shared" si="1"/>
        <v>20190409</v>
      </c>
      <c r="C100" s="72" t="str">
        <f t="shared" si="2"/>
        <v>Tuesday</v>
      </c>
      <c r="D100" s="72" t="str">
        <f t="shared" si="3"/>
        <v>April</v>
      </c>
      <c r="E100" s="72" t="str">
        <f t="shared" si="4"/>
        <v>Q2</v>
      </c>
      <c r="F100" s="72">
        <f t="shared" si="5"/>
        <v>2019</v>
      </c>
      <c r="G100" s="89">
        <f t="shared" si="6"/>
        <v>43568</v>
      </c>
      <c r="H100" s="72" t="str">
        <f t="shared" si="7"/>
        <v>Yes</v>
      </c>
    </row>
    <row r="101" ht="15.75" customHeight="1">
      <c r="A101" s="88">
        <f t="shared" si="8"/>
        <v>43565</v>
      </c>
      <c r="B101" s="72" t="str">
        <f t="shared" si="1"/>
        <v>20190410</v>
      </c>
      <c r="C101" s="72" t="str">
        <f t="shared" si="2"/>
        <v>Wednesday</v>
      </c>
      <c r="D101" s="72" t="str">
        <f t="shared" si="3"/>
        <v>April</v>
      </c>
      <c r="E101" s="72" t="str">
        <f t="shared" si="4"/>
        <v>Q2</v>
      </c>
      <c r="F101" s="72">
        <f t="shared" si="5"/>
        <v>2019</v>
      </c>
      <c r="G101" s="89">
        <f t="shared" si="6"/>
        <v>43568</v>
      </c>
      <c r="H101" s="72" t="str">
        <f t="shared" si="7"/>
        <v>Yes</v>
      </c>
    </row>
    <row r="102" ht="15.75" customHeight="1">
      <c r="A102" s="88">
        <f t="shared" si="8"/>
        <v>43566</v>
      </c>
      <c r="B102" s="72" t="str">
        <f t="shared" si="1"/>
        <v>20190411</v>
      </c>
      <c r="C102" s="72" t="str">
        <f t="shared" si="2"/>
        <v>Thursday</v>
      </c>
      <c r="D102" s="72" t="str">
        <f t="shared" si="3"/>
        <v>April</v>
      </c>
      <c r="E102" s="72" t="str">
        <f t="shared" si="4"/>
        <v>Q2</v>
      </c>
      <c r="F102" s="72">
        <f t="shared" si="5"/>
        <v>2019</v>
      </c>
      <c r="G102" s="89">
        <f t="shared" si="6"/>
        <v>43568</v>
      </c>
      <c r="H102" s="72" t="str">
        <f t="shared" si="7"/>
        <v>Yes</v>
      </c>
    </row>
    <row r="103" ht="15.75" customHeight="1">
      <c r="A103" s="88">
        <f t="shared" si="8"/>
        <v>43567</v>
      </c>
      <c r="B103" s="72" t="str">
        <f t="shared" si="1"/>
        <v>20190412</v>
      </c>
      <c r="C103" s="72" t="str">
        <f t="shared" si="2"/>
        <v>Friday</v>
      </c>
      <c r="D103" s="72" t="str">
        <f t="shared" si="3"/>
        <v>April</v>
      </c>
      <c r="E103" s="72" t="str">
        <f t="shared" si="4"/>
        <v>Q2</v>
      </c>
      <c r="F103" s="72">
        <f t="shared" si="5"/>
        <v>2019</v>
      </c>
      <c r="G103" s="89">
        <f t="shared" si="6"/>
        <v>43568</v>
      </c>
      <c r="H103" s="72" t="str">
        <f t="shared" si="7"/>
        <v>Yes</v>
      </c>
    </row>
    <row r="104" ht="15.75" customHeight="1">
      <c r="A104" s="88">
        <f t="shared" si="8"/>
        <v>43568</v>
      </c>
      <c r="B104" s="72" t="str">
        <f t="shared" si="1"/>
        <v>20190413</v>
      </c>
      <c r="C104" s="72" t="str">
        <f t="shared" si="2"/>
        <v>Saturday</v>
      </c>
      <c r="D104" s="72" t="str">
        <f t="shared" si="3"/>
        <v>April</v>
      </c>
      <c r="E104" s="72" t="str">
        <f t="shared" si="4"/>
        <v>Q2</v>
      </c>
      <c r="F104" s="72">
        <f t="shared" si="5"/>
        <v>2019</v>
      </c>
      <c r="G104" s="89">
        <f t="shared" si="6"/>
        <v>43568</v>
      </c>
      <c r="H104" s="72" t="str">
        <f t="shared" si="7"/>
        <v>No</v>
      </c>
    </row>
    <row r="105" ht="15.75" customHeight="1">
      <c r="A105" s="88">
        <f t="shared" si="8"/>
        <v>43569</v>
      </c>
      <c r="B105" s="72" t="str">
        <f t="shared" si="1"/>
        <v>20190414</v>
      </c>
      <c r="C105" s="72" t="str">
        <f t="shared" si="2"/>
        <v>Sunday</v>
      </c>
      <c r="D105" s="72" t="str">
        <f t="shared" si="3"/>
        <v>April</v>
      </c>
      <c r="E105" s="72" t="str">
        <f t="shared" si="4"/>
        <v>Q2</v>
      </c>
      <c r="F105" s="72">
        <f t="shared" si="5"/>
        <v>2019</v>
      </c>
      <c r="G105" s="89">
        <f t="shared" si="6"/>
        <v>43575</v>
      </c>
      <c r="H105" s="72" t="str">
        <f t="shared" si="7"/>
        <v>No</v>
      </c>
    </row>
    <row r="106" ht="15.75" customHeight="1">
      <c r="A106" s="88">
        <f t="shared" si="8"/>
        <v>43570</v>
      </c>
      <c r="B106" s="72" t="str">
        <f t="shared" si="1"/>
        <v>20190415</v>
      </c>
      <c r="C106" s="72" t="str">
        <f t="shared" si="2"/>
        <v>Monday</v>
      </c>
      <c r="D106" s="72" t="str">
        <f t="shared" si="3"/>
        <v>April</v>
      </c>
      <c r="E106" s="72" t="str">
        <f t="shared" si="4"/>
        <v>Q2</v>
      </c>
      <c r="F106" s="72">
        <f t="shared" si="5"/>
        <v>2019</v>
      </c>
      <c r="G106" s="89">
        <f t="shared" si="6"/>
        <v>43575</v>
      </c>
      <c r="H106" s="72" t="str">
        <f t="shared" si="7"/>
        <v>Yes</v>
      </c>
    </row>
    <row r="107" ht="15.75" customHeight="1">
      <c r="A107" s="88">
        <f t="shared" si="8"/>
        <v>43571</v>
      </c>
      <c r="B107" s="72" t="str">
        <f t="shared" si="1"/>
        <v>20190416</v>
      </c>
      <c r="C107" s="72" t="str">
        <f t="shared" si="2"/>
        <v>Tuesday</v>
      </c>
      <c r="D107" s="72" t="str">
        <f t="shared" si="3"/>
        <v>April</v>
      </c>
      <c r="E107" s="72" t="str">
        <f t="shared" si="4"/>
        <v>Q2</v>
      </c>
      <c r="F107" s="72">
        <f t="shared" si="5"/>
        <v>2019</v>
      </c>
      <c r="G107" s="89">
        <f t="shared" si="6"/>
        <v>43575</v>
      </c>
      <c r="H107" s="72" t="str">
        <f t="shared" si="7"/>
        <v>Yes</v>
      </c>
    </row>
    <row r="108" ht="15.75" customHeight="1">
      <c r="A108" s="88">
        <f t="shared" si="8"/>
        <v>43572</v>
      </c>
      <c r="B108" s="72" t="str">
        <f t="shared" si="1"/>
        <v>20190417</v>
      </c>
      <c r="C108" s="72" t="str">
        <f t="shared" si="2"/>
        <v>Wednesday</v>
      </c>
      <c r="D108" s="72" t="str">
        <f t="shared" si="3"/>
        <v>April</v>
      </c>
      <c r="E108" s="72" t="str">
        <f t="shared" si="4"/>
        <v>Q2</v>
      </c>
      <c r="F108" s="72">
        <f t="shared" si="5"/>
        <v>2019</v>
      </c>
      <c r="G108" s="89">
        <f t="shared" si="6"/>
        <v>43575</v>
      </c>
      <c r="H108" s="72" t="str">
        <f t="shared" si="7"/>
        <v>Yes</v>
      </c>
    </row>
    <row r="109" ht="15.75" customHeight="1">
      <c r="A109" s="88">
        <f t="shared" si="8"/>
        <v>43573</v>
      </c>
      <c r="B109" s="72" t="str">
        <f t="shared" si="1"/>
        <v>20190418</v>
      </c>
      <c r="C109" s="72" t="str">
        <f t="shared" si="2"/>
        <v>Thursday</v>
      </c>
      <c r="D109" s="72" t="str">
        <f t="shared" si="3"/>
        <v>April</v>
      </c>
      <c r="E109" s="72" t="str">
        <f t="shared" si="4"/>
        <v>Q2</v>
      </c>
      <c r="F109" s="72">
        <f t="shared" si="5"/>
        <v>2019</v>
      </c>
      <c r="G109" s="89">
        <f t="shared" si="6"/>
        <v>43575</v>
      </c>
      <c r="H109" s="72" t="str">
        <f t="shared" si="7"/>
        <v>Yes</v>
      </c>
    </row>
    <row r="110" ht="15.75" customHeight="1">
      <c r="A110" s="88">
        <f t="shared" si="8"/>
        <v>43574</v>
      </c>
      <c r="B110" s="72" t="str">
        <f t="shared" si="1"/>
        <v>20190419</v>
      </c>
      <c r="C110" s="72" t="str">
        <f t="shared" si="2"/>
        <v>Friday</v>
      </c>
      <c r="D110" s="72" t="str">
        <f t="shared" si="3"/>
        <v>April</v>
      </c>
      <c r="E110" s="72" t="str">
        <f t="shared" si="4"/>
        <v>Q2</v>
      </c>
      <c r="F110" s="72">
        <f t="shared" si="5"/>
        <v>2019</v>
      </c>
      <c r="G110" s="89">
        <f t="shared" si="6"/>
        <v>43575</v>
      </c>
      <c r="H110" s="72" t="str">
        <f t="shared" si="7"/>
        <v>Yes</v>
      </c>
    </row>
    <row r="111" ht="15.75" customHeight="1">
      <c r="A111" s="88">
        <f t="shared" si="8"/>
        <v>43575</v>
      </c>
      <c r="B111" s="72" t="str">
        <f t="shared" si="1"/>
        <v>20190420</v>
      </c>
      <c r="C111" s="72" t="str">
        <f t="shared" si="2"/>
        <v>Saturday</v>
      </c>
      <c r="D111" s="72" t="str">
        <f t="shared" si="3"/>
        <v>April</v>
      </c>
      <c r="E111" s="72" t="str">
        <f t="shared" si="4"/>
        <v>Q2</v>
      </c>
      <c r="F111" s="72">
        <f t="shared" si="5"/>
        <v>2019</v>
      </c>
      <c r="G111" s="89">
        <f t="shared" si="6"/>
        <v>43575</v>
      </c>
      <c r="H111" s="72" t="str">
        <f t="shared" si="7"/>
        <v>No</v>
      </c>
    </row>
    <row r="112" ht="15.75" customHeight="1">
      <c r="A112" s="88">
        <f t="shared" si="8"/>
        <v>43576</v>
      </c>
      <c r="B112" s="72" t="str">
        <f t="shared" si="1"/>
        <v>20190421</v>
      </c>
      <c r="C112" s="72" t="str">
        <f t="shared" si="2"/>
        <v>Sunday</v>
      </c>
      <c r="D112" s="72" t="str">
        <f t="shared" si="3"/>
        <v>April</v>
      </c>
      <c r="E112" s="72" t="str">
        <f t="shared" si="4"/>
        <v>Q2</v>
      </c>
      <c r="F112" s="72">
        <f t="shared" si="5"/>
        <v>2019</v>
      </c>
      <c r="G112" s="89">
        <f t="shared" si="6"/>
        <v>43582</v>
      </c>
      <c r="H112" s="72" t="str">
        <f t="shared" si="7"/>
        <v>No</v>
      </c>
    </row>
    <row r="113" ht="15.75" customHeight="1">
      <c r="A113" s="88">
        <f t="shared" si="8"/>
        <v>43577</v>
      </c>
      <c r="B113" s="72" t="str">
        <f t="shared" si="1"/>
        <v>20190422</v>
      </c>
      <c r="C113" s="72" t="str">
        <f t="shared" si="2"/>
        <v>Monday</v>
      </c>
      <c r="D113" s="72" t="str">
        <f t="shared" si="3"/>
        <v>April</v>
      </c>
      <c r="E113" s="72" t="str">
        <f t="shared" si="4"/>
        <v>Q2</v>
      </c>
      <c r="F113" s="72">
        <f t="shared" si="5"/>
        <v>2019</v>
      </c>
      <c r="G113" s="89">
        <f t="shared" si="6"/>
        <v>43582</v>
      </c>
      <c r="H113" s="72" t="str">
        <f t="shared" si="7"/>
        <v>Yes</v>
      </c>
    </row>
    <row r="114" ht="15.75" customHeight="1">
      <c r="A114" s="88">
        <f t="shared" si="8"/>
        <v>43578</v>
      </c>
      <c r="B114" s="72" t="str">
        <f t="shared" si="1"/>
        <v>20190423</v>
      </c>
      <c r="C114" s="72" t="str">
        <f t="shared" si="2"/>
        <v>Tuesday</v>
      </c>
      <c r="D114" s="72" t="str">
        <f t="shared" si="3"/>
        <v>April</v>
      </c>
      <c r="E114" s="72" t="str">
        <f t="shared" si="4"/>
        <v>Q2</v>
      </c>
      <c r="F114" s="72">
        <f t="shared" si="5"/>
        <v>2019</v>
      </c>
      <c r="G114" s="89">
        <f t="shared" si="6"/>
        <v>43582</v>
      </c>
      <c r="H114" s="72" t="str">
        <f t="shared" si="7"/>
        <v>Yes</v>
      </c>
    </row>
    <row r="115" ht="15.75" customHeight="1">
      <c r="A115" s="88">
        <f t="shared" si="8"/>
        <v>43579</v>
      </c>
      <c r="B115" s="72" t="str">
        <f t="shared" si="1"/>
        <v>20190424</v>
      </c>
      <c r="C115" s="72" t="str">
        <f t="shared" si="2"/>
        <v>Wednesday</v>
      </c>
      <c r="D115" s="72" t="str">
        <f t="shared" si="3"/>
        <v>April</v>
      </c>
      <c r="E115" s="72" t="str">
        <f t="shared" si="4"/>
        <v>Q2</v>
      </c>
      <c r="F115" s="72">
        <f t="shared" si="5"/>
        <v>2019</v>
      </c>
      <c r="G115" s="89">
        <f t="shared" si="6"/>
        <v>43582</v>
      </c>
      <c r="H115" s="72" t="str">
        <f t="shared" si="7"/>
        <v>Yes</v>
      </c>
    </row>
    <row r="116" ht="15.75" customHeight="1">
      <c r="A116" s="88">
        <f t="shared" si="8"/>
        <v>43580</v>
      </c>
      <c r="B116" s="72" t="str">
        <f t="shared" si="1"/>
        <v>20190425</v>
      </c>
      <c r="C116" s="72" t="str">
        <f t="shared" si="2"/>
        <v>Thursday</v>
      </c>
      <c r="D116" s="72" t="str">
        <f t="shared" si="3"/>
        <v>April</v>
      </c>
      <c r="E116" s="72" t="str">
        <f t="shared" si="4"/>
        <v>Q2</v>
      </c>
      <c r="F116" s="72">
        <f t="shared" si="5"/>
        <v>2019</v>
      </c>
      <c r="G116" s="89">
        <f t="shared" si="6"/>
        <v>43582</v>
      </c>
      <c r="H116" s="72" t="str">
        <f t="shared" si="7"/>
        <v>Yes</v>
      </c>
    </row>
    <row r="117" ht="15.75" customHeight="1">
      <c r="A117" s="88">
        <f t="shared" si="8"/>
        <v>43581</v>
      </c>
      <c r="B117" s="72" t="str">
        <f t="shared" si="1"/>
        <v>20190426</v>
      </c>
      <c r="C117" s="72" t="str">
        <f t="shared" si="2"/>
        <v>Friday</v>
      </c>
      <c r="D117" s="72" t="str">
        <f t="shared" si="3"/>
        <v>April</v>
      </c>
      <c r="E117" s="72" t="str">
        <f t="shared" si="4"/>
        <v>Q2</v>
      </c>
      <c r="F117" s="72">
        <f t="shared" si="5"/>
        <v>2019</v>
      </c>
      <c r="G117" s="89">
        <f t="shared" si="6"/>
        <v>43582</v>
      </c>
      <c r="H117" s="72" t="str">
        <f t="shared" si="7"/>
        <v>Yes</v>
      </c>
    </row>
    <row r="118" ht="15.75" customHeight="1">
      <c r="A118" s="88">
        <f t="shared" si="8"/>
        <v>43582</v>
      </c>
      <c r="B118" s="72" t="str">
        <f t="shared" si="1"/>
        <v>20190427</v>
      </c>
      <c r="C118" s="72" t="str">
        <f t="shared" si="2"/>
        <v>Saturday</v>
      </c>
      <c r="D118" s="72" t="str">
        <f t="shared" si="3"/>
        <v>April</v>
      </c>
      <c r="E118" s="72" t="str">
        <f t="shared" si="4"/>
        <v>Q2</v>
      </c>
      <c r="F118" s="72">
        <f t="shared" si="5"/>
        <v>2019</v>
      </c>
      <c r="G118" s="89">
        <f t="shared" si="6"/>
        <v>43582</v>
      </c>
      <c r="H118" s="72" t="str">
        <f t="shared" si="7"/>
        <v>No</v>
      </c>
    </row>
    <row r="119" ht="15.75" customHeight="1">
      <c r="A119" s="88">
        <f t="shared" si="8"/>
        <v>43583</v>
      </c>
      <c r="B119" s="72" t="str">
        <f t="shared" si="1"/>
        <v>20190428</v>
      </c>
      <c r="C119" s="72" t="str">
        <f t="shared" si="2"/>
        <v>Sunday</v>
      </c>
      <c r="D119" s="72" t="str">
        <f t="shared" si="3"/>
        <v>April</v>
      </c>
      <c r="E119" s="72" t="str">
        <f t="shared" si="4"/>
        <v>Q2</v>
      </c>
      <c r="F119" s="72">
        <f t="shared" si="5"/>
        <v>2019</v>
      </c>
      <c r="G119" s="89">
        <f t="shared" si="6"/>
        <v>43589</v>
      </c>
      <c r="H119" s="72" t="str">
        <f t="shared" si="7"/>
        <v>No</v>
      </c>
    </row>
    <row r="120" ht="15.75" customHeight="1">
      <c r="A120" s="88">
        <f t="shared" si="8"/>
        <v>43584</v>
      </c>
      <c r="B120" s="72" t="str">
        <f t="shared" si="1"/>
        <v>20190429</v>
      </c>
      <c r="C120" s="72" t="str">
        <f t="shared" si="2"/>
        <v>Monday</v>
      </c>
      <c r="D120" s="72" t="str">
        <f t="shared" si="3"/>
        <v>April</v>
      </c>
      <c r="E120" s="72" t="str">
        <f t="shared" si="4"/>
        <v>Q2</v>
      </c>
      <c r="F120" s="72">
        <f t="shared" si="5"/>
        <v>2019</v>
      </c>
      <c r="G120" s="89">
        <f t="shared" si="6"/>
        <v>43589</v>
      </c>
      <c r="H120" s="72" t="str">
        <f t="shared" si="7"/>
        <v>Yes</v>
      </c>
    </row>
    <row r="121" ht="15.75" customHeight="1">
      <c r="A121" s="88">
        <f t="shared" si="8"/>
        <v>43585</v>
      </c>
      <c r="B121" s="72" t="str">
        <f t="shared" si="1"/>
        <v>20190430</v>
      </c>
      <c r="C121" s="72" t="str">
        <f t="shared" si="2"/>
        <v>Tuesday</v>
      </c>
      <c r="D121" s="72" t="str">
        <f t="shared" si="3"/>
        <v>April</v>
      </c>
      <c r="E121" s="72" t="str">
        <f t="shared" si="4"/>
        <v>Q2</v>
      </c>
      <c r="F121" s="72">
        <f t="shared" si="5"/>
        <v>2019</v>
      </c>
      <c r="G121" s="89">
        <f t="shared" si="6"/>
        <v>43589</v>
      </c>
      <c r="H121" s="72" t="str">
        <f t="shared" si="7"/>
        <v>Yes</v>
      </c>
    </row>
    <row r="122" ht="15.75" customHeight="1">
      <c r="A122" s="88">
        <f t="shared" si="8"/>
        <v>43586</v>
      </c>
      <c r="B122" s="72" t="str">
        <f t="shared" si="1"/>
        <v>20190501</v>
      </c>
      <c r="C122" s="72" t="str">
        <f t="shared" si="2"/>
        <v>Wednesday</v>
      </c>
      <c r="D122" s="72" t="str">
        <f t="shared" si="3"/>
        <v>May</v>
      </c>
      <c r="E122" s="72" t="str">
        <f t="shared" si="4"/>
        <v>Q2</v>
      </c>
      <c r="F122" s="72">
        <f t="shared" si="5"/>
        <v>2019</v>
      </c>
      <c r="G122" s="89">
        <f t="shared" si="6"/>
        <v>43589</v>
      </c>
      <c r="H122" s="72" t="str">
        <f t="shared" si="7"/>
        <v>Yes</v>
      </c>
    </row>
    <row r="123" ht="15.75" customHeight="1">
      <c r="A123" s="88">
        <f t="shared" si="8"/>
        <v>43587</v>
      </c>
      <c r="B123" s="72" t="str">
        <f t="shared" si="1"/>
        <v>20190502</v>
      </c>
      <c r="C123" s="72" t="str">
        <f t="shared" si="2"/>
        <v>Thursday</v>
      </c>
      <c r="D123" s="72" t="str">
        <f t="shared" si="3"/>
        <v>May</v>
      </c>
      <c r="E123" s="72" t="str">
        <f t="shared" si="4"/>
        <v>Q2</v>
      </c>
      <c r="F123" s="72">
        <f t="shared" si="5"/>
        <v>2019</v>
      </c>
      <c r="G123" s="89">
        <f t="shared" si="6"/>
        <v>43589</v>
      </c>
      <c r="H123" s="72" t="str">
        <f t="shared" si="7"/>
        <v>Yes</v>
      </c>
    </row>
    <row r="124" ht="15.75" customHeight="1">
      <c r="A124" s="88">
        <f t="shared" si="8"/>
        <v>43588</v>
      </c>
      <c r="B124" s="72" t="str">
        <f t="shared" si="1"/>
        <v>20190503</v>
      </c>
      <c r="C124" s="72" t="str">
        <f t="shared" si="2"/>
        <v>Friday</v>
      </c>
      <c r="D124" s="72" t="str">
        <f t="shared" si="3"/>
        <v>May</v>
      </c>
      <c r="E124" s="72" t="str">
        <f t="shared" si="4"/>
        <v>Q2</v>
      </c>
      <c r="F124" s="72">
        <f t="shared" si="5"/>
        <v>2019</v>
      </c>
      <c r="G124" s="89">
        <f t="shared" si="6"/>
        <v>43589</v>
      </c>
      <c r="H124" s="72" t="str">
        <f t="shared" si="7"/>
        <v>Yes</v>
      </c>
    </row>
    <row r="125" ht="15.75" customHeight="1">
      <c r="A125" s="88">
        <f t="shared" si="8"/>
        <v>43589</v>
      </c>
      <c r="B125" s="72" t="str">
        <f t="shared" si="1"/>
        <v>20190504</v>
      </c>
      <c r="C125" s="72" t="str">
        <f t="shared" si="2"/>
        <v>Saturday</v>
      </c>
      <c r="D125" s="72" t="str">
        <f t="shared" si="3"/>
        <v>May</v>
      </c>
      <c r="E125" s="72" t="str">
        <f t="shared" si="4"/>
        <v>Q2</v>
      </c>
      <c r="F125" s="72">
        <f t="shared" si="5"/>
        <v>2019</v>
      </c>
      <c r="G125" s="89">
        <f t="shared" si="6"/>
        <v>43589</v>
      </c>
      <c r="H125" s="72" t="str">
        <f t="shared" si="7"/>
        <v>No</v>
      </c>
    </row>
    <row r="126" ht="15.75" customHeight="1">
      <c r="A126" s="88">
        <f t="shared" si="8"/>
        <v>43590</v>
      </c>
      <c r="B126" s="72" t="str">
        <f t="shared" si="1"/>
        <v>20190505</v>
      </c>
      <c r="C126" s="72" t="str">
        <f t="shared" si="2"/>
        <v>Sunday</v>
      </c>
      <c r="D126" s="72" t="str">
        <f t="shared" si="3"/>
        <v>May</v>
      </c>
      <c r="E126" s="72" t="str">
        <f t="shared" si="4"/>
        <v>Q2</v>
      </c>
      <c r="F126" s="72">
        <f t="shared" si="5"/>
        <v>2019</v>
      </c>
      <c r="G126" s="89">
        <f t="shared" si="6"/>
        <v>43596</v>
      </c>
      <c r="H126" s="72" t="str">
        <f t="shared" si="7"/>
        <v>No</v>
      </c>
    </row>
    <row r="127" ht="15.75" customHeight="1">
      <c r="A127" s="88">
        <f t="shared" si="8"/>
        <v>43591</v>
      </c>
      <c r="B127" s="72" t="str">
        <f t="shared" si="1"/>
        <v>20190506</v>
      </c>
      <c r="C127" s="72" t="str">
        <f t="shared" si="2"/>
        <v>Monday</v>
      </c>
      <c r="D127" s="72" t="str">
        <f t="shared" si="3"/>
        <v>May</v>
      </c>
      <c r="E127" s="72" t="str">
        <f t="shared" si="4"/>
        <v>Q2</v>
      </c>
      <c r="F127" s="72">
        <f t="shared" si="5"/>
        <v>2019</v>
      </c>
      <c r="G127" s="89">
        <f t="shared" si="6"/>
        <v>43596</v>
      </c>
      <c r="H127" s="72" t="str">
        <f t="shared" si="7"/>
        <v>Yes</v>
      </c>
    </row>
    <row r="128" ht="15.75" customHeight="1">
      <c r="A128" s="88">
        <f t="shared" si="8"/>
        <v>43592</v>
      </c>
      <c r="B128" s="72" t="str">
        <f t="shared" si="1"/>
        <v>20190507</v>
      </c>
      <c r="C128" s="72" t="str">
        <f t="shared" si="2"/>
        <v>Tuesday</v>
      </c>
      <c r="D128" s="72" t="str">
        <f t="shared" si="3"/>
        <v>May</v>
      </c>
      <c r="E128" s="72" t="str">
        <f t="shared" si="4"/>
        <v>Q2</v>
      </c>
      <c r="F128" s="72">
        <f t="shared" si="5"/>
        <v>2019</v>
      </c>
      <c r="G128" s="89">
        <f t="shared" si="6"/>
        <v>43596</v>
      </c>
      <c r="H128" s="72" t="str">
        <f t="shared" si="7"/>
        <v>Yes</v>
      </c>
    </row>
    <row r="129" ht="15.75" customHeight="1">
      <c r="A129" s="88">
        <f t="shared" si="8"/>
        <v>43593</v>
      </c>
      <c r="B129" s="72" t="str">
        <f t="shared" si="1"/>
        <v>20190508</v>
      </c>
      <c r="C129" s="72" t="str">
        <f t="shared" si="2"/>
        <v>Wednesday</v>
      </c>
      <c r="D129" s="72" t="str">
        <f t="shared" si="3"/>
        <v>May</v>
      </c>
      <c r="E129" s="72" t="str">
        <f t="shared" si="4"/>
        <v>Q2</v>
      </c>
      <c r="F129" s="72">
        <f t="shared" si="5"/>
        <v>2019</v>
      </c>
      <c r="G129" s="89">
        <f t="shared" si="6"/>
        <v>43596</v>
      </c>
      <c r="H129" s="72" t="str">
        <f t="shared" si="7"/>
        <v>Yes</v>
      </c>
    </row>
    <row r="130" ht="15.75" customHeight="1">
      <c r="A130" s="88">
        <f t="shared" si="8"/>
        <v>43594</v>
      </c>
      <c r="B130" s="72" t="str">
        <f t="shared" si="1"/>
        <v>20190509</v>
      </c>
      <c r="C130" s="72" t="str">
        <f t="shared" si="2"/>
        <v>Thursday</v>
      </c>
      <c r="D130" s="72" t="str">
        <f t="shared" si="3"/>
        <v>May</v>
      </c>
      <c r="E130" s="72" t="str">
        <f t="shared" si="4"/>
        <v>Q2</v>
      </c>
      <c r="F130" s="72">
        <f t="shared" si="5"/>
        <v>2019</v>
      </c>
      <c r="G130" s="89">
        <f t="shared" si="6"/>
        <v>43596</v>
      </c>
      <c r="H130" s="72" t="str">
        <f t="shared" si="7"/>
        <v>Yes</v>
      </c>
    </row>
    <row r="131" ht="15.75" customHeight="1">
      <c r="A131" s="88">
        <f t="shared" si="8"/>
        <v>43595</v>
      </c>
      <c r="B131" s="72" t="str">
        <f t="shared" si="1"/>
        <v>20190510</v>
      </c>
      <c r="C131" s="72" t="str">
        <f t="shared" si="2"/>
        <v>Friday</v>
      </c>
      <c r="D131" s="72" t="str">
        <f t="shared" si="3"/>
        <v>May</v>
      </c>
      <c r="E131" s="72" t="str">
        <f t="shared" si="4"/>
        <v>Q2</v>
      </c>
      <c r="F131" s="72">
        <f t="shared" si="5"/>
        <v>2019</v>
      </c>
      <c r="G131" s="89">
        <f t="shared" si="6"/>
        <v>43596</v>
      </c>
      <c r="H131" s="72" t="str">
        <f t="shared" si="7"/>
        <v>Yes</v>
      </c>
    </row>
    <row r="132" ht="15.75" customHeight="1">
      <c r="A132" s="88">
        <f t="shared" si="8"/>
        <v>43596</v>
      </c>
      <c r="B132" s="72" t="str">
        <f t="shared" si="1"/>
        <v>20190511</v>
      </c>
      <c r="C132" s="72" t="str">
        <f t="shared" si="2"/>
        <v>Saturday</v>
      </c>
      <c r="D132" s="72" t="str">
        <f t="shared" si="3"/>
        <v>May</v>
      </c>
      <c r="E132" s="72" t="str">
        <f t="shared" si="4"/>
        <v>Q2</v>
      </c>
      <c r="F132" s="72">
        <f t="shared" si="5"/>
        <v>2019</v>
      </c>
      <c r="G132" s="89">
        <f t="shared" si="6"/>
        <v>43596</v>
      </c>
      <c r="H132" s="72" t="str">
        <f t="shared" si="7"/>
        <v>No</v>
      </c>
    </row>
    <row r="133" ht="15.75" customHeight="1">
      <c r="A133" s="88">
        <f t="shared" si="8"/>
        <v>43597</v>
      </c>
      <c r="B133" s="72" t="str">
        <f t="shared" si="1"/>
        <v>20190512</v>
      </c>
      <c r="C133" s="72" t="str">
        <f t="shared" si="2"/>
        <v>Sunday</v>
      </c>
      <c r="D133" s="72" t="str">
        <f t="shared" si="3"/>
        <v>May</v>
      </c>
      <c r="E133" s="72" t="str">
        <f t="shared" si="4"/>
        <v>Q2</v>
      </c>
      <c r="F133" s="72">
        <f t="shared" si="5"/>
        <v>2019</v>
      </c>
      <c r="G133" s="89">
        <f t="shared" si="6"/>
        <v>43603</v>
      </c>
      <c r="H133" s="72" t="str">
        <f t="shared" si="7"/>
        <v>No</v>
      </c>
    </row>
    <row r="134" ht="15.75" customHeight="1">
      <c r="A134" s="88">
        <f t="shared" si="8"/>
        <v>43598</v>
      </c>
      <c r="B134" s="72" t="str">
        <f t="shared" si="1"/>
        <v>20190513</v>
      </c>
      <c r="C134" s="72" t="str">
        <f t="shared" si="2"/>
        <v>Monday</v>
      </c>
      <c r="D134" s="72" t="str">
        <f t="shared" si="3"/>
        <v>May</v>
      </c>
      <c r="E134" s="72" t="str">
        <f t="shared" si="4"/>
        <v>Q2</v>
      </c>
      <c r="F134" s="72">
        <f t="shared" si="5"/>
        <v>2019</v>
      </c>
      <c r="G134" s="89">
        <f t="shared" si="6"/>
        <v>43603</v>
      </c>
      <c r="H134" s="72" t="str">
        <f t="shared" si="7"/>
        <v>Yes</v>
      </c>
    </row>
    <row r="135" ht="15.75" customHeight="1">
      <c r="A135" s="88">
        <f t="shared" si="8"/>
        <v>43599</v>
      </c>
      <c r="B135" s="72" t="str">
        <f t="shared" si="1"/>
        <v>20190514</v>
      </c>
      <c r="C135" s="72" t="str">
        <f t="shared" si="2"/>
        <v>Tuesday</v>
      </c>
      <c r="D135" s="72" t="str">
        <f t="shared" si="3"/>
        <v>May</v>
      </c>
      <c r="E135" s="72" t="str">
        <f t="shared" si="4"/>
        <v>Q2</v>
      </c>
      <c r="F135" s="72">
        <f t="shared" si="5"/>
        <v>2019</v>
      </c>
      <c r="G135" s="89">
        <f t="shared" si="6"/>
        <v>43603</v>
      </c>
      <c r="H135" s="72" t="str">
        <f t="shared" si="7"/>
        <v>Yes</v>
      </c>
    </row>
    <row r="136" ht="15.75" customHeight="1">
      <c r="A136" s="88">
        <f t="shared" si="8"/>
        <v>43600</v>
      </c>
      <c r="B136" s="72" t="str">
        <f t="shared" si="1"/>
        <v>20190515</v>
      </c>
      <c r="C136" s="72" t="str">
        <f t="shared" si="2"/>
        <v>Wednesday</v>
      </c>
      <c r="D136" s="72" t="str">
        <f t="shared" si="3"/>
        <v>May</v>
      </c>
      <c r="E136" s="72" t="str">
        <f t="shared" si="4"/>
        <v>Q2</v>
      </c>
      <c r="F136" s="72">
        <f t="shared" si="5"/>
        <v>2019</v>
      </c>
      <c r="G136" s="89">
        <f t="shared" si="6"/>
        <v>43603</v>
      </c>
      <c r="H136" s="72" t="str">
        <f t="shared" si="7"/>
        <v>Yes</v>
      </c>
    </row>
    <row r="137" ht="15.75" customHeight="1">
      <c r="A137" s="88">
        <f t="shared" si="8"/>
        <v>43601</v>
      </c>
      <c r="B137" s="72" t="str">
        <f t="shared" si="1"/>
        <v>20190516</v>
      </c>
      <c r="C137" s="72" t="str">
        <f t="shared" si="2"/>
        <v>Thursday</v>
      </c>
      <c r="D137" s="72" t="str">
        <f t="shared" si="3"/>
        <v>May</v>
      </c>
      <c r="E137" s="72" t="str">
        <f t="shared" si="4"/>
        <v>Q2</v>
      </c>
      <c r="F137" s="72">
        <f t="shared" si="5"/>
        <v>2019</v>
      </c>
      <c r="G137" s="89">
        <f t="shared" si="6"/>
        <v>43603</v>
      </c>
      <c r="H137" s="72" t="str">
        <f t="shared" si="7"/>
        <v>Yes</v>
      </c>
    </row>
    <row r="138" ht="15.75" customHeight="1">
      <c r="A138" s="88">
        <f t="shared" si="8"/>
        <v>43602</v>
      </c>
      <c r="B138" s="72" t="str">
        <f t="shared" si="1"/>
        <v>20190517</v>
      </c>
      <c r="C138" s="72" t="str">
        <f t="shared" si="2"/>
        <v>Friday</v>
      </c>
      <c r="D138" s="72" t="str">
        <f t="shared" si="3"/>
        <v>May</v>
      </c>
      <c r="E138" s="72" t="str">
        <f t="shared" si="4"/>
        <v>Q2</v>
      </c>
      <c r="F138" s="72">
        <f t="shared" si="5"/>
        <v>2019</v>
      </c>
      <c r="G138" s="89">
        <f t="shared" si="6"/>
        <v>43603</v>
      </c>
      <c r="H138" s="72" t="str">
        <f t="shared" si="7"/>
        <v>Yes</v>
      </c>
    </row>
    <row r="139" ht="15.75" customHeight="1">
      <c r="A139" s="88">
        <f t="shared" si="8"/>
        <v>43603</v>
      </c>
      <c r="B139" s="72" t="str">
        <f t="shared" si="1"/>
        <v>20190518</v>
      </c>
      <c r="C139" s="72" t="str">
        <f t="shared" si="2"/>
        <v>Saturday</v>
      </c>
      <c r="D139" s="72" t="str">
        <f t="shared" si="3"/>
        <v>May</v>
      </c>
      <c r="E139" s="72" t="str">
        <f t="shared" si="4"/>
        <v>Q2</v>
      </c>
      <c r="F139" s="72">
        <f t="shared" si="5"/>
        <v>2019</v>
      </c>
      <c r="G139" s="89">
        <f t="shared" si="6"/>
        <v>43603</v>
      </c>
      <c r="H139" s="72" t="str">
        <f t="shared" si="7"/>
        <v>No</v>
      </c>
    </row>
    <row r="140" ht="15.75" customHeight="1">
      <c r="A140" s="88">
        <f t="shared" si="8"/>
        <v>43604</v>
      </c>
      <c r="B140" s="72" t="str">
        <f t="shared" si="1"/>
        <v>20190519</v>
      </c>
      <c r="C140" s="72" t="str">
        <f t="shared" si="2"/>
        <v>Sunday</v>
      </c>
      <c r="D140" s="72" t="str">
        <f t="shared" si="3"/>
        <v>May</v>
      </c>
      <c r="E140" s="72" t="str">
        <f t="shared" si="4"/>
        <v>Q2</v>
      </c>
      <c r="F140" s="72">
        <f t="shared" si="5"/>
        <v>2019</v>
      </c>
      <c r="G140" s="89">
        <f t="shared" si="6"/>
        <v>43610</v>
      </c>
      <c r="H140" s="72" t="str">
        <f t="shared" si="7"/>
        <v>No</v>
      </c>
    </row>
    <row r="141" ht="15.75" customHeight="1">
      <c r="A141" s="88">
        <f t="shared" si="8"/>
        <v>43605</v>
      </c>
      <c r="B141" s="72" t="str">
        <f t="shared" si="1"/>
        <v>20190520</v>
      </c>
      <c r="C141" s="72" t="str">
        <f t="shared" si="2"/>
        <v>Monday</v>
      </c>
      <c r="D141" s="72" t="str">
        <f t="shared" si="3"/>
        <v>May</v>
      </c>
      <c r="E141" s="72" t="str">
        <f t="shared" si="4"/>
        <v>Q2</v>
      </c>
      <c r="F141" s="72">
        <f t="shared" si="5"/>
        <v>2019</v>
      </c>
      <c r="G141" s="89">
        <f t="shared" si="6"/>
        <v>43610</v>
      </c>
      <c r="H141" s="72" t="str">
        <f t="shared" si="7"/>
        <v>Yes</v>
      </c>
    </row>
    <row r="142" ht="15.75" customHeight="1">
      <c r="A142" s="88">
        <f t="shared" si="8"/>
        <v>43606</v>
      </c>
      <c r="B142" s="72" t="str">
        <f t="shared" si="1"/>
        <v>20190521</v>
      </c>
      <c r="C142" s="72" t="str">
        <f t="shared" si="2"/>
        <v>Tuesday</v>
      </c>
      <c r="D142" s="72" t="str">
        <f t="shared" si="3"/>
        <v>May</v>
      </c>
      <c r="E142" s="72" t="str">
        <f t="shared" si="4"/>
        <v>Q2</v>
      </c>
      <c r="F142" s="72">
        <f t="shared" si="5"/>
        <v>2019</v>
      </c>
      <c r="G142" s="89">
        <f t="shared" si="6"/>
        <v>43610</v>
      </c>
      <c r="H142" s="72" t="str">
        <f t="shared" si="7"/>
        <v>Yes</v>
      </c>
    </row>
    <row r="143" ht="15.75" customHeight="1">
      <c r="A143" s="88">
        <f t="shared" si="8"/>
        <v>43607</v>
      </c>
      <c r="B143" s="72" t="str">
        <f t="shared" si="1"/>
        <v>20190522</v>
      </c>
      <c r="C143" s="72" t="str">
        <f t="shared" si="2"/>
        <v>Wednesday</v>
      </c>
      <c r="D143" s="72" t="str">
        <f t="shared" si="3"/>
        <v>May</v>
      </c>
      <c r="E143" s="72" t="str">
        <f t="shared" si="4"/>
        <v>Q2</v>
      </c>
      <c r="F143" s="72">
        <f t="shared" si="5"/>
        <v>2019</v>
      </c>
      <c r="G143" s="89">
        <f t="shared" si="6"/>
        <v>43610</v>
      </c>
      <c r="H143" s="72" t="str">
        <f t="shared" si="7"/>
        <v>Yes</v>
      </c>
    </row>
    <row r="144" ht="15.75" customHeight="1">
      <c r="A144" s="88">
        <f t="shared" si="8"/>
        <v>43608</v>
      </c>
      <c r="B144" s="72" t="str">
        <f t="shared" si="1"/>
        <v>20190523</v>
      </c>
      <c r="C144" s="72" t="str">
        <f t="shared" si="2"/>
        <v>Thursday</v>
      </c>
      <c r="D144" s="72" t="str">
        <f t="shared" si="3"/>
        <v>May</v>
      </c>
      <c r="E144" s="72" t="str">
        <f t="shared" si="4"/>
        <v>Q2</v>
      </c>
      <c r="F144" s="72">
        <f t="shared" si="5"/>
        <v>2019</v>
      </c>
      <c r="G144" s="89">
        <f t="shared" si="6"/>
        <v>43610</v>
      </c>
      <c r="H144" s="72" t="str">
        <f t="shared" si="7"/>
        <v>Yes</v>
      </c>
    </row>
    <row r="145" ht="15.75" customHeight="1">
      <c r="A145" s="88">
        <f t="shared" si="8"/>
        <v>43609</v>
      </c>
      <c r="B145" s="72" t="str">
        <f t="shared" si="1"/>
        <v>20190524</v>
      </c>
      <c r="C145" s="72" t="str">
        <f t="shared" si="2"/>
        <v>Friday</v>
      </c>
      <c r="D145" s="72" t="str">
        <f t="shared" si="3"/>
        <v>May</v>
      </c>
      <c r="E145" s="72" t="str">
        <f t="shared" si="4"/>
        <v>Q2</v>
      </c>
      <c r="F145" s="72">
        <f t="shared" si="5"/>
        <v>2019</v>
      </c>
      <c r="G145" s="89">
        <f t="shared" si="6"/>
        <v>43610</v>
      </c>
      <c r="H145" s="72" t="str">
        <f t="shared" si="7"/>
        <v>Yes</v>
      </c>
    </row>
    <row r="146" ht="15.75" customHeight="1">
      <c r="A146" s="88">
        <f t="shared" si="8"/>
        <v>43610</v>
      </c>
      <c r="B146" s="72" t="str">
        <f t="shared" si="1"/>
        <v>20190525</v>
      </c>
      <c r="C146" s="72" t="str">
        <f t="shared" si="2"/>
        <v>Saturday</v>
      </c>
      <c r="D146" s="72" t="str">
        <f t="shared" si="3"/>
        <v>May</v>
      </c>
      <c r="E146" s="72" t="str">
        <f t="shared" si="4"/>
        <v>Q2</v>
      </c>
      <c r="F146" s="72">
        <f t="shared" si="5"/>
        <v>2019</v>
      </c>
      <c r="G146" s="89">
        <f t="shared" si="6"/>
        <v>43610</v>
      </c>
      <c r="H146" s="72" t="str">
        <f t="shared" si="7"/>
        <v>No</v>
      </c>
    </row>
    <row r="147" ht="15.75" customHeight="1">
      <c r="A147" s="88">
        <f t="shared" si="8"/>
        <v>43611</v>
      </c>
      <c r="B147" s="72" t="str">
        <f t="shared" si="1"/>
        <v>20190526</v>
      </c>
      <c r="C147" s="72" t="str">
        <f t="shared" si="2"/>
        <v>Sunday</v>
      </c>
      <c r="D147" s="72" t="str">
        <f t="shared" si="3"/>
        <v>May</v>
      </c>
      <c r="E147" s="72" t="str">
        <f t="shared" si="4"/>
        <v>Q2</v>
      </c>
      <c r="F147" s="72">
        <f t="shared" si="5"/>
        <v>2019</v>
      </c>
      <c r="G147" s="89">
        <f t="shared" si="6"/>
        <v>43617</v>
      </c>
      <c r="H147" s="72" t="str">
        <f t="shared" si="7"/>
        <v>No</v>
      </c>
    </row>
    <row r="148" ht="15.75" customHeight="1">
      <c r="A148" s="88">
        <f t="shared" si="8"/>
        <v>43612</v>
      </c>
      <c r="B148" s="72" t="str">
        <f t="shared" si="1"/>
        <v>20190527</v>
      </c>
      <c r="C148" s="72" t="str">
        <f t="shared" si="2"/>
        <v>Monday</v>
      </c>
      <c r="D148" s="72" t="str">
        <f t="shared" si="3"/>
        <v>May</v>
      </c>
      <c r="E148" s="72" t="str">
        <f t="shared" si="4"/>
        <v>Q2</v>
      </c>
      <c r="F148" s="72">
        <f t="shared" si="5"/>
        <v>2019</v>
      </c>
      <c r="G148" s="89">
        <f t="shared" si="6"/>
        <v>43617</v>
      </c>
      <c r="H148" s="72" t="str">
        <f t="shared" si="7"/>
        <v>Yes</v>
      </c>
    </row>
    <row r="149" ht="15.75" customHeight="1">
      <c r="A149" s="88">
        <f t="shared" si="8"/>
        <v>43613</v>
      </c>
      <c r="B149" s="72" t="str">
        <f t="shared" si="1"/>
        <v>20190528</v>
      </c>
      <c r="C149" s="72" t="str">
        <f t="shared" si="2"/>
        <v>Tuesday</v>
      </c>
      <c r="D149" s="72" t="str">
        <f t="shared" si="3"/>
        <v>May</v>
      </c>
      <c r="E149" s="72" t="str">
        <f t="shared" si="4"/>
        <v>Q2</v>
      </c>
      <c r="F149" s="72">
        <f t="shared" si="5"/>
        <v>2019</v>
      </c>
      <c r="G149" s="89">
        <f t="shared" si="6"/>
        <v>43617</v>
      </c>
      <c r="H149" s="72" t="str">
        <f t="shared" si="7"/>
        <v>Yes</v>
      </c>
    </row>
    <row r="150" ht="15.75" customHeight="1">
      <c r="A150" s="88">
        <f t="shared" si="8"/>
        <v>43614</v>
      </c>
      <c r="B150" s="72" t="str">
        <f t="shared" si="1"/>
        <v>20190529</v>
      </c>
      <c r="C150" s="72" t="str">
        <f t="shared" si="2"/>
        <v>Wednesday</v>
      </c>
      <c r="D150" s="72" t="str">
        <f t="shared" si="3"/>
        <v>May</v>
      </c>
      <c r="E150" s="72" t="str">
        <f t="shared" si="4"/>
        <v>Q2</v>
      </c>
      <c r="F150" s="72">
        <f t="shared" si="5"/>
        <v>2019</v>
      </c>
      <c r="G150" s="89">
        <f t="shared" si="6"/>
        <v>43617</v>
      </c>
      <c r="H150" s="72" t="str">
        <f t="shared" si="7"/>
        <v>Yes</v>
      </c>
    </row>
    <row r="151" ht="15.75" customHeight="1">
      <c r="A151" s="88">
        <f t="shared" si="8"/>
        <v>43615</v>
      </c>
      <c r="B151" s="72" t="str">
        <f t="shared" si="1"/>
        <v>20190530</v>
      </c>
      <c r="C151" s="72" t="str">
        <f t="shared" si="2"/>
        <v>Thursday</v>
      </c>
      <c r="D151" s="72" t="str">
        <f t="shared" si="3"/>
        <v>May</v>
      </c>
      <c r="E151" s="72" t="str">
        <f t="shared" si="4"/>
        <v>Q2</v>
      </c>
      <c r="F151" s="72">
        <f t="shared" si="5"/>
        <v>2019</v>
      </c>
      <c r="G151" s="89">
        <f t="shared" si="6"/>
        <v>43617</v>
      </c>
      <c r="H151" s="72" t="str">
        <f t="shared" si="7"/>
        <v>Yes</v>
      </c>
    </row>
    <row r="152" ht="15.75" customHeight="1">
      <c r="A152" s="88">
        <f t="shared" si="8"/>
        <v>43616</v>
      </c>
      <c r="B152" s="72" t="str">
        <f t="shared" si="1"/>
        <v>20190531</v>
      </c>
      <c r="C152" s="72" t="str">
        <f t="shared" si="2"/>
        <v>Friday</v>
      </c>
      <c r="D152" s="72" t="str">
        <f t="shared" si="3"/>
        <v>May</v>
      </c>
      <c r="E152" s="72" t="str">
        <f t="shared" si="4"/>
        <v>Q2</v>
      </c>
      <c r="F152" s="72">
        <f t="shared" si="5"/>
        <v>2019</v>
      </c>
      <c r="G152" s="89">
        <f t="shared" si="6"/>
        <v>43617</v>
      </c>
      <c r="H152" s="72" t="str">
        <f t="shared" si="7"/>
        <v>Yes</v>
      </c>
    </row>
    <row r="153" ht="15.75" customHeight="1">
      <c r="A153" s="88">
        <f t="shared" si="8"/>
        <v>43617</v>
      </c>
      <c r="B153" s="72" t="str">
        <f t="shared" si="1"/>
        <v>20190601</v>
      </c>
      <c r="C153" s="72" t="str">
        <f t="shared" si="2"/>
        <v>Saturday</v>
      </c>
      <c r="D153" s="72" t="str">
        <f t="shared" si="3"/>
        <v>June</v>
      </c>
      <c r="E153" s="72" t="str">
        <f t="shared" si="4"/>
        <v>Q2</v>
      </c>
      <c r="F153" s="72">
        <f t="shared" si="5"/>
        <v>2019</v>
      </c>
      <c r="G153" s="89">
        <f t="shared" si="6"/>
        <v>43617</v>
      </c>
      <c r="H153" s="72" t="str">
        <f t="shared" si="7"/>
        <v>No</v>
      </c>
    </row>
    <row r="154" ht="15.75" customHeight="1">
      <c r="A154" s="88">
        <f t="shared" si="8"/>
        <v>43618</v>
      </c>
      <c r="B154" s="72" t="str">
        <f t="shared" si="1"/>
        <v>20190602</v>
      </c>
      <c r="C154" s="72" t="str">
        <f t="shared" si="2"/>
        <v>Sunday</v>
      </c>
      <c r="D154" s="72" t="str">
        <f t="shared" si="3"/>
        <v>June</v>
      </c>
      <c r="E154" s="72" t="str">
        <f t="shared" si="4"/>
        <v>Q2</v>
      </c>
      <c r="F154" s="72">
        <f t="shared" si="5"/>
        <v>2019</v>
      </c>
      <c r="G154" s="89">
        <f t="shared" si="6"/>
        <v>43624</v>
      </c>
      <c r="H154" s="72" t="str">
        <f t="shared" si="7"/>
        <v>No</v>
      </c>
    </row>
    <row r="155" ht="15.75" customHeight="1">
      <c r="A155" s="88">
        <f t="shared" si="8"/>
        <v>43619</v>
      </c>
      <c r="B155" s="72" t="str">
        <f t="shared" si="1"/>
        <v>20190603</v>
      </c>
      <c r="C155" s="72" t="str">
        <f t="shared" si="2"/>
        <v>Monday</v>
      </c>
      <c r="D155" s="72" t="str">
        <f t="shared" si="3"/>
        <v>June</v>
      </c>
      <c r="E155" s="72" t="str">
        <f t="shared" si="4"/>
        <v>Q2</v>
      </c>
      <c r="F155" s="72">
        <f t="shared" si="5"/>
        <v>2019</v>
      </c>
      <c r="G155" s="89">
        <f t="shared" si="6"/>
        <v>43624</v>
      </c>
      <c r="H155" s="72" t="str">
        <f t="shared" si="7"/>
        <v>Yes</v>
      </c>
    </row>
    <row r="156" ht="15.75" customHeight="1">
      <c r="A156" s="88">
        <f t="shared" si="8"/>
        <v>43620</v>
      </c>
      <c r="B156" s="72" t="str">
        <f t="shared" si="1"/>
        <v>20190604</v>
      </c>
      <c r="C156" s="72" t="str">
        <f t="shared" si="2"/>
        <v>Tuesday</v>
      </c>
      <c r="D156" s="72" t="str">
        <f t="shared" si="3"/>
        <v>June</v>
      </c>
      <c r="E156" s="72" t="str">
        <f t="shared" si="4"/>
        <v>Q2</v>
      </c>
      <c r="F156" s="72">
        <f t="shared" si="5"/>
        <v>2019</v>
      </c>
      <c r="G156" s="89">
        <f t="shared" si="6"/>
        <v>43624</v>
      </c>
      <c r="H156" s="72" t="str">
        <f t="shared" si="7"/>
        <v>Yes</v>
      </c>
    </row>
    <row r="157" ht="15.75" customHeight="1">
      <c r="A157" s="88">
        <f t="shared" si="8"/>
        <v>43621</v>
      </c>
      <c r="B157" s="72" t="str">
        <f t="shared" si="1"/>
        <v>20190605</v>
      </c>
      <c r="C157" s="72" t="str">
        <f t="shared" si="2"/>
        <v>Wednesday</v>
      </c>
      <c r="D157" s="72" t="str">
        <f t="shared" si="3"/>
        <v>June</v>
      </c>
      <c r="E157" s="72" t="str">
        <f t="shared" si="4"/>
        <v>Q2</v>
      </c>
      <c r="F157" s="72">
        <f t="shared" si="5"/>
        <v>2019</v>
      </c>
      <c r="G157" s="89">
        <f t="shared" si="6"/>
        <v>43624</v>
      </c>
      <c r="H157" s="72" t="str">
        <f t="shared" si="7"/>
        <v>Yes</v>
      </c>
    </row>
    <row r="158" ht="15.75" customHeight="1">
      <c r="A158" s="88">
        <f t="shared" si="8"/>
        <v>43622</v>
      </c>
      <c r="B158" s="72" t="str">
        <f t="shared" si="1"/>
        <v>20190606</v>
      </c>
      <c r="C158" s="72" t="str">
        <f t="shared" si="2"/>
        <v>Thursday</v>
      </c>
      <c r="D158" s="72" t="str">
        <f t="shared" si="3"/>
        <v>June</v>
      </c>
      <c r="E158" s="72" t="str">
        <f t="shared" si="4"/>
        <v>Q2</v>
      </c>
      <c r="F158" s="72">
        <f t="shared" si="5"/>
        <v>2019</v>
      </c>
      <c r="G158" s="89">
        <f t="shared" si="6"/>
        <v>43624</v>
      </c>
      <c r="H158" s="72" t="str">
        <f t="shared" si="7"/>
        <v>Yes</v>
      </c>
    </row>
    <row r="159" ht="15.75" customHeight="1">
      <c r="A159" s="88">
        <f t="shared" si="8"/>
        <v>43623</v>
      </c>
      <c r="B159" s="72" t="str">
        <f t="shared" si="1"/>
        <v>20190607</v>
      </c>
      <c r="C159" s="72" t="str">
        <f t="shared" si="2"/>
        <v>Friday</v>
      </c>
      <c r="D159" s="72" t="str">
        <f t="shared" si="3"/>
        <v>June</v>
      </c>
      <c r="E159" s="72" t="str">
        <f t="shared" si="4"/>
        <v>Q2</v>
      </c>
      <c r="F159" s="72">
        <f t="shared" si="5"/>
        <v>2019</v>
      </c>
      <c r="G159" s="89">
        <f t="shared" si="6"/>
        <v>43624</v>
      </c>
      <c r="H159" s="72" t="str">
        <f t="shared" si="7"/>
        <v>Yes</v>
      </c>
    </row>
    <row r="160" ht="15.75" customHeight="1">
      <c r="A160" s="88">
        <f t="shared" si="8"/>
        <v>43624</v>
      </c>
      <c r="B160" s="72" t="str">
        <f t="shared" si="1"/>
        <v>20190608</v>
      </c>
      <c r="C160" s="72" t="str">
        <f t="shared" si="2"/>
        <v>Saturday</v>
      </c>
      <c r="D160" s="72" t="str">
        <f t="shared" si="3"/>
        <v>June</v>
      </c>
      <c r="E160" s="72" t="str">
        <f t="shared" si="4"/>
        <v>Q2</v>
      </c>
      <c r="F160" s="72">
        <f t="shared" si="5"/>
        <v>2019</v>
      </c>
      <c r="G160" s="89">
        <f t="shared" si="6"/>
        <v>43624</v>
      </c>
      <c r="H160" s="72" t="str">
        <f t="shared" si="7"/>
        <v>No</v>
      </c>
    </row>
    <row r="161" ht="15.75" customHeight="1">
      <c r="A161" s="88">
        <f t="shared" si="8"/>
        <v>43625</v>
      </c>
      <c r="B161" s="72" t="str">
        <f t="shared" si="1"/>
        <v>20190609</v>
      </c>
      <c r="C161" s="72" t="str">
        <f t="shared" si="2"/>
        <v>Sunday</v>
      </c>
      <c r="D161" s="72" t="str">
        <f t="shared" si="3"/>
        <v>June</v>
      </c>
      <c r="E161" s="72" t="str">
        <f t="shared" si="4"/>
        <v>Q2</v>
      </c>
      <c r="F161" s="72">
        <f t="shared" si="5"/>
        <v>2019</v>
      </c>
      <c r="G161" s="89">
        <f t="shared" si="6"/>
        <v>43631</v>
      </c>
      <c r="H161" s="72" t="str">
        <f t="shared" si="7"/>
        <v>No</v>
      </c>
    </row>
    <row r="162" ht="15.75" customHeight="1">
      <c r="A162" s="88">
        <f t="shared" si="8"/>
        <v>43626</v>
      </c>
      <c r="B162" s="72" t="str">
        <f t="shared" si="1"/>
        <v>20190610</v>
      </c>
      <c r="C162" s="72" t="str">
        <f t="shared" si="2"/>
        <v>Monday</v>
      </c>
      <c r="D162" s="72" t="str">
        <f t="shared" si="3"/>
        <v>June</v>
      </c>
      <c r="E162" s="72" t="str">
        <f t="shared" si="4"/>
        <v>Q2</v>
      </c>
      <c r="F162" s="72">
        <f t="shared" si="5"/>
        <v>2019</v>
      </c>
      <c r="G162" s="89">
        <f t="shared" si="6"/>
        <v>43631</v>
      </c>
      <c r="H162" s="72" t="str">
        <f t="shared" si="7"/>
        <v>Yes</v>
      </c>
    </row>
    <row r="163" ht="15.75" customHeight="1">
      <c r="A163" s="88">
        <f t="shared" si="8"/>
        <v>43627</v>
      </c>
      <c r="B163" s="72" t="str">
        <f t="shared" si="1"/>
        <v>20190611</v>
      </c>
      <c r="C163" s="72" t="str">
        <f t="shared" si="2"/>
        <v>Tuesday</v>
      </c>
      <c r="D163" s="72" t="str">
        <f t="shared" si="3"/>
        <v>June</v>
      </c>
      <c r="E163" s="72" t="str">
        <f t="shared" si="4"/>
        <v>Q2</v>
      </c>
      <c r="F163" s="72">
        <f t="shared" si="5"/>
        <v>2019</v>
      </c>
      <c r="G163" s="89">
        <f t="shared" si="6"/>
        <v>43631</v>
      </c>
      <c r="H163" s="72" t="str">
        <f t="shared" si="7"/>
        <v>Yes</v>
      </c>
    </row>
    <row r="164" ht="15.75" customHeight="1">
      <c r="A164" s="88">
        <f t="shared" si="8"/>
        <v>43628</v>
      </c>
      <c r="B164" s="72" t="str">
        <f t="shared" si="1"/>
        <v>20190612</v>
      </c>
      <c r="C164" s="72" t="str">
        <f t="shared" si="2"/>
        <v>Wednesday</v>
      </c>
      <c r="D164" s="72" t="str">
        <f t="shared" si="3"/>
        <v>June</v>
      </c>
      <c r="E164" s="72" t="str">
        <f t="shared" si="4"/>
        <v>Q2</v>
      </c>
      <c r="F164" s="72">
        <f t="shared" si="5"/>
        <v>2019</v>
      </c>
      <c r="G164" s="89">
        <f t="shared" si="6"/>
        <v>43631</v>
      </c>
      <c r="H164" s="72" t="str">
        <f t="shared" si="7"/>
        <v>Yes</v>
      </c>
    </row>
    <row r="165" ht="15.75" customHeight="1">
      <c r="A165" s="88">
        <f t="shared" si="8"/>
        <v>43629</v>
      </c>
      <c r="B165" s="72" t="str">
        <f t="shared" si="1"/>
        <v>20190613</v>
      </c>
      <c r="C165" s="72" t="str">
        <f t="shared" si="2"/>
        <v>Thursday</v>
      </c>
      <c r="D165" s="72" t="str">
        <f t="shared" si="3"/>
        <v>June</v>
      </c>
      <c r="E165" s="72" t="str">
        <f t="shared" si="4"/>
        <v>Q2</v>
      </c>
      <c r="F165" s="72">
        <f t="shared" si="5"/>
        <v>2019</v>
      </c>
      <c r="G165" s="89">
        <f t="shared" si="6"/>
        <v>43631</v>
      </c>
      <c r="H165" s="72" t="str">
        <f t="shared" si="7"/>
        <v>Yes</v>
      </c>
    </row>
    <row r="166" ht="15.75" customHeight="1">
      <c r="A166" s="88">
        <f t="shared" si="8"/>
        <v>43630</v>
      </c>
      <c r="B166" s="72" t="str">
        <f t="shared" si="1"/>
        <v>20190614</v>
      </c>
      <c r="C166" s="72" t="str">
        <f t="shared" si="2"/>
        <v>Friday</v>
      </c>
      <c r="D166" s="72" t="str">
        <f t="shared" si="3"/>
        <v>June</v>
      </c>
      <c r="E166" s="72" t="str">
        <f t="shared" si="4"/>
        <v>Q2</v>
      </c>
      <c r="F166" s="72">
        <f t="shared" si="5"/>
        <v>2019</v>
      </c>
      <c r="G166" s="89">
        <f t="shared" si="6"/>
        <v>43631</v>
      </c>
      <c r="H166" s="72" t="str">
        <f t="shared" si="7"/>
        <v>Yes</v>
      </c>
    </row>
    <row r="167" ht="15.75" customHeight="1">
      <c r="A167" s="88">
        <f t="shared" si="8"/>
        <v>43631</v>
      </c>
      <c r="B167" s="72" t="str">
        <f t="shared" si="1"/>
        <v>20190615</v>
      </c>
      <c r="C167" s="72" t="str">
        <f t="shared" si="2"/>
        <v>Saturday</v>
      </c>
      <c r="D167" s="72" t="str">
        <f t="shared" si="3"/>
        <v>June</v>
      </c>
      <c r="E167" s="72" t="str">
        <f t="shared" si="4"/>
        <v>Q2</v>
      </c>
      <c r="F167" s="72">
        <f t="shared" si="5"/>
        <v>2019</v>
      </c>
      <c r="G167" s="89">
        <f t="shared" si="6"/>
        <v>43631</v>
      </c>
      <c r="H167" s="72" t="str">
        <f t="shared" si="7"/>
        <v>No</v>
      </c>
    </row>
    <row r="168" ht="15.75" customHeight="1">
      <c r="A168" s="88">
        <f t="shared" si="8"/>
        <v>43632</v>
      </c>
      <c r="B168" s="72" t="str">
        <f t="shared" si="1"/>
        <v>20190616</v>
      </c>
      <c r="C168" s="72" t="str">
        <f t="shared" si="2"/>
        <v>Sunday</v>
      </c>
      <c r="D168" s="72" t="str">
        <f t="shared" si="3"/>
        <v>June</v>
      </c>
      <c r="E168" s="72" t="str">
        <f t="shared" si="4"/>
        <v>Q2</v>
      </c>
      <c r="F168" s="72">
        <f t="shared" si="5"/>
        <v>2019</v>
      </c>
      <c r="G168" s="89">
        <f t="shared" si="6"/>
        <v>43638</v>
      </c>
      <c r="H168" s="72" t="str">
        <f t="shared" si="7"/>
        <v>No</v>
      </c>
    </row>
    <row r="169" ht="15.75" customHeight="1">
      <c r="A169" s="88">
        <f t="shared" si="8"/>
        <v>43633</v>
      </c>
      <c r="B169" s="72" t="str">
        <f t="shared" si="1"/>
        <v>20190617</v>
      </c>
      <c r="C169" s="72" t="str">
        <f t="shared" si="2"/>
        <v>Monday</v>
      </c>
      <c r="D169" s="72" t="str">
        <f t="shared" si="3"/>
        <v>June</v>
      </c>
      <c r="E169" s="72" t="str">
        <f t="shared" si="4"/>
        <v>Q2</v>
      </c>
      <c r="F169" s="72">
        <f t="shared" si="5"/>
        <v>2019</v>
      </c>
      <c r="G169" s="89">
        <f t="shared" si="6"/>
        <v>43638</v>
      </c>
      <c r="H169" s="72" t="str">
        <f t="shared" si="7"/>
        <v>Yes</v>
      </c>
    </row>
    <row r="170" ht="15.75" customHeight="1">
      <c r="A170" s="88">
        <f t="shared" si="8"/>
        <v>43634</v>
      </c>
      <c r="B170" s="72" t="str">
        <f t="shared" si="1"/>
        <v>20190618</v>
      </c>
      <c r="C170" s="72" t="str">
        <f t="shared" si="2"/>
        <v>Tuesday</v>
      </c>
      <c r="D170" s="72" t="str">
        <f t="shared" si="3"/>
        <v>June</v>
      </c>
      <c r="E170" s="72" t="str">
        <f t="shared" si="4"/>
        <v>Q2</v>
      </c>
      <c r="F170" s="72">
        <f t="shared" si="5"/>
        <v>2019</v>
      </c>
      <c r="G170" s="89">
        <f t="shared" si="6"/>
        <v>43638</v>
      </c>
      <c r="H170" s="72" t="str">
        <f t="shared" si="7"/>
        <v>Yes</v>
      </c>
    </row>
    <row r="171" ht="15.75" customHeight="1">
      <c r="A171" s="88">
        <f t="shared" si="8"/>
        <v>43635</v>
      </c>
      <c r="B171" s="72" t="str">
        <f t="shared" si="1"/>
        <v>20190619</v>
      </c>
      <c r="C171" s="72" t="str">
        <f t="shared" si="2"/>
        <v>Wednesday</v>
      </c>
      <c r="D171" s="72" t="str">
        <f t="shared" si="3"/>
        <v>June</v>
      </c>
      <c r="E171" s="72" t="str">
        <f t="shared" si="4"/>
        <v>Q2</v>
      </c>
      <c r="F171" s="72">
        <f t="shared" si="5"/>
        <v>2019</v>
      </c>
      <c r="G171" s="89">
        <f t="shared" si="6"/>
        <v>43638</v>
      </c>
      <c r="H171" s="72" t="str">
        <f t="shared" si="7"/>
        <v>Yes</v>
      </c>
    </row>
    <row r="172" ht="15.75" customHeight="1">
      <c r="A172" s="88">
        <f t="shared" si="8"/>
        <v>43636</v>
      </c>
      <c r="B172" s="72" t="str">
        <f t="shared" si="1"/>
        <v>20190620</v>
      </c>
      <c r="C172" s="72" t="str">
        <f t="shared" si="2"/>
        <v>Thursday</v>
      </c>
      <c r="D172" s="72" t="str">
        <f t="shared" si="3"/>
        <v>June</v>
      </c>
      <c r="E172" s="72" t="str">
        <f t="shared" si="4"/>
        <v>Q2</v>
      </c>
      <c r="F172" s="72">
        <f t="shared" si="5"/>
        <v>2019</v>
      </c>
      <c r="G172" s="89">
        <f t="shared" si="6"/>
        <v>43638</v>
      </c>
      <c r="H172" s="72" t="str">
        <f t="shared" si="7"/>
        <v>Yes</v>
      </c>
    </row>
    <row r="173" ht="15.75" customHeight="1">
      <c r="A173" s="88">
        <f t="shared" si="8"/>
        <v>43637</v>
      </c>
      <c r="B173" s="72" t="str">
        <f t="shared" si="1"/>
        <v>20190621</v>
      </c>
      <c r="C173" s="72" t="str">
        <f t="shared" si="2"/>
        <v>Friday</v>
      </c>
      <c r="D173" s="72" t="str">
        <f t="shared" si="3"/>
        <v>June</v>
      </c>
      <c r="E173" s="72" t="str">
        <f t="shared" si="4"/>
        <v>Q2</v>
      </c>
      <c r="F173" s="72">
        <f t="shared" si="5"/>
        <v>2019</v>
      </c>
      <c r="G173" s="89">
        <f t="shared" si="6"/>
        <v>43638</v>
      </c>
      <c r="H173" s="72" t="str">
        <f t="shared" si="7"/>
        <v>Yes</v>
      </c>
    </row>
    <row r="174" ht="15.75" customHeight="1">
      <c r="A174" s="88">
        <f t="shared" si="8"/>
        <v>43638</v>
      </c>
      <c r="B174" s="72" t="str">
        <f t="shared" si="1"/>
        <v>20190622</v>
      </c>
      <c r="C174" s="72" t="str">
        <f t="shared" si="2"/>
        <v>Saturday</v>
      </c>
      <c r="D174" s="72" t="str">
        <f t="shared" si="3"/>
        <v>June</v>
      </c>
      <c r="E174" s="72" t="str">
        <f t="shared" si="4"/>
        <v>Q2</v>
      </c>
      <c r="F174" s="72">
        <f t="shared" si="5"/>
        <v>2019</v>
      </c>
      <c r="G174" s="89">
        <f t="shared" si="6"/>
        <v>43638</v>
      </c>
      <c r="H174" s="72" t="str">
        <f t="shared" si="7"/>
        <v>No</v>
      </c>
    </row>
    <row r="175" ht="15.75" customHeight="1">
      <c r="A175" s="88">
        <f t="shared" si="8"/>
        <v>43639</v>
      </c>
      <c r="B175" s="72" t="str">
        <f t="shared" si="1"/>
        <v>20190623</v>
      </c>
      <c r="C175" s="72" t="str">
        <f t="shared" si="2"/>
        <v>Sunday</v>
      </c>
      <c r="D175" s="72" t="str">
        <f t="shared" si="3"/>
        <v>June</v>
      </c>
      <c r="E175" s="72" t="str">
        <f t="shared" si="4"/>
        <v>Q2</v>
      </c>
      <c r="F175" s="72">
        <f t="shared" si="5"/>
        <v>2019</v>
      </c>
      <c r="G175" s="89">
        <f t="shared" si="6"/>
        <v>43645</v>
      </c>
      <c r="H175" s="72" t="str">
        <f t="shared" si="7"/>
        <v>No</v>
      </c>
    </row>
    <row r="176" ht="15.75" customHeight="1">
      <c r="A176" s="88">
        <f t="shared" si="8"/>
        <v>43640</v>
      </c>
      <c r="B176" s="72" t="str">
        <f t="shared" si="1"/>
        <v>20190624</v>
      </c>
      <c r="C176" s="72" t="str">
        <f t="shared" si="2"/>
        <v>Monday</v>
      </c>
      <c r="D176" s="72" t="str">
        <f t="shared" si="3"/>
        <v>June</v>
      </c>
      <c r="E176" s="72" t="str">
        <f t="shared" si="4"/>
        <v>Q2</v>
      </c>
      <c r="F176" s="72">
        <f t="shared" si="5"/>
        <v>2019</v>
      </c>
      <c r="G176" s="89">
        <f t="shared" si="6"/>
        <v>43645</v>
      </c>
      <c r="H176" s="72" t="str">
        <f t="shared" si="7"/>
        <v>Yes</v>
      </c>
    </row>
    <row r="177" ht="15.75" customHeight="1">
      <c r="A177" s="88">
        <f t="shared" si="8"/>
        <v>43641</v>
      </c>
      <c r="B177" s="72" t="str">
        <f t="shared" si="1"/>
        <v>20190625</v>
      </c>
      <c r="C177" s="72" t="str">
        <f t="shared" si="2"/>
        <v>Tuesday</v>
      </c>
      <c r="D177" s="72" t="str">
        <f t="shared" si="3"/>
        <v>June</v>
      </c>
      <c r="E177" s="72" t="str">
        <f t="shared" si="4"/>
        <v>Q2</v>
      </c>
      <c r="F177" s="72">
        <f t="shared" si="5"/>
        <v>2019</v>
      </c>
      <c r="G177" s="89">
        <f t="shared" si="6"/>
        <v>43645</v>
      </c>
      <c r="H177" s="72" t="str">
        <f t="shared" si="7"/>
        <v>Yes</v>
      </c>
    </row>
    <row r="178" ht="15.75" customHeight="1">
      <c r="A178" s="88">
        <f t="shared" si="8"/>
        <v>43642</v>
      </c>
      <c r="B178" s="72" t="str">
        <f t="shared" si="1"/>
        <v>20190626</v>
      </c>
      <c r="C178" s="72" t="str">
        <f t="shared" si="2"/>
        <v>Wednesday</v>
      </c>
      <c r="D178" s="72" t="str">
        <f t="shared" si="3"/>
        <v>June</v>
      </c>
      <c r="E178" s="72" t="str">
        <f t="shared" si="4"/>
        <v>Q2</v>
      </c>
      <c r="F178" s="72">
        <f t="shared" si="5"/>
        <v>2019</v>
      </c>
      <c r="G178" s="89">
        <f t="shared" si="6"/>
        <v>43645</v>
      </c>
      <c r="H178" s="72" t="str">
        <f t="shared" si="7"/>
        <v>Yes</v>
      </c>
    </row>
    <row r="179" ht="15.75" customHeight="1">
      <c r="A179" s="88">
        <f t="shared" si="8"/>
        <v>43643</v>
      </c>
      <c r="B179" s="72" t="str">
        <f t="shared" si="1"/>
        <v>20190627</v>
      </c>
      <c r="C179" s="72" t="str">
        <f t="shared" si="2"/>
        <v>Thursday</v>
      </c>
      <c r="D179" s="72" t="str">
        <f t="shared" si="3"/>
        <v>June</v>
      </c>
      <c r="E179" s="72" t="str">
        <f t="shared" si="4"/>
        <v>Q2</v>
      </c>
      <c r="F179" s="72">
        <f t="shared" si="5"/>
        <v>2019</v>
      </c>
      <c r="G179" s="89">
        <f t="shared" si="6"/>
        <v>43645</v>
      </c>
      <c r="H179" s="72" t="str">
        <f t="shared" si="7"/>
        <v>Yes</v>
      </c>
    </row>
    <row r="180" ht="15.75" customHeight="1">
      <c r="A180" s="88">
        <f t="shared" si="8"/>
        <v>43644</v>
      </c>
      <c r="B180" s="72" t="str">
        <f t="shared" si="1"/>
        <v>20190628</v>
      </c>
      <c r="C180" s="72" t="str">
        <f t="shared" si="2"/>
        <v>Friday</v>
      </c>
      <c r="D180" s="72" t="str">
        <f t="shared" si="3"/>
        <v>June</v>
      </c>
      <c r="E180" s="72" t="str">
        <f t="shared" si="4"/>
        <v>Q2</v>
      </c>
      <c r="F180" s="72">
        <f t="shared" si="5"/>
        <v>2019</v>
      </c>
      <c r="G180" s="89">
        <f t="shared" si="6"/>
        <v>43645</v>
      </c>
      <c r="H180" s="72" t="str">
        <f t="shared" si="7"/>
        <v>Yes</v>
      </c>
    </row>
    <row r="181" ht="15.75" customHeight="1">
      <c r="A181" s="88">
        <f t="shared" si="8"/>
        <v>43645</v>
      </c>
      <c r="B181" s="72" t="str">
        <f t="shared" si="1"/>
        <v>20190629</v>
      </c>
      <c r="C181" s="72" t="str">
        <f t="shared" si="2"/>
        <v>Saturday</v>
      </c>
      <c r="D181" s="72" t="str">
        <f t="shared" si="3"/>
        <v>June</v>
      </c>
      <c r="E181" s="72" t="str">
        <f t="shared" si="4"/>
        <v>Q2</v>
      </c>
      <c r="F181" s="72">
        <f t="shared" si="5"/>
        <v>2019</v>
      </c>
      <c r="G181" s="89">
        <f t="shared" si="6"/>
        <v>43645</v>
      </c>
      <c r="H181" s="72" t="str">
        <f t="shared" si="7"/>
        <v>No</v>
      </c>
    </row>
    <row r="182" ht="15.75" customHeight="1">
      <c r="A182" s="88">
        <f t="shared" si="8"/>
        <v>43646</v>
      </c>
      <c r="B182" s="72" t="str">
        <f t="shared" si="1"/>
        <v>20190630</v>
      </c>
      <c r="C182" s="72" t="str">
        <f t="shared" si="2"/>
        <v>Sunday</v>
      </c>
      <c r="D182" s="72" t="str">
        <f t="shared" si="3"/>
        <v>June</v>
      </c>
      <c r="E182" s="72" t="str">
        <f t="shared" si="4"/>
        <v>Q2</v>
      </c>
      <c r="F182" s="72">
        <f t="shared" si="5"/>
        <v>2019</v>
      </c>
      <c r="G182" s="89">
        <f t="shared" si="6"/>
        <v>43652</v>
      </c>
      <c r="H182" s="72" t="str">
        <f t="shared" si="7"/>
        <v>No</v>
      </c>
    </row>
    <row r="183" ht="15.75" customHeight="1">
      <c r="A183" s="88">
        <f t="shared" si="8"/>
        <v>43647</v>
      </c>
      <c r="B183" s="72" t="str">
        <f t="shared" si="1"/>
        <v>20190701</v>
      </c>
      <c r="C183" s="72" t="str">
        <f t="shared" si="2"/>
        <v>Monday</v>
      </c>
      <c r="D183" s="72" t="str">
        <f t="shared" si="3"/>
        <v>July</v>
      </c>
      <c r="E183" s="72" t="str">
        <f t="shared" si="4"/>
        <v>Q3</v>
      </c>
      <c r="F183" s="72">
        <f t="shared" si="5"/>
        <v>2019</v>
      </c>
      <c r="G183" s="89">
        <f t="shared" si="6"/>
        <v>43652</v>
      </c>
      <c r="H183" s="72" t="str">
        <f t="shared" si="7"/>
        <v>Yes</v>
      </c>
    </row>
    <row r="184" ht="15.75" customHeight="1">
      <c r="A184" s="88">
        <f t="shared" si="8"/>
        <v>43648</v>
      </c>
      <c r="B184" s="72" t="str">
        <f t="shared" si="1"/>
        <v>20190702</v>
      </c>
      <c r="C184" s="72" t="str">
        <f t="shared" si="2"/>
        <v>Tuesday</v>
      </c>
      <c r="D184" s="72" t="str">
        <f t="shared" si="3"/>
        <v>July</v>
      </c>
      <c r="E184" s="72" t="str">
        <f t="shared" si="4"/>
        <v>Q3</v>
      </c>
      <c r="F184" s="72">
        <f t="shared" si="5"/>
        <v>2019</v>
      </c>
      <c r="G184" s="89">
        <f t="shared" si="6"/>
        <v>43652</v>
      </c>
      <c r="H184" s="72" t="str">
        <f t="shared" si="7"/>
        <v>Yes</v>
      </c>
    </row>
    <row r="185" ht="15.75" customHeight="1">
      <c r="A185" s="88">
        <f t="shared" si="8"/>
        <v>43649</v>
      </c>
      <c r="B185" s="72" t="str">
        <f t="shared" si="1"/>
        <v>20190703</v>
      </c>
      <c r="C185" s="72" t="str">
        <f t="shared" si="2"/>
        <v>Wednesday</v>
      </c>
      <c r="D185" s="72" t="str">
        <f t="shared" si="3"/>
        <v>July</v>
      </c>
      <c r="E185" s="72" t="str">
        <f t="shared" si="4"/>
        <v>Q3</v>
      </c>
      <c r="F185" s="72">
        <f t="shared" si="5"/>
        <v>2019</v>
      </c>
      <c r="G185" s="89">
        <f t="shared" si="6"/>
        <v>43652</v>
      </c>
      <c r="H185" s="72" t="str">
        <f t="shared" si="7"/>
        <v>Yes</v>
      </c>
    </row>
    <row r="186" ht="15.75" customHeight="1">
      <c r="A186" s="88">
        <f t="shared" si="8"/>
        <v>43650</v>
      </c>
      <c r="B186" s="72" t="str">
        <f t="shared" si="1"/>
        <v>20190704</v>
      </c>
      <c r="C186" s="72" t="str">
        <f t="shared" si="2"/>
        <v>Thursday</v>
      </c>
      <c r="D186" s="72" t="str">
        <f t="shared" si="3"/>
        <v>July</v>
      </c>
      <c r="E186" s="72" t="str">
        <f t="shared" si="4"/>
        <v>Q3</v>
      </c>
      <c r="F186" s="72">
        <f t="shared" si="5"/>
        <v>2019</v>
      </c>
      <c r="G186" s="89">
        <f t="shared" si="6"/>
        <v>43652</v>
      </c>
      <c r="H186" s="72" t="str">
        <f t="shared" si="7"/>
        <v>Yes</v>
      </c>
    </row>
    <row r="187" ht="15.75" customHeight="1">
      <c r="A187" s="88">
        <f t="shared" si="8"/>
        <v>43651</v>
      </c>
      <c r="B187" s="72" t="str">
        <f t="shared" si="1"/>
        <v>20190705</v>
      </c>
      <c r="C187" s="72" t="str">
        <f t="shared" si="2"/>
        <v>Friday</v>
      </c>
      <c r="D187" s="72" t="str">
        <f t="shared" si="3"/>
        <v>July</v>
      </c>
      <c r="E187" s="72" t="str">
        <f t="shared" si="4"/>
        <v>Q3</v>
      </c>
      <c r="F187" s="72">
        <f t="shared" si="5"/>
        <v>2019</v>
      </c>
      <c r="G187" s="89">
        <f t="shared" si="6"/>
        <v>43652</v>
      </c>
      <c r="H187" s="72" t="str">
        <f t="shared" si="7"/>
        <v>Yes</v>
      </c>
    </row>
    <row r="188" ht="15.75" customHeight="1">
      <c r="A188" s="88">
        <f t="shared" si="8"/>
        <v>43652</v>
      </c>
      <c r="B188" s="72" t="str">
        <f t="shared" si="1"/>
        <v>20190706</v>
      </c>
      <c r="C188" s="72" t="str">
        <f t="shared" si="2"/>
        <v>Saturday</v>
      </c>
      <c r="D188" s="72" t="str">
        <f t="shared" si="3"/>
        <v>July</v>
      </c>
      <c r="E188" s="72" t="str">
        <f t="shared" si="4"/>
        <v>Q3</v>
      </c>
      <c r="F188" s="72">
        <f t="shared" si="5"/>
        <v>2019</v>
      </c>
      <c r="G188" s="89">
        <f t="shared" si="6"/>
        <v>43652</v>
      </c>
      <c r="H188" s="72" t="str">
        <f t="shared" si="7"/>
        <v>No</v>
      </c>
    </row>
    <row r="189" ht="15.75" customHeight="1">
      <c r="A189" s="88">
        <f t="shared" si="8"/>
        <v>43653</v>
      </c>
      <c r="B189" s="72" t="str">
        <f t="shared" si="1"/>
        <v>20190707</v>
      </c>
      <c r="C189" s="72" t="str">
        <f t="shared" si="2"/>
        <v>Sunday</v>
      </c>
      <c r="D189" s="72" t="str">
        <f t="shared" si="3"/>
        <v>July</v>
      </c>
      <c r="E189" s="72" t="str">
        <f t="shared" si="4"/>
        <v>Q3</v>
      </c>
      <c r="F189" s="72">
        <f t="shared" si="5"/>
        <v>2019</v>
      </c>
      <c r="G189" s="89">
        <f t="shared" si="6"/>
        <v>43659</v>
      </c>
      <c r="H189" s="72" t="str">
        <f t="shared" si="7"/>
        <v>No</v>
      </c>
    </row>
    <row r="190" ht="15.75" customHeight="1">
      <c r="A190" s="88">
        <f t="shared" si="8"/>
        <v>43654</v>
      </c>
      <c r="B190" s="72" t="str">
        <f t="shared" si="1"/>
        <v>20190708</v>
      </c>
      <c r="C190" s="72" t="str">
        <f t="shared" si="2"/>
        <v>Monday</v>
      </c>
      <c r="D190" s="72" t="str">
        <f t="shared" si="3"/>
        <v>July</v>
      </c>
      <c r="E190" s="72" t="str">
        <f t="shared" si="4"/>
        <v>Q3</v>
      </c>
      <c r="F190" s="72">
        <f t="shared" si="5"/>
        <v>2019</v>
      </c>
      <c r="G190" s="89">
        <f t="shared" si="6"/>
        <v>43659</v>
      </c>
      <c r="H190" s="72" t="str">
        <f t="shared" si="7"/>
        <v>Yes</v>
      </c>
    </row>
    <row r="191" ht="15.75" customHeight="1">
      <c r="A191" s="88">
        <f t="shared" si="8"/>
        <v>43655</v>
      </c>
      <c r="B191" s="72" t="str">
        <f t="shared" si="1"/>
        <v>20190709</v>
      </c>
      <c r="C191" s="72" t="str">
        <f t="shared" si="2"/>
        <v>Tuesday</v>
      </c>
      <c r="D191" s="72" t="str">
        <f t="shared" si="3"/>
        <v>July</v>
      </c>
      <c r="E191" s="72" t="str">
        <f t="shared" si="4"/>
        <v>Q3</v>
      </c>
      <c r="F191" s="72">
        <f t="shared" si="5"/>
        <v>2019</v>
      </c>
      <c r="G191" s="89">
        <f t="shared" si="6"/>
        <v>43659</v>
      </c>
      <c r="H191" s="72" t="str">
        <f t="shared" si="7"/>
        <v>Yes</v>
      </c>
    </row>
    <row r="192" ht="15.75" customHeight="1">
      <c r="A192" s="88">
        <f t="shared" si="8"/>
        <v>43656</v>
      </c>
      <c r="B192" s="72" t="str">
        <f t="shared" si="1"/>
        <v>20190710</v>
      </c>
      <c r="C192" s="72" t="str">
        <f t="shared" si="2"/>
        <v>Wednesday</v>
      </c>
      <c r="D192" s="72" t="str">
        <f t="shared" si="3"/>
        <v>July</v>
      </c>
      <c r="E192" s="72" t="str">
        <f t="shared" si="4"/>
        <v>Q3</v>
      </c>
      <c r="F192" s="72">
        <f t="shared" si="5"/>
        <v>2019</v>
      </c>
      <c r="G192" s="89">
        <f t="shared" si="6"/>
        <v>43659</v>
      </c>
      <c r="H192" s="72" t="str">
        <f t="shared" si="7"/>
        <v>Yes</v>
      </c>
    </row>
    <row r="193" ht="15.75" customHeight="1">
      <c r="A193" s="88">
        <f t="shared" si="8"/>
        <v>43657</v>
      </c>
      <c r="B193" s="72" t="str">
        <f t="shared" si="1"/>
        <v>20190711</v>
      </c>
      <c r="C193" s="72" t="str">
        <f t="shared" si="2"/>
        <v>Thursday</v>
      </c>
      <c r="D193" s="72" t="str">
        <f t="shared" si="3"/>
        <v>July</v>
      </c>
      <c r="E193" s="72" t="str">
        <f t="shared" si="4"/>
        <v>Q3</v>
      </c>
      <c r="F193" s="72">
        <f t="shared" si="5"/>
        <v>2019</v>
      </c>
      <c r="G193" s="89">
        <f t="shared" si="6"/>
        <v>43659</v>
      </c>
      <c r="H193" s="72" t="str">
        <f t="shared" si="7"/>
        <v>Yes</v>
      </c>
    </row>
    <row r="194" ht="15.75" customHeight="1">
      <c r="A194" s="88">
        <f t="shared" si="8"/>
        <v>43658</v>
      </c>
      <c r="B194" s="72" t="str">
        <f t="shared" si="1"/>
        <v>20190712</v>
      </c>
      <c r="C194" s="72" t="str">
        <f t="shared" si="2"/>
        <v>Friday</v>
      </c>
      <c r="D194" s="72" t="str">
        <f t="shared" si="3"/>
        <v>July</v>
      </c>
      <c r="E194" s="72" t="str">
        <f t="shared" si="4"/>
        <v>Q3</v>
      </c>
      <c r="F194" s="72">
        <f t="shared" si="5"/>
        <v>2019</v>
      </c>
      <c r="G194" s="89">
        <f t="shared" si="6"/>
        <v>43659</v>
      </c>
      <c r="H194" s="72" t="str">
        <f t="shared" si="7"/>
        <v>Yes</v>
      </c>
    </row>
    <row r="195" ht="15.75" customHeight="1">
      <c r="A195" s="88">
        <f t="shared" si="8"/>
        <v>43659</v>
      </c>
      <c r="B195" s="72" t="str">
        <f t="shared" si="1"/>
        <v>20190713</v>
      </c>
      <c r="C195" s="72" t="str">
        <f t="shared" si="2"/>
        <v>Saturday</v>
      </c>
      <c r="D195" s="72" t="str">
        <f t="shared" si="3"/>
        <v>July</v>
      </c>
      <c r="E195" s="72" t="str">
        <f t="shared" si="4"/>
        <v>Q3</v>
      </c>
      <c r="F195" s="72">
        <f t="shared" si="5"/>
        <v>2019</v>
      </c>
      <c r="G195" s="89">
        <f t="shared" si="6"/>
        <v>43659</v>
      </c>
      <c r="H195" s="72" t="str">
        <f t="shared" si="7"/>
        <v>No</v>
      </c>
    </row>
    <row r="196" ht="15.75" customHeight="1">
      <c r="A196" s="88">
        <f t="shared" si="8"/>
        <v>43660</v>
      </c>
      <c r="B196" s="72" t="str">
        <f t="shared" si="1"/>
        <v>20190714</v>
      </c>
      <c r="C196" s="72" t="str">
        <f t="shared" si="2"/>
        <v>Sunday</v>
      </c>
      <c r="D196" s="72" t="str">
        <f t="shared" si="3"/>
        <v>July</v>
      </c>
      <c r="E196" s="72" t="str">
        <f t="shared" si="4"/>
        <v>Q3</v>
      </c>
      <c r="F196" s="72">
        <f t="shared" si="5"/>
        <v>2019</v>
      </c>
      <c r="G196" s="89">
        <f t="shared" si="6"/>
        <v>43666</v>
      </c>
      <c r="H196" s="72" t="str">
        <f t="shared" si="7"/>
        <v>No</v>
      </c>
    </row>
    <row r="197" ht="15.75" customHeight="1">
      <c r="A197" s="88">
        <f t="shared" si="8"/>
        <v>43661</v>
      </c>
      <c r="B197" s="72" t="str">
        <f t="shared" si="1"/>
        <v>20190715</v>
      </c>
      <c r="C197" s="72" t="str">
        <f t="shared" si="2"/>
        <v>Monday</v>
      </c>
      <c r="D197" s="72" t="str">
        <f t="shared" si="3"/>
        <v>July</v>
      </c>
      <c r="E197" s="72" t="str">
        <f t="shared" si="4"/>
        <v>Q3</v>
      </c>
      <c r="F197" s="72">
        <f t="shared" si="5"/>
        <v>2019</v>
      </c>
      <c r="G197" s="89">
        <f t="shared" si="6"/>
        <v>43666</v>
      </c>
      <c r="H197" s="72" t="str">
        <f t="shared" si="7"/>
        <v>Yes</v>
      </c>
    </row>
    <row r="198" ht="15.75" customHeight="1">
      <c r="A198" s="88">
        <f t="shared" si="8"/>
        <v>43662</v>
      </c>
      <c r="B198" s="72" t="str">
        <f t="shared" si="1"/>
        <v>20190716</v>
      </c>
      <c r="C198" s="72" t="str">
        <f t="shared" si="2"/>
        <v>Tuesday</v>
      </c>
      <c r="D198" s="72" t="str">
        <f t="shared" si="3"/>
        <v>July</v>
      </c>
      <c r="E198" s="72" t="str">
        <f t="shared" si="4"/>
        <v>Q3</v>
      </c>
      <c r="F198" s="72">
        <f t="shared" si="5"/>
        <v>2019</v>
      </c>
      <c r="G198" s="89">
        <f t="shared" si="6"/>
        <v>43666</v>
      </c>
      <c r="H198" s="72" t="str">
        <f t="shared" si="7"/>
        <v>Yes</v>
      </c>
    </row>
    <row r="199" ht="15.75" customHeight="1">
      <c r="A199" s="88">
        <f t="shared" si="8"/>
        <v>43663</v>
      </c>
      <c r="B199" s="72" t="str">
        <f t="shared" si="1"/>
        <v>20190717</v>
      </c>
      <c r="C199" s="72" t="str">
        <f t="shared" si="2"/>
        <v>Wednesday</v>
      </c>
      <c r="D199" s="72" t="str">
        <f t="shared" si="3"/>
        <v>July</v>
      </c>
      <c r="E199" s="72" t="str">
        <f t="shared" si="4"/>
        <v>Q3</v>
      </c>
      <c r="F199" s="72">
        <f t="shared" si="5"/>
        <v>2019</v>
      </c>
      <c r="G199" s="89">
        <f t="shared" si="6"/>
        <v>43666</v>
      </c>
      <c r="H199" s="72" t="str">
        <f t="shared" si="7"/>
        <v>Yes</v>
      </c>
    </row>
    <row r="200" ht="15.75" customHeight="1">
      <c r="A200" s="88">
        <f t="shared" si="8"/>
        <v>43664</v>
      </c>
      <c r="B200" s="72" t="str">
        <f t="shared" si="1"/>
        <v>20190718</v>
      </c>
      <c r="C200" s="72" t="str">
        <f t="shared" si="2"/>
        <v>Thursday</v>
      </c>
      <c r="D200" s="72" t="str">
        <f t="shared" si="3"/>
        <v>July</v>
      </c>
      <c r="E200" s="72" t="str">
        <f t="shared" si="4"/>
        <v>Q3</v>
      </c>
      <c r="F200" s="72">
        <f t="shared" si="5"/>
        <v>2019</v>
      </c>
      <c r="G200" s="89">
        <f t="shared" si="6"/>
        <v>43666</v>
      </c>
      <c r="H200" s="72" t="str">
        <f t="shared" si="7"/>
        <v>Yes</v>
      </c>
    </row>
    <row r="201" ht="15.75" customHeight="1">
      <c r="A201" s="88">
        <f t="shared" si="8"/>
        <v>43665</v>
      </c>
      <c r="B201" s="72" t="str">
        <f t="shared" si="1"/>
        <v>20190719</v>
      </c>
      <c r="C201" s="72" t="str">
        <f t="shared" si="2"/>
        <v>Friday</v>
      </c>
      <c r="D201" s="72" t="str">
        <f t="shared" si="3"/>
        <v>July</v>
      </c>
      <c r="E201" s="72" t="str">
        <f t="shared" si="4"/>
        <v>Q3</v>
      </c>
      <c r="F201" s="72">
        <f t="shared" si="5"/>
        <v>2019</v>
      </c>
      <c r="G201" s="89">
        <f t="shared" si="6"/>
        <v>43666</v>
      </c>
      <c r="H201" s="72" t="str">
        <f t="shared" si="7"/>
        <v>Yes</v>
      </c>
    </row>
    <row r="202" ht="15.75" customHeight="1">
      <c r="A202" s="88">
        <f t="shared" si="8"/>
        <v>43666</v>
      </c>
      <c r="B202" s="72" t="str">
        <f t="shared" si="1"/>
        <v>20190720</v>
      </c>
      <c r="C202" s="72" t="str">
        <f t="shared" si="2"/>
        <v>Saturday</v>
      </c>
      <c r="D202" s="72" t="str">
        <f t="shared" si="3"/>
        <v>July</v>
      </c>
      <c r="E202" s="72" t="str">
        <f t="shared" si="4"/>
        <v>Q3</v>
      </c>
      <c r="F202" s="72">
        <f t="shared" si="5"/>
        <v>2019</v>
      </c>
      <c r="G202" s="89">
        <f t="shared" si="6"/>
        <v>43666</v>
      </c>
      <c r="H202" s="72" t="str">
        <f t="shared" si="7"/>
        <v>No</v>
      </c>
    </row>
    <row r="203" ht="15.75" customHeight="1">
      <c r="A203" s="88">
        <f t="shared" si="8"/>
        <v>43667</v>
      </c>
      <c r="B203" s="72" t="str">
        <f t="shared" si="1"/>
        <v>20190721</v>
      </c>
      <c r="C203" s="72" t="str">
        <f t="shared" si="2"/>
        <v>Sunday</v>
      </c>
      <c r="D203" s="72" t="str">
        <f t="shared" si="3"/>
        <v>July</v>
      </c>
      <c r="E203" s="72" t="str">
        <f t="shared" si="4"/>
        <v>Q3</v>
      </c>
      <c r="F203" s="72">
        <f t="shared" si="5"/>
        <v>2019</v>
      </c>
      <c r="G203" s="89">
        <f t="shared" si="6"/>
        <v>43673</v>
      </c>
      <c r="H203" s="72" t="str">
        <f t="shared" si="7"/>
        <v>No</v>
      </c>
    </row>
    <row r="204" ht="15.75" customHeight="1">
      <c r="A204" s="88">
        <f t="shared" si="8"/>
        <v>43668</v>
      </c>
      <c r="B204" s="72" t="str">
        <f t="shared" si="1"/>
        <v>20190722</v>
      </c>
      <c r="C204" s="72" t="str">
        <f t="shared" si="2"/>
        <v>Monday</v>
      </c>
      <c r="D204" s="72" t="str">
        <f t="shared" si="3"/>
        <v>July</v>
      </c>
      <c r="E204" s="72" t="str">
        <f t="shared" si="4"/>
        <v>Q3</v>
      </c>
      <c r="F204" s="72">
        <f t="shared" si="5"/>
        <v>2019</v>
      </c>
      <c r="G204" s="89">
        <f t="shared" si="6"/>
        <v>43673</v>
      </c>
      <c r="H204" s="72" t="str">
        <f t="shared" si="7"/>
        <v>Yes</v>
      </c>
    </row>
    <row r="205" ht="15.75" customHeight="1">
      <c r="A205" s="88">
        <f t="shared" si="8"/>
        <v>43669</v>
      </c>
      <c r="B205" s="72" t="str">
        <f t="shared" si="1"/>
        <v>20190723</v>
      </c>
      <c r="C205" s="72" t="str">
        <f t="shared" si="2"/>
        <v>Tuesday</v>
      </c>
      <c r="D205" s="72" t="str">
        <f t="shared" si="3"/>
        <v>July</v>
      </c>
      <c r="E205" s="72" t="str">
        <f t="shared" si="4"/>
        <v>Q3</v>
      </c>
      <c r="F205" s="72">
        <f t="shared" si="5"/>
        <v>2019</v>
      </c>
      <c r="G205" s="89">
        <f t="shared" si="6"/>
        <v>43673</v>
      </c>
      <c r="H205" s="72" t="str">
        <f t="shared" si="7"/>
        <v>Yes</v>
      </c>
    </row>
    <row r="206" ht="15.75" customHeight="1">
      <c r="A206" s="88">
        <f t="shared" si="8"/>
        <v>43670</v>
      </c>
      <c r="B206" s="72" t="str">
        <f t="shared" si="1"/>
        <v>20190724</v>
      </c>
      <c r="C206" s="72" t="str">
        <f t="shared" si="2"/>
        <v>Wednesday</v>
      </c>
      <c r="D206" s="72" t="str">
        <f t="shared" si="3"/>
        <v>July</v>
      </c>
      <c r="E206" s="72" t="str">
        <f t="shared" si="4"/>
        <v>Q3</v>
      </c>
      <c r="F206" s="72">
        <f t="shared" si="5"/>
        <v>2019</v>
      </c>
      <c r="G206" s="89">
        <f t="shared" si="6"/>
        <v>43673</v>
      </c>
      <c r="H206" s="72" t="str">
        <f t="shared" si="7"/>
        <v>Yes</v>
      </c>
    </row>
    <row r="207" ht="15.75" customHeight="1">
      <c r="A207" s="88">
        <f t="shared" si="8"/>
        <v>43671</v>
      </c>
      <c r="B207" s="72" t="str">
        <f t="shared" si="1"/>
        <v>20190725</v>
      </c>
      <c r="C207" s="72" t="str">
        <f t="shared" si="2"/>
        <v>Thursday</v>
      </c>
      <c r="D207" s="72" t="str">
        <f t="shared" si="3"/>
        <v>July</v>
      </c>
      <c r="E207" s="72" t="str">
        <f t="shared" si="4"/>
        <v>Q3</v>
      </c>
      <c r="F207" s="72">
        <f t="shared" si="5"/>
        <v>2019</v>
      </c>
      <c r="G207" s="89">
        <f t="shared" si="6"/>
        <v>43673</v>
      </c>
      <c r="H207" s="72" t="str">
        <f t="shared" si="7"/>
        <v>Yes</v>
      </c>
    </row>
    <row r="208" ht="15.75" customHeight="1">
      <c r="A208" s="88">
        <f t="shared" si="8"/>
        <v>43672</v>
      </c>
      <c r="B208" s="72" t="str">
        <f t="shared" si="1"/>
        <v>20190726</v>
      </c>
      <c r="C208" s="72" t="str">
        <f t="shared" si="2"/>
        <v>Friday</v>
      </c>
      <c r="D208" s="72" t="str">
        <f t="shared" si="3"/>
        <v>July</v>
      </c>
      <c r="E208" s="72" t="str">
        <f t="shared" si="4"/>
        <v>Q3</v>
      </c>
      <c r="F208" s="72">
        <f t="shared" si="5"/>
        <v>2019</v>
      </c>
      <c r="G208" s="89">
        <f t="shared" si="6"/>
        <v>43673</v>
      </c>
      <c r="H208" s="72" t="str">
        <f t="shared" si="7"/>
        <v>Yes</v>
      </c>
    </row>
    <row r="209" ht="15.75" customHeight="1">
      <c r="A209" s="88">
        <f t="shared" si="8"/>
        <v>43673</v>
      </c>
      <c r="B209" s="72" t="str">
        <f t="shared" si="1"/>
        <v>20190727</v>
      </c>
      <c r="C209" s="72" t="str">
        <f t="shared" si="2"/>
        <v>Saturday</v>
      </c>
      <c r="D209" s="72" t="str">
        <f t="shared" si="3"/>
        <v>July</v>
      </c>
      <c r="E209" s="72" t="str">
        <f t="shared" si="4"/>
        <v>Q3</v>
      </c>
      <c r="F209" s="72">
        <f t="shared" si="5"/>
        <v>2019</v>
      </c>
      <c r="G209" s="89">
        <f t="shared" si="6"/>
        <v>43673</v>
      </c>
      <c r="H209" s="72" t="str">
        <f t="shared" si="7"/>
        <v>No</v>
      </c>
    </row>
    <row r="210" ht="15.75" customHeight="1">
      <c r="A210" s="88">
        <f t="shared" si="8"/>
        <v>43674</v>
      </c>
      <c r="B210" s="72" t="str">
        <f t="shared" si="1"/>
        <v>20190728</v>
      </c>
      <c r="C210" s="72" t="str">
        <f t="shared" si="2"/>
        <v>Sunday</v>
      </c>
      <c r="D210" s="72" t="str">
        <f t="shared" si="3"/>
        <v>July</v>
      </c>
      <c r="E210" s="72" t="str">
        <f t="shared" si="4"/>
        <v>Q3</v>
      </c>
      <c r="F210" s="72">
        <f t="shared" si="5"/>
        <v>2019</v>
      </c>
      <c r="G210" s="89">
        <f t="shared" si="6"/>
        <v>43680</v>
      </c>
      <c r="H210" s="72" t="str">
        <f t="shared" si="7"/>
        <v>No</v>
      </c>
    </row>
    <row r="211" ht="15.75" customHeight="1">
      <c r="A211" s="88">
        <f t="shared" si="8"/>
        <v>43675</v>
      </c>
      <c r="B211" s="72" t="str">
        <f t="shared" si="1"/>
        <v>20190729</v>
      </c>
      <c r="C211" s="72" t="str">
        <f t="shared" si="2"/>
        <v>Monday</v>
      </c>
      <c r="D211" s="72" t="str">
        <f t="shared" si="3"/>
        <v>July</v>
      </c>
      <c r="E211" s="72" t="str">
        <f t="shared" si="4"/>
        <v>Q3</v>
      </c>
      <c r="F211" s="72">
        <f t="shared" si="5"/>
        <v>2019</v>
      </c>
      <c r="G211" s="89">
        <f t="shared" si="6"/>
        <v>43680</v>
      </c>
      <c r="H211" s="72" t="str">
        <f t="shared" si="7"/>
        <v>Yes</v>
      </c>
    </row>
    <row r="212" ht="15.75" customHeight="1">
      <c r="A212" s="88">
        <f t="shared" si="8"/>
        <v>43676</v>
      </c>
      <c r="B212" s="72" t="str">
        <f t="shared" si="1"/>
        <v>20190730</v>
      </c>
      <c r="C212" s="72" t="str">
        <f t="shared" si="2"/>
        <v>Tuesday</v>
      </c>
      <c r="D212" s="72" t="str">
        <f t="shared" si="3"/>
        <v>July</v>
      </c>
      <c r="E212" s="72" t="str">
        <f t="shared" si="4"/>
        <v>Q3</v>
      </c>
      <c r="F212" s="72">
        <f t="shared" si="5"/>
        <v>2019</v>
      </c>
      <c r="G212" s="89">
        <f t="shared" si="6"/>
        <v>43680</v>
      </c>
      <c r="H212" s="72" t="str">
        <f t="shared" si="7"/>
        <v>Yes</v>
      </c>
    </row>
    <row r="213" ht="15.75" customHeight="1">
      <c r="A213" s="88">
        <f t="shared" si="8"/>
        <v>43677</v>
      </c>
      <c r="B213" s="72" t="str">
        <f t="shared" si="1"/>
        <v>20190731</v>
      </c>
      <c r="C213" s="72" t="str">
        <f t="shared" si="2"/>
        <v>Wednesday</v>
      </c>
      <c r="D213" s="72" t="str">
        <f t="shared" si="3"/>
        <v>July</v>
      </c>
      <c r="E213" s="72" t="str">
        <f t="shared" si="4"/>
        <v>Q3</v>
      </c>
      <c r="F213" s="72">
        <f t="shared" si="5"/>
        <v>2019</v>
      </c>
      <c r="G213" s="89">
        <f t="shared" si="6"/>
        <v>43680</v>
      </c>
      <c r="H213" s="72" t="str">
        <f t="shared" si="7"/>
        <v>Yes</v>
      </c>
    </row>
    <row r="214" ht="15.75" customHeight="1">
      <c r="A214" s="88">
        <f t="shared" si="8"/>
        <v>43678</v>
      </c>
      <c r="B214" s="72" t="str">
        <f t="shared" si="1"/>
        <v>20190801</v>
      </c>
      <c r="C214" s="72" t="str">
        <f t="shared" si="2"/>
        <v>Thursday</v>
      </c>
      <c r="D214" s="72" t="str">
        <f t="shared" si="3"/>
        <v>August</v>
      </c>
      <c r="E214" s="72" t="str">
        <f t="shared" si="4"/>
        <v>Q3</v>
      </c>
      <c r="F214" s="72">
        <f t="shared" si="5"/>
        <v>2019</v>
      </c>
      <c r="G214" s="89">
        <f t="shared" si="6"/>
        <v>43680</v>
      </c>
      <c r="H214" s="72" t="str">
        <f t="shared" si="7"/>
        <v>Yes</v>
      </c>
    </row>
    <row r="215" ht="15.75" customHeight="1">
      <c r="A215" s="88">
        <f t="shared" si="8"/>
        <v>43679</v>
      </c>
      <c r="B215" s="72" t="str">
        <f t="shared" si="1"/>
        <v>20190802</v>
      </c>
      <c r="C215" s="72" t="str">
        <f t="shared" si="2"/>
        <v>Friday</v>
      </c>
      <c r="D215" s="72" t="str">
        <f t="shared" si="3"/>
        <v>August</v>
      </c>
      <c r="E215" s="72" t="str">
        <f t="shared" si="4"/>
        <v>Q3</v>
      </c>
      <c r="F215" s="72">
        <f t="shared" si="5"/>
        <v>2019</v>
      </c>
      <c r="G215" s="89">
        <f t="shared" si="6"/>
        <v>43680</v>
      </c>
      <c r="H215" s="72" t="str">
        <f t="shared" si="7"/>
        <v>Yes</v>
      </c>
    </row>
    <row r="216" ht="15.75" customHeight="1">
      <c r="A216" s="88">
        <f t="shared" si="8"/>
        <v>43680</v>
      </c>
      <c r="B216" s="72" t="str">
        <f t="shared" si="1"/>
        <v>20190803</v>
      </c>
      <c r="C216" s="72" t="str">
        <f t="shared" si="2"/>
        <v>Saturday</v>
      </c>
      <c r="D216" s="72" t="str">
        <f t="shared" si="3"/>
        <v>August</v>
      </c>
      <c r="E216" s="72" t="str">
        <f t="shared" si="4"/>
        <v>Q3</v>
      </c>
      <c r="F216" s="72">
        <f t="shared" si="5"/>
        <v>2019</v>
      </c>
      <c r="G216" s="89">
        <f t="shared" si="6"/>
        <v>43680</v>
      </c>
      <c r="H216" s="72" t="str">
        <f t="shared" si="7"/>
        <v>No</v>
      </c>
    </row>
    <row r="217" ht="15.75" customHeight="1">
      <c r="A217" s="88">
        <f t="shared" si="8"/>
        <v>43681</v>
      </c>
      <c r="B217" s="72" t="str">
        <f t="shared" si="1"/>
        <v>20190804</v>
      </c>
      <c r="C217" s="72" t="str">
        <f t="shared" si="2"/>
        <v>Sunday</v>
      </c>
      <c r="D217" s="72" t="str">
        <f t="shared" si="3"/>
        <v>August</v>
      </c>
      <c r="E217" s="72" t="str">
        <f t="shared" si="4"/>
        <v>Q3</v>
      </c>
      <c r="F217" s="72">
        <f t="shared" si="5"/>
        <v>2019</v>
      </c>
      <c r="G217" s="89">
        <f t="shared" si="6"/>
        <v>43687</v>
      </c>
      <c r="H217" s="72" t="str">
        <f t="shared" si="7"/>
        <v>No</v>
      </c>
    </row>
    <row r="218" ht="15.75" customHeight="1">
      <c r="A218" s="88">
        <f t="shared" si="8"/>
        <v>43682</v>
      </c>
      <c r="B218" s="72" t="str">
        <f t="shared" si="1"/>
        <v>20190805</v>
      </c>
      <c r="C218" s="72" t="str">
        <f t="shared" si="2"/>
        <v>Monday</v>
      </c>
      <c r="D218" s="72" t="str">
        <f t="shared" si="3"/>
        <v>August</v>
      </c>
      <c r="E218" s="72" t="str">
        <f t="shared" si="4"/>
        <v>Q3</v>
      </c>
      <c r="F218" s="72">
        <f t="shared" si="5"/>
        <v>2019</v>
      </c>
      <c r="G218" s="89">
        <f t="shared" si="6"/>
        <v>43687</v>
      </c>
      <c r="H218" s="72" t="str">
        <f t="shared" si="7"/>
        <v>Yes</v>
      </c>
    </row>
    <row r="219" ht="15.75" customHeight="1">
      <c r="A219" s="88">
        <f t="shared" si="8"/>
        <v>43683</v>
      </c>
      <c r="B219" s="72" t="str">
        <f t="shared" si="1"/>
        <v>20190806</v>
      </c>
      <c r="C219" s="72" t="str">
        <f t="shared" si="2"/>
        <v>Tuesday</v>
      </c>
      <c r="D219" s="72" t="str">
        <f t="shared" si="3"/>
        <v>August</v>
      </c>
      <c r="E219" s="72" t="str">
        <f t="shared" si="4"/>
        <v>Q3</v>
      </c>
      <c r="F219" s="72">
        <f t="shared" si="5"/>
        <v>2019</v>
      </c>
      <c r="G219" s="89">
        <f t="shared" si="6"/>
        <v>43687</v>
      </c>
      <c r="H219" s="72" t="str">
        <f t="shared" si="7"/>
        <v>Yes</v>
      </c>
    </row>
    <row r="220" ht="15.75" customHeight="1">
      <c r="A220" s="88">
        <f t="shared" si="8"/>
        <v>43684</v>
      </c>
      <c r="B220" s="72" t="str">
        <f t="shared" si="1"/>
        <v>20190807</v>
      </c>
      <c r="C220" s="72" t="str">
        <f t="shared" si="2"/>
        <v>Wednesday</v>
      </c>
      <c r="D220" s="72" t="str">
        <f t="shared" si="3"/>
        <v>August</v>
      </c>
      <c r="E220" s="72" t="str">
        <f t="shared" si="4"/>
        <v>Q3</v>
      </c>
      <c r="F220" s="72">
        <f t="shared" si="5"/>
        <v>2019</v>
      </c>
      <c r="G220" s="89">
        <f t="shared" si="6"/>
        <v>43687</v>
      </c>
      <c r="H220" s="72" t="str">
        <f t="shared" si="7"/>
        <v>Yes</v>
      </c>
    </row>
    <row r="221" ht="15.75" customHeight="1">
      <c r="A221" s="88">
        <f t="shared" si="8"/>
        <v>43685</v>
      </c>
      <c r="B221" s="72" t="str">
        <f t="shared" si="1"/>
        <v>20190808</v>
      </c>
      <c r="C221" s="72" t="str">
        <f t="shared" si="2"/>
        <v>Thursday</v>
      </c>
      <c r="D221" s="72" t="str">
        <f t="shared" si="3"/>
        <v>August</v>
      </c>
      <c r="E221" s="72" t="str">
        <f t="shared" si="4"/>
        <v>Q3</v>
      </c>
      <c r="F221" s="72">
        <f t="shared" si="5"/>
        <v>2019</v>
      </c>
      <c r="G221" s="89">
        <f t="shared" si="6"/>
        <v>43687</v>
      </c>
      <c r="H221" s="72" t="str">
        <f t="shared" si="7"/>
        <v>Yes</v>
      </c>
    </row>
    <row r="222" ht="15.75" customHeight="1">
      <c r="A222" s="88">
        <f t="shared" si="8"/>
        <v>43686</v>
      </c>
      <c r="B222" s="72" t="str">
        <f t="shared" si="1"/>
        <v>20190809</v>
      </c>
      <c r="C222" s="72" t="str">
        <f t="shared" si="2"/>
        <v>Friday</v>
      </c>
      <c r="D222" s="72" t="str">
        <f t="shared" si="3"/>
        <v>August</v>
      </c>
      <c r="E222" s="72" t="str">
        <f t="shared" si="4"/>
        <v>Q3</v>
      </c>
      <c r="F222" s="72">
        <f t="shared" si="5"/>
        <v>2019</v>
      </c>
      <c r="G222" s="89">
        <f t="shared" si="6"/>
        <v>43687</v>
      </c>
      <c r="H222" s="72" t="str">
        <f t="shared" si="7"/>
        <v>Yes</v>
      </c>
    </row>
    <row r="223" ht="15.75" customHeight="1">
      <c r="A223" s="88">
        <f t="shared" si="8"/>
        <v>43687</v>
      </c>
      <c r="B223" s="72" t="str">
        <f t="shared" si="1"/>
        <v>20190810</v>
      </c>
      <c r="C223" s="72" t="str">
        <f t="shared" si="2"/>
        <v>Saturday</v>
      </c>
      <c r="D223" s="72" t="str">
        <f t="shared" si="3"/>
        <v>August</v>
      </c>
      <c r="E223" s="72" t="str">
        <f t="shared" si="4"/>
        <v>Q3</v>
      </c>
      <c r="F223" s="72">
        <f t="shared" si="5"/>
        <v>2019</v>
      </c>
      <c r="G223" s="89">
        <f t="shared" si="6"/>
        <v>43687</v>
      </c>
      <c r="H223" s="72" t="str">
        <f t="shared" si="7"/>
        <v>No</v>
      </c>
    </row>
    <row r="224" ht="15.75" customHeight="1">
      <c r="A224" s="88">
        <f t="shared" si="8"/>
        <v>43688</v>
      </c>
      <c r="B224" s="72" t="str">
        <f t="shared" si="1"/>
        <v>20190811</v>
      </c>
      <c r="C224" s="72" t="str">
        <f t="shared" si="2"/>
        <v>Sunday</v>
      </c>
      <c r="D224" s="72" t="str">
        <f t="shared" si="3"/>
        <v>August</v>
      </c>
      <c r="E224" s="72" t="str">
        <f t="shared" si="4"/>
        <v>Q3</v>
      </c>
      <c r="F224" s="72">
        <f t="shared" si="5"/>
        <v>2019</v>
      </c>
      <c r="G224" s="89">
        <f t="shared" si="6"/>
        <v>43694</v>
      </c>
      <c r="H224" s="72" t="str">
        <f t="shared" si="7"/>
        <v>No</v>
      </c>
    </row>
    <row r="225" ht="15.75" customHeight="1">
      <c r="A225" s="88">
        <f t="shared" si="8"/>
        <v>43689</v>
      </c>
      <c r="B225" s="72" t="str">
        <f t="shared" si="1"/>
        <v>20190812</v>
      </c>
      <c r="C225" s="72" t="str">
        <f t="shared" si="2"/>
        <v>Monday</v>
      </c>
      <c r="D225" s="72" t="str">
        <f t="shared" si="3"/>
        <v>August</v>
      </c>
      <c r="E225" s="72" t="str">
        <f t="shared" si="4"/>
        <v>Q3</v>
      </c>
      <c r="F225" s="72">
        <f t="shared" si="5"/>
        <v>2019</v>
      </c>
      <c r="G225" s="89">
        <f t="shared" si="6"/>
        <v>43694</v>
      </c>
      <c r="H225" s="72" t="str">
        <f t="shared" si="7"/>
        <v>Yes</v>
      </c>
    </row>
    <row r="226" ht="15.75" customHeight="1">
      <c r="A226" s="88">
        <f t="shared" si="8"/>
        <v>43690</v>
      </c>
      <c r="B226" s="72" t="str">
        <f t="shared" si="1"/>
        <v>20190813</v>
      </c>
      <c r="C226" s="72" t="str">
        <f t="shared" si="2"/>
        <v>Tuesday</v>
      </c>
      <c r="D226" s="72" t="str">
        <f t="shared" si="3"/>
        <v>August</v>
      </c>
      <c r="E226" s="72" t="str">
        <f t="shared" si="4"/>
        <v>Q3</v>
      </c>
      <c r="F226" s="72">
        <f t="shared" si="5"/>
        <v>2019</v>
      </c>
      <c r="G226" s="89">
        <f t="shared" si="6"/>
        <v>43694</v>
      </c>
      <c r="H226" s="72" t="str">
        <f t="shared" si="7"/>
        <v>Yes</v>
      </c>
    </row>
    <row r="227" ht="15.75" customHeight="1">
      <c r="A227" s="88">
        <f t="shared" si="8"/>
        <v>43691</v>
      </c>
      <c r="B227" s="72" t="str">
        <f t="shared" si="1"/>
        <v>20190814</v>
      </c>
      <c r="C227" s="72" t="str">
        <f t="shared" si="2"/>
        <v>Wednesday</v>
      </c>
      <c r="D227" s="72" t="str">
        <f t="shared" si="3"/>
        <v>August</v>
      </c>
      <c r="E227" s="72" t="str">
        <f t="shared" si="4"/>
        <v>Q3</v>
      </c>
      <c r="F227" s="72">
        <f t="shared" si="5"/>
        <v>2019</v>
      </c>
      <c r="G227" s="89">
        <f t="shared" si="6"/>
        <v>43694</v>
      </c>
      <c r="H227" s="72" t="str">
        <f t="shared" si="7"/>
        <v>Yes</v>
      </c>
    </row>
    <row r="228" ht="15.75" customHeight="1">
      <c r="A228" s="88">
        <f t="shared" si="8"/>
        <v>43692</v>
      </c>
      <c r="B228" s="72" t="str">
        <f t="shared" si="1"/>
        <v>20190815</v>
      </c>
      <c r="C228" s="72" t="str">
        <f t="shared" si="2"/>
        <v>Thursday</v>
      </c>
      <c r="D228" s="72" t="str">
        <f t="shared" si="3"/>
        <v>August</v>
      </c>
      <c r="E228" s="72" t="str">
        <f t="shared" si="4"/>
        <v>Q3</v>
      </c>
      <c r="F228" s="72">
        <f t="shared" si="5"/>
        <v>2019</v>
      </c>
      <c r="G228" s="89">
        <f t="shared" si="6"/>
        <v>43694</v>
      </c>
      <c r="H228" s="72" t="str">
        <f t="shared" si="7"/>
        <v>Yes</v>
      </c>
    </row>
    <row r="229" ht="15.75" customHeight="1">
      <c r="A229" s="88">
        <f t="shared" si="8"/>
        <v>43693</v>
      </c>
      <c r="B229" s="72" t="str">
        <f t="shared" si="1"/>
        <v>20190816</v>
      </c>
      <c r="C229" s="72" t="str">
        <f t="shared" si="2"/>
        <v>Friday</v>
      </c>
      <c r="D229" s="72" t="str">
        <f t="shared" si="3"/>
        <v>August</v>
      </c>
      <c r="E229" s="72" t="str">
        <f t="shared" si="4"/>
        <v>Q3</v>
      </c>
      <c r="F229" s="72">
        <f t="shared" si="5"/>
        <v>2019</v>
      </c>
      <c r="G229" s="89">
        <f t="shared" si="6"/>
        <v>43694</v>
      </c>
      <c r="H229" s="72" t="str">
        <f t="shared" si="7"/>
        <v>Yes</v>
      </c>
    </row>
    <row r="230" ht="15.75" customHeight="1">
      <c r="A230" s="88">
        <f t="shared" si="8"/>
        <v>43694</v>
      </c>
      <c r="B230" s="72" t="str">
        <f t="shared" si="1"/>
        <v>20190817</v>
      </c>
      <c r="C230" s="72" t="str">
        <f t="shared" si="2"/>
        <v>Saturday</v>
      </c>
      <c r="D230" s="72" t="str">
        <f t="shared" si="3"/>
        <v>August</v>
      </c>
      <c r="E230" s="72" t="str">
        <f t="shared" si="4"/>
        <v>Q3</v>
      </c>
      <c r="F230" s="72">
        <f t="shared" si="5"/>
        <v>2019</v>
      </c>
      <c r="G230" s="89">
        <f t="shared" si="6"/>
        <v>43694</v>
      </c>
      <c r="H230" s="72" t="str">
        <f t="shared" si="7"/>
        <v>No</v>
      </c>
    </row>
    <row r="231" ht="15.75" customHeight="1">
      <c r="A231" s="88">
        <f t="shared" si="8"/>
        <v>43695</v>
      </c>
      <c r="B231" s="72" t="str">
        <f t="shared" si="1"/>
        <v>20190818</v>
      </c>
      <c r="C231" s="72" t="str">
        <f t="shared" si="2"/>
        <v>Sunday</v>
      </c>
      <c r="D231" s="72" t="str">
        <f t="shared" si="3"/>
        <v>August</v>
      </c>
      <c r="E231" s="72" t="str">
        <f t="shared" si="4"/>
        <v>Q3</v>
      </c>
      <c r="F231" s="72">
        <f t="shared" si="5"/>
        <v>2019</v>
      </c>
      <c r="G231" s="89">
        <f t="shared" si="6"/>
        <v>43701</v>
      </c>
      <c r="H231" s="72" t="str">
        <f t="shared" si="7"/>
        <v>No</v>
      </c>
    </row>
    <row r="232" ht="15.75" customHeight="1">
      <c r="A232" s="88">
        <f t="shared" si="8"/>
        <v>43696</v>
      </c>
      <c r="B232" s="72" t="str">
        <f t="shared" si="1"/>
        <v>20190819</v>
      </c>
      <c r="C232" s="72" t="str">
        <f t="shared" si="2"/>
        <v>Monday</v>
      </c>
      <c r="D232" s="72" t="str">
        <f t="shared" si="3"/>
        <v>August</v>
      </c>
      <c r="E232" s="72" t="str">
        <f t="shared" si="4"/>
        <v>Q3</v>
      </c>
      <c r="F232" s="72">
        <f t="shared" si="5"/>
        <v>2019</v>
      </c>
      <c r="G232" s="89">
        <f t="shared" si="6"/>
        <v>43701</v>
      </c>
      <c r="H232" s="72" t="str">
        <f t="shared" si="7"/>
        <v>Yes</v>
      </c>
    </row>
    <row r="233" ht="15.75" customHeight="1">
      <c r="A233" s="88">
        <f t="shared" si="8"/>
        <v>43697</v>
      </c>
      <c r="B233" s="72" t="str">
        <f t="shared" si="1"/>
        <v>20190820</v>
      </c>
      <c r="C233" s="72" t="str">
        <f t="shared" si="2"/>
        <v>Tuesday</v>
      </c>
      <c r="D233" s="72" t="str">
        <f t="shared" si="3"/>
        <v>August</v>
      </c>
      <c r="E233" s="72" t="str">
        <f t="shared" si="4"/>
        <v>Q3</v>
      </c>
      <c r="F233" s="72">
        <f t="shared" si="5"/>
        <v>2019</v>
      </c>
      <c r="G233" s="89">
        <f t="shared" si="6"/>
        <v>43701</v>
      </c>
      <c r="H233" s="72" t="str">
        <f t="shared" si="7"/>
        <v>Yes</v>
      </c>
    </row>
    <row r="234" ht="15.75" customHeight="1">
      <c r="A234" s="88">
        <f t="shared" si="8"/>
        <v>43698</v>
      </c>
      <c r="B234" s="72" t="str">
        <f t="shared" si="1"/>
        <v>20190821</v>
      </c>
      <c r="C234" s="72" t="str">
        <f t="shared" si="2"/>
        <v>Wednesday</v>
      </c>
      <c r="D234" s="72" t="str">
        <f t="shared" si="3"/>
        <v>August</v>
      </c>
      <c r="E234" s="72" t="str">
        <f t="shared" si="4"/>
        <v>Q3</v>
      </c>
      <c r="F234" s="72">
        <f t="shared" si="5"/>
        <v>2019</v>
      </c>
      <c r="G234" s="89">
        <f t="shared" si="6"/>
        <v>43701</v>
      </c>
      <c r="H234" s="72" t="str">
        <f t="shared" si="7"/>
        <v>Yes</v>
      </c>
    </row>
    <row r="235" ht="15.75" customHeight="1">
      <c r="A235" s="88">
        <f t="shared" si="8"/>
        <v>43699</v>
      </c>
      <c r="B235" s="72" t="str">
        <f t="shared" si="1"/>
        <v>20190822</v>
      </c>
      <c r="C235" s="72" t="str">
        <f t="shared" si="2"/>
        <v>Thursday</v>
      </c>
      <c r="D235" s="72" t="str">
        <f t="shared" si="3"/>
        <v>August</v>
      </c>
      <c r="E235" s="72" t="str">
        <f t="shared" si="4"/>
        <v>Q3</v>
      </c>
      <c r="F235" s="72">
        <f t="shared" si="5"/>
        <v>2019</v>
      </c>
      <c r="G235" s="89">
        <f t="shared" si="6"/>
        <v>43701</v>
      </c>
      <c r="H235" s="72" t="str">
        <f t="shared" si="7"/>
        <v>Yes</v>
      </c>
    </row>
    <row r="236" ht="15.75" customHeight="1">
      <c r="A236" s="88">
        <f t="shared" si="8"/>
        <v>43700</v>
      </c>
      <c r="B236" s="72" t="str">
        <f t="shared" si="1"/>
        <v>20190823</v>
      </c>
      <c r="C236" s="72" t="str">
        <f t="shared" si="2"/>
        <v>Friday</v>
      </c>
      <c r="D236" s="72" t="str">
        <f t="shared" si="3"/>
        <v>August</v>
      </c>
      <c r="E236" s="72" t="str">
        <f t="shared" si="4"/>
        <v>Q3</v>
      </c>
      <c r="F236" s="72">
        <f t="shared" si="5"/>
        <v>2019</v>
      </c>
      <c r="G236" s="89">
        <f t="shared" si="6"/>
        <v>43701</v>
      </c>
      <c r="H236" s="72" t="str">
        <f t="shared" si="7"/>
        <v>Yes</v>
      </c>
    </row>
    <row r="237" ht="15.75" customHeight="1">
      <c r="A237" s="88">
        <f t="shared" si="8"/>
        <v>43701</v>
      </c>
      <c r="B237" s="72" t="str">
        <f t="shared" si="1"/>
        <v>20190824</v>
      </c>
      <c r="C237" s="72" t="str">
        <f t="shared" si="2"/>
        <v>Saturday</v>
      </c>
      <c r="D237" s="72" t="str">
        <f t="shared" si="3"/>
        <v>August</v>
      </c>
      <c r="E237" s="72" t="str">
        <f t="shared" si="4"/>
        <v>Q3</v>
      </c>
      <c r="F237" s="72">
        <f t="shared" si="5"/>
        <v>2019</v>
      </c>
      <c r="G237" s="89">
        <f t="shared" si="6"/>
        <v>43701</v>
      </c>
      <c r="H237" s="72" t="str">
        <f t="shared" si="7"/>
        <v>No</v>
      </c>
    </row>
    <row r="238" ht="15.75" customHeight="1">
      <c r="A238" s="88">
        <f t="shared" si="8"/>
        <v>43702</v>
      </c>
      <c r="B238" s="72" t="str">
        <f t="shared" si="1"/>
        <v>20190825</v>
      </c>
      <c r="C238" s="72" t="str">
        <f t="shared" si="2"/>
        <v>Sunday</v>
      </c>
      <c r="D238" s="72" t="str">
        <f t="shared" si="3"/>
        <v>August</v>
      </c>
      <c r="E238" s="72" t="str">
        <f t="shared" si="4"/>
        <v>Q3</v>
      </c>
      <c r="F238" s="72">
        <f t="shared" si="5"/>
        <v>2019</v>
      </c>
      <c r="G238" s="89">
        <f t="shared" si="6"/>
        <v>43708</v>
      </c>
      <c r="H238" s="72" t="str">
        <f t="shared" si="7"/>
        <v>No</v>
      </c>
    </row>
    <row r="239" ht="15.75" customHeight="1">
      <c r="A239" s="88">
        <f t="shared" si="8"/>
        <v>43703</v>
      </c>
      <c r="B239" s="72" t="str">
        <f t="shared" si="1"/>
        <v>20190826</v>
      </c>
      <c r="C239" s="72" t="str">
        <f t="shared" si="2"/>
        <v>Monday</v>
      </c>
      <c r="D239" s="72" t="str">
        <f t="shared" si="3"/>
        <v>August</v>
      </c>
      <c r="E239" s="72" t="str">
        <f t="shared" si="4"/>
        <v>Q3</v>
      </c>
      <c r="F239" s="72">
        <f t="shared" si="5"/>
        <v>2019</v>
      </c>
      <c r="G239" s="89">
        <f t="shared" si="6"/>
        <v>43708</v>
      </c>
      <c r="H239" s="72" t="str">
        <f t="shared" si="7"/>
        <v>Yes</v>
      </c>
    </row>
    <row r="240" ht="15.75" customHeight="1">
      <c r="A240" s="88">
        <f t="shared" si="8"/>
        <v>43704</v>
      </c>
      <c r="B240" s="72" t="str">
        <f t="shared" si="1"/>
        <v>20190827</v>
      </c>
      <c r="C240" s="72" t="str">
        <f t="shared" si="2"/>
        <v>Tuesday</v>
      </c>
      <c r="D240" s="72" t="str">
        <f t="shared" si="3"/>
        <v>August</v>
      </c>
      <c r="E240" s="72" t="str">
        <f t="shared" si="4"/>
        <v>Q3</v>
      </c>
      <c r="F240" s="72">
        <f t="shared" si="5"/>
        <v>2019</v>
      </c>
      <c r="G240" s="89">
        <f t="shared" si="6"/>
        <v>43708</v>
      </c>
      <c r="H240" s="72" t="str">
        <f t="shared" si="7"/>
        <v>Yes</v>
      </c>
    </row>
    <row r="241" ht="15.75" customHeight="1">
      <c r="A241" s="88">
        <f t="shared" si="8"/>
        <v>43705</v>
      </c>
      <c r="B241" s="72" t="str">
        <f t="shared" si="1"/>
        <v>20190828</v>
      </c>
      <c r="C241" s="72" t="str">
        <f t="shared" si="2"/>
        <v>Wednesday</v>
      </c>
      <c r="D241" s="72" t="str">
        <f t="shared" si="3"/>
        <v>August</v>
      </c>
      <c r="E241" s="72" t="str">
        <f t="shared" si="4"/>
        <v>Q3</v>
      </c>
      <c r="F241" s="72">
        <f t="shared" si="5"/>
        <v>2019</v>
      </c>
      <c r="G241" s="89">
        <f t="shared" si="6"/>
        <v>43708</v>
      </c>
      <c r="H241" s="72" t="str">
        <f t="shared" si="7"/>
        <v>Yes</v>
      </c>
    </row>
    <row r="242" ht="15.75" customHeight="1">
      <c r="A242" s="88">
        <f t="shared" si="8"/>
        <v>43706</v>
      </c>
      <c r="B242" s="72" t="str">
        <f t="shared" si="1"/>
        <v>20190829</v>
      </c>
      <c r="C242" s="72" t="str">
        <f t="shared" si="2"/>
        <v>Thursday</v>
      </c>
      <c r="D242" s="72" t="str">
        <f t="shared" si="3"/>
        <v>August</v>
      </c>
      <c r="E242" s="72" t="str">
        <f t="shared" si="4"/>
        <v>Q3</v>
      </c>
      <c r="F242" s="72">
        <f t="shared" si="5"/>
        <v>2019</v>
      </c>
      <c r="G242" s="89">
        <f t="shared" si="6"/>
        <v>43708</v>
      </c>
      <c r="H242" s="72" t="str">
        <f t="shared" si="7"/>
        <v>Yes</v>
      </c>
    </row>
    <row r="243" ht="15.75" customHeight="1">
      <c r="A243" s="88">
        <f t="shared" si="8"/>
        <v>43707</v>
      </c>
      <c r="B243" s="72" t="str">
        <f t="shared" si="1"/>
        <v>20190830</v>
      </c>
      <c r="C243" s="72" t="str">
        <f t="shared" si="2"/>
        <v>Friday</v>
      </c>
      <c r="D243" s="72" t="str">
        <f t="shared" si="3"/>
        <v>August</v>
      </c>
      <c r="E243" s="72" t="str">
        <f t="shared" si="4"/>
        <v>Q3</v>
      </c>
      <c r="F243" s="72">
        <f t="shared" si="5"/>
        <v>2019</v>
      </c>
      <c r="G243" s="89">
        <f t="shared" si="6"/>
        <v>43708</v>
      </c>
      <c r="H243" s="72" t="str">
        <f t="shared" si="7"/>
        <v>Yes</v>
      </c>
    </row>
    <row r="244" ht="15.75" customHeight="1">
      <c r="A244" s="88">
        <f t="shared" si="8"/>
        <v>43708</v>
      </c>
      <c r="B244" s="72" t="str">
        <f t="shared" si="1"/>
        <v>20190831</v>
      </c>
      <c r="C244" s="72" t="str">
        <f t="shared" si="2"/>
        <v>Saturday</v>
      </c>
      <c r="D244" s="72" t="str">
        <f t="shared" si="3"/>
        <v>August</v>
      </c>
      <c r="E244" s="72" t="str">
        <f t="shared" si="4"/>
        <v>Q3</v>
      </c>
      <c r="F244" s="72">
        <f t="shared" si="5"/>
        <v>2019</v>
      </c>
      <c r="G244" s="89">
        <f t="shared" si="6"/>
        <v>43708</v>
      </c>
      <c r="H244" s="72" t="str">
        <f t="shared" si="7"/>
        <v>No</v>
      </c>
    </row>
    <row r="245" ht="15.75" customHeight="1">
      <c r="A245" s="88">
        <f t="shared" si="8"/>
        <v>43709</v>
      </c>
      <c r="B245" s="72" t="str">
        <f t="shared" si="1"/>
        <v>20190901</v>
      </c>
      <c r="C245" s="72" t="str">
        <f t="shared" si="2"/>
        <v>Sunday</v>
      </c>
      <c r="D245" s="72" t="str">
        <f t="shared" si="3"/>
        <v>September</v>
      </c>
      <c r="E245" s="72" t="str">
        <f t="shared" si="4"/>
        <v>Q3</v>
      </c>
      <c r="F245" s="72">
        <f t="shared" si="5"/>
        <v>2019</v>
      </c>
      <c r="G245" s="89">
        <f t="shared" si="6"/>
        <v>43715</v>
      </c>
      <c r="H245" s="72" t="str">
        <f t="shared" si="7"/>
        <v>No</v>
      </c>
    </row>
    <row r="246" ht="15.75" customHeight="1">
      <c r="A246" s="88">
        <f t="shared" si="8"/>
        <v>43710</v>
      </c>
      <c r="B246" s="72" t="str">
        <f t="shared" si="1"/>
        <v>20190902</v>
      </c>
      <c r="C246" s="72" t="str">
        <f t="shared" si="2"/>
        <v>Monday</v>
      </c>
      <c r="D246" s="72" t="str">
        <f t="shared" si="3"/>
        <v>September</v>
      </c>
      <c r="E246" s="72" t="str">
        <f t="shared" si="4"/>
        <v>Q3</v>
      </c>
      <c r="F246" s="72">
        <f t="shared" si="5"/>
        <v>2019</v>
      </c>
      <c r="G246" s="89">
        <f t="shared" si="6"/>
        <v>43715</v>
      </c>
      <c r="H246" s="72" t="str">
        <f t="shared" si="7"/>
        <v>Yes</v>
      </c>
    </row>
    <row r="247" ht="15.75" customHeight="1">
      <c r="A247" s="88">
        <f t="shared" si="8"/>
        <v>43711</v>
      </c>
      <c r="B247" s="72" t="str">
        <f t="shared" si="1"/>
        <v>20190903</v>
      </c>
      <c r="C247" s="72" t="str">
        <f t="shared" si="2"/>
        <v>Tuesday</v>
      </c>
      <c r="D247" s="72" t="str">
        <f t="shared" si="3"/>
        <v>September</v>
      </c>
      <c r="E247" s="72" t="str">
        <f t="shared" si="4"/>
        <v>Q3</v>
      </c>
      <c r="F247" s="72">
        <f t="shared" si="5"/>
        <v>2019</v>
      </c>
      <c r="G247" s="89">
        <f t="shared" si="6"/>
        <v>43715</v>
      </c>
      <c r="H247" s="72" t="str">
        <f t="shared" si="7"/>
        <v>Yes</v>
      </c>
    </row>
    <row r="248" ht="15.75" customHeight="1">
      <c r="A248" s="88">
        <f t="shared" si="8"/>
        <v>43712</v>
      </c>
      <c r="B248" s="72" t="str">
        <f t="shared" si="1"/>
        <v>20190904</v>
      </c>
      <c r="C248" s="72" t="str">
        <f t="shared" si="2"/>
        <v>Wednesday</v>
      </c>
      <c r="D248" s="72" t="str">
        <f t="shared" si="3"/>
        <v>September</v>
      </c>
      <c r="E248" s="72" t="str">
        <f t="shared" si="4"/>
        <v>Q3</v>
      </c>
      <c r="F248" s="72">
        <f t="shared" si="5"/>
        <v>2019</v>
      </c>
      <c r="G248" s="89">
        <f t="shared" si="6"/>
        <v>43715</v>
      </c>
      <c r="H248" s="72" t="str">
        <f t="shared" si="7"/>
        <v>Yes</v>
      </c>
    </row>
    <row r="249" ht="15.75" customHeight="1">
      <c r="A249" s="88">
        <f t="shared" si="8"/>
        <v>43713</v>
      </c>
      <c r="B249" s="72" t="str">
        <f t="shared" si="1"/>
        <v>20190905</v>
      </c>
      <c r="C249" s="72" t="str">
        <f t="shared" si="2"/>
        <v>Thursday</v>
      </c>
      <c r="D249" s="72" t="str">
        <f t="shared" si="3"/>
        <v>September</v>
      </c>
      <c r="E249" s="72" t="str">
        <f t="shared" si="4"/>
        <v>Q3</v>
      </c>
      <c r="F249" s="72">
        <f t="shared" si="5"/>
        <v>2019</v>
      </c>
      <c r="G249" s="89">
        <f t="shared" si="6"/>
        <v>43715</v>
      </c>
      <c r="H249" s="72" t="str">
        <f t="shared" si="7"/>
        <v>Yes</v>
      </c>
    </row>
    <row r="250" ht="15.75" customHeight="1">
      <c r="A250" s="88">
        <f t="shared" si="8"/>
        <v>43714</v>
      </c>
      <c r="B250" s="72" t="str">
        <f t="shared" si="1"/>
        <v>20190906</v>
      </c>
      <c r="C250" s="72" t="str">
        <f t="shared" si="2"/>
        <v>Friday</v>
      </c>
      <c r="D250" s="72" t="str">
        <f t="shared" si="3"/>
        <v>September</v>
      </c>
      <c r="E250" s="72" t="str">
        <f t="shared" si="4"/>
        <v>Q3</v>
      </c>
      <c r="F250" s="72">
        <f t="shared" si="5"/>
        <v>2019</v>
      </c>
      <c r="G250" s="89">
        <f t="shared" si="6"/>
        <v>43715</v>
      </c>
      <c r="H250" s="72" t="str">
        <f t="shared" si="7"/>
        <v>Yes</v>
      </c>
    </row>
    <row r="251" ht="15.75" customHeight="1">
      <c r="A251" s="88">
        <f t="shared" si="8"/>
        <v>43715</v>
      </c>
      <c r="B251" s="72" t="str">
        <f t="shared" si="1"/>
        <v>20190907</v>
      </c>
      <c r="C251" s="72" t="str">
        <f t="shared" si="2"/>
        <v>Saturday</v>
      </c>
      <c r="D251" s="72" t="str">
        <f t="shared" si="3"/>
        <v>September</v>
      </c>
      <c r="E251" s="72" t="str">
        <f t="shared" si="4"/>
        <v>Q3</v>
      </c>
      <c r="F251" s="72">
        <f t="shared" si="5"/>
        <v>2019</v>
      </c>
      <c r="G251" s="89">
        <f t="shared" si="6"/>
        <v>43715</v>
      </c>
      <c r="H251" s="72" t="str">
        <f t="shared" si="7"/>
        <v>No</v>
      </c>
    </row>
    <row r="252" ht="15.75" customHeight="1">
      <c r="A252" s="88">
        <f t="shared" si="8"/>
        <v>43716</v>
      </c>
      <c r="B252" s="72" t="str">
        <f t="shared" si="1"/>
        <v>20190908</v>
      </c>
      <c r="C252" s="72" t="str">
        <f t="shared" si="2"/>
        <v>Sunday</v>
      </c>
      <c r="D252" s="72" t="str">
        <f t="shared" si="3"/>
        <v>September</v>
      </c>
      <c r="E252" s="72" t="str">
        <f t="shared" si="4"/>
        <v>Q3</v>
      </c>
      <c r="F252" s="72">
        <f t="shared" si="5"/>
        <v>2019</v>
      </c>
      <c r="G252" s="89">
        <f t="shared" si="6"/>
        <v>43722</v>
      </c>
      <c r="H252" s="72" t="str">
        <f t="shared" si="7"/>
        <v>No</v>
      </c>
    </row>
    <row r="253" ht="15.75" customHeight="1">
      <c r="A253" s="88">
        <f t="shared" si="8"/>
        <v>43717</v>
      </c>
      <c r="B253" s="72" t="str">
        <f t="shared" si="1"/>
        <v>20190909</v>
      </c>
      <c r="C253" s="72" t="str">
        <f t="shared" si="2"/>
        <v>Monday</v>
      </c>
      <c r="D253" s="72" t="str">
        <f t="shared" si="3"/>
        <v>September</v>
      </c>
      <c r="E253" s="72" t="str">
        <f t="shared" si="4"/>
        <v>Q3</v>
      </c>
      <c r="F253" s="72">
        <f t="shared" si="5"/>
        <v>2019</v>
      </c>
      <c r="G253" s="89">
        <f t="shared" si="6"/>
        <v>43722</v>
      </c>
      <c r="H253" s="72" t="str">
        <f t="shared" si="7"/>
        <v>Yes</v>
      </c>
    </row>
    <row r="254" ht="15.75" customHeight="1">
      <c r="A254" s="88">
        <f t="shared" si="8"/>
        <v>43718</v>
      </c>
      <c r="B254" s="72" t="str">
        <f t="shared" si="1"/>
        <v>20190910</v>
      </c>
      <c r="C254" s="72" t="str">
        <f t="shared" si="2"/>
        <v>Tuesday</v>
      </c>
      <c r="D254" s="72" t="str">
        <f t="shared" si="3"/>
        <v>September</v>
      </c>
      <c r="E254" s="72" t="str">
        <f t="shared" si="4"/>
        <v>Q3</v>
      </c>
      <c r="F254" s="72">
        <f t="shared" si="5"/>
        <v>2019</v>
      </c>
      <c r="G254" s="89">
        <f t="shared" si="6"/>
        <v>43722</v>
      </c>
      <c r="H254" s="72" t="str">
        <f t="shared" si="7"/>
        <v>Yes</v>
      </c>
    </row>
    <row r="255" ht="15.75" customHeight="1">
      <c r="A255" s="88">
        <f t="shared" si="8"/>
        <v>43719</v>
      </c>
      <c r="B255" s="72" t="str">
        <f t="shared" si="1"/>
        <v>20190911</v>
      </c>
      <c r="C255" s="72" t="str">
        <f t="shared" si="2"/>
        <v>Wednesday</v>
      </c>
      <c r="D255" s="72" t="str">
        <f t="shared" si="3"/>
        <v>September</v>
      </c>
      <c r="E255" s="72" t="str">
        <f t="shared" si="4"/>
        <v>Q3</v>
      </c>
      <c r="F255" s="72">
        <f t="shared" si="5"/>
        <v>2019</v>
      </c>
      <c r="G255" s="89">
        <f t="shared" si="6"/>
        <v>43722</v>
      </c>
      <c r="H255" s="72" t="str">
        <f t="shared" si="7"/>
        <v>Yes</v>
      </c>
    </row>
    <row r="256" ht="15.75" customHeight="1">
      <c r="A256" s="88">
        <f t="shared" si="8"/>
        <v>43720</v>
      </c>
      <c r="B256" s="72" t="str">
        <f t="shared" si="1"/>
        <v>20190912</v>
      </c>
      <c r="C256" s="72" t="str">
        <f t="shared" si="2"/>
        <v>Thursday</v>
      </c>
      <c r="D256" s="72" t="str">
        <f t="shared" si="3"/>
        <v>September</v>
      </c>
      <c r="E256" s="72" t="str">
        <f t="shared" si="4"/>
        <v>Q3</v>
      </c>
      <c r="F256" s="72">
        <f t="shared" si="5"/>
        <v>2019</v>
      </c>
      <c r="G256" s="89">
        <f t="shared" si="6"/>
        <v>43722</v>
      </c>
      <c r="H256" s="72" t="str">
        <f t="shared" si="7"/>
        <v>Yes</v>
      </c>
    </row>
    <row r="257" ht="15.75" customHeight="1">
      <c r="A257" s="88">
        <f t="shared" si="8"/>
        <v>43721</v>
      </c>
      <c r="B257" s="72" t="str">
        <f t="shared" si="1"/>
        <v>20190913</v>
      </c>
      <c r="C257" s="72" t="str">
        <f t="shared" si="2"/>
        <v>Friday</v>
      </c>
      <c r="D257" s="72" t="str">
        <f t="shared" si="3"/>
        <v>September</v>
      </c>
      <c r="E257" s="72" t="str">
        <f t="shared" si="4"/>
        <v>Q3</v>
      </c>
      <c r="F257" s="72">
        <f t="shared" si="5"/>
        <v>2019</v>
      </c>
      <c r="G257" s="89">
        <f t="shared" si="6"/>
        <v>43722</v>
      </c>
      <c r="H257" s="72" t="str">
        <f t="shared" si="7"/>
        <v>Yes</v>
      </c>
    </row>
    <row r="258" ht="15.75" customHeight="1">
      <c r="A258" s="88">
        <f t="shared" si="8"/>
        <v>43722</v>
      </c>
      <c r="B258" s="72" t="str">
        <f t="shared" si="1"/>
        <v>20190914</v>
      </c>
      <c r="C258" s="72" t="str">
        <f t="shared" si="2"/>
        <v>Saturday</v>
      </c>
      <c r="D258" s="72" t="str">
        <f t="shared" si="3"/>
        <v>September</v>
      </c>
      <c r="E258" s="72" t="str">
        <f t="shared" si="4"/>
        <v>Q3</v>
      </c>
      <c r="F258" s="72">
        <f t="shared" si="5"/>
        <v>2019</v>
      </c>
      <c r="G258" s="89">
        <f t="shared" si="6"/>
        <v>43722</v>
      </c>
      <c r="H258" s="72" t="str">
        <f t="shared" si="7"/>
        <v>No</v>
      </c>
    </row>
    <row r="259" ht="15.75" customHeight="1">
      <c r="A259" s="88">
        <f t="shared" si="8"/>
        <v>43723</v>
      </c>
      <c r="B259" s="72" t="str">
        <f t="shared" si="1"/>
        <v>20190915</v>
      </c>
      <c r="C259" s="72" t="str">
        <f t="shared" si="2"/>
        <v>Sunday</v>
      </c>
      <c r="D259" s="72" t="str">
        <f t="shared" si="3"/>
        <v>September</v>
      </c>
      <c r="E259" s="72" t="str">
        <f t="shared" si="4"/>
        <v>Q3</v>
      </c>
      <c r="F259" s="72">
        <f t="shared" si="5"/>
        <v>2019</v>
      </c>
      <c r="G259" s="89">
        <f t="shared" si="6"/>
        <v>43729</v>
      </c>
      <c r="H259" s="72" t="str">
        <f t="shared" si="7"/>
        <v>No</v>
      </c>
    </row>
    <row r="260" ht="15.75" customHeight="1">
      <c r="A260" s="88">
        <f t="shared" si="8"/>
        <v>43724</v>
      </c>
      <c r="B260" s="72" t="str">
        <f t="shared" si="1"/>
        <v>20190916</v>
      </c>
      <c r="C260" s="72" t="str">
        <f t="shared" si="2"/>
        <v>Monday</v>
      </c>
      <c r="D260" s="72" t="str">
        <f t="shared" si="3"/>
        <v>September</v>
      </c>
      <c r="E260" s="72" t="str">
        <f t="shared" si="4"/>
        <v>Q3</v>
      </c>
      <c r="F260" s="72">
        <f t="shared" si="5"/>
        <v>2019</v>
      </c>
      <c r="G260" s="89">
        <f t="shared" si="6"/>
        <v>43729</v>
      </c>
      <c r="H260" s="72" t="str">
        <f t="shared" si="7"/>
        <v>Yes</v>
      </c>
    </row>
    <row r="261" ht="15.75" customHeight="1">
      <c r="A261" s="88">
        <f t="shared" si="8"/>
        <v>43725</v>
      </c>
      <c r="B261" s="72" t="str">
        <f t="shared" si="1"/>
        <v>20190917</v>
      </c>
      <c r="C261" s="72" t="str">
        <f t="shared" si="2"/>
        <v>Tuesday</v>
      </c>
      <c r="D261" s="72" t="str">
        <f t="shared" si="3"/>
        <v>September</v>
      </c>
      <c r="E261" s="72" t="str">
        <f t="shared" si="4"/>
        <v>Q3</v>
      </c>
      <c r="F261" s="72">
        <f t="shared" si="5"/>
        <v>2019</v>
      </c>
      <c r="G261" s="89">
        <f t="shared" si="6"/>
        <v>43729</v>
      </c>
      <c r="H261" s="72" t="str">
        <f t="shared" si="7"/>
        <v>Yes</v>
      </c>
    </row>
    <row r="262" ht="15.75" customHeight="1">
      <c r="A262" s="88">
        <f t="shared" si="8"/>
        <v>43726</v>
      </c>
      <c r="B262" s="72" t="str">
        <f t="shared" si="1"/>
        <v>20190918</v>
      </c>
      <c r="C262" s="72" t="str">
        <f t="shared" si="2"/>
        <v>Wednesday</v>
      </c>
      <c r="D262" s="72" t="str">
        <f t="shared" si="3"/>
        <v>September</v>
      </c>
      <c r="E262" s="72" t="str">
        <f t="shared" si="4"/>
        <v>Q3</v>
      </c>
      <c r="F262" s="72">
        <f t="shared" si="5"/>
        <v>2019</v>
      </c>
      <c r="G262" s="89">
        <f t="shared" si="6"/>
        <v>43729</v>
      </c>
      <c r="H262" s="72" t="str">
        <f t="shared" si="7"/>
        <v>Yes</v>
      </c>
    </row>
    <row r="263" ht="15.75" customHeight="1">
      <c r="A263" s="88">
        <f t="shared" si="8"/>
        <v>43727</v>
      </c>
      <c r="B263" s="72" t="str">
        <f t="shared" si="1"/>
        <v>20190919</v>
      </c>
      <c r="C263" s="72" t="str">
        <f t="shared" si="2"/>
        <v>Thursday</v>
      </c>
      <c r="D263" s="72" t="str">
        <f t="shared" si="3"/>
        <v>September</v>
      </c>
      <c r="E263" s="72" t="str">
        <f t="shared" si="4"/>
        <v>Q3</v>
      </c>
      <c r="F263" s="72">
        <f t="shared" si="5"/>
        <v>2019</v>
      </c>
      <c r="G263" s="89">
        <f t="shared" si="6"/>
        <v>43729</v>
      </c>
      <c r="H263" s="72" t="str">
        <f t="shared" si="7"/>
        <v>Yes</v>
      </c>
    </row>
    <row r="264" ht="15.75" customHeight="1">
      <c r="A264" s="88">
        <f t="shared" si="8"/>
        <v>43728</v>
      </c>
      <c r="B264" s="72" t="str">
        <f t="shared" si="1"/>
        <v>20190920</v>
      </c>
      <c r="C264" s="72" t="str">
        <f t="shared" si="2"/>
        <v>Friday</v>
      </c>
      <c r="D264" s="72" t="str">
        <f t="shared" si="3"/>
        <v>September</v>
      </c>
      <c r="E264" s="72" t="str">
        <f t="shared" si="4"/>
        <v>Q3</v>
      </c>
      <c r="F264" s="72">
        <f t="shared" si="5"/>
        <v>2019</v>
      </c>
      <c r="G264" s="89">
        <f t="shared" si="6"/>
        <v>43729</v>
      </c>
      <c r="H264" s="72" t="str">
        <f t="shared" si="7"/>
        <v>Yes</v>
      </c>
    </row>
    <row r="265" ht="15.75" customHeight="1">
      <c r="A265" s="88">
        <f t="shared" si="8"/>
        <v>43729</v>
      </c>
      <c r="B265" s="72" t="str">
        <f t="shared" si="1"/>
        <v>20190921</v>
      </c>
      <c r="C265" s="72" t="str">
        <f t="shared" si="2"/>
        <v>Saturday</v>
      </c>
      <c r="D265" s="72" t="str">
        <f t="shared" si="3"/>
        <v>September</v>
      </c>
      <c r="E265" s="72" t="str">
        <f t="shared" si="4"/>
        <v>Q3</v>
      </c>
      <c r="F265" s="72">
        <f t="shared" si="5"/>
        <v>2019</v>
      </c>
      <c r="G265" s="89">
        <f t="shared" si="6"/>
        <v>43729</v>
      </c>
      <c r="H265" s="72" t="str">
        <f t="shared" si="7"/>
        <v>No</v>
      </c>
    </row>
    <row r="266" ht="15.75" customHeight="1">
      <c r="A266" s="88">
        <f t="shared" si="8"/>
        <v>43730</v>
      </c>
      <c r="B266" s="72" t="str">
        <f t="shared" si="1"/>
        <v>20190922</v>
      </c>
      <c r="C266" s="72" t="str">
        <f t="shared" si="2"/>
        <v>Sunday</v>
      </c>
      <c r="D266" s="72" t="str">
        <f t="shared" si="3"/>
        <v>September</v>
      </c>
      <c r="E266" s="72" t="str">
        <f t="shared" si="4"/>
        <v>Q3</v>
      </c>
      <c r="F266" s="72">
        <f t="shared" si="5"/>
        <v>2019</v>
      </c>
      <c r="G266" s="89">
        <f t="shared" si="6"/>
        <v>43736</v>
      </c>
      <c r="H266" s="72" t="str">
        <f t="shared" si="7"/>
        <v>No</v>
      </c>
    </row>
    <row r="267" ht="15.75" customHeight="1">
      <c r="A267" s="88">
        <f t="shared" si="8"/>
        <v>43731</v>
      </c>
      <c r="B267" s="72" t="str">
        <f t="shared" si="1"/>
        <v>20190923</v>
      </c>
      <c r="C267" s="72" t="str">
        <f t="shared" si="2"/>
        <v>Monday</v>
      </c>
      <c r="D267" s="72" t="str">
        <f t="shared" si="3"/>
        <v>September</v>
      </c>
      <c r="E267" s="72" t="str">
        <f t="shared" si="4"/>
        <v>Q3</v>
      </c>
      <c r="F267" s="72">
        <f t="shared" si="5"/>
        <v>2019</v>
      </c>
      <c r="G267" s="89">
        <f t="shared" si="6"/>
        <v>43736</v>
      </c>
      <c r="H267" s="72" t="str">
        <f t="shared" si="7"/>
        <v>Yes</v>
      </c>
    </row>
    <row r="268" ht="15.75" customHeight="1">
      <c r="A268" s="88">
        <f t="shared" si="8"/>
        <v>43732</v>
      </c>
      <c r="B268" s="72" t="str">
        <f t="shared" si="1"/>
        <v>20190924</v>
      </c>
      <c r="C268" s="72" t="str">
        <f t="shared" si="2"/>
        <v>Tuesday</v>
      </c>
      <c r="D268" s="72" t="str">
        <f t="shared" si="3"/>
        <v>September</v>
      </c>
      <c r="E268" s="72" t="str">
        <f t="shared" si="4"/>
        <v>Q3</v>
      </c>
      <c r="F268" s="72">
        <f t="shared" si="5"/>
        <v>2019</v>
      </c>
      <c r="G268" s="89">
        <f t="shared" si="6"/>
        <v>43736</v>
      </c>
      <c r="H268" s="72" t="str">
        <f t="shared" si="7"/>
        <v>Yes</v>
      </c>
    </row>
    <row r="269" ht="15.75" customHeight="1">
      <c r="A269" s="88">
        <f t="shared" si="8"/>
        <v>43733</v>
      </c>
      <c r="B269" s="72" t="str">
        <f t="shared" si="1"/>
        <v>20190925</v>
      </c>
      <c r="C269" s="72" t="str">
        <f t="shared" si="2"/>
        <v>Wednesday</v>
      </c>
      <c r="D269" s="72" t="str">
        <f t="shared" si="3"/>
        <v>September</v>
      </c>
      <c r="E269" s="72" t="str">
        <f t="shared" si="4"/>
        <v>Q3</v>
      </c>
      <c r="F269" s="72">
        <f t="shared" si="5"/>
        <v>2019</v>
      </c>
      <c r="G269" s="89">
        <f t="shared" si="6"/>
        <v>43736</v>
      </c>
      <c r="H269" s="72" t="str">
        <f t="shared" si="7"/>
        <v>Yes</v>
      </c>
    </row>
    <row r="270" ht="15.75" customHeight="1">
      <c r="A270" s="88">
        <f t="shared" si="8"/>
        <v>43734</v>
      </c>
      <c r="B270" s="72" t="str">
        <f t="shared" si="1"/>
        <v>20190926</v>
      </c>
      <c r="C270" s="72" t="str">
        <f t="shared" si="2"/>
        <v>Thursday</v>
      </c>
      <c r="D270" s="72" t="str">
        <f t="shared" si="3"/>
        <v>September</v>
      </c>
      <c r="E270" s="72" t="str">
        <f t="shared" si="4"/>
        <v>Q3</v>
      </c>
      <c r="F270" s="72">
        <f t="shared" si="5"/>
        <v>2019</v>
      </c>
      <c r="G270" s="89">
        <f t="shared" si="6"/>
        <v>43736</v>
      </c>
      <c r="H270" s="72" t="str">
        <f t="shared" si="7"/>
        <v>Yes</v>
      </c>
    </row>
    <row r="271" ht="15.75" customHeight="1">
      <c r="A271" s="88">
        <f t="shared" si="8"/>
        <v>43735</v>
      </c>
      <c r="B271" s="72" t="str">
        <f t="shared" si="1"/>
        <v>20190927</v>
      </c>
      <c r="C271" s="72" t="str">
        <f t="shared" si="2"/>
        <v>Friday</v>
      </c>
      <c r="D271" s="72" t="str">
        <f t="shared" si="3"/>
        <v>September</v>
      </c>
      <c r="E271" s="72" t="str">
        <f t="shared" si="4"/>
        <v>Q3</v>
      </c>
      <c r="F271" s="72">
        <f t="shared" si="5"/>
        <v>2019</v>
      </c>
      <c r="G271" s="89">
        <f t="shared" si="6"/>
        <v>43736</v>
      </c>
      <c r="H271" s="72" t="str">
        <f t="shared" si="7"/>
        <v>Yes</v>
      </c>
    </row>
    <row r="272" ht="15.75" customHeight="1">
      <c r="A272" s="88">
        <f t="shared" si="8"/>
        <v>43736</v>
      </c>
      <c r="B272" s="72" t="str">
        <f t="shared" si="1"/>
        <v>20190928</v>
      </c>
      <c r="C272" s="72" t="str">
        <f t="shared" si="2"/>
        <v>Saturday</v>
      </c>
      <c r="D272" s="72" t="str">
        <f t="shared" si="3"/>
        <v>September</v>
      </c>
      <c r="E272" s="72" t="str">
        <f t="shared" si="4"/>
        <v>Q3</v>
      </c>
      <c r="F272" s="72">
        <f t="shared" si="5"/>
        <v>2019</v>
      </c>
      <c r="G272" s="89">
        <f t="shared" si="6"/>
        <v>43736</v>
      </c>
      <c r="H272" s="72" t="str">
        <f t="shared" si="7"/>
        <v>No</v>
      </c>
    </row>
    <row r="273" ht="15.75" customHeight="1">
      <c r="A273" s="88">
        <f t="shared" si="8"/>
        <v>43737</v>
      </c>
      <c r="B273" s="72" t="str">
        <f t="shared" si="1"/>
        <v>20190929</v>
      </c>
      <c r="C273" s="72" t="str">
        <f t="shared" si="2"/>
        <v>Sunday</v>
      </c>
      <c r="D273" s="72" t="str">
        <f t="shared" si="3"/>
        <v>September</v>
      </c>
      <c r="E273" s="72" t="str">
        <f t="shared" si="4"/>
        <v>Q3</v>
      </c>
      <c r="F273" s="72">
        <f t="shared" si="5"/>
        <v>2019</v>
      </c>
      <c r="G273" s="89">
        <f t="shared" si="6"/>
        <v>43743</v>
      </c>
      <c r="H273" s="72" t="str">
        <f t="shared" si="7"/>
        <v>No</v>
      </c>
    </row>
    <row r="274" ht="15.75" customHeight="1">
      <c r="A274" s="88">
        <f t="shared" si="8"/>
        <v>43738</v>
      </c>
      <c r="B274" s="72" t="str">
        <f t="shared" si="1"/>
        <v>20190930</v>
      </c>
      <c r="C274" s="72" t="str">
        <f t="shared" si="2"/>
        <v>Monday</v>
      </c>
      <c r="D274" s="72" t="str">
        <f t="shared" si="3"/>
        <v>September</v>
      </c>
      <c r="E274" s="72" t="str">
        <f t="shared" si="4"/>
        <v>Q3</v>
      </c>
      <c r="F274" s="72">
        <f t="shared" si="5"/>
        <v>2019</v>
      </c>
      <c r="G274" s="89">
        <f t="shared" si="6"/>
        <v>43743</v>
      </c>
      <c r="H274" s="72" t="str">
        <f t="shared" si="7"/>
        <v>Yes</v>
      </c>
    </row>
    <row r="275" ht="15.75" customHeight="1">
      <c r="A275" s="88">
        <f t="shared" si="8"/>
        <v>43739</v>
      </c>
      <c r="B275" s="72" t="str">
        <f t="shared" si="1"/>
        <v>20191001</v>
      </c>
      <c r="C275" s="72" t="str">
        <f t="shared" si="2"/>
        <v>Tuesday</v>
      </c>
      <c r="D275" s="72" t="str">
        <f t="shared" si="3"/>
        <v>October</v>
      </c>
      <c r="E275" s="72" t="str">
        <f t="shared" si="4"/>
        <v>Q4</v>
      </c>
      <c r="F275" s="72">
        <f t="shared" si="5"/>
        <v>2019</v>
      </c>
      <c r="G275" s="89">
        <f t="shared" si="6"/>
        <v>43743</v>
      </c>
      <c r="H275" s="72" t="str">
        <f t="shared" si="7"/>
        <v>Yes</v>
      </c>
    </row>
    <row r="276" ht="15.75" customHeight="1">
      <c r="A276" s="88">
        <f t="shared" si="8"/>
        <v>43740</v>
      </c>
      <c r="B276" s="72" t="str">
        <f t="shared" si="1"/>
        <v>20191002</v>
      </c>
      <c r="C276" s="72" t="str">
        <f t="shared" si="2"/>
        <v>Wednesday</v>
      </c>
      <c r="D276" s="72" t="str">
        <f t="shared" si="3"/>
        <v>October</v>
      </c>
      <c r="E276" s="72" t="str">
        <f t="shared" si="4"/>
        <v>Q4</v>
      </c>
      <c r="F276" s="72">
        <f t="shared" si="5"/>
        <v>2019</v>
      </c>
      <c r="G276" s="89">
        <f t="shared" si="6"/>
        <v>43743</v>
      </c>
      <c r="H276" s="72" t="str">
        <f t="shared" si="7"/>
        <v>Yes</v>
      </c>
    </row>
    <row r="277" ht="15.75" customHeight="1">
      <c r="A277" s="88">
        <f t="shared" si="8"/>
        <v>43741</v>
      </c>
      <c r="B277" s="72" t="str">
        <f t="shared" si="1"/>
        <v>20191003</v>
      </c>
      <c r="C277" s="72" t="str">
        <f t="shared" si="2"/>
        <v>Thursday</v>
      </c>
      <c r="D277" s="72" t="str">
        <f t="shared" si="3"/>
        <v>October</v>
      </c>
      <c r="E277" s="72" t="str">
        <f t="shared" si="4"/>
        <v>Q4</v>
      </c>
      <c r="F277" s="72">
        <f t="shared" si="5"/>
        <v>2019</v>
      </c>
      <c r="G277" s="89">
        <f t="shared" si="6"/>
        <v>43743</v>
      </c>
      <c r="H277" s="72" t="str">
        <f t="shared" si="7"/>
        <v>Yes</v>
      </c>
    </row>
    <row r="278" ht="15.75" customHeight="1">
      <c r="A278" s="88">
        <f t="shared" si="8"/>
        <v>43742</v>
      </c>
      <c r="B278" s="72" t="str">
        <f t="shared" si="1"/>
        <v>20191004</v>
      </c>
      <c r="C278" s="72" t="str">
        <f t="shared" si="2"/>
        <v>Friday</v>
      </c>
      <c r="D278" s="72" t="str">
        <f t="shared" si="3"/>
        <v>October</v>
      </c>
      <c r="E278" s="72" t="str">
        <f t="shared" si="4"/>
        <v>Q4</v>
      </c>
      <c r="F278" s="72">
        <f t="shared" si="5"/>
        <v>2019</v>
      </c>
      <c r="G278" s="89">
        <f t="shared" si="6"/>
        <v>43743</v>
      </c>
      <c r="H278" s="72" t="str">
        <f t="shared" si="7"/>
        <v>Yes</v>
      </c>
    </row>
    <row r="279" ht="15.75" customHeight="1">
      <c r="A279" s="88">
        <f t="shared" si="8"/>
        <v>43743</v>
      </c>
      <c r="B279" s="72" t="str">
        <f t="shared" si="1"/>
        <v>20191005</v>
      </c>
      <c r="C279" s="72" t="str">
        <f t="shared" si="2"/>
        <v>Saturday</v>
      </c>
      <c r="D279" s="72" t="str">
        <f t="shared" si="3"/>
        <v>October</v>
      </c>
      <c r="E279" s="72" t="str">
        <f t="shared" si="4"/>
        <v>Q4</v>
      </c>
      <c r="F279" s="72">
        <f t="shared" si="5"/>
        <v>2019</v>
      </c>
      <c r="G279" s="89">
        <f t="shared" si="6"/>
        <v>43743</v>
      </c>
      <c r="H279" s="72" t="str">
        <f t="shared" si="7"/>
        <v>No</v>
      </c>
    </row>
    <row r="280" ht="15.75" customHeight="1">
      <c r="A280" s="88">
        <f t="shared" si="8"/>
        <v>43744</v>
      </c>
      <c r="B280" s="72" t="str">
        <f t="shared" si="1"/>
        <v>20191006</v>
      </c>
      <c r="C280" s="72" t="str">
        <f t="shared" si="2"/>
        <v>Sunday</v>
      </c>
      <c r="D280" s="72" t="str">
        <f t="shared" si="3"/>
        <v>October</v>
      </c>
      <c r="E280" s="72" t="str">
        <f t="shared" si="4"/>
        <v>Q4</v>
      </c>
      <c r="F280" s="72">
        <f t="shared" si="5"/>
        <v>2019</v>
      </c>
      <c r="G280" s="89">
        <f t="shared" si="6"/>
        <v>43750</v>
      </c>
      <c r="H280" s="72" t="str">
        <f t="shared" si="7"/>
        <v>No</v>
      </c>
    </row>
    <row r="281" ht="15.75" customHeight="1">
      <c r="A281" s="88">
        <f t="shared" si="8"/>
        <v>43745</v>
      </c>
      <c r="B281" s="72" t="str">
        <f t="shared" si="1"/>
        <v>20191007</v>
      </c>
      <c r="C281" s="72" t="str">
        <f t="shared" si="2"/>
        <v>Monday</v>
      </c>
      <c r="D281" s="72" t="str">
        <f t="shared" si="3"/>
        <v>October</v>
      </c>
      <c r="E281" s="72" t="str">
        <f t="shared" si="4"/>
        <v>Q4</v>
      </c>
      <c r="F281" s="72">
        <f t="shared" si="5"/>
        <v>2019</v>
      </c>
      <c r="G281" s="89">
        <f t="shared" si="6"/>
        <v>43750</v>
      </c>
      <c r="H281" s="72" t="str">
        <f t="shared" si="7"/>
        <v>Yes</v>
      </c>
    </row>
    <row r="282" ht="15.75" customHeight="1">
      <c r="A282" s="88">
        <f t="shared" si="8"/>
        <v>43746</v>
      </c>
      <c r="B282" s="72" t="str">
        <f t="shared" si="1"/>
        <v>20191008</v>
      </c>
      <c r="C282" s="72" t="str">
        <f t="shared" si="2"/>
        <v>Tuesday</v>
      </c>
      <c r="D282" s="72" t="str">
        <f t="shared" si="3"/>
        <v>October</v>
      </c>
      <c r="E282" s="72" t="str">
        <f t="shared" si="4"/>
        <v>Q4</v>
      </c>
      <c r="F282" s="72">
        <f t="shared" si="5"/>
        <v>2019</v>
      </c>
      <c r="G282" s="89">
        <f t="shared" si="6"/>
        <v>43750</v>
      </c>
      <c r="H282" s="72" t="str">
        <f t="shared" si="7"/>
        <v>Yes</v>
      </c>
    </row>
    <row r="283" ht="15.75" customHeight="1">
      <c r="A283" s="88">
        <f t="shared" si="8"/>
        <v>43747</v>
      </c>
      <c r="B283" s="72" t="str">
        <f t="shared" si="1"/>
        <v>20191009</v>
      </c>
      <c r="C283" s="72" t="str">
        <f t="shared" si="2"/>
        <v>Wednesday</v>
      </c>
      <c r="D283" s="72" t="str">
        <f t="shared" si="3"/>
        <v>October</v>
      </c>
      <c r="E283" s="72" t="str">
        <f t="shared" si="4"/>
        <v>Q4</v>
      </c>
      <c r="F283" s="72">
        <f t="shared" si="5"/>
        <v>2019</v>
      </c>
      <c r="G283" s="89">
        <f t="shared" si="6"/>
        <v>43750</v>
      </c>
      <c r="H283" s="72" t="str">
        <f t="shared" si="7"/>
        <v>Yes</v>
      </c>
    </row>
    <row r="284" ht="15.75" customHeight="1">
      <c r="A284" s="88">
        <f t="shared" si="8"/>
        <v>43748</v>
      </c>
      <c r="B284" s="72" t="str">
        <f t="shared" si="1"/>
        <v>20191010</v>
      </c>
      <c r="C284" s="72" t="str">
        <f t="shared" si="2"/>
        <v>Thursday</v>
      </c>
      <c r="D284" s="72" t="str">
        <f t="shared" si="3"/>
        <v>October</v>
      </c>
      <c r="E284" s="72" t="str">
        <f t="shared" si="4"/>
        <v>Q4</v>
      </c>
      <c r="F284" s="72">
        <f t="shared" si="5"/>
        <v>2019</v>
      </c>
      <c r="G284" s="89">
        <f t="shared" si="6"/>
        <v>43750</v>
      </c>
      <c r="H284" s="72" t="str">
        <f t="shared" si="7"/>
        <v>Yes</v>
      </c>
    </row>
    <row r="285" ht="15.75" customHeight="1">
      <c r="A285" s="88">
        <f t="shared" si="8"/>
        <v>43749</v>
      </c>
      <c r="B285" s="72" t="str">
        <f t="shared" si="1"/>
        <v>20191011</v>
      </c>
      <c r="C285" s="72" t="str">
        <f t="shared" si="2"/>
        <v>Friday</v>
      </c>
      <c r="D285" s="72" t="str">
        <f t="shared" si="3"/>
        <v>October</v>
      </c>
      <c r="E285" s="72" t="str">
        <f t="shared" si="4"/>
        <v>Q4</v>
      </c>
      <c r="F285" s="72">
        <f t="shared" si="5"/>
        <v>2019</v>
      </c>
      <c r="G285" s="89">
        <f t="shared" si="6"/>
        <v>43750</v>
      </c>
      <c r="H285" s="72" t="str">
        <f t="shared" si="7"/>
        <v>Yes</v>
      </c>
    </row>
    <row r="286" ht="15.75" customHeight="1">
      <c r="A286" s="88">
        <f t="shared" si="8"/>
        <v>43750</v>
      </c>
      <c r="B286" s="72" t="str">
        <f t="shared" si="1"/>
        <v>20191012</v>
      </c>
      <c r="C286" s="72" t="str">
        <f t="shared" si="2"/>
        <v>Saturday</v>
      </c>
      <c r="D286" s="72" t="str">
        <f t="shared" si="3"/>
        <v>October</v>
      </c>
      <c r="E286" s="72" t="str">
        <f t="shared" si="4"/>
        <v>Q4</v>
      </c>
      <c r="F286" s="72">
        <f t="shared" si="5"/>
        <v>2019</v>
      </c>
      <c r="G286" s="89">
        <f t="shared" si="6"/>
        <v>43750</v>
      </c>
      <c r="H286" s="72" t="str">
        <f t="shared" si="7"/>
        <v>No</v>
      </c>
    </row>
    <row r="287" ht="15.75" customHeight="1">
      <c r="A287" s="88">
        <f t="shared" si="8"/>
        <v>43751</v>
      </c>
      <c r="B287" s="72" t="str">
        <f t="shared" si="1"/>
        <v>20191013</v>
      </c>
      <c r="C287" s="72" t="str">
        <f t="shared" si="2"/>
        <v>Sunday</v>
      </c>
      <c r="D287" s="72" t="str">
        <f t="shared" si="3"/>
        <v>October</v>
      </c>
      <c r="E287" s="72" t="str">
        <f t="shared" si="4"/>
        <v>Q4</v>
      </c>
      <c r="F287" s="72">
        <f t="shared" si="5"/>
        <v>2019</v>
      </c>
      <c r="G287" s="89">
        <f t="shared" si="6"/>
        <v>43757</v>
      </c>
      <c r="H287" s="72" t="str">
        <f t="shared" si="7"/>
        <v>No</v>
      </c>
    </row>
    <row r="288" ht="15.75" customHeight="1">
      <c r="A288" s="88">
        <f t="shared" si="8"/>
        <v>43752</v>
      </c>
      <c r="B288" s="72" t="str">
        <f t="shared" si="1"/>
        <v>20191014</v>
      </c>
      <c r="C288" s="72" t="str">
        <f t="shared" si="2"/>
        <v>Monday</v>
      </c>
      <c r="D288" s="72" t="str">
        <f t="shared" si="3"/>
        <v>October</v>
      </c>
      <c r="E288" s="72" t="str">
        <f t="shared" si="4"/>
        <v>Q4</v>
      </c>
      <c r="F288" s="72">
        <f t="shared" si="5"/>
        <v>2019</v>
      </c>
      <c r="G288" s="89">
        <f t="shared" si="6"/>
        <v>43757</v>
      </c>
      <c r="H288" s="72" t="str">
        <f t="shared" si="7"/>
        <v>Yes</v>
      </c>
    </row>
    <row r="289" ht="15.75" customHeight="1">
      <c r="A289" s="88">
        <f t="shared" si="8"/>
        <v>43753</v>
      </c>
      <c r="B289" s="72" t="str">
        <f t="shared" si="1"/>
        <v>20191015</v>
      </c>
      <c r="C289" s="72" t="str">
        <f t="shared" si="2"/>
        <v>Tuesday</v>
      </c>
      <c r="D289" s="72" t="str">
        <f t="shared" si="3"/>
        <v>October</v>
      </c>
      <c r="E289" s="72" t="str">
        <f t="shared" si="4"/>
        <v>Q4</v>
      </c>
      <c r="F289" s="72">
        <f t="shared" si="5"/>
        <v>2019</v>
      </c>
      <c r="G289" s="89">
        <f t="shared" si="6"/>
        <v>43757</v>
      </c>
      <c r="H289" s="72" t="str">
        <f t="shared" si="7"/>
        <v>Yes</v>
      </c>
    </row>
    <row r="290" ht="15.75" customHeight="1">
      <c r="A290" s="88">
        <f t="shared" si="8"/>
        <v>43754</v>
      </c>
      <c r="B290" s="72" t="str">
        <f t="shared" si="1"/>
        <v>20191016</v>
      </c>
      <c r="C290" s="72" t="str">
        <f t="shared" si="2"/>
        <v>Wednesday</v>
      </c>
      <c r="D290" s="72" t="str">
        <f t="shared" si="3"/>
        <v>October</v>
      </c>
      <c r="E290" s="72" t="str">
        <f t="shared" si="4"/>
        <v>Q4</v>
      </c>
      <c r="F290" s="72">
        <f t="shared" si="5"/>
        <v>2019</v>
      </c>
      <c r="G290" s="89">
        <f t="shared" si="6"/>
        <v>43757</v>
      </c>
      <c r="H290" s="72" t="str">
        <f t="shared" si="7"/>
        <v>Yes</v>
      </c>
    </row>
    <row r="291" ht="15.75" customHeight="1">
      <c r="A291" s="88">
        <f t="shared" si="8"/>
        <v>43755</v>
      </c>
      <c r="B291" s="72" t="str">
        <f t="shared" si="1"/>
        <v>20191017</v>
      </c>
      <c r="C291" s="72" t="str">
        <f t="shared" si="2"/>
        <v>Thursday</v>
      </c>
      <c r="D291" s="72" t="str">
        <f t="shared" si="3"/>
        <v>October</v>
      </c>
      <c r="E291" s="72" t="str">
        <f t="shared" si="4"/>
        <v>Q4</v>
      </c>
      <c r="F291" s="72">
        <f t="shared" si="5"/>
        <v>2019</v>
      </c>
      <c r="G291" s="89">
        <f t="shared" si="6"/>
        <v>43757</v>
      </c>
      <c r="H291" s="72" t="str">
        <f t="shared" si="7"/>
        <v>Yes</v>
      </c>
    </row>
    <row r="292" ht="15.75" customHeight="1">
      <c r="A292" s="88">
        <f t="shared" si="8"/>
        <v>43756</v>
      </c>
      <c r="B292" s="72" t="str">
        <f t="shared" si="1"/>
        <v>20191018</v>
      </c>
      <c r="C292" s="72" t="str">
        <f t="shared" si="2"/>
        <v>Friday</v>
      </c>
      <c r="D292" s="72" t="str">
        <f t="shared" si="3"/>
        <v>October</v>
      </c>
      <c r="E292" s="72" t="str">
        <f t="shared" si="4"/>
        <v>Q4</v>
      </c>
      <c r="F292" s="72">
        <f t="shared" si="5"/>
        <v>2019</v>
      </c>
      <c r="G292" s="89">
        <f t="shared" si="6"/>
        <v>43757</v>
      </c>
      <c r="H292" s="72" t="str">
        <f t="shared" si="7"/>
        <v>Yes</v>
      </c>
    </row>
    <row r="293" ht="15.75" customHeight="1">
      <c r="A293" s="88">
        <f t="shared" si="8"/>
        <v>43757</v>
      </c>
      <c r="B293" s="72" t="str">
        <f t="shared" si="1"/>
        <v>20191019</v>
      </c>
      <c r="C293" s="72" t="str">
        <f t="shared" si="2"/>
        <v>Saturday</v>
      </c>
      <c r="D293" s="72" t="str">
        <f t="shared" si="3"/>
        <v>October</v>
      </c>
      <c r="E293" s="72" t="str">
        <f t="shared" si="4"/>
        <v>Q4</v>
      </c>
      <c r="F293" s="72">
        <f t="shared" si="5"/>
        <v>2019</v>
      </c>
      <c r="G293" s="89">
        <f t="shared" si="6"/>
        <v>43757</v>
      </c>
      <c r="H293" s="72" t="str">
        <f t="shared" si="7"/>
        <v>No</v>
      </c>
    </row>
    <row r="294" ht="15.75" customHeight="1">
      <c r="A294" s="88">
        <f t="shared" si="8"/>
        <v>43758</v>
      </c>
      <c r="B294" s="72" t="str">
        <f t="shared" si="1"/>
        <v>20191020</v>
      </c>
      <c r="C294" s="72" t="str">
        <f t="shared" si="2"/>
        <v>Sunday</v>
      </c>
      <c r="D294" s="72" t="str">
        <f t="shared" si="3"/>
        <v>October</v>
      </c>
      <c r="E294" s="72" t="str">
        <f t="shared" si="4"/>
        <v>Q4</v>
      </c>
      <c r="F294" s="72">
        <f t="shared" si="5"/>
        <v>2019</v>
      </c>
      <c r="G294" s="89">
        <f t="shared" si="6"/>
        <v>43764</v>
      </c>
      <c r="H294" s="72" t="str">
        <f t="shared" si="7"/>
        <v>No</v>
      </c>
    </row>
    <row r="295" ht="15.75" customHeight="1">
      <c r="A295" s="88">
        <f t="shared" si="8"/>
        <v>43759</v>
      </c>
      <c r="B295" s="72" t="str">
        <f t="shared" si="1"/>
        <v>20191021</v>
      </c>
      <c r="C295" s="72" t="str">
        <f t="shared" si="2"/>
        <v>Monday</v>
      </c>
      <c r="D295" s="72" t="str">
        <f t="shared" si="3"/>
        <v>October</v>
      </c>
      <c r="E295" s="72" t="str">
        <f t="shared" si="4"/>
        <v>Q4</v>
      </c>
      <c r="F295" s="72">
        <f t="shared" si="5"/>
        <v>2019</v>
      </c>
      <c r="G295" s="89">
        <f t="shared" si="6"/>
        <v>43764</v>
      </c>
      <c r="H295" s="72" t="str">
        <f t="shared" si="7"/>
        <v>Yes</v>
      </c>
    </row>
    <row r="296" ht="15.75" customHeight="1">
      <c r="A296" s="88">
        <f t="shared" si="8"/>
        <v>43760</v>
      </c>
      <c r="B296" s="72" t="str">
        <f t="shared" si="1"/>
        <v>20191022</v>
      </c>
      <c r="C296" s="72" t="str">
        <f t="shared" si="2"/>
        <v>Tuesday</v>
      </c>
      <c r="D296" s="72" t="str">
        <f t="shared" si="3"/>
        <v>October</v>
      </c>
      <c r="E296" s="72" t="str">
        <f t="shared" si="4"/>
        <v>Q4</v>
      </c>
      <c r="F296" s="72">
        <f t="shared" si="5"/>
        <v>2019</v>
      </c>
      <c r="G296" s="89">
        <f t="shared" si="6"/>
        <v>43764</v>
      </c>
      <c r="H296" s="72" t="str">
        <f t="shared" si="7"/>
        <v>Yes</v>
      </c>
    </row>
    <row r="297" ht="15.75" customHeight="1">
      <c r="A297" s="88">
        <f t="shared" si="8"/>
        <v>43761</v>
      </c>
      <c r="B297" s="72" t="str">
        <f t="shared" si="1"/>
        <v>20191023</v>
      </c>
      <c r="C297" s="72" t="str">
        <f t="shared" si="2"/>
        <v>Wednesday</v>
      </c>
      <c r="D297" s="72" t="str">
        <f t="shared" si="3"/>
        <v>October</v>
      </c>
      <c r="E297" s="72" t="str">
        <f t="shared" si="4"/>
        <v>Q4</v>
      </c>
      <c r="F297" s="72">
        <f t="shared" si="5"/>
        <v>2019</v>
      </c>
      <c r="G297" s="89">
        <f t="shared" si="6"/>
        <v>43764</v>
      </c>
      <c r="H297" s="72" t="str">
        <f t="shared" si="7"/>
        <v>Yes</v>
      </c>
    </row>
    <row r="298" ht="15.75" customHeight="1">
      <c r="A298" s="88">
        <f t="shared" si="8"/>
        <v>43762</v>
      </c>
      <c r="B298" s="72" t="str">
        <f t="shared" si="1"/>
        <v>20191024</v>
      </c>
      <c r="C298" s="72" t="str">
        <f t="shared" si="2"/>
        <v>Thursday</v>
      </c>
      <c r="D298" s="72" t="str">
        <f t="shared" si="3"/>
        <v>October</v>
      </c>
      <c r="E298" s="72" t="str">
        <f t="shared" si="4"/>
        <v>Q4</v>
      </c>
      <c r="F298" s="72">
        <f t="shared" si="5"/>
        <v>2019</v>
      </c>
      <c r="G298" s="89">
        <f t="shared" si="6"/>
        <v>43764</v>
      </c>
      <c r="H298" s="72" t="str">
        <f t="shared" si="7"/>
        <v>Yes</v>
      </c>
    </row>
    <row r="299" ht="15.75" customHeight="1">
      <c r="A299" s="88">
        <f t="shared" si="8"/>
        <v>43763</v>
      </c>
      <c r="B299" s="72" t="str">
        <f t="shared" si="1"/>
        <v>20191025</v>
      </c>
      <c r="C299" s="72" t="str">
        <f t="shared" si="2"/>
        <v>Friday</v>
      </c>
      <c r="D299" s="72" t="str">
        <f t="shared" si="3"/>
        <v>October</v>
      </c>
      <c r="E299" s="72" t="str">
        <f t="shared" si="4"/>
        <v>Q4</v>
      </c>
      <c r="F299" s="72">
        <f t="shared" si="5"/>
        <v>2019</v>
      </c>
      <c r="G299" s="89">
        <f t="shared" si="6"/>
        <v>43764</v>
      </c>
      <c r="H299" s="72" t="str">
        <f t="shared" si="7"/>
        <v>Yes</v>
      </c>
    </row>
    <row r="300" ht="15.75" customHeight="1">
      <c r="A300" s="88">
        <f t="shared" si="8"/>
        <v>43764</v>
      </c>
      <c r="B300" s="72" t="str">
        <f t="shared" si="1"/>
        <v>20191026</v>
      </c>
      <c r="C300" s="72" t="str">
        <f t="shared" si="2"/>
        <v>Saturday</v>
      </c>
      <c r="D300" s="72" t="str">
        <f t="shared" si="3"/>
        <v>October</v>
      </c>
      <c r="E300" s="72" t="str">
        <f t="shared" si="4"/>
        <v>Q4</v>
      </c>
      <c r="F300" s="72">
        <f t="shared" si="5"/>
        <v>2019</v>
      </c>
      <c r="G300" s="89">
        <f t="shared" si="6"/>
        <v>43764</v>
      </c>
      <c r="H300" s="72" t="str">
        <f t="shared" si="7"/>
        <v>No</v>
      </c>
    </row>
    <row r="301" ht="15.75" customHeight="1">
      <c r="A301" s="88">
        <f t="shared" si="8"/>
        <v>43765</v>
      </c>
      <c r="B301" s="72" t="str">
        <f t="shared" si="1"/>
        <v>20191027</v>
      </c>
      <c r="C301" s="72" t="str">
        <f t="shared" si="2"/>
        <v>Sunday</v>
      </c>
      <c r="D301" s="72" t="str">
        <f t="shared" si="3"/>
        <v>October</v>
      </c>
      <c r="E301" s="72" t="str">
        <f t="shared" si="4"/>
        <v>Q4</v>
      </c>
      <c r="F301" s="72">
        <f t="shared" si="5"/>
        <v>2019</v>
      </c>
      <c r="G301" s="89">
        <f t="shared" si="6"/>
        <v>43771</v>
      </c>
      <c r="H301" s="72" t="str">
        <f t="shared" si="7"/>
        <v>No</v>
      </c>
    </row>
    <row r="302" ht="15.75" customHeight="1">
      <c r="A302" s="88">
        <f t="shared" si="8"/>
        <v>43766</v>
      </c>
      <c r="B302" s="72" t="str">
        <f t="shared" si="1"/>
        <v>20191028</v>
      </c>
      <c r="C302" s="72" t="str">
        <f t="shared" si="2"/>
        <v>Monday</v>
      </c>
      <c r="D302" s="72" t="str">
        <f t="shared" si="3"/>
        <v>October</v>
      </c>
      <c r="E302" s="72" t="str">
        <f t="shared" si="4"/>
        <v>Q4</v>
      </c>
      <c r="F302" s="72">
        <f t="shared" si="5"/>
        <v>2019</v>
      </c>
      <c r="G302" s="89">
        <f t="shared" si="6"/>
        <v>43771</v>
      </c>
      <c r="H302" s="72" t="str">
        <f t="shared" si="7"/>
        <v>Yes</v>
      </c>
    </row>
    <row r="303" ht="15.75" customHeight="1">
      <c r="A303" s="88">
        <f t="shared" si="8"/>
        <v>43767</v>
      </c>
      <c r="B303" s="72" t="str">
        <f t="shared" si="1"/>
        <v>20191029</v>
      </c>
      <c r="C303" s="72" t="str">
        <f t="shared" si="2"/>
        <v>Tuesday</v>
      </c>
      <c r="D303" s="72" t="str">
        <f t="shared" si="3"/>
        <v>October</v>
      </c>
      <c r="E303" s="72" t="str">
        <f t="shared" si="4"/>
        <v>Q4</v>
      </c>
      <c r="F303" s="72">
        <f t="shared" si="5"/>
        <v>2019</v>
      </c>
      <c r="G303" s="89">
        <f t="shared" si="6"/>
        <v>43771</v>
      </c>
      <c r="H303" s="72" t="str">
        <f t="shared" si="7"/>
        <v>Yes</v>
      </c>
    </row>
    <row r="304" ht="15.75" customHeight="1">
      <c r="A304" s="88">
        <f t="shared" si="8"/>
        <v>43768</v>
      </c>
      <c r="B304" s="72" t="str">
        <f t="shared" si="1"/>
        <v>20191030</v>
      </c>
      <c r="C304" s="72" t="str">
        <f t="shared" si="2"/>
        <v>Wednesday</v>
      </c>
      <c r="D304" s="72" t="str">
        <f t="shared" si="3"/>
        <v>October</v>
      </c>
      <c r="E304" s="72" t="str">
        <f t="shared" si="4"/>
        <v>Q4</v>
      </c>
      <c r="F304" s="72">
        <f t="shared" si="5"/>
        <v>2019</v>
      </c>
      <c r="G304" s="89">
        <f t="shared" si="6"/>
        <v>43771</v>
      </c>
      <c r="H304" s="72" t="str">
        <f t="shared" si="7"/>
        <v>Yes</v>
      </c>
    </row>
    <row r="305" ht="15.75" customHeight="1">
      <c r="A305" s="88">
        <f t="shared" si="8"/>
        <v>43769</v>
      </c>
      <c r="B305" s="72" t="str">
        <f t="shared" si="1"/>
        <v>20191031</v>
      </c>
      <c r="C305" s="72" t="str">
        <f t="shared" si="2"/>
        <v>Thursday</v>
      </c>
      <c r="D305" s="72" t="str">
        <f t="shared" si="3"/>
        <v>October</v>
      </c>
      <c r="E305" s="72" t="str">
        <f t="shared" si="4"/>
        <v>Q4</v>
      </c>
      <c r="F305" s="72">
        <f t="shared" si="5"/>
        <v>2019</v>
      </c>
      <c r="G305" s="89">
        <f t="shared" si="6"/>
        <v>43771</v>
      </c>
      <c r="H305" s="72" t="str">
        <f t="shared" si="7"/>
        <v>Yes</v>
      </c>
    </row>
    <row r="306" ht="15.75" customHeight="1">
      <c r="A306" s="88">
        <f t="shared" si="8"/>
        <v>43770</v>
      </c>
      <c r="B306" s="72" t="str">
        <f t="shared" si="1"/>
        <v>20191101</v>
      </c>
      <c r="C306" s="72" t="str">
        <f t="shared" si="2"/>
        <v>Friday</v>
      </c>
      <c r="D306" s="72" t="str">
        <f t="shared" si="3"/>
        <v>November</v>
      </c>
      <c r="E306" s="72" t="str">
        <f t="shared" si="4"/>
        <v>Q4</v>
      </c>
      <c r="F306" s="72">
        <f t="shared" si="5"/>
        <v>2019</v>
      </c>
      <c r="G306" s="89">
        <f t="shared" si="6"/>
        <v>43771</v>
      </c>
      <c r="H306" s="72" t="str">
        <f t="shared" si="7"/>
        <v>Yes</v>
      </c>
    </row>
    <row r="307" ht="15.75" customHeight="1">
      <c r="A307" s="88">
        <f t="shared" si="8"/>
        <v>43771</v>
      </c>
      <c r="B307" s="72" t="str">
        <f t="shared" si="1"/>
        <v>20191102</v>
      </c>
      <c r="C307" s="72" t="str">
        <f t="shared" si="2"/>
        <v>Saturday</v>
      </c>
      <c r="D307" s="72" t="str">
        <f t="shared" si="3"/>
        <v>November</v>
      </c>
      <c r="E307" s="72" t="str">
        <f t="shared" si="4"/>
        <v>Q4</v>
      </c>
      <c r="F307" s="72">
        <f t="shared" si="5"/>
        <v>2019</v>
      </c>
      <c r="G307" s="89">
        <f t="shared" si="6"/>
        <v>43771</v>
      </c>
      <c r="H307" s="72" t="str">
        <f t="shared" si="7"/>
        <v>No</v>
      </c>
    </row>
    <row r="308" ht="15.75" customHeight="1">
      <c r="A308" s="88">
        <f t="shared" si="8"/>
        <v>43772</v>
      </c>
      <c r="B308" s="72" t="str">
        <f t="shared" si="1"/>
        <v>20191103</v>
      </c>
      <c r="C308" s="72" t="str">
        <f t="shared" si="2"/>
        <v>Sunday</v>
      </c>
      <c r="D308" s="72" t="str">
        <f t="shared" si="3"/>
        <v>November</v>
      </c>
      <c r="E308" s="72" t="str">
        <f t="shared" si="4"/>
        <v>Q4</v>
      </c>
      <c r="F308" s="72">
        <f t="shared" si="5"/>
        <v>2019</v>
      </c>
      <c r="G308" s="89">
        <f t="shared" si="6"/>
        <v>43778</v>
      </c>
      <c r="H308" s="72" t="str">
        <f t="shared" si="7"/>
        <v>No</v>
      </c>
    </row>
    <row r="309" ht="15.75" customHeight="1">
      <c r="A309" s="88">
        <f t="shared" si="8"/>
        <v>43773</v>
      </c>
      <c r="B309" s="72" t="str">
        <f t="shared" si="1"/>
        <v>20191104</v>
      </c>
      <c r="C309" s="72" t="str">
        <f t="shared" si="2"/>
        <v>Monday</v>
      </c>
      <c r="D309" s="72" t="str">
        <f t="shared" si="3"/>
        <v>November</v>
      </c>
      <c r="E309" s="72" t="str">
        <f t="shared" si="4"/>
        <v>Q4</v>
      </c>
      <c r="F309" s="72">
        <f t="shared" si="5"/>
        <v>2019</v>
      </c>
      <c r="G309" s="89">
        <f t="shared" si="6"/>
        <v>43778</v>
      </c>
      <c r="H309" s="72" t="str">
        <f t="shared" si="7"/>
        <v>Yes</v>
      </c>
    </row>
    <row r="310" ht="15.75" customHeight="1">
      <c r="A310" s="88">
        <f t="shared" si="8"/>
        <v>43774</v>
      </c>
      <c r="B310" s="72" t="str">
        <f t="shared" si="1"/>
        <v>20191105</v>
      </c>
      <c r="C310" s="72" t="str">
        <f t="shared" si="2"/>
        <v>Tuesday</v>
      </c>
      <c r="D310" s="72" t="str">
        <f t="shared" si="3"/>
        <v>November</v>
      </c>
      <c r="E310" s="72" t="str">
        <f t="shared" si="4"/>
        <v>Q4</v>
      </c>
      <c r="F310" s="72">
        <f t="shared" si="5"/>
        <v>2019</v>
      </c>
      <c r="G310" s="89">
        <f t="shared" si="6"/>
        <v>43778</v>
      </c>
      <c r="H310" s="72" t="str">
        <f t="shared" si="7"/>
        <v>Yes</v>
      </c>
    </row>
    <row r="311" ht="15.75" customHeight="1">
      <c r="A311" s="88">
        <f t="shared" si="8"/>
        <v>43775</v>
      </c>
      <c r="B311" s="72" t="str">
        <f t="shared" si="1"/>
        <v>20191106</v>
      </c>
      <c r="C311" s="72" t="str">
        <f t="shared" si="2"/>
        <v>Wednesday</v>
      </c>
      <c r="D311" s="72" t="str">
        <f t="shared" si="3"/>
        <v>November</v>
      </c>
      <c r="E311" s="72" t="str">
        <f t="shared" si="4"/>
        <v>Q4</v>
      </c>
      <c r="F311" s="72">
        <f t="shared" si="5"/>
        <v>2019</v>
      </c>
      <c r="G311" s="89">
        <f t="shared" si="6"/>
        <v>43778</v>
      </c>
      <c r="H311" s="72" t="str">
        <f t="shared" si="7"/>
        <v>Yes</v>
      </c>
    </row>
    <row r="312" ht="15.75" customHeight="1">
      <c r="A312" s="88">
        <f t="shared" si="8"/>
        <v>43776</v>
      </c>
      <c r="B312" s="72" t="str">
        <f t="shared" si="1"/>
        <v>20191107</v>
      </c>
      <c r="C312" s="72" t="str">
        <f t="shared" si="2"/>
        <v>Thursday</v>
      </c>
      <c r="D312" s="72" t="str">
        <f t="shared" si="3"/>
        <v>November</v>
      </c>
      <c r="E312" s="72" t="str">
        <f t="shared" si="4"/>
        <v>Q4</v>
      </c>
      <c r="F312" s="72">
        <f t="shared" si="5"/>
        <v>2019</v>
      </c>
      <c r="G312" s="89">
        <f t="shared" si="6"/>
        <v>43778</v>
      </c>
      <c r="H312" s="72" t="str">
        <f t="shared" si="7"/>
        <v>Yes</v>
      </c>
    </row>
    <row r="313" ht="15.75" customHeight="1">
      <c r="A313" s="88">
        <f t="shared" si="8"/>
        <v>43777</v>
      </c>
      <c r="B313" s="72" t="str">
        <f t="shared" si="1"/>
        <v>20191108</v>
      </c>
      <c r="C313" s="72" t="str">
        <f t="shared" si="2"/>
        <v>Friday</v>
      </c>
      <c r="D313" s="72" t="str">
        <f t="shared" si="3"/>
        <v>November</v>
      </c>
      <c r="E313" s="72" t="str">
        <f t="shared" si="4"/>
        <v>Q4</v>
      </c>
      <c r="F313" s="72">
        <f t="shared" si="5"/>
        <v>2019</v>
      </c>
      <c r="G313" s="89">
        <f t="shared" si="6"/>
        <v>43778</v>
      </c>
      <c r="H313" s="72" t="str">
        <f t="shared" si="7"/>
        <v>Yes</v>
      </c>
    </row>
    <row r="314" ht="15.75" customHeight="1">
      <c r="A314" s="88">
        <f t="shared" si="8"/>
        <v>43778</v>
      </c>
      <c r="B314" s="72" t="str">
        <f t="shared" si="1"/>
        <v>20191109</v>
      </c>
      <c r="C314" s="72" t="str">
        <f t="shared" si="2"/>
        <v>Saturday</v>
      </c>
      <c r="D314" s="72" t="str">
        <f t="shared" si="3"/>
        <v>November</v>
      </c>
      <c r="E314" s="72" t="str">
        <f t="shared" si="4"/>
        <v>Q4</v>
      </c>
      <c r="F314" s="72">
        <f t="shared" si="5"/>
        <v>2019</v>
      </c>
      <c r="G314" s="89">
        <f t="shared" si="6"/>
        <v>43778</v>
      </c>
      <c r="H314" s="72" t="str">
        <f t="shared" si="7"/>
        <v>No</v>
      </c>
    </row>
    <row r="315" ht="15.75" customHeight="1">
      <c r="A315" s="88">
        <f t="shared" si="8"/>
        <v>43779</v>
      </c>
      <c r="B315" s="72" t="str">
        <f t="shared" si="1"/>
        <v>20191110</v>
      </c>
      <c r="C315" s="72" t="str">
        <f t="shared" si="2"/>
        <v>Sunday</v>
      </c>
      <c r="D315" s="72" t="str">
        <f t="shared" si="3"/>
        <v>November</v>
      </c>
      <c r="E315" s="72" t="str">
        <f t="shared" si="4"/>
        <v>Q4</v>
      </c>
      <c r="F315" s="72">
        <f t="shared" si="5"/>
        <v>2019</v>
      </c>
      <c r="G315" s="89">
        <f t="shared" si="6"/>
        <v>43785</v>
      </c>
      <c r="H315" s="72" t="str">
        <f t="shared" si="7"/>
        <v>No</v>
      </c>
    </row>
    <row r="316" ht="15.75" customHeight="1">
      <c r="A316" s="88">
        <f t="shared" si="8"/>
        <v>43780</v>
      </c>
      <c r="B316" s="72" t="str">
        <f t="shared" si="1"/>
        <v>20191111</v>
      </c>
      <c r="C316" s="72" t="str">
        <f t="shared" si="2"/>
        <v>Monday</v>
      </c>
      <c r="D316" s="72" t="str">
        <f t="shared" si="3"/>
        <v>November</v>
      </c>
      <c r="E316" s="72" t="str">
        <f t="shared" si="4"/>
        <v>Q4</v>
      </c>
      <c r="F316" s="72">
        <f t="shared" si="5"/>
        <v>2019</v>
      </c>
      <c r="G316" s="89">
        <f t="shared" si="6"/>
        <v>43785</v>
      </c>
      <c r="H316" s="72" t="str">
        <f t="shared" si="7"/>
        <v>Yes</v>
      </c>
    </row>
    <row r="317" ht="15.75" customHeight="1">
      <c r="A317" s="88">
        <f t="shared" si="8"/>
        <v>43781</v>
      </c>
      <c r="B317" s="72" t="str">
        <f t="shared" si="1"/>
        <v>20191112</v>
      </c>
      <c r="C317" s="72" t="str">
        <f t="shared" si="2"/>
        <v>Tuesday</v>
      </c>
      <c r="D317" s="72" t="str">
        <f t="shared" si="3"/>
        <v>November</v>
      </c>
      <c r="E317" s="72" t="str">
        <f t="shared" si="4"/>
        <v>Q4</v>
      </c>
      <c r="F317" s="72">
        <f t="shared" si="5"/>
        <v>2019</v>
      </c>
      <c r="G317" s="89">
        <f t="shared" si="6"/>
        <v>43785</v>
      </c>
      <c r="H317" s="72" t="str">
        <f t="shared" si="7"/>
        <v>Yes</v>
      </c>
    </row>
    <row r="318" ht="15.75" customHeight="1">
      <c r="A318" s="88">
        <f t="shared" si="8"/>
        <v>43782</v>
      </c>
      <c r="B318" s="72" t="str">
        <f t="shared" si="1"/>
        <v>20191113</v>
      </c>
      <c r="C318" s="72" t="str">
        <f t="shared" si="2"/>
        <v>Wednesday</v>
      </c>
      <c r="D318" s="72" t="str">
        <f t="shared" si="3"/>
        <v>November</v>
      </c>
      <c r="E318" s="72" t="str">
        <f t="shared" si="4"/>
        <v>Q4</v>
      </c>
      <c r="F318" s="72">
        <f t="shared" si="5"/>
        <v>2019</v>
      </c>
      <c r="G318" s="89">
        <f t="shared" si="6"/>
        <v>43785</v>
      </c>
      <c r="H318" s="72" t="str">
        <f t="shared" si="7"/>
        <v>Yes</v>
      </c>
    </row>
    <row r="319" ht="15.75" customHeight="1">
      <c r="A319" s="88">
        <f t="shared" si="8"/>
        <v>43783</v>
      </c>
      <c r="B319" s="72" t="str">
        <f t="shared" si="1"/>
        <v>20191114</v>
      </c>
      <c r="C319" s="72" t="str">
        <f t="shared" si="2"/>
        <v>Thursday</v>
      </c>
      <c r="D319" s="72" t="str">
        <f t="shared" si="3"/>
        <v>November</v>
      </c>
      <c r="E319" s="72" t="str">
        <f t="shared" si="4"/>
        <v>Q4</v>
      </c>
      <c r="F319" s="72">
        <f t="shared" si="5"/>
        <v>2019</v>
      </c>
      <c r="G319" s="89">
        <f t="shared" si="6"/>
        <v>43785</v>
      </c>
      <c r="H319" s="72" t="str">
        <f t="shared" si="7"/>
        <v>Yes</v>
      </c>
    </row>
    <row r="320" ht="15.75" customHeight="1">
      <c r="A320" s="88">
        <f t="shared" si="8"/>
        <v>43784</v>
      </c>
      <c r="B320" s="72" t="str">
        <f t="shared" si="1"/>
        <v>20191115</v>
      </c>
      <c r="C320" s="72" t="str">
        <f t="shared" si="2"/>
        <v>Friday</v>
      </c>
      <c r="D320" s="72" t="str">
        <f t="shared" si="3"/>
        <v>November</v>
      </c>
      <c r="E320" s="72" t="str">
        <f t="shared" si="4"/>
        <v>Q4</v>
      </c>
      <c r="F320" s="72">
        <f t="shared" si="5"/>
        <v>2019</v>
      </c>
      <c r="G320" s="89">
        <f t="shared" si="6"/>
        <v>43785</v>
      </c>
      <c r="H320" s="72" t="str">
        <f t="shared" si="7"/>
        <v>Yes</v>
      </c>
    </row>
    <row r="321" ht="15.75" customHeight="1">
      <c r="A321" s="88">
        <f t="shared" si="8"/>
        <v>43785</v>
      </c>
      <c r="B321" s="72" t="str">
        <f t="shared" si="1"/>
        <v>20191116</v>
      </c>
      <c r="C321" s="72" t="str">
        <f t="shared" si="2"/>
        <v>Saturday</v>
      </c>
      <c r="D321" s="72" t="str">
        <f t="shared" si="3"/>
        <v>November</v>
      </c>
      <c r="E321" s="72" t="str">
        <f t="shared" si="4"/>
        <v>Q4</v>
      </c>
      <c r="F321" s="72">
        <f t="shared" si="5"/>
        <v>2019</v>
      </c>
      <c r="G321" s="89">
        <f t="shared" si="6"/>
        <v>43785</v>
      </c>
      <c r="H321" s="72" t="str">
        <f t="shared" si="7"/>
        <v>No</v>
      </c>
    </row>
    <row r="322" ht="15.75" customHeight="1">
      <c r="A322" s="88">
        <f t="shared" si="8"/>
        <v>43786</v>
      </c>
      <c r="B322" s="72" t="str">
        <f t="shared" si="1"/>
        <v>20191117</v>
      </c>
      <c r="C322" s="72" t="str">
        <f t="shared" si="2"/>
        <v>Sunday</v>
      </c>
      <c r="D322" s="72" t="str">
        <f t="shared" si="3"/>
        <v>November</v>
      </c>
      <c r="E322" s="72" t="str">
        <f t="shared" si="4"/>
        <v>Q4</v>
      </c>
      <c r="F322" s="72">
        <f t="shared" si="5"/>
        <v>2019</v>
      </c>
      <c r="G322" s="89">
        <f t="shared" si="6"/>
        <v>43792</v>
      </c>
      <c r="H322" s="72" t="str">
        <f t="shared" si="7"/>
        <v>No</v>
      </c>
    </row>
    <row r="323" ht="15.75" customHeight="1">
      <c r="A323" s="88">
        <f t="shared" si="8"/>
        <v>43787</v>
      </c>
      <c r="B323" s="72" t="str">
        <f t="shared" si="1"/>
        <v>20191118</v>
      </c>
      <c r="C323" s="72" t="str">
        <f t="shared" si="2"/>
        <v>Monday</v>
      </c>
      <c r="D323" s="72" t="str">
        <f t="shared" si="3"/>
        <v>November</v>
      </c>
      <c r="E323" s="72" t="str">
        <f t="shared" si="4"/>
        <v>Q4</v>
      </c>
      <c r="F323" s="72">
        <f t="shared" si="5"/>
        <v>2019</v>
      </c>
      <c r="G323" s="89">
        <f t="shared" si="6"/>
        <v>43792</v>
      </c>
      <c r="H323" s="72" t="str">
        <f t="shared" si="7"/>
        <v>Yes</v>
      </c>
    </row>
    <row r="324" ht="15.75" customHeight="1">
      <c r="A324" s="88">
        <f t="shared" si="8"/>
        <v>43788</v>
      </c>
      <c r="B324" s="72" t="str">
        <f t="shared" si="1"/>
        <v>20191119</v>
      </c>
      <c r="C324" s="72" t="str">
        <f t="shared" si="2"/>
        <v>Tuesday</v>
      </c>
      <c r="D324" s="72" t="str">
        <f t="shared" si="3"/>
        <v>November</v>
      </c>
      <c r="E324" s="72" t="str">
        <f t="shared" si="4"/>
        <v>Q4</v>
      </c>
      <c r="F324" s="72">
        <f t="shared" si="5"/>
        <v>2019</v>
      </c>
      <c r="G324" s="89">
        <f t="shared" si="6"/>
        <v>43792</v>
      </c>
      <c r="H324" s="72" t="str">
        <f t="shared" si="7"/>
        <v>Yes</v>
      </c>
    </row>
    <row r="325" ht="15.75" customHeight="1">
      <c r="A325" s="88">
        <f t="shared" si="8"/>
        <v>43789</v>
      </c>
      <c r="B325" s="72" t="str">
        <f t="shared" si="1"/>
        <v>20191120</v>
      </c>
      <c r="C325" s="72" t="str">
        <f t="shared" si="2"/>
        <v>Wednesday</v>
      </c>
      <c r="D325" s="72" t="str">
        <f t="shared" si="3"/>
        <v>November</v>
      </c>
      <c r="E325" s="72" t="str">
        <f t="shared" si="4"/>
        <v>Q4</v>
      </c>
      <c r="F325" s="72">
        <f t="shared" si="5"/>
        <v>2019</v>
      </c>
      <c r="G325" s="89">
        <f t="shared" si="6"/>
        <v>43792</v>
      </c>
      <c r="H325" s="72" t="str">
        <f t="shared" si="7"/>
        <v>Yes</v>
      </c>
    </row>
    <row r="326" ht="15.75" customHeight="1">
      <c r="A326" s="88">
        <f t="shared" si="8"/>
        <v>43790</v>
      </c>
      <c r="B326" s="72" t="str">
        <f t="shared" si="1"/>
        <v>20191121</v>
      </c>
      <c r="C326" s="72" t="str">
        <f t="shared" si="2"/>
        <v>Thursday</v>
      </c>
      <c r="D326" s="72" t="str">
        <f t="shared" si="3"/>
        <v>November</v>
      </c>
      <c r="E326" s="72" t="str">
        <f t="shared" si="4"/>
        <v>Q4</v>
      </c>
      <c r="F326" s="72">
        <f t="shared" si="5"/>
        <v>2019</v>
      </c>
      <c r="G326" s="89">
        <f t="shared" si="6"/>
        <v>43792</v>
      </c>
      <c r="H326" s="72" t="str">
        <f t="shared" si="7"/>
        <v>Yes</v>
      </c>
    </row>
    <row r="327" ht="15.75" customHeight="1">
      <c r="A327" s="88">
        <f t="shared" si="8"/>
        <v>43791</v>
      </c>
      <c r="B327" s="72" t="str">
        <f t="shared" si="1"/>
        <v>20191122</v>
      </c>
      <c r="C327" s="72" t="str">
        <f t="shared" si="2"/>
        <v>Friday</v>
      </c>
      <c r="D327" s="72" t="str">
        <f t="shared" si="3"/>
        <v>November</v>
      </c>
      <c r="E327" s="72" t="str">
        <f t="shared" si="4"/>
        <v>Q4</v>
      </c>
      <c r="F327" s="72">
        <f t="shared" si="5"/>
        <v>2019</v>
      </c>
      <c r="G327" s="89">
        <f t="shared" si="6"/>
        <v>43792</v>
      </c>
      <c r="H327" s="72" t="str">
        <f t="shared" si="7"/>
        <v>Yes</v>
      </c>
    </row>
    <row r="328" ht="15.75" customHeight="1">
      <c r="A328" s="88">
        <f t="shared" si="8"/>
        <v>43792</v>
      </c>
      <c r="B328" s="72" t="str">
        <f t="shared" si="1"/>
        <v>20191123</v>
      </c>
      <c r="C328" s="72" t="str">
        <f t="shared" si="2"/>
        <v>Saturday</v>
      </c>
      <c r="D328" s="72" t="str">
        <f t="shared" si="3"/>
        <v>November</v>
      </c>
      <c r="E328" s="72" t="str">
        <f t="shared" si="4"/>
        <v>Q4</v>
      </c>
      <c r="F328" s="72">
        <f t="shared" si="5"/>
        <v>2019</v>
      </c>
      <c r="G328" s="89">
        <f t="shared" si="6"/>
        <v>43792</v>
      </c>
      <c r="H328" s="72" t="str">
        <f t="shared" si="7"/>
        <v>No</v>
      </c>
    </row>
    <row r="329" ht="15.75" customHeight="1">
      <c r="A329" s="88">
        <f t="shared" si="8"/>
        <v>43793</v>
      </c>
      <c r="B329" s="72" t="str">
        <f t="shared" si="1"/>
        <v>20191124</v>
      </c>
      <c r="C329" s="72" t="str">
        <f t="shared" si="2"/>
        <v>Sunday</v>
      </c>
      <c r="D329" s="72" t="str">
        <f t="shared" si="3"/>
        <v>November</v>
      </c>
      <c r="E329" s="72" t="str">
        <f t="shared" si="4"/>
        <v>Q4</v>
      </c>
      <c r="F329" s="72">
        <f t="shared" si="5"/>
        <v>2019</v>
      </c>
      <c r="G329" s="89">
        <f t="shared" si="6"/>
        <v>43799</v>
      </c>
      <c r="H329" s="72" t="str">
        <f t="shared" si="7"/>
        <v>No</v>
      </c>
    </row>
    <row r="330" ht="15.75" customHeight="1">
      <c r="A330" s="88">
        <f t="shared" si="8"/>
        <v>43794</v>
      </c>
      <c r="B330" s="72" t="str">
        <f t="shared" si="1"/>
        <v>20191125</v>
      </c>
      <c r="C330" s="72" t="str">
        <f t="shared" si="2"/>
        <v>Monday</v>
      </c>
      <c r="D330" s="72" t="str">
        <f t="shared" si="3"/>
        <v>November</v>
      </c>
      <c r="E330" s="72" t="str">
        <f t="shared" si="4"/>
        <v>Q4</v>
      </c>
      <c r="F330" s="72">
        <f t="shared" si="5"/>
        <v>2019</v>
      </c>
      <c r="G330" s="89">
        <f t="shared" si="6"/>
        <v>43799</v>
      </c>
      <c r="H330" s="72" t="str">
        <f t="shared" si="7"/>
        <v>Yes</v>
      </c>
    </row>
    <row r="331" ht="15.75" customHeight="1">
      <c r="A331" s="88">
        <f t="shared" si="8"/>
        <v>43795</v>
      </c>
      <c r="B331" s="72" t="str">
        <f t="shared" si="1"/>
        <v>20191126</v>
      </c>
      <c r="C331" s="72" t="str">
        <f t="shared" si="2"/>
        <v>Tuesday</v>
      </c>
      <c r="D331" s="72" t="str">
        <f t="shared" si="3"/>
        <v>November</v>
      </c>
      <c r="E331" s="72" t="str">
        <f t="shared" si="4"/>
        <v>Q4</v>
      </c>
      <c r="F331" s="72">
        <f t="shared" si="5"/>
        <v>2019</v>
      </c>
      <c r="G331" s="89">
        <f t="shared" si="6"/>
        <v>43799</v>
      </c>
      <c r="H331" s="72" t="str">
        <f t="shared" si="7"/>
        <v>Yes</v>
      </c>
    </row>
    <row r="332" ht="15.75" customHeight="1">
      <c r="A332" s="88">
        <f t="shared" si="8"/>
        <v>43796</v>
      </c>
      <c r="B332" s="72" t="str">
        <f t="shared" si="1"/>
        <v>20191127</v>
      </c>
      <c r="C332" s="72" t="str">
        <f t="shared" si="2"/>
        <v>Wednesday</v>
      </c>
      <c r="D332" s="72" t="str">
        <f t="shared" si="3"/>
        <v>November</v>
      </c>
      <c r="E332" s="72" t="str">
        <f t="shared" si="4"/>
        <v>Q4</v>
      </c>
      <c r="F332" s="72">
        <f t="shared" si="5"/>
        <v>2019</v>
      </c>
      <c r="G332" s="89">
        <f t="shared" si="6"/>
        <v>43799</v>
      </c>
      <c r="H332" s="72" t="str">
        <f t="shared" si="7"/>
        <v>Yes</v>
      </c>
    </row>
    <row r="333" ht="15.75" customHeight="1">
      <c r="A333" s="88">
        <f t="shared" si="8"/>
        <v>43797</v>
      </c>
      <c r="B333" s="72" t="str">
        <f t="shared" si="1"/>
        <v>20191128</v>
      </c>
      <c r="C333" s="72" t="str">
        <f t="shared" si="2"/>
        <v>Thursday</v>
      </c>
      <c r="D333" s="72" t="str">
        <f t="shared" si="3"/>
        <v>November</v>
      </c>
      <c r="E333" s="72" t="str">
        <f t="shared" si="4"/>
        <v>Q4</v>
      </c>
      <c r="F333" s="72">
        <f t="shared" si="5"/>
        <v>2019</v>
      </c>
      <c r="G333" s="89">
        <f t="shared" si="6"/>
        <v>43799</v>
      </c>
      <c r="H333" s="72" t="str">
        <f t="shared" si="7"/>
        <v>Yes</v>
      </c>
    </row>
    <row r="334" ht="15.75" customHeight="1">
      <c r="A334" s="88">
        <f t="shared" si="8"/>
        <v>43798</v>
      </c>
      <c r="B334" s="72" t="str">
        <f t="shared" si="1"/>
        <v>20191129</v>
      </c>
      <c r="C334" s="72" t="str">
        <f t="shared" si="2"/>
        <v>Friday</v>
      </c>
      <c r="D334" s="72" t="str">
        <f t="shared" si="3"/>
        <v>November</v>
      </c>
      <c r="E334" s="72" t="str">
        <f t="shared" si="4"/>
        <v>Q4</v>
      </c>
      <c r="F334" s="72">
        <f t="shared" si="5"/>
        <v>2019</v>
      </c>
      <c r="G334" s="89">
        <f t="shared" si="6"/>
        <v>43799</v>
      </c>
      <c r="H334" s="72" t="str">
        <f t="shared" si="7"/>
        <v>Yes</v>
      </c>
    </row>
    <row r="335" ht="15.75" customHeight="1">
      <c r="A335" s="88">
        <f t="shared" si="8"/>
        <v>43799</v>
      </c>
      <c r="B335" s="72" t="str">
        <f t="shared" si="1"/>
        <v>20191130</v>
      </c>
      <c r="C335" s="72" t="str">
        <f t="shared" si="2"/>
        <v>Saturday</v>
      </c>
      <c r="D335" s="72" t="str">
        <f t="shared" si="3"/>
        <v>November</v>
      </c>
      <c r="E335" s="72" t="str">
        <f t="shared" si="4"/>
        <v>Q4</v>
      </c>
      <c r="F335" s="72">
        <f t="shared" si="5"/>
        <v>2019</v>
      </c>
      <c r="G335" s="89">
        <f t="shared" si="6"/>
        <v>43799</v>
      </c>
      <c r="H335" s="72" t="str">
        <f t="shared" si="7"/>
        <v>No</v>
      </c>
    </row>
    <row r="336" ht="15.75" customHeight="1">
      <c r="A336" s="88">
        <f t="shared" si="8"/>
        <v>43800</v>
      </c>
      <c r="B336" s="72" t="str">
        <f t="shared" si="1"/>
        <v>20191201</v>
      </c>
      <c r="C336" s="72" t="str">
        <f t="shared" si="2"/>
        <v>Sunday</v>
      </c>
      <c r="D336" s="72" t="str">
        <f t="shared" si="3"/>
        <v>December</v>
      </c>
      <c r="E336" s="72" t="str">
        <f t="shared" si="4"/>
        <v>Q4</v>
      </c>
      <c r="F336" s="72">
        <f t="shared" si="5"/>
        <v>2019</v>
      </c>
      <c r="G336" s="89">
        <f t="shared" si="6"/>
        <v>43806</v>
      </c>
      <c r="H336" s="72" t="str">
        <f t="shared" si="7"/>
        <v>No</v>
      </c>
    </row>
    <row r="337" ht="15.75" customHeight="1">
      <c r="A337" s="88">
        <f t="shared" si="8"/>
        <v>43801</v>
      </c>
      <c r="B337" s="72" t="str">
        <f t="shared" si="1"/>
        <v>20191202</v>
      </c>
      <c r="C337" s="72" t="str">
        <f t="shared" si="2"/>
        <v>Monday</v>
      </c>
      <c r="D337" s="72" t="str">
        <f t="shared" si="3"/>
        <v>December</v>
      </c>
      <c r="E337" s="72" t="str">
        <f t="shared" si="4"/>
        <v>Q4</v>
      </c>
      <c r="F337" s="72">
        <f t="shared" si="5"/>
        <v>2019</v>
      </c>
      <c r="G337" s="89">
        <f t="shared" si="6"/>
        <v>43806</v>
      </c>
      <c r="H337" s="72" t="str">
        <f t="shared" si="7"/>
        <v>Yes</v>
      </c>
    </row>
    <row r="338" ht="15.75" customHeight="1">
      <c r="A338" s="88">
        <f t="shared" si="8"/>
        <v>43802</v>
      </c>
      <c r="B338" s="72" t="str">
        <f t="shared" si="1"/>
        <v>20191203</v>
      </c>
      <c r="C338" s="72" t="str">
        <f t="shared" si="2"/>
        <v>Tuesday</v>
      </c>
      <c r="D338" s="72" t="str">
        <f t="shared" si="3"/>
        <v>December</v>
      </c>
      <c r="E338" s="72" t="str">
        <f t="shared" si="4"/>
        <v>Q4</v>
      </c>
      <c r="F338" s="72">
        <f t="shared" si="5"/>
        <v>2019</v>
      </c>
      <c r="G338" s="89">
        <f t="shared" si="6"/>
        <v>43806</v>
      </c>
      <c r="H338" s="72" t="str">
        <f t="shared" si="7"/>
        <v>Yes</v>
      </c>
    </row>
    <row r="339" ht="15.75" customHeight="1">
      <c r="A339" s="88">
        <f t="shared" si="8"/>
        <v>43803</v>
      </c>
      <c r="B339" s="72" t="str">
        <f t="shared" si="1"/>
        <v>20191204</v>
      </c>
      <c r="C339" s="72" t="str">
        <f t="shared" si="2"/>
        <v>Wednesday</v>
      </c>
      <c r="D339" s="72" t="str">
        <f t="shared" si="3"/>
        <v>December</v>
      </c>
      <c r="E339" s="72" t="str">
        <f t="shared" si="4"/>
        <v>Q4</v>
      </c>
      <c r="F339" s="72">
        <f t="shared" si="5"/>
        <v>2019</v>
      </c>
      <c r="G339" s="89">
        <f t="shared" si="6"/>
        <v>43806</v>
      </c>
      <c r="H339" s="72" t="str">
        <f t="shared" si="7"/>
        <v>Yes</v>
      </c>
    </row>
    <row r="340" ht="15.75" customHeight="1">
      <c r="A340" s="88">
        <f t="shared" si="8"/>
        <v>43804</v>
      </c>
      <c r="B340" s="72" t="str">
        <f t="shared" si="1"/>
        <v>20191205</v>
      </c>
      <c r="C340" s="72" t="str">
        <f t="shared" si="2"/>
        <v>Thursday</v>
      </c>
      <c r="D340" s="72" t="str">
        <f t="shared" si="3"/>
        <v>December</v>
      </c>
      <c r="E340" s="72" t="str">
        <f t="shared" si="4"/>
        <v>Q4</v>
      </c>
      <c r="F340" s="72">
        <f t="shared" si="5"/>
        <v>2019</v>
      </c>
      <c r="G340" s="89">
        <f t="shared" si="6"/>
        <v>43806</v>
      </c>
      <c r="H340" s="72" t="str">
        <f t="shared" si="7"/>
        <v>Yes</v>
      </c>
    </row>
    <row r="341" ht="15.75" customHeight="1">
      <c r="A341" s="88">
        <f t="shared" si="8"/>
        <v>43805</v>
      </c>
      <c r="B341" s="72" t="str">
        <f t="shared" si="1"/>
        <v>20191206</v>
      </c>
      <c r="C341" s="72" t="str">
        <f t="shared" si="2"/>
        <v>Friday</v>
      </c>
      <c r="D341" s="72" t="str">
        <f t="shared" si="3"/>
        <v>December</v>
      </c>
      <c r="E341" s="72" t="str">
        <f t="shared" si="4"/>
        <v>Q4</v>
      </c>
      <c r="F341" s="72">
        <f t="shared" si="5"/>
        <v>2019</v>
      </c>
      <c r="G341" s="89">
        <f t="shared" si="6"/>
        <v>43806</v>
      </c>
      <c r="H341" s="72" t="str">
        <f t="shared" si="7"/>
        <v>Yes</v>
      </c>
    </row>
    <row r="342" ht="15.75" customHeight="1">
      <c r="A342" s="88">
        <f t="shared" si="8"/>
        <v>43806</v>
      </c>
      <c r="B342" s="72" t="str">
        <f t="shared" si="1"/>
        <v>20191207</v>
      </c>
      <c r="C342" s="72" t="str">
        <f t="shared" si="2"/>
        <v>Saturday</v>
      </c>
      <c r="D342" s="72" t="str">
        <f t="shared" si="3"/>
        <v>December</v>
      </c>
      <c r="E342" s="72" t="str">
        <f t="shared" si="4"/>
        <v>Q4</v>
      </c>
      <c r="F342" s="72">
        <f t="shared" si="5"/>
        <v>2019</v>
      </c>
      <c r="G342" s="89">
        <f t="shared" si="6"/>
        <v>43806</v>
      </c>
      <c r="H342" s="72" t="str">
        <f t="shared" si="7"/>
        <v>No</v>
      </c>
    </row>
    <row r="343" ht="15.75" customHeight="1">
      <c r="A343" s="88">
        <f t="shared" si="8"/>
        <v>43807</v>
      </c>
      <c r="B343" s="72" t="str">
        <f t="shared" si="1"/>
        <v>20191208</v>
      </c>
      <c r="C343" s="72" t="str">
        <f t="shared" si="2"/>
        <v>Sunday</v>
      </c>
      <c r="D343" s="72" t="str">
        <f t="shared" si="3"/>
        <v>December</v>
      </c>
      <c r="E343" s="72" t="str">
        <f t="shared" si="4"/>
        <v>Q4</v>
      </c>
      <c r="F343" s="72">
        <f t="shared" si="5"/>
        <v>2019</v>
      </c>
      <c r="G343" s="89">
        <f t="shared" si="6"/>
        <v>43813</v>
      </c>
      <c r="H343" s="72" t="str">
        <f t="shared" si="7"/>
        <v>No</v>
      </c>
    </row>
    <row r="344" ht="15.75" customHeight="1">
      <c r="A344" s="88">
        <f t="shared" si="8"/>
        <v>43808</v>
      </c>
      <c r="B344" s="72" t="str">
        <f t="shared" si="1"/>
        <v>20191209</v>
      </c>
      <c r="C344" s="72" t="str">
        <f t="shared" si="2"/>
        <v>Monday</v>
      </c>
      <c r="D344" s="72" t="str">
        <f t="shared" si="3"/>
        <v>December</v>
      </c>
      <c r="E344" s="72" t="str">
        <f t="shared" si="4"/>
        <v>Q4</v>
      </c>
      <c r="F344" s="72">
        <f t="shared" si="5"/>
        <v>2019</v>
      </c>
      <c r="G344" s="89">
        <f t="shared" si="6"/>
        <v>43813</v>
      </c>
      <c r="H344" s="72" t="str">
        <f t="shared" si="7"/>
        <v>Yes</v>
      </c>
    </row>
    <row r="345" ht="15.75" customHeight="1">
      <c r="A345" s="88">
        <f t="shared" si="8"/>
        <v>43809</v>
      </c>
      <c r="B345" s="72" t="str">
        <f t="shared" si="1"/>
        <v>20191210</v>
      </c>
      <c r="C345" s="72" t="str">
        <f t="shared" si="2"/>
        <v>Tuesday</v>
      </c>
      <c r="D345" s="72" t="str">
        <f t="shared" si="3"/>
        <v>December</v>
      </c>
      <c r="E345" s="72" t="str">
        <f t="shared" si="4"/>
        <v>Q4</v>
      </c>
      <c r="F345" s="72">
        <f t="shared" si="5"/>
        <v>2019</v>
      </c>
      <c r="G345" s="89">
        <f t="shared" si="6"/>
        <v>43813</v>
      </c>
      <c r="H345" s="72" t="str">
        <f t="shared" si="7"/>
        <v>Yes</v>
      </c>
    </row>
    <row r="346" ht="15.75" customHeight="1">
      <c r="A346" s="88">
        <f t="shared" si="8"/>
        <v>43810</v>
      </c>
      <c r="B346" s="72" t="str">
        <f t="shared" si="1"/>
        <v>20191211</v>
      </c>
      <c r="C346" s="72" t="str">
        <f t="shared" si="2"/>
        <v>Wednesday</v>
      </c>
      <c r="D346" s="72" t="str">
        <f t="shared" si="3"/>
        <v>December</v>
      </c>
      <c r="E346" s="72" t="str">
        <f t="shared" si="4"/>
        <v>Q4</v>
      </c>
      <c r="F346" s="72">
        <f t="shared" si="5"/>
        <v>2019</v>
      </c>
      <c r="G346" s="89">
        <f t="shared" si="6"/>
        <v>43813</v>
      </c>
      <c r="H346" s="72" t="str">
        <f t="shared" si="7"/>
        <v>Yes</v>
      </c>
    </row>
    <row r="347" ht="15.75" customHeight="1">
      <c r="A347" s="88">
        <f t="shared" si="8"/>
        <v>43811</v>
      </c>
      <c r="B347" s="72" t="str">
        <f t="shared" si="1"/>
        <v>20191212</v>
      </c>
      <c r="C347" s="72" t="str">
        <f t="shared" si="2"/>
        <v>Thursday</v>
      </c>
      <c r="D347" s="72" t="str">
        <f t="shared" si="3"/>
        <v>December</v>
      </c>
      <c r="E347" s="72" t="str">
        <f t="shared" si="4"/>
        <v>Q4</v>
      </c>
      <c r="F347" s="72">
        <f t="shared" si="5"/>
        <v>2019</v>
      </c>
      <c r="G347" s="89">
        <f t="shared" si="6"/>
        <v>43813</v>
      </c>
      <c r="H347" s="72" t="str">
        <f t="shared" si="7"/>
        <v>Yes</v>
      </c>
    </row>
    <row r="348" ht="15.75" customHeight="1">
      <c r="A348" s="88">
        <f t="shared" si="8"/>
        <v>43812</v>
      </c>
      <c r="B348" s="72" t="str">
        <f t="shared" si="1"/>
        <v>20191213</v>
      </c>
      <c r="C348" s="72" t="str">
        <f t="shared" si="2"/>
        <v>Friday</v>
      </c>
      <c r="D348" s="72" t="str">
        <f t="shared" si="3"/>
        <v>December</v>
      </c>
      <c r="E348" s="72" t="str">
        <f t="shared" si="4"/>
        <v>Q4</v>
      </c>
      <c r="F348" s="72">
        <f t="shared" si="5"/>
        <v>2019</v>
      </c>
      <c r="G348" s="89">
        <f t="shared" si="6"/>
        <v>43813</v>
      </c>
      <c r="H348" s="72" t="str">
        <f t="shared" si="7"/>
        <v>Yes</v>
      </c>
    </row>
    <row r="349" ht="15.75" customHeight="1">
      <c r="A349" s="88">
        <f t="shared" si="8"/>
        <v>43813</v>
      </c>
      <c r="B349" s="72" t="str">
        <f t="shared" si="1"/>
        <v>20191214</v>
      </c>
      <c r="C349" s="72" t="str">
        <f t="shared" si="2"/>
        <v>Saturday</v>
      </c>
      <c r="D349" s="72" t="str">
        <f t="shared" si="3"/>
        <v>December</v>
      </c>
      <c r="E349" s="72" t="str">
        <f t="shared" si="4"/>
        <v>Q4</v>
      </c>
      <c r="F349" s="72">
        <f t="shared" si="5"/>
        <v>2019</v>
      </c>
      <c r="G349" s="89">
        <f t="shared" si="6"/>
        <v>43813</v>
      </c>
      <c r="H349" s="72" t="str">
        <f t="shared" si="7"/>
        <v>No</v>
      </c>
    </row>
    <row r="350" ht="15.75" customHeight="1">
      <c r="A350" s="88">
        <f t="shared" si="8"/>
        <v>43814</v>
      </c>
      <c r="B350" s="72" t="str">
        <f t="shared" si="1"/>
        <v>20191215</v>
      </c>
      <c r="C350" s="72" t="str">
        <f t="shared" si="2"/>
        <v>Sunday</v>
      </c>
      <c r="D350" s="72" t="str">
        <f t="shared" si="3"/>
        <v>December</v>
      </c>
      <c r="E350" s="72" t="str">
        <f t="shared" si="4"/>
        <v>Q4</v>
      </c>
      <c r="F350" s="72">
        <f t="shared" si="5"/>
        <v>2019</v>
      </c>
      <c r="G350" s="89">
        <f t="shared" si="6"/>
        <v>43820</v>
      </c>
      <c r="H350" s="72" t="str">
        <f t="shared" si="7"/>
        <v>No</v>
      </c>
    </row>
    <row r="351" ht="15.75" customHeight="1">
      <c r="A351" s="88">
        <f t="shared" si="8"/>
        <v>43815</v>
      </c>
      <c r="B351" s="72" t="str">
        <f t="shared" si="1"/>
        <v>20191216</v>
      </c>
      <c r="C351" s="72" t="str">
        <f t="shared" si="2"/>
        <v>Monday</v>
      </c>
      <c r="D351" s="72" t="str">
        <f t="shared" si="3"/>
        <v>December</v>
      </c>
      <c r="E351" s="72" t="str">
        <f t="shared" si="4"/>
        <v>Q4</v>
      </c>
      <c r="F351" s="72">
        <f t="shared" si="5"/>
        <v>2019</v>
      </c>
      <c r="G351" s="89">
        <f t="shared" si="6"/>
        <v>43820</v>
      </c>
      <c r="H351" s="72" t="str">
        <f t="shared" si="7"/>
        <v>Yes</v>
      </c>
    </row>
    <row r="352" ht="15.75" customHeight="1">
      <c r="A352" s="88">
        <f t="shared" si="8"/>
        <v>43816</v>
      </c>
      <c r="B352" s="72" t="str">
        <f t="shared" si="1"/>
        <v>20191217</v>
      </c>
      <c r="C352" s="72" t="str">
        <f t="shared" si="2"/>
        <v>Tuesday</v>
      </c>
      <c r="D352" s="72" t="str">
        <f t="shared" si="3"/>
        <v>December</v>
      </c>
      <c r="E352" s="72" t="str">
        <f t="shared" si="4"/>
        <v>Q4</v>
      </c>
      <c r="F352" s="72">
        <f t="shared" si="5"/>
        <v>2019</v>
      </c>
      <c r="G352" s="89">
        <f t="shared" si="6"/>
        <v>43820</v>
      </c>
      <c r="H352" s="72" t="str">
        <f t="shared" si="7"/>
        <v>Yes</v>
      </c>
    </row>
    <row r="353" ht="15.75" customHeight="1">
      <c r="A353" s="88">
        <f t="shared" si="8"/>
        <v>43817</v>
      </c>
      <c r="B353" s="72" t="str">
        <f t="shared" si="1"/>
        <v>20191218</v>
      </c>
      <c r="C353" s="72" t="str">
        <f t="shared" si="2"/>
        <v>Wednesday</v>
      </c>
      <c r="D353" s="72" t="str">
        <f t="shared" si="3"/>
        <v>December</v>
      </c>
      <c r="E353" s="72" t="str">
        <f t="shared" si="4"/>
        <v>Q4</v>
      </c>
      <c r="F353" s="72">
        <f t="shared" si="5"/>
        <v>2019</v>
      </c>
      <c r="G353" s="89">
        <f t="shared" si="6"/>
        <v>43820</v>
      </c>
      <c r="H353" s="72" t="str">
        <f t="shared" si="7"/>
        <v>Yes</v>
      </c>
    </row>
    <row r="354" ht="15.75" customHeight="1">
      <c r="A354" s="88">
        <f t="shared" si="8"/>
        <v>43818</v>
      </c>
      <c r="B354" s="72" t="str">
        <f t="shared" si="1"/>
        <v>20191219</v>
      </c>
      <c r="C354" s="72" t="str">
        <f t="shared" si="2"/>
        <v>Thursday</v>
      </c>
      <c r="D354" s="72" t="str">
        <f t="shared" si="3"/>
        <v>December</v>
      </c>
      <c r="E354" s="72" t="str">
        <f t="shared" si="4"/>
        <v>Q4</v>
      </c>
      <c r="F354" s="72">
        <f t="shared" si="5"/>
        <v>2019</v>
      </c>
      <c r="G354" s="89">
        <f t="shared" si="6"/>
        <v>43820</v>
      </c>
      <c r="H354" s="72" t="str">
        <f t="shared" si="7"/>
        <v>Yes</v>
      </c>
    </row>
    <row r="355" ht="15.75" customHeight="1">
      <c r="A355" s="88">
        <f t="shared" si="8"/>
        <v>43819</v>
      </c>
      <c r="B355" s="72" t="str">
        <f t="shared" si="1"/>
        <v>20191220</v>
      </c>
      <c r="C355" s="72" t="str">
        <f t="shared" si="2"/>
        <v>Friday</v>
      </c>
      <c r="D355" s="72" t="str">
        <f t="shared" si="3"/>
        <v>December</v>
      </c>
      <c r="E355" s="72" t="str">
        <f t="shared" si="4"/>
        <v>Q4</v>
      </c>
      <c r="F355" s="72">
        <f t="shared" si="5"/>
        <v>2019</v>
      </c>
      <c r="G355" s="89">
        <f t="shared" si="6"/>
        <v>43820</v>
      </c>
      <c r="H355" s="72" t="str">
        <f t="shared" si="7"/>
        <v>Yes</v>
      </c>
    </row>
    <row r="356" ht="15.75" customHeight="1">
      <c r="A356" s="88">
        <f t="shared" si="8"/>
        <v>43820</v>
      </c>
      <c r="B356" s="72" t="str">
        <f t="shared" si="1"/>
        <v>20191221</v>
      </c>
      <c r="C356" s="72" t="str">
        <f t="shared" si="2"/>
        <v>Saturday</v>
      </c>
      <c r="D356" s="72" t="str">
        <f t="shared" si="3"/>
        <v>December</v>
      </c>
      <c r="E356" s="72" t="str">
        <f t="shared" si="4"/>
        <v>Q4</v>
      </c>
      <c r="F356" s="72">
        <f t="shared" si="5"/>
        <v>2019</v>
      </c>
      <c r="G356" s="89">
        <f t="shared" si="6"/>
        <v>43820</v>
      </c>
      <c r="H356" s="72" t="str">
        <f t="shared" si="7"/>
        <v>No</v>
      </c>
    </row>
    <row r="357" ht="15.75" customHeight="1">
      <c r="A357" s="88">
        <f t="shared" si="8"/>
        <v>43821</v>
      </c>
      <c r="B357" s="72" t="str">
        <f t="shared" si="1"/>
        <v>20191222</v>
      </c>
      <c r="C357" s="72" t="str">
        <f t="shared" si="2"/>
        <v>Sunday</v>
      </c>
      <c r="D357" s="72" t="str">
        <f t="shared" si="3"/>
        <v>December</v>
      </c>
      <c r="E357" s="72" t="str">
        <f t="shared" si="4"/>
        <v>Q4</v>
      </c>
      <c r="F357" s="72">
        <f t="shared" si="5"/>
        <v>2019</v>
      </c>
      <c r="G357" s="89">
        <f t="shared" si="6"/>
        <v>43827</v>
      </c>
      <c r="H357" s="72" t="str">
        <f t="shared" si="7"/>
        <v>No</v>
      </c>
    </row>
    <row r="358" ht="15.75" customHeight="1">
      <c r="A358" s="88">
        <f t="shared" si="8"/>
        <v>43822</v>
      </c>
      <c r="B358" s="72" t="str">
        <f t="shared" si="1"/>
        <v>20191223</v>
      </c>
      <c r="C358" s="72" t="str">
        <f t="shared" si="2"/>
        <v>Monday</v>
      </c>
      <c r="D358" s="72" t="str">
        <f t="shared" si="3"/>
        <v>December</v>
      </c>
      <c r="E358" s="72" t="str">
        <f t="shared" si="4"/>
        <v>Q4</v>
      </c>
      <c r="F358" s="72">
        <f t="shared" si="5"/>
        <v>2019</v>
      </c>
      <c r="G358" s="89">
        <f t="shared" si="6"/>
        <v>43827</v>
      </c>
      <c r="H358" s="72" t="str">
        <f t="shared" si="7"/>
        <v>Yes</v>
      </c>
    </row>
    <row r="359" ht="15.75" customHeight="1">
      <c r="A359" s="88">
        <f t="shared" si="8"/>
        <v>43823</v>
      </c>
      <c r="B359" s="72" t="str">
        <f t="shared" si="1"/>
        <v>20191224</v>
      </c>
      <c r="C359" s="72" t="str">
        <f t="shared" si="2"/>
        <v>Tuesday</v>
      </c>
      <c r="D359" s="72" t="str">
        <f t="shared" si="3"/>
        <v>December</v>
      </c>
      <c r="E359" s="72" t="str">
        <f t="shared" si="4"/>
        <v>Q4</v>
      </c>
      <c r="F359" s="72">
        <f t="shared" si="5"/>
        <v>2019</v>
      </c>
      <c r="G359" s="89">
        <f t="shared" si="6"/>
        <v>43827</v>
      </c>
      <c r="H359" s="72" t="str">
        <f t="shared" si="7"/>
        <v>Yes</v>
      </c>
    </row>
    <row r="360" ht="15.75" customHeight="1">
      <c r="A360" s="88">
        <f t="shared" si="8"/>
        <v>43824</v>
      </c>
      <c r="B360" s="72" t="str">
        <f t="shared" si="1"/>
        <v>20191225</v>
      </c>
      <c r="C360" s="72" t="str">
        <f t="shared" si="2"/>
        <v>Wednesday</v>
      </c>
      <c r="D360" s="72" t="str">
        <f t="shared" si="3"/>
        <v>December</v>
      </c>
      <c r="E360" s="72" t="str">
        <f t="shared" si="4"/>
        <v>Q4</v>
      </c>
      <c r="F360" s="72">
        <f t="shared" si="5"/>
        <v>2019</v>
      </c>
      <c r="G360" s="89">
        <f t="shared" si="6"/>
        <v>43827</v>
      </c>
      <c r="H360" s="72" t="str">
        <f t="shared" si="7"/>
        <v>Yes</v>
      </c>
    </row>
    <row r="361" ht="15.75" customHeight="1">
      <c r="A361" s="88">
        <f t="shared" si="8"/>
        <v>43825</v>
      </c>
      <c r="B361" s="72" t="str">
        <f t="shared" si="1"/>
        <v>20191226</v>
      </c>
      <c r="C361" s="72" t="str">
        <f t="shared" si="2"/>
        <v>Thursday</v>
      </c>
      <c r="D361" s="72" t="str">
        <f t="shared" si="3"/>
        <v>December</v>
      </c>
      <c r="E361" s="72" t="str">
        <f t="shared" si="4"/>
        <v>Q4</v>
      </c>
      <c r="F361" s="72">
        <f t="shared" si="5"/>
        <v>2019</v>
      </c>
      <c r="G361" s="89">
        <f t="shared" si="6"/>
        <v>43827</v>
      </c>
      <c r="H361" s="72" t="str">
        <f t="shared" si="7"/>
        <v>Yes</v>
      </c>
    </row>
    <row r="362" ht="15.75" customHeight="1">
      <c r="A362" s="88">
        <f t="shared" si="8"/>
        <v>43826</v>
      </c>
      <c r="B362" s="72" t="str">
        <f t="shared" si="1"/>
        <v>20191227</v>
      </c>
      <c r="C362" s="72" t="str">
        <f t="shared" si="2"/>
        <v>Friday</v>
      </c>
      <c r="D362" s="72" t="str">
        <f t="shared" si="3"/>
        <v>December</v>
      </c>
      <c r="E362" s="72" t="str">
        <f t="shared" si="4"/>
        <v>Q4</v>
      </c>
      <c r="F362" s="72">
        <f t="shared" si="5"/>
        <v>2019</v>
      </c>
      <c r="G362" s="89">
        <f t="shared" si="6"/>
        <v>43827</v>
      </c>
      <c r="H362" s="72" t="str">
        <f t="shared" si="7"/>
        <v>Yes</v>
      </c>
    </row>
    <row r="363" ht="15.75" customHeight="1">
      <c r="A363" s="88">
        <f t="shared" si="8"/>
        <v>43827</v>
      </c>
      <c r="B363" s="72" t="str">
        <f t="shared" si="1"/>
        <v>20191228</v>
      </c>
      <c r="C363" s="72" t="str">
        <f t="shared" si="2"/>
        <v>Saturday</v>
      </c>
      <c r="D363" s="72" t="str">
        <f t="shared" si="3"/>
        <v>December</v>
      </c>
      <c r="E363" s="72" t="str">
        <f t="shared" si="4"/>
        <v>Q4</v>
      </c>
      <c r="F363" s="72">
        <f t="shared" si="5"/>
        <v>2019</v>
      </c>
      <c r="G363" s="89">
        <f t="shared" si="6"/>
        <v>43827</v>
      </c>
      <c r="H363" s="72" t="str">
        <f t="shared" si="7"/>
        <v>No</v>
      </c>
    </row>
    <row r="364" ht="15.75" customHeight="1">
      <c r="A364" s="88">
        <f t="shared" si="8"/>
        <v>43828</v>
      </c>
      <c r="B364" s="72" t="str">
        <f t="shared" si="1"/>
        <v>20191229</v>
      </c>
      <c r="C364" s="72" t="str">
        <f t="shared" si="2"/>
        <v>Sunday</v>
      </c>
      <c r="D364" s="72" t="str">
        <f t="shared" si="3"/>
        <v>December</v>
      </c>
      <c r="E364" s="72" t="str">
        <f t="shared" si="4"/>
        <v>Q4</v>
      </c>
      <c r="F364" s="72">
        <f t="shared" si="5"/>
        <v>2019</v>
      </c>
      <c r="G364" s="89">
        <f t="shared" si="6"/>
        <v>43834</v>
      </c>
      <c r="H364" s="72" t="str">
        <f t="shared" si="7"/>
        <v>No</v>
      </c>
    </row>
    <row r="365" ht="15.75" customHeight="1">
      <c r="A365" s="88">
        <f t="shared" si="8"/>
        <v>43829</v>
      </c>
      <c r="B365" s="72" t="str">
        <f t="shared" si="1"/>
        <v>20191230</v>
      </c>
      <c r="C365" s="72" t="str">
        <f t="shared" si="2"/>
        <v>Monday</v>
      </c>
      <c r="D365" s="72" t="str">
        <f t="shared" si="3"/>
        <v>December</v>
      </c>
      <c r="E365" s="72" t="str">
        <f t="shared" si="4"/>
        <v>Q4</v>
      </c>
      <c r="F365" s="72">
        <f t="shared" si="5"/>
        <v>2019</v>
      </c>
      <c r="G365" s="89">
        <f t="shared" si="6"/>
        <v>43834</v>
      </c>
      <c r="H365" s="72" t="str">
        <f t="shared" si="7"/>
        <v>Yes</v>
      </c>
    </row>
    <row r="366" ht="15.75" customHeight="1">
      <c r="A366" s="88">
        <f t="shared" si="8"/>
        <v>43830</v>
      </c>
      <c r="B366" s="72" t="str">
        <f t="shared" si="1"/>
        <v>20191231</v>
      </c>
      <c r="C366" s="72" t="str">
        <f t="shared" si="2"/>
        <v>Tuesday</v>
      </c>
      <c r="D366" s="72" t="str">
        <f t="shared" si="3"/>
        <v>December</v>
      </c>
      <c r="E366" s="72" t="str">
        <f t="shared" si="4"/>
        <v>Q4</v>
      </c>
      <c r="F366" s="72">
        <f t="shared" si="5"/>
        <v>2019</v>
      </c>
      <c r="G366" s="89">
        <f t="shared" si="6"/>
        <v>43834</v>
      </c>
      <c r="H366" s="72" t="str">
        <f t="shared" si="7"/>
        <v>Yes</v>
      </c>
    </row>
    <row r="367" ht="15.75" customHeight="1">
      <c r="A367" s="88">
        <f t="shared" si="8"/>
        <v>43831</v>
      </c>
      <c r="B367" s="72" t="str">
        <f t="shared" si="1"/>
        <v>20200101</v>
      </c>
      <c r="C367" s="72" t="str">
        <f t="shared" si="2"/>
        <v>Wednesday</v>
      </c>
      <c r="D367" s="72" t="str">
        <f t="shared" si="3"/>
        <v>January</v>
      </c>
      <c r="E367" s="72" t="str">
        <f t="shared" si="4"/>
        <v>Q1</v>
      </c>
      <c r="F367" s="72">
        <f t="shared" si="5"/>
        <v>2020</v>
      </c>
      <c r="G367" s="89">
        <f t="shared" si="6"/>
        <v>43834</v>
      </c>
      <c r="H367" s="72" t="str">
        <f t="shared" si="7"/>
        <v>Yes</v>
      </c>
    </row>
    <row r="368" ht="15.75" customHeight="1">
      <c r="A368" s="88">
        <f t="shared" si="8"/>
        <v>43832</v>
      </c>
      <c r="B368" s="72" t="str">
        <f t="shared" si="1"/>
        <v>20200102</v>
      </c>
      <c r="C368" s="72" t="str">
        <f t="shared" si="2"/>
        <v>Thursday</v>
      </c>
      <c r="D368" s="72" t="str">
        <f t="shared" si="3"/>
        <v>January</v>
      </c>
      <c r="E368" s="72" t="str">
        <f t="shared" si="4"/>
        <v>Q1</v>
      </c>
      <c r="F368" s="72">
        <f t="shared" si="5"/>
        <v>2020</v>
      </c>
      <c r="G368" s="89">
        <f t="shared" si="6"/>
        <v>43834</v>
      </c>
      <c r="H368" s="72" t="str">
        <f t="shared" si="7"/>
        <v>Yes</v>
      </c>
    </row>
    <row r="369" ht="15.75" customHeight="1">
      <c r="A369" s="88">
        <f t="shared" si="8"/>
        <v>43833</v>
      </c>
      <c r="B369" s="72" t="str">
        <f t="shared" si="1"/>
        <v>20200103</v>
      </c>
      <c r="C369" s="72" t="str">
        <f t="shared" si="2"/>
        <v>Friday</v>
      </c>
      <c r="D369" s="72" t="str">
        <f t="shared" si="3"/>
        <v>January</v>
      </c>
      <c r="E369" s="72" t="str">
        <f t="shared" si="4"/>
        <v>Q1</v>
      </c>
      <c r="F369" s="72">
        <f t="shared" si="5"/>
        <v>2020</v>
      </c>
      <c r="G369" s="89">
        <f t="shared" si="6"/>
        <v>43834</v>
      </c>
      <c r="H369" s="72" t="str">
        <f t="shared" si="7"/>
        <v>Yes</v>
      </c>
    </row>
    <row r="370" ht="15.75" customHeight="1">
      <c r="A370" s="88">
        <f t="shared" si="8"/>
        <v>43834</v>
      </c>
      <c r="B370" s="72" t="str">
        <f t="shared" si="1"/>
        <v>20200104</v>
      </c>
      <c r="C370" s="72" t="str">
        <f t="shared" si="2"/>
        <v>Saturday</v>
      </c>
      <c r="D370" s="72" t="str">
        <f t="shared" si="3"/>
        <v>January</v>
      </c>
      <c r="E370" s="72" t="str">
        <f t="shared" si="4"/>
        <v>Q1</v>
      </c>
      <c r="F370" s="72">
        <f t="shared" si="5"/>
        <v>2020</v>
      </c>
      <c r="G370" s="89">
        <f t="shared" si="6"/>
        <v>43834</v>
      </c>
      <c r="H370" s="72" t="str">
        <f t="shared" si="7"/>
        <v>No</v>
      </c>
    </row>
    <row r="371" ht="15.75" customHeight="1">
      <c r="A371" s="88">
        <f t="shared" si="8"/>
        <v>43835</v>
      </c>
      <c r="B371" s="72" t="str">
        <f t="shared" si="1"/>
        <v>20200105</v>
      </c>
      <c r="C371" s="72" t="str">
        <f t="shared" si="2"/>
        <v>Sunday</v>
      </c>
      <c r="D371" s="72" t="str">
        <f t="shared" si="3"/>
        <v>January</v>
      </c>
      <c r="E371" s="72" t="str">
        <f t="shared" si="4"/>
        <v>Q1</v>
      </c>
      <c r="F371" s="72">
        <f t="shared" si="5"/>
        <v>2020</v>
      </c>
      <c r="G371" s="89">
        <f t="shared" si="6"/>
        <v>43841</v>
      </c>
      <c r="H371" s="72" t="str">
        <f t="shared" si="7"/>
        <v>No</v>
      </c>
    </row>
    <row r="372" ht="15.75" customHeight="1">
      <c r="A372" s="88">
        <f t="shared" si="8"/>
        <v>43836</v>
      </c>
      <c r="B372" s="72" t="str">
        <f t="shared" si="1"/>
        <v>20200106</v>
      </c>
      <c r="C372" s="72" t="str">
        <f t="shared" si="2"/>
        <v>Monday</v>
      </c>
      <c r="D372" s="72" t="str">
        <f t="shared" si="3"/>
        <v>January</v>
      </c>
      <c r="E372" s="72" t="str">
        <f t="shared" si="4"/>
        <v>Q1</v>
      </c>
      <c r="F372" s="72">
        <f t="shared" si="5"/>
        <v>2020</v>
      </c>
      <c r="G372" s="89">
        <f t="shared" si="6"/>
        <v>43841</v>
      </c>
      <c r="H372" s="72" t="str">
        <f t="shared" si="7"/>
        <v>Yes</v>
      </c>
    </row>
    <row r="373" ht="15.75" customHeight="1">
      <c r="A373" s="88">
        <f t="shared" si="8"/>
        <v>43837</v>
      </c>
      <c r="B373" s="72" t="str">
        <f t="shared" si="1"/>
        <v>20200107</v>
      </c>
      <c r="C373" s="72" t="str">
        <f t="shared" si="2"/>
        <v>Tuesday</v>
      </c>
      <c r="D373" s="72" t="str">
        <f t="shared" si="3"/>
        <v>January</v>
      </c>
      <c r="E373" s="72" t="str">
        <f t="shared" si="4"/>
        <v>Q1</v>
      </c>
      <c r="F373" s="72">
        <f t="shared" si="5"/>
        <v>2020</v>
      </c>
      <c r="G373" s="89">
        <f t="shared" si="6"/>
        <v>43841</v>
      </c>
      <c r="H373" s="72" t="str">
        <f t="shared" si="7"/>
        <v>Yes</v>
      </c>
    </row>
    <row r="374" ht="15.75" customHeight="1">
      <c r="A374" s="88">
        <f t="shared" si="8"/>
        <v>43838</v>
      </c>
      <c r="B374" s="72" t="str">
        <f t="shared" si="1"/>
        <v>20200108</v>
      </c>
      <c r="C374" s="72" t="str">
        <f t="shared" si="2"/>
        <v>Wednesday</v>
      </c>
      <c r="D374" s="72" t="str">
        <f t="shared" si="3"/>
        <v>January</v>
      </c>
      <c r="E374" s="72" t="str">
        <f t="shared" si="4"/>
        <v>Q1</v>
      </c>
      <c r="F374" s="72">
        <f t="shared" si="5"/>
        <v>2020</v>
      </c>
      <c r="G374" s="89">
        <f t="shared" si="6"/>
        <v>43841</v>
      </c>
      <c r="H374" s="72" t="str">
        <f t="shared" si="7"/>
        <v>Yes</v>
      </c>
    </row>
    <row r="375" ht="15.75" customHeight="1">
      <c r="A375" s="88">
        <f t="shared" si="8"/>
        <v>43839</v>
      </c>
      <c r="B375" s="72" t="str">
        <f t="shared" si="1"/>
        <v>20200109</v>
      </c>
      <c r="C375" s="72" t="str">
        <f t="shared" si="2"/>
        <v>Thursday</v>
      </c>
      <c r="D375" s="72" t="str">
        <f t="shared" si="3"/>
        <v>January</v>
      </c>
      <c r="E375" s="72" t="str">
        <f t="shared" si="4"/>
        <v>Q1</v>
      </c>
      <c r="F375" s="72">
        <f t="shared" si="5"/>
        <v>2020</v>
      </c>
      <c r="G375" s="89">
        <f t="shared" si="6"/>
        <v>43841</v>
      </c>
      <c r="H375" s="72" t="str">
        <f t="shared" si="7"/>
        <v>Yes</v>
      </c>
    </row>
    <row r="376" ht="15.75" customHeight="1">
      <c r="A376" s="88">
        <f t="shared" si="8"/>
        <v>43840</v>
      </c>
      <c r="B376" s="72" t="str">
        <f t="shared" si="1"/>
        <v>20200110</v>
      </c>
      <c r="C376" s="72" t="str">
        <f t="shared" si="2"/>
        <v>Friday</v>
      </c>
      <c r="D376" s="72" t="str">
        <f t="shared" si="3"/>
        <v>January</v>
      </c>
      <c r="E376" s="72" t="str">
        <f t="shared" si="4"/>
        <v>Q1</v>
      </c>
      <c r="F376" s="72">
        <f t="shared" si="5"/>
        <v>2020</v>
      </c>
      <c r="G376" s="89">
        <f t="shared" si="6"/>
        <v>43841</v>
      </c>
      <c r="H376" s="72" t="str">
        <f t="shared" si="7"/>
        <v>Yes</v>
      </c>
    </row>
    <row r="377" ht="15.75" customHeight="1">
      <c r="A377" s="88">
        <f t="shared" si="8"/>
        <v>43841</v>
      </c>
      <c r="B377" s="72" t="str">
        <f t="shared" si="1"/>
        <v>20200111</v>
      </c>
      <c r="C377" s="72" t="str">
        <f t="shared" si="2"/>
        <v>Saturday</v>
      </c>
      <c r="D377" s="72" t="str">
        <f t="shared" si="3"/>
        <v>January</v>
      </c>
      <c r="E377" s="72" t="str">
        <f t="shared" si="4"/>
        <v>Q1</v>
      </c>
      <c r="F377" s="72">
        <f t="shared" si="5"/>
        <v>2020</v>
      </c>
      <c r="G377" s="89">
        <f t="shared" si="6"/>
        <v>43841</v>
      </c>
      <c r="H377" s="72" t="str">
        <f t="shared" si="7"/>
        <v>No</v>
      </c>
    </row>
    <row r="378" ht="15.75" customHeight="1">
      <c r="A378" s="88">
        <f t="shared" si="8"/>
        <v>43842</v>
      </c>
      <c r="B378" s="72" t="str">
        <f t="shared" si="1"/>
        <v>20200112</v>
      </c>
      <c r="C378" s="72" t="str">
        <f t="shared" si="2"/>
        <v>Sunday</v>
      </c>
      <c r="D378" s="72" t="str">
        <f t="shared" si="3"/>
        <v>January</v>
      </c>
      <c r="E378" s="72" t="str">
        <f t="shared" si="4"/>
        <v>Q1</v>
      </c>
      <c r="F378" s="72">
        <f t="shared" si="5"/>
        <v>2020</v>
      </c>
      <c r="G378" s="89">
        <f t="shared" si="6"/>
        <v>43848</v>
      </c>
      <c r="H378" s="72" t="str">
        <f t="shared" si="7"/>
        <v>No</v>
      </c>
    </row>
    <row r="379" ht="15.75" customHeight="1">
      <c r="A379" s="88">
        <f t="shared" si="8"/>
        <v>43843</v>
      </c>
      <c r="B379" s="72" t="str">
        <f t="shared" si="1"/>
        <v>20200113</v>
      </c>
      <c r="C379" s="72" t="str">
        <f t="shared" si="2"/>
        <v>Monday</v>
      </c>
      <c r="D379" s="72" t="str">
        <f t="shared" si="3"/>
        <v>January</v>
      </c>
      <c r="E379" s="72" t="str">
        <f t="shared" si="4"/>
        <v>Q1</v>
      </c>
      <c r="F379" s="72">
        <f t="shared" si="5"/>
        <v>2020</v>
      </c>
      <c r="G379" s="89">
        <f t="shared" si="6"/>
        <v>43848</v>
      </c>
      <c r="H379" s="72" t="str">
        <f t="shared" si="7"/>
        <v>Yes</v>
      </c>
    </row>
    <row r="380" ht="15.75" customHeight="1">
      <c r="A380" s="88">
        <f t="shared" si="8"/>
        <v>43844</v>
      </c>
      <c r="B380" s="72" t="str">
        <f t="shared" si="1"/>
        <v>20200114</v>
      </c>
      <c r="C380" s="72" t="str">
        <f t="shared" si="2"/>
        <v>Tuesday</v>
      </c>
      <c r="D380" s="72" t="str">
        <f t="shared" si="3"/>
        <v>January</v>
      </c>
      <c r="E380" s="72" t="str">
        <f t="shared" si="4"/>
        <v>Q1</v>
      </c>
      <c r="F380" s="72">
        <f t="shared" si="5"/>
        <v>2020</v>
      </c>
      <c r="G380" s="89">
        <f t="shared" si="6"/>
        <v>43848</v>
      </c>
      <c r="H380" s="72" t="str">
        <f t="shared" si="7"/>
        <v>Yes</v>
      </c>
    </row>
    <row r="381" ht="15.75" customHeight="1">
      <c r="A381" s="88">
        <f t="shared" si="8"/>
        <v>43845</v>
      </c>
      <c r="B381" s="72" t="str">
        <f t="shared" si="1"/>
        <v>20200115</v>
      </c>
      <c r="C381" s="72" t="str">
        <f t="shared" si="2"/>
        <v>Wednesday</v>
      </c>
      <c r="D381" s="72" t="str">
        <f t="shared" si="3"/>
        <v>January</v>
      </c>
      <c r="E381" s="72" t="str">
        <f t="shared" si="4"/>
        <v>Q1</v>
      </c>
      <c r="F381" s="72">
        <f t="shared" si="5"/>
        <v>2020</v>
      </c>
      <c r="G381" s="89">
        <f t="shared" si="6"/>
        <v>43848</v>
      </c>
      <c r="H381" s="72" t="str">
        <f t="shared" si="7"/>
        <v>Yes</v>
      </c>
    </row>
    <row r="382" ht="15.75" customHeight="1">
      <c r="A382" s="88">
        <f t="shared" si="8"/>
        <v>43846</v>
      </c>
      <c r="B382" s="72" t="str">
        <f t="shared" si="1"/>
        <v>20200116</v>
      </c>
      <c r="C382" s="72" t="str">
        <f t="shared" si="2"/>
        <v>Thursday</v>
      </c>
      <c r="D382" s="72" t="str">
        <f t="shared" si="3"/>
        <v>January</v>
      </c>
      <c r="E382" s="72" t="str">
        <f t="shared" si="4"/>
        <v>Q1</v>
      </c>
      <c r="F382" s="72">
        <f t="shared" si="5"/>
        <v>2020</v>
      </c>
      <c r="G382" s="89">
        <f t="shared" si="6"/>
        <v>43848</v>
      </c>
      <c r="H382" s="72" t="str">
        <f t="shared" si="7"/>
        <v>Yes</v>
      </c>
    </row>
    <row r="383" ht="15.75" customHeight="1">
      <c r="A383" s="88">
        <f t="shared" si="8"/>
        <v>43847</v>
      </c>
      <c r="B383" s="72" t="str">
        <f t="shared" si="1"/>
        <v>20200117</v>
      </c>
      <c r="C383" s="72" t="str">
        <f t="shared" si="2"/>
        <v>Friday</v>
      </c>
      <c r="D383" s="72" t="str">
        <f t="shared" si="3"/>
        <v>January</v>
      </c>
      <c r="E383" s="72" t="str">
        <f t="shared" si="4"/>
        <v>Q1</v>
      </c>
      <c r="F383" s="72">
        <f t="shared" si="5"/>
        <v>2020</v>
      </c>
      <c r="G383" s="89">
        <f t="shared" si="6"/>
        <v>43848</v>
      </c>
      <c r="H383" s="72" t="str">
        <f t="shared" si="7"/>
        <v>Yes</v>
      </c>
    </row>
    <row r="384" ht="15.75" customHeight="1">
      <c r="A384" s="88">
        <f t="shared" si="8"/>
        <v>43848</v>
      </c>
      <c r="B384" s="72" t="str">
        <f t="shared" si="1"/>
        <v>20200118</v>
      </c>
      <c r="C384" s="72" t="str">
        <f t="shared" si="2"/>
        <v>Saturday</v>
      </c>
      <c r="D384" s="72" t="str">
        <f t="shared" si="3"/>
        <v>January</v>
      </c>
      <c r="E384" s="72" t="str">
        <f t="shared" si="4"/>
        <v>Q1</v>
      </c>
      <c r="F384" s="72">
        <f t="shared" si="5"/>
        <v>2020</v>
      </c>
      <c r="G384" s="89">
        <f t="shared" si="6"/>
        <v>43848</v>
      </c>
      <c r="H384" s="72" t="str">
        <f t="shared" si="7"/>
        <v>No</v>
      </c>
    </row>
    <row r="385" ht="15.75" customHeight="1">
      <c r="A385" s="88">
        <f t="shared" si="8"/>
        <v>43849</v>
      </c>
      <c r="B385" s="72" t="str">
        <f t="shared" si="1"/>
        <v>20200119</v>
      </c>
      <c r="C385" s="72" t="str">
        <f t="shared" si="2"/>
        <v>Sunday</v>
      </c>
      <c r="D385" s="72" t="str">
        <f t="shared" si="3"/>
        <v>January</v>
      </c>
      <c r="E385" s="72" t="str">
        <f t="shared" si="4"/>
        <v>Q1</v>
      </c>
      <c r="F385" s="72">
        <f t="shared" si="5"/>
        <v>2020</v>
      </c>
      <c r="G385" s="89">
        <f t="shared" si="6"/>
        <v>43855</v>
      </c>
      <c r="H385" s="72" t="str">
        <f t="shared" si="7"/>
        <v>No</v>
      </c>
    </row>
    <row r="386" ht="15.75" customHeight="1">
      <c r="A386" s="88">
        <f t="shared" si="8"/>
        <v>43850</v>
      </c>
      <c r="B386" s="72" t="str">
        <f t="shared" si="1"/>
        <v>20200120</v>
      </c>
      <c r="C386" s="72" t="str">
        <f t="shared" si="2"/>
        <v>Monday</v>
      </c>
      <c r="D386" s="72" t="str">
        <f t="shared" si="3"/>
        <v>January</v>
      </c>
      <c r="E386" s="72" t="str">
        <f t="shared" si="4"/>
        <v>Q1</v>
      </c>
      <c r="F386" s="72">
        <f t="shared" si="5"/>
        <v>2020</v>
      </c>
      <c r="G386" s="89">
        <f t="shared" si="6"/>
        <v>43855</v>
      </c>
      <c r="H386" s="72" t="str">
        <f t="shared" si="7"/>
        <v>Yes</v>
      </c>
    </row>
    <row r="387" ht="15.75" customHeight="1">
      <c r="A387" s="88">
        <f t="shared" si="8"/>
        <v>43851</v>
      </c>
      <c r="B387" s="72" t="str">
        <f t="shared" si="1"/>
        <v>20200121</v>
      </c>
      <c r="C387" s="72" t="str">
        <f t="shared" si="2"/>
        <v>Tuesday</v>
      </c>
      <c r="D387" s="72" t="str">
        <f t="shared" si="3"/>
        <v>January</v>
      </c>
      <c r="E387" s="72" t="str">
        <f t="shared" si="4"/>
        <v>Q1</v>
      </c>
      <c r="F387" s="72">
        <f t="shared" si="5"/>
        <v>2020</v>
      </c>
      <c r="G387" s="89">
        <f t="shared" si="6"/>
        <v>43855</v>
      </c>
      <c r="H387" s="72" t="str">
        <f t="shared" si="7"/>
        <v>Yes</v>
      </c>
    </row>
    <row r="388" ht="15.75" customHeight="1">
      <c r="A388" s="88">
        <f t="shared" si="8"/>
        <v>43852</v>
      </c>
      <c r="B388" s="72" t="str">
        <f t="shared" si="1"/>
        <v>20200122</v>
      </c>
      <c r="C388" s="72" t="str">
        <f t="shared" si="2"/>
        <v>Wednesday</v>
      </c>
      <c r="D388" s="72" t="str">
        <f t="shared" si="3"/>
        <v>January</v>
      </c>
      <c r="E388" s="72" t="str">
        <f t="shared" si="4"/>
        <v>Q1</v>
      </c>
      <c r="F388" s="72">
        <f t="shared" si="5"/>
        <v>2020</v>
      </c>
      <c r="G388" s="89">
        <f t="shared" si="6"/>
        <v>43855</v>
      </c>
      <c r="H388" s="72" t="str">
        <f t="shared" si="7"/>
        <v>Yes</v>
      </c>
    </row>
    <row r="389" ht="15.75" customHeight="1">
      <c r="A389" s="88">
        <f t="shared" si="8"/>
        <v>43853</v>
      </c>
      <c r="B389" s="72" t="str">
        <f t="shared" si="1"/>
        <v>20200123</v>
      </c>
      <c r="C389" s="72" t="str">
        <f t="shared" si="2"/>
        <v>Thursday</v>
      </c>
      <c r="D389" s="72" t="str">
        <f t="shared" si="3"/>
        <v>January</v>
      </c>
      <c r="E389" s="72" t="str">
        <f t="shared" si="4"/>
        <v>Q1</v>
      </c>
      <c r="F389" s="72">
        <f t="shared" si="5"/>
        <v>2020</v>
      </c>
      <c r="G389" s="89">
        <f t="shared" si="6"/>
        <v>43855</v>
      </c>
      <c r="H389" s="72" t="str">
        <f t="shared" si="7"/>
        <v>Yes</v>
      </c>
    </row>
    <row r="390" ht="15.75" customHeight="1">
      <c r="A390" s="88">
        <f t="shared" si="8"/>
        <v>43854</v>
      </c>
      <c r="B390" s="72" t="str">
        <f t="shared" si="1"/>
        <v>20200124</v>
      </c>
      <c r="C390" s="72" t="str">
        <f t="shared" si="2"/>
        <v>Friday</v>
      </c>
      <c r="D390" s="72" t="str">
        <f t="shared" si="3"/>
        <v>January</v>
      </c>
      <c r="E390" s="72" t="str">
        <f t="shared" si="4"/>
        <v>Q1</v>
      </c>
      <c r="F390" s="72">
        <f t="shared" si="5"/>
        <v>2020</v>
      </c>
      <c r="G390" s="89">
        <f t="shared" si="6"/>
        <v>43855</v>
      </c>
      <c r="H390" s="72" t="str">
        <f t="shared" si="7"/>
        <v>Yes</v>
      </c>
    </row>
    <row r="391" ht="15.75" customHeight="1">
      <c r="A391" s="88">
        <f t="shared" si="8"/>
        <v>43855</v>
      </c>
      <c r="B391" s="72" t="str">
        <f t="shared" si="1"/>
        <v>20200125</v>
      </c>
      <c r="C391" s="72" t="str">
        <f t="shared" si="2"/>
        <v>Saturday</v>
      </c>
      <c r="D391" s="72" t="str">
        <f t="shared" si="3"/>
        <v>January</v>
      </c>
      <c r="E391" s="72" t="str">
        <f t="shared" si="4"/>
        <v>Q1</v>
      </c>
      <c r="F391" s="72">
        <f t="shared" si="5"/>
        <v>2020</v>
      </c>
      <c r="G391" s="89">
        <f t="shared" si="6"/>
        <v>43855</v>
      </c>
      <c r="H391" s="72" t="str">
        <f t="shared" si="7"/>
        <v>No</v>
      </c>
    </row>
    <row r="392" ht="15.75" customHeight="1">
      <c r="A392" s="88">
        <f t="shared" si="8"/>
        <v>43856</v>
      </c>
      <c r="B392" s="72" t="str">
        <f t="shared" si="1"/>
        <v>20200126</v>
      </c>
      <c r="C392" s="72" t="str">
        <f t="shared" si="2"/>
        <v>Sunday</v>
      </c>
      <c r="D392" s="72" t="str">
        <f t="shared" si="3"/>
        <v>January</v>
      </c>
      <c r="E392" s="72" t="str">
        <f t="shared" si="4"/>
        <v>Q1</v>
      </c>
      <c r="F392" s="72">
        <f t="shared" si="5"/>
        <v>2020</v>
      </c>
      <c r="G392" s="89">
        <f t="shared" si="6"/>
        <v>43862</v>
      </c>
      <c r="H392" s="72" t="str">
        <f t="shared" si="7"/>
        <v>No</v>
      </c>
    </row>
    <row r="393" ht="15.75" customHeight="1">
      <c r="A393" s="88">
        <f t="shared" si="8"/>
        <v>43857</v>
      </c>
      <c r="B393" s="72" t="str">
        <f t="shared" si="1"/>
        <v>20200127</v>
      </c>
      <c r="C393" s="72" t="str">
        <f t="shared" si="2"/>
        <v>Monday</v>
      </c>
      <c r="D393" s="72" t="str">
        <f t="shared" si="3"/>
        <v>January</v>
      </c>
      <c r="E393" s="72" t="str">
        <f t="shared" si="4"/>
        <v>Q1</v>
      </c>
      <c r="F393" s="72">
        <f t="shared" si="5"/>
        <v>2020</v>
      </c>
      <c r="G393" s="89">
        <f t="shared" si="6"/>
        <v>43862</v>
      </c>
      <c r="H393" s="72" t="str">
        <f t="shared" si="7"/>
        <v>Yes</v>
      </c>
    </row>
    <row r="394" ht="15.75" customHeight="1">
      <c r="A394" s="88">
        <f t="shared" si="8"/>
        <v>43858</v>
      </c>
      <c r="B394" s="72" t="str">
        <f t="shared" si="1"/>
        <v>20200128</v>
      </c>
      <c r="C394" s="72" t="str">
        <f t="shared" si="2"/>
        <v>Tuesday</v>
      </c>
      <c r="D394" s="72" t="str">
        <f t="shared" si="3"/>
        <v>January</v>
      </c>
      <c r="E394" s="72" t="str">
        <f t="shared" si="4"/>
        <v>Q1</v>
      </c>
      <c r="F394" s="72">
        <f t="shared" si="5"/>
        <v>2020</v>
      </c>
      <c r="G394" s="89">
        <f t="shared" si="6"/>
        <v>43862</v>
      </c>
      <c r="H394" s="72" t="str">
        <f t="shared" si="7"/>
        <v>Yes</v>
      </c>
    </row>
    <row r="395" ht="15.75" customHeight="1">
      <c r="A395" s="88">
        <f t="shared" si="8"/>
        <v>43859</v>
      </c>
      <c r="B395" s="72" t="str">
        <f t="shared" si="1"/>
        <v>20200129</v>
      </c>
      <c r="C395" s="72" t="str">
        <f t="shared" si="2"/>
        <v>Wednesday</v>
      </c>
      <c r="D395" s="72" t="str">
        <f t="shared" si="3"/>
        <v>January</v>
      </c>
      <c r="E395" s="72" t="str">
        <f t="shared" si="4"/>
        <v>Q1</v>
      </c>
      <c r="F395" s="72">
        <f t="shared" si="5"/>
        <v>2020</v>
      </c>
      <c r="G395" s="89">
        <f t="shared" si="6"/>
        <v>43862</v>
      </c>
      <c r="H395" s="72" t="str">
        <f t="shared" si="7"/>
        <v>Yes</v>
      </c>
    </row>
    <row r="396" ht="15.75" customHeight="1">
      <c r="A396" s="88">
        <f t="shared" si="8"/>
        <v>43860</v>
      </c>
      <c r="B396" s="72" t="str">
        <f t="shared" si="1"/>
        <v>20200130</v>
      </c>
      <c r="C396" s="72" t="str">
        <f t="shared" si="2"/>
        <v>Thursday</v>
      </c>
      <c r="D396" s="72" t="str">
        <f t="shared" si="3"/>
        <v>January</v>
      </c>
      <c r="E396" s="72" t="str">
        <f t="shared" si="4"/>
        <v>Q1</v>
      </c>
      <c r="F396" s="72">
        <f t="shared" si="5"/>
        <v>2020</v>
      </c>
      <c r="G396" s="89">
        <f t="shared" si="6"/>
        <v>43862</v>
      </c>
      <c r="H396" s="72" t="str">
        <f t="shared" si="7"/>
        <v>Yes</v>
      </c>
    </row>
    <row r="397" ht="15.75" customHeight="1">
      <c r="A397" s="88">
        <f t="shared" si="8"/>
        <v>43861</v>
      </c>
      <c r="B397" s="72" t="str">
        <f t="shared" si="1"/>
        <v>20200131</v>
      </c>
      <c r="C397" s="72" t="str">
        <f t="shared" si="2"/>
        <v>Friday</v>
      </c>
      <c r="D397" s="72" t="str">
        <f t="shared" si="3"/>
        <v>January</v>
      </c>
      <c r="E397" s="72" t="str">
        <f t="shared" si="4"/>
        <v>Q1</v>
      </c>
      <c r="F397" s="72">
        <f t="shared" si="5"/>
        <v>2020</v>
      </c>
      <c r="G397" s="89">
        <f t="shared" si="6"/>
        <v>43862</v>
      </c>
      <c r="H397" s="72" t="str">
        <f t="shared" si="7"/>
        <v>Yes</v>
      </c>
    </row>
    <row r="398" ht="15.75" customHeight="1">
      <c r="A398" s="88">
        <f t="shared" si="8"/>
        <v>43862</v>
      </c>
      <c r="B398" s="72" t="str">
        <f t="shared" si="1"/>
        <v>20200201</v>
      </c>
      <c r="C398" s="72" t="str">
        <f t="shared" si="2"/>
        <v>Saturday</v>
      </c>
      <c r="D398" s="72" t="str">
        <f t="shared" si="3"/>
        <v>February</v>
      </c>
      <c r="E398" s="72" t="str">
        <f t="shared" si="4"/>
        <v>Q1</v>
      </c>
      <c r="F398" s="72">
        <f t="shared" si="5"/>
        <v>2020</v>
      </c>
      <c r="G398" s="89">
        <f t="shared" si="6"/>
        <v>43862</v>
      </c>
      <c r="H398" s="72" t="str">
        <f t="shared" si="7"/>
        <v>No</v>
      </c>
    </row>
    <row r="399" ht="15.75" customHeight="1">
      <c r="A399" s="88">
        <f t="shared" si="8"/>
        <v>43863</v>
      </c>
      <c r="B399" s="72" t="str">
        <f t="shared" si="1"/>
        <v>20200202</v>
      </c>
      <c r="C399" s="72" t="str">
        <f t="shared" si="2"/>
        <v>Sunday</v>
      </c>
      <c r="D399" s="72" t="str">
        <f t="shared" si="3"/>
        <v>February</v>
      </c>
      <c r="E399" s="72" t="str">
        <f t="shared" si="4"/>
        <v>Q1</v>
      </c>
      <c r="F399" s="72">
        <f t="shared" si="5"/>
        <v>2020</v>
      </c>
      <c r="G399" s="89">
        <f t="shared" si="6"/>
        <v>43869</v>
      </c>
      <c r="H399" s="72" t="str">
        <f t="shared" si="7"/>
        <v>No</v>
      </c>
    </row>
    <row r="400" ht="15.75" customHeight="1">
      <c r="A400" s="88">
        <f t="shared" si="8"/>
        <v>43864</v>
      </c>
      <c r="B400" s="72" t="str">
        <f t="shared" si="1"/>
        <v>20200203</v>
      </c>
      <c r="C400" s="72" t="str">
        <f t="shared" si="2"/>
        <v>Monday</v>
      </c>
      <c r="D400" s="72" t="str">
        <f t="shared" si="3"/>
        <v>February</v>
      </c>
      <c r="E400" s="72" t="str">
        <f t="shared" si="4"/>
        <v>Q1</v>
      </c>
      <c r="F400" s="72">
        <f t="shared" si="5"/>
        <v>2020</v>
      </c>
      <c r="G400" s="89">
        <f t="shared" si="6"/>
        <v>43869</v>
      </c>
      <c r="H400" s="72" t="str">
        <f t="shared" si="7"/>
        <v>Yes</v>
      </c>
    </row>
    <row r="401" ht="15.75" customHeight="1">
      <c r="A401" s="88">
        <f t="shared" si="8"/>
        <v>43865</v>
      </c>
      <c r="B401" s="72" t="str">
        <f t="shared" si="1"/>
        <v>20200204</v>
      </c>
      <c r="C401" s="72" t="str">
        <f t="shared" si="2"/>
        <v>Tuesday</v>
      </c>
      <c r="D401" s="72" t="str">
        <f t="shared" si="3"/>
        <v>February</v>
      </c>
      <c r="E401" s="72" t="str">
        <f t="shared" si="4"/>
        <v>Q1</v>
      </c>
      <c r="F401" s="72">
        <f t="shared" si="5"/>
        <v>2020</v>
      </c>
      <c r="G401" s="89">
        <f t="shared" si="6"/>
        <v>43869</v>
      </c>
      <c r="H401" s="72" t="str">
        <f t="shared" si="7"/>
        <v>Yes</v>
      </c>
    </row>
    <row r="402" ht="15.75" customHeight="1">
      <c r="A402" s="88">
        <f t="shared" si="8"/>
        <v>43866</v>
      </c>
      <c r="B402" s="72" t="str">
        <f t="shared" si="1"/>
        <v>20200205</v>
      </c>
      <c r="C402" s="72" t="str">
        <f t="shared" si="2"/>
        <v>Wednesday</v>
      </c>
      <c r="D402" s="72" t="str">
        <f t="shared" si="3"/>
        <v>February</v>
      </c>
      <c r="E402" s="72" t="str">
        <f t="shared" si="4"/>
        <v>Q1</v>
      </c>
      <c r="F402" s="72">
        <f t="shared" si="5"/>
        <v>2020</v>
      </c>
      <c r="G402" s="89">
        <f t="shared" si="6"/>
        <v>43869</v>
      </c>
      <c r="H402" s="72" t="str">
        <f t="shared" si="7"/>
        <v>Yes</v>
      </c>
    </row>
    <row r="403" ht="15.75" customHeight="1">
      <c r="A403" s="88">
        <f t="shared" si="8"/>
        <v>43867</v>
      </c>
      <c r="B403" s="72" t="str">
        <f t="shared" si="1"/>
        <v>20200206</v>
      </c>
      <c r="C403" s="72" t="str">
        <f t="shared" si="2"/>
        <v>Thursday</v>
      </c>
      <c r="D403" s="72" t="str">
        <f t="shared" si="3"/>
        <v>February</v>
      </c>
      <c r="E403" s="72" t="str">
        <f t="shared" si="4"/>
        <v>Q1</v>
      </c>
      <c r="F403" s="72">
        <f t="shared" si="5"/>
        <v>2020</v>
      </c>
      <c r="G403" s="89">
        <f t="shared" si="6"/>
        <v>43869</v>
      </c>
      <c r="H403" s="72" t="str">
        <f t="shared" si="7"/>
        <v>Yes</v>
      </c>
    </row>
    <row r="404" ht="15.75" customHeight="1">
      <c r="A404" s="88">
        <f t="shared" si="8"/>
        <v>43868</v>
      </c>
      <c r="B404" s="72" t="str">
        <f t="shared" si="1"/>
        <v>20200207</v>
      </c>
      <c r="C404" s="72" t="str">
        <f t="shared" si="2"/>
        <v>Friday</v>
      </c>
      <c r="D404" s="72" t="str">
        <f t="shared" si="3"/>
        <v>February</v>
      </c>
      <c r="E404" s="72" t="str">
        <f t="shared" si="4"/>
        <v>Q1</v>
      </c>
      <c r="F404" s="72">
        <f t="shared" si="5"/>
        <v>2020</v>
      </c>
      <c r="G404" s="89">
        <f t="shared" si="6"/>
        <v>43869</v>
      </c>
      <c r="H404" s="72" t="str">
        <f t="shared" si="7"/>
        <v>Yes</v>
      </c>
    </row>
    <row r="405" ht="15.75" customHeight="1">
      <c r="A405" s="88">
        <f t="shared" si="8"/>
        <v>43869</v>
      </c>
      <c r="B405" s="72" t="str">
        <f t="shared" si="1"/>
        <v>20200208</v>
      </c>
      <c r="C405" s="72" t="str">
        <f t="shared" si="2"/>
        <v>Saturday</v>
      </c>
      <c r="D405" s="72" t="str">
        <f t="shared" si="3"/>
        <v>February</v>
      </c>
      <c r="E405" s="72" t="str">
        <f t="shared" si="4"/>
        <v>Q1</v>
      </c>
      <c r="F405" s="72">
        <f t="shared" si="5"/>
        <v>2020</v>
      </c>
      <c r="G405" s="89">
        <f t="shared" si="6"/>
        <v>43869</v>
      </c>
      <c r="H405" s="72" t="str">
        <f t="shared" si="7"/>
        <v>No</v>
      </c>
    </row>
    <row r="406" ht="15.75" customHeight="1">
      <c r="A406" s="88">
        <f t="shared" si="8"/>
        <v>43870</v>
      </c>
      <c r="B406" s="72" t="str">
        <f t="shared" si="1"/>
        <v>20200209</v>
      </c>
      <c r="C406" s="72" t="str">
        <f t="shared" si="2"/>
        <v>Sunday</v>
      </c>
      <c r="D406" s="72" t="str">
        <f t="shared" si="3"/>
        <v>February</v>
      </c>
      <c r="E406" s="72" t="str">
        <f t="shared" si="4"/>
        <v>Q1</v>
      </c>
      <c r="F406" s="72">
        <f t="shared" si="5"/>
        <v>2020</v>
      </c>
      <c r="G406" s="89">
        <f t="shared" si="6"/>
        <v>43876</v>
      </c>
      <c r="H406" s="72" t="str">
        <f t="shared" si="7"/>
        <v>No</v>
      </c>
    </row>
    <row r="407" ht="15.75" customHeight="1">
      <c r="A407" s="88">
        <f t="shared" si="8"/>
        <v>43871</v>
      </c>
      <c r="B407" s="72" t="str">
        <f t="shared" si="1"/>
        <v>20200210</v>
      </c>
      <c r="C407" s="72" t="str">
        <f t="shared" si="2"/>
        <v>Monday</v>
      </c>
      <c r="D407" s="72" t="str">
        <f t="shared" si="3"/>
        <v>February</v>
      </c>
      <c r="E407" s="72" t="str">
        <f t="shared" si="4"/>
        <v>Q1</v>
      </c>
      <c r="F407" s="72">
        <f t="shared" si="5"/>
        <v>2020</v>
      </c>
      <c r="G407" s="89">
        <f t="shared" si="6"/>
        <v>43876</v>
      </c>
      <c r="H407" s="72" t="str">
        <f t="shared" si="7"/>
        <v>Yes</v>
      </c>
    </row>
    <row r="408" ht="15.75" customHeight="1">
      <c r="A408" s="88">
        <f t="shared" si="8"/>
        <v>43872</v>
      </c>
      <c r="B408" s="72" t="str">
        <f t="shared" si="1"/>
        <v>20200211</v>
      </c>
      <c r="C408" s="72" t="str">
        <f t="shared" si="2"/>
        <v>Tuesday</v>
      </c>
      <c r="D408" s="72" t="str">
        <f t="shared" si="3"/>
        <v>February</v>
      </c>
      <c r="E408" s="72" t="str">
        <f t="shared" si="4"/>
        <v>Q1</v>
      </c>
      <c r="F408" s="72">
        <f t="shared" si="5"/>
        <v>2020</v>
      </c>
      <c r="G408" s="89">
        <f t="shared" si="6"/>
        <v>43876</v>
      </c>
      <c r="H408" s="72" t="str">
        <f t="shared" si="7"/>
        <v>Yes</v>
      </c>
    </row>
    <row r="409" ht="15.75" customHeight="1">
      <c r="A409" s="88">
        <f t="shared" si="8"/>
        <v>43873</v>
      </c>
      <c r="B409" s="72" t="str">
        <f t="shared" si="1"/>
        <v>20200212</v>
      </c>
      <c r="C409" s="72" t="str">
        <f t="shared" si="2"/>
        <v>Wednesday</v>
      </c>
      <c r="D409" s="72" t="str">
        <f t="shared" si="3"/>
        <v>February</v>
      </c>
      <c r="E409" s="72" t="str">
        <f t="shared" si="4"/>
        <v>Q1</v>
      </c>
      <c r="F409" s="72">
        <f t="shared" si="5"/>
        <v>2020</v>
      </c>
      <c r="G409" s="89">
        <f t="shared" si="6"/>
        <v>43876</v>
      </c>
      <c r="H409" s="72" t="str">
        <f t="shared" si="7"/>
        <v>Yes</v>
      </c>
    </row>
    <row r="410" ht="15.75" customHeight="1">
      <c r="A410" s="88">
        <f t="shared" si="8"/>
        <v>43874</v>
      </c>
      <c r="B410" s="72" t="str">
        <f t="shared" si="1"/>
        <v>20200213</v>
      </c>
      <c r="C410" s="72" t="str">
        <f t="shared" si="2"/>
        <v>Thursday</v>
      </c>
      <c r="D410" s="72" t="str">
        <f t="shared" si="3"/>
        <v>February</v>
      </c>
      <c r="E410" s="72" t="str">
        <f t="shared" si="4"/>
        <v>Q1</v>
      </c>
      <c r="F410" s="72">
        <f t="shared" si="5"/>
        <v>2020</v>
      </c>
      <c r="G410" s="89">
        <f t="shared" si="6"/>
        <v>43876</v>
      </c>
      <c r="H410" s="72" t="str">
        <f t="shared" si="7"/>
        <v>Yes</v>
      </c>
    </row>
    <row r="411" ht="15.75" customHeight="1">
      <c r="A411" s="88">
        <f t="shared" si="8"/>
        <v>43875</v>
      </c>
      <c r="B411" s="72" t="str">
        <f t="shared" si="1"/>
        <v>20200214</v>
      </c>
      <c r="C411" s="72" t="str">
        <f t="shared" si="2"/>
        <v>Friday</v>
      </c>
      <c r="D411" s="72" t="str">
        <f t="shared" si="3"/>
        <v>February</v>
      </c>
      <c r="E411" s="72" t="str">
        <f t="shared" si="4"/>
        <v>Q1</v>
      </c>
      <c r="F411" s="72">
        <f t="shared" si="5"/>
        <v>2020</v>
      </c>
      <c r="G411" s="89">
        <f t="shared" si="6"/>
        <v>43876</v>
      </c>
      <c r="H411" s="72" t="str">
        <f t="shared" si="7"/>
        <v>Yes</v>
      </c>
    </row>
    <row r="412" ht="15.75" customHeight="1">
      <c r="A412" s="88">
        <f t="shared" si="8"/>
        <v>43876</v>
      </c>
      <c r="B412" s="72" t="str">
        <f t="shared" si="1"/>
        <v>20200215</v>
      </c>
      <c r="C412" s="72" t="str">
        <f t="shared" si="2"/>
        <v>Saturday</v>
      </c>
      <c r="D412" s="72" t="str">
        <f t="shared" si="3"/>
        <v>February</v>
      </c>
      <c r="E412" s="72" t="str">
        <f t="shared" si="4"/>
        <v>Q1</v>
      </c>
      <c r="F412" s="72">
        <f t="shared" si="5"/>
        <v>2020</v>
      </c>
      <c r="G412" s="89">
        <f t="shared" si="6"/>
        <v>43876</v>
      </c>
      <c r="H412" s="72" t="str">
        <f t="shared" si="7"/>
        <v>No</v>
      </c>
    </row>
    <row r="413" ht="15.75" customHeight="1">
      <c r="A413" s="88">
        <f t="shared" si="8"/>
        <v>43877</v>
      </c>
      <c r="B413" s="72" t="str">
        <f t="shared" si="1"/>
        <v>20200216</v>
      </c>
      <c r="C413" s="72" t="str">
        <f t="shared" si="2"/>
        <v>Sunday</v>
      </c>
      <c r="D413" s="72" t="str">
        <f t="shared" si="3"/>
        <v>February</v>
      </c>
      <c r="E413" s="72" t="str">
        <f t="shared" si="4"/>
        <v>Q1</v>
      </c>
      <c r="F413" s="72">
        <f t="shared" si="5"/>
        <v>2020</v>
      </c>
      <c r="G413" s="89">
        <f t="shared" si="6"/>
        <v>43883</v>
      </c>
      <c r="H413" s="72" t="str">
        <f t="shared" si="7"/>
        <v>No</v>
      </c>
    </row>
    <row r="414" ht="15.75" customHeight="1">
      <c r="A414" s="88">
        <f t="shared" si="8"/>
        <v>43878</v>
      </c>
      <c r="B414" s="72" t="str">
        <f t="shared" si="1"/>
        <v>20200217</v>
      </c>
      <c r="C414" s="72" t="str">
        <f t="shared" si="2"/>
        <v>Monday</v>
      </c>
      <c r="D414" s="72" t="str">
        <f t="shared" si="3"/>
        <v>February</v>
      </c>
      <c r="E414" s="72" t="str">
        <f t="shared" si="4"/>
        <v>Q1</v>
      </c>
      <c r="F414" s="72">
        <f t="shared" si="5"/>
        <v>2020</v>
      </c>
      <c r="G414" s="89">
        <f t="shared" si="6"/>
        <v>43883</v>
      </c>
      <c r="H414" s="72" t="str">
        <f t="shared" si="7"/>
        <v>Yes</v>
      </c>
    </row>
    <row r="415" ht="15.75" customHeight="1">
      <c r="A415" s="88">
        <f t="shared" si="8"/>
        <v>43879</v>
      </c>
      <c r="B415" s="72" t="str">
        <f t="shared" si="1"/>
        <v>20200218</v>
      </c>
      <c r="C415" s="72" t="str">
        <f t="shared" si="2"/>
        <v>Tuesday</v>
      </c>
      <c r="D415" s="72" t="str">
        <f t="shared" si="3"/>
        <v>February</v>
      </c>
      <c r="E415" s="72" t="str">
        <f t="shared" si="4"/>
        <v>Q1</v>
      </c>
      <c r="F415" s="72">
        <f t="shared" si="5"/>
        <v>2020</v>
      </c>
      <c r="G415" s="89">
        <f t="shared" si="6"/>
        <v>43883</v>
      </c>
      <c r="H415" s="72" t="str">
        <f t="shared" si="7"/>
        <v>Yes</v>
      </c>
    </row>
    <row r="416" ht="15.75" customHeight="1">
      <c r="A416" s="88">
        <f t="shared" si="8"/>
        <v>43880</v>
      </c>
      <c r="B416" s="72" t="str">
        <f t="shared" si="1"/>
        <v>20200219</v>
      </c>
      <c r="C416" s="72" t="str">
        <f t="shared" si="2"/>
        <v>Wednesday</v>
      </c>
      <c r="D416" s="72" t="str">
        <f t="shared" si="3"/>
        <v>February</v>
      </c>
      <c r="E416" s="72" t="str">
        <f t="shared" si="4"/>
        <v>Q1</v>
      </c>
      <c r="F416" s="72">
        <f t="shared" si="5"/>
        <v>2020</v>
      </c>
      <c r="G416" s="89">
        <f t="shared" si="6"/>
        <v>43883</v>
      </c>
      <c r="H416" s="72" t="str">
        <f t="shared" si="7"/>
        <v>Yes</v>
      </c>
    </row>
    <row r="417" ht="15.75" customHeight="1">
      <c r="A417" s="88">
        <f t="shared" si="8"/>
        <v>43881</v>
      </c>
      <c r="B417" s="72" t="str">
        <f t="shared" si="1"/>
        <v>20200220</v>
      </c>
      <c r="C417" s="72" t="str">
        <f t="shared" si="2"/>
        <v>Thursday</v>
      </c>
      <c r="D417" s="72" t="str">
        <f t="shared" si="3"/>
        <v>February</v>
      </c>
      <c r="E417" s="72" t="str">
        <f t="shared" si="4"/>
        <v>Q1</v>
      </c>
      <c r="F417" s="72">
        <f t="shared" si="5"/>
        <v>2020</v>
      </c>
      <c r="G417" s="89">
        <f t="shared" si="6"/>
        <v>43883</v>
      </c>
      <c r="H417" s="72" t="str">
        <f t="shared" si="7"/>
        <v>Yes</v>
      </c>
    </row>
    <row r="418" ht="15.75" customHeight="1">
      <c r="A418" s="88">
        <f t="shared" si="8"/>
        <v>43882</v>
      </c>
      <c r="B418" s="72" t="str">
        <f t="shared" si="1"/>
        <v>20200221</v>
      </c>
      <c r="C418" s="72" t="str">
        <f t="shared" si="2"/>
        <v>Friday</v>
      </c>
      <c r="D418" s="72" t="str">
        <f t="shared" si="3"/>
        <v>February</v>
      </c>
      <c r="E418" s="72" t="str">
        <f t="shared" si="4"/>
        <v>Q1</v>
      </c>
      <c r="F418" s="72">
        <f t="shared" si="5"/>
        <v>2020</v>
      </c>
      <c r="G418" s="89">
        <f t="shared" si="6"/>
        <v>43883</v>
      </c>
      <c r="H418" s="72" t="str">
        <f t="shared" si="7"/>
        <v>Yes</v>
      </c>
    </row>
    <row r="419" ht="15.75" customHeight="1">
      <c r="A419" s="88">
        <f t="shared" si="8"/>
        <v>43883</v>
      </c>
      <c r="B419" s="72" t="str">
        <f t="shared" si="1"/>
        <v>20200222</v>
      </c>
      <c r="C419" s="72" t="str">
        <f t="shared" si="2"/>
        <v>Saturday</v>
      </c>
      <c r="D419" s="72" t="str">
        <f t="shared" si="3"/>
        <v>February</v>
      </c>
      <c r="E419" s="72" t="str">
        <f t="shared" si="4"/>
        <v>Q1</v>
      </c>
      <c r="F419" s="72">
        <f t="shared" si="5"/>
        <v>2020</v>
      </c>
      <c r="G419" s="89">
        <f t="shared" si="6"/>
        <v>43883</v>
      </c>
      <c r="H419" s="72" t="str">
        <f t="shared" si="7"/>
        <v>No</v>
      </c>
    </row>
    <row r="420" ht="15.75" customHeight="1">
      <c r="A420" s="88">
        <f t="shared" si="8"/>
        <v>43884</v>
      </c>
      <c r="B420" s="72" t="str">
        <f t="shared" si="1"/>
        <v>20200223</v>
      </c>
      <c r="C420" s="72" t="str">
        <f t="shared" si="2"/>
        <v>Sunday</v>
      </c>
      <c r="D420" s="72" t="str">
        <f t="shared" si="3"/>
        <v>February</v>
      </c>
      <c r="E420" s="72" t="str">
        <f t="shared" si="4"/>
        <v>Q1</v>
      </c>
      <c r="F420" s="72">
        <f t="shared" si="5"/>
        <v>2020</v>
      </c>
      <c r="G420" s="89">
        <f t="shared" si="6"/>
        <v>43890</v>
      </c>
      <c r="H420" s="72" t="str">
        <f t="shared" si="7"/>
        <v>No</v>
      </c>
    </row>
    <row r="421" ht="15.75" customHeight="1">
      <c r="A421" s="88">
        <f t="shared" si="8"/>
        <v>43885</v>
      </c>
      <c r="B421" s="72" t="str">
        <f t="shared" si="1"/>
        <v>20200224</v>
      </c>
      <c r="C421" s="72" t="str">
        <f t="shared" si="2"/>
        <v>Monday</v>
      </c>
      <c r="D421" s="72" t="str">
        <f t="shared" si="3"/>
        <v>February</v>
      </c>
      <c r="E421" s="72" t="str">
        <f t="shared" si="4"/>
        <v>Q1</v>
      </c>
      <c r="F421" s="72">
        <f t="shared" si="5"/>
        <v>2020</v>
      </c>
      <c r="G421" s="89">
        <f t="shared" si="6"/>
        <v>43890</v>
      </c>
      <c r="H421" s="72" t="str">
        <f t="shared" si="7"/>
        <v>Yes</v>
      </c>
    </row>
    <row r="422" ht="15.75" customHeight="1">
      <c r="A422" s="88">
        <f t="shared" si="8"/>
        <v>43886</v>
      </c>
      <c r="B422" s="72" t="str">
        <f t="shared" si="1"/>
        <v>20200225</v>
      </c>
      <c r="C422" s="72" t="str">
        <f t="shared" si="2"/>
        <v>Tuesday</v>
      </c>
      <c r="D422" s="72" t="str">
        <f t="shared" si="3"/>
        <v>February</v>
      </c>
      <c r="E422" s="72" t="str">
        <f t="shared" si="4"/>
        <v>Q1</v>
      </c>
      <c r="F422" s="72">
        <f t="shared" si="5"/>
        <v>2020</v>
      </c>
      <c r="G422" s="89">
        <f t="shared" si="6"/>
        <v>43890</v>
      </c>
      <c r="H422" s="72" t="str">
        <f t="shared" si="7"/>
        <v>Yes</v>
      </c>
    </row>
    <row r="423" ht="15.75" customHeight="1">
      <c r="A423" s="88">
        <f t="shared" si="8"/>
        <v>43887</v>
      </c>
      <c r="B423" s="72" t="str">
        <f t="shared" si="1"/>
        <v>20200226</v>
      </c>
      <c r="C423" s="72" t="str">
        <f t="shared" si="2"/>
        <v>Wednesday</v>
      </c>
      <c r="D423" s="72" t="str">
        <f t="shared" si="3"/>
        <v>February</v>
      </c>
      <c r="E423" s="72" t="str">
        <f t="shared" si="4"/>
        <v>Q1</v>
      </c>
      <c r="F423" s="72">
        <f t="shared" si="5"/>
        <v>2020</v>
      </c>
      <c r="G423" s="89">
        <f t="shared" si="6"/>
        <v>43890</v>
      </c>
      <c r="H423" s="72" t="str">
        <f t="shared" si="7"/>
        <v>Yes</v>
      </c>
    </row>
    <row r="424" ht="15.75" customHeight="1">
      <c r="A424" s="88">
        <f t="shared" si="8"/>
        <v>43888</v>
      </c>
      <c r="B424" s="72" t="str">
        <f t="shared" si="1"/>
        <v>20200227</v>
      </c>
      <c r="C424" s="72" t="str">
        <f t="shared" si="2"/>
        <v>Thursday</v>
      </c>
      <c r="D424" s="72" t="str">
        <f t="shared" si="3"/>
        <v>February</v>
      </c>
      <c r="E424" s="72" t="str">
        <f t="shared" si="4"/>
        <v>Q1</v>
      </c>
      <c r="F424" s="72">
        <f t="shared" si="5"/>
        <v>2020</v>
      </c>
      <c r="G424" s="89">
        <f t="shared" si="6"/>
        <v>43890</v>
      </c>
      <c r="H424" s="72" t="str">
        <f t="shared" si="7"/>
        <v>Yes</v>
      </c>
    </row>
    <row r="425" ht="15.75" customHeight="1">
      <c r="A425" s="88">
        <f t="shared" si="8"/>
        <v>43889</v>
      </c>
      <c r="B425" s="72" t="str">
        <f t="shared" si="1"/>
        <v>20200228</v>
      </c>
      <c r="C425" s="72" t="str">
        <f t="shared" si="2"/>
        <v>Friday</v>
      </c>
      <c r="D425" s="72" t="str">
        <f t="shared" si="3"/>
        <v>February</v>
      </c>
      <c r="E425" s="72" t="str">
        <f t="shared" si="4"/>
        <v>Q1</v>
      </c>
      <c r="F425" s="72">
        <f t="shared" si="5"/>
        <v>2020</v>
      </c>
      <c r="G425" s="89">
        <f t="shared" si="6"/>
        <v>43890</v>
      </c>
      <c r="H425" s="72" t="str">
        <f t="shared" si="7"/>
        <v>Yes</v>
      </c>
    </row>
    <row r="426" ht="15.75" customHeight="1">
      <c r="A426" s="88">
        <f t="shared" si="8"/>
        <v>43890</v>
      </c>
      <c r="B426" s="72" t="str">
        <f t="shared" si="1"/>
        <v>20200229</v>
      </c>
      <c r="C426" s="72" t="str">
        <f t="shared" si="2"/>
        <v>Saturday</v>
      </c>
      <c r="D426" s="72" t="str">
        <f t="shared" si="3"/>
        <v>February</v>
      </c>
      <c r="E426" s="72" t="str">
        <f t="shared" si="4"/>
        <v>Q1</v>
      </c>
      <c r="F426" s="72">
        <f t="shared" si="5"/>
        <v>2020</v>
      </c>
      <c r="G426" s="89">
        <f t="shared" si="6"/>
        <v>43890</v>
      </c>
      <c r="H426" s="72" t="str">
        <f t="shared" si="7"/>
        <v>No</v>
      </c>
    </row>
    <row r="427" ht="15.75" customHeight="1">
      <c r="A427" s="88">
        <f t="shared" si="8"/>
        <v>43891</v>
      </c>
      <c r="B427" s="72" t="str">
        <f t="shared" si="1"/>
        <v>20200301</v>
      </c>
      <c r="C427" s="72" t="str">
        <f t="shared" si="2"/>
        <v>Sunday</v>
      </c>
      <c r="D427" s="72" t="str">
        <f t="shared" si="3"/>
        <v>March</v>
      </c>
      <c r="E427" s="72" t="str">
        <f t="shared" si="4"/>
        <v>Q1</v>
      </c>
      <c r="F427" s="72">
        <f t="shared" si="5"/>
        <v>2020</v>
      </c>
      <c r="G427" s="89">
        <f t="shared" si="6"/>
        <v>43897</v>
      </c>
      <c r="H427" s="72" t="str">
        <f t="shared" si="7"/>
        <v>No</v>
      </c>
    </row>
    <row r="428" ht="15.75" customHeight="1">
      <c r="A428" s="88">
        <f t="shared" si="8"/>
        <v>43892</v>
      </c>
      <c r="B428" s="72" t="str">
        <f t="shared" si="1"/>
        <v>20200302</v>
      </c>
      <c r="C428" s="72" t="str">
        <f t="shared" si="2"/>
        <v>Monday</v>
      </c>
      <c r="D428" s="72" t="str">
        <f t="shared" si="3"/>
        <v>March</v>
      </c>
      <c r="E428" s="72" t="str">
        <f t="shared" si="4"/>
        <v>Q1</v>
      </c>
      <c r="F428" s="72">
        <f t="shared" si="5"/>
        <v>2020</v>
      </c>
      <c r="G428" s="89">
        <f t="shared" si="6"/>
        <v>43897</v>
      </c>
      <c r="H428" s="72" t="str">
        <f t="shared" si="7"/>
        <v>Yes</v>
      </c>
    </row>
    <row r="429" ht="15.75" customHeight="1">
      <c r="A429" s="88">
        <f t="shared" si="8"/>
        <v>43893</v>
      </c>
      <c r="B429" s="72" t="str">
        <f t="shared" si="1"/>
        <v>20200303</v>
      </c>
      <c r="C429" s="72" t="str">
        <f t="shared" si="2"/>
        <v>Tuesday</v>
      </c>
      <c r="D429" s="72" t="str">
        <f t="shared" si="3"/>
        <v>March</v>
      </c>
      <c r="E429" s="72" t="str">
        <f t="shared" si="4"/>
        <v>Q1</v>
      </c>
      <c r="F429" s="72">
        <f t="shared" si="5"/>
        <v>2020</v>
      </c>
      <c r="G429" s="89">
        <f t="shared" si="6"/>
        <v>43897</v>
      </c>
      <c r="H429" s="72" t="str">
        <f t="shared" si="7"/>
        <v>Yes</v>
      </c>
    </row>
    <row r="430" ht="15.75" customHeight="1">
      <c r="A430" s="88">
        <f t="shared" si="8"/>
        <v>43894</v>
      </c>
      <c r="B430" s="72" t="str">
        <f t="shared" si="1"/>
        <v>20200304</v>
      </c>
      <c r="C430" s="72" t="str">
        <f t="shared" si="2"/>
        <v>Wednesday</v>
      </c>
      <c r="D430" s="72" t="str">
        <f t="shared" si="3"/>
        <v>March</v>
      </c>
      <c r="E430" s="72" t="str">
        <f t="shared" si="4"/>
        <v>Q1</v>
      </c>
      <c r="F430" s="72">
        <f t="shared" si="5"/>
        <v>2020</v>
      </c>
      <c r="G430" s="89">
        <f t="shared" si="6"/>
        <v>43897</v>
      </c>
      <c r="H430" s="72" t="str">
        <f t="shared" si="7"/>
        <v>Yes</v>
      </c>
    </row>
    <row r="431" ht="15.75" customHeight="1">
      <c r="A431" s="88">
        <f t="shared" si="8"/>
        <v>43895</v>
      </c>
      <c r="B431" s="72" t="str">
        <f t="shared" si="1"/>
        <v>20200305</v>
      </c>
      <c r="C431" s="72" t="str">
        <f t="shared" si="2"/>
        <v>Thursday</v>
      </c>
      <c r="D431" s="72" t="str">
        <f t="shared" si="3"/>
        <v>March</v>
      </c>
      <c r="E431" s="72" t="str">
        <f t="shared" si="4"/>
        <v>Q1</v>
      </c>
      <c r="F431" s="72">
        <f t="shared" si="5"/>
        <v>2020</v>
      </c>
      <c r="G431" s="89">
        <f t="shared" si="6"/>
        <v>43897</v>
      </c>
      <c r="H431" s="72" t="str">
        <f t="shared" si="7"/>
        <v>Yes</v>
      </c>
    </row>
    <row r="432" ht="15.75" customHeight="1">
      <c r="A432" s="88">
        <f t="shared" si="8"/>
        <v>43896</v>
      </c>
      <c r="B432" s="72" t="str">
        <f t="shared" si="1"/>
        <v>20200306</v>
      </c>
      <c r="C432" s="72" t="str">
        <f t="shared" si="2"/>
        <v>Friday</v>
      </c>
      <c r="D432" s="72" t="str">
        <f t="shared" si="3"/>
        <v>March</v>
      </c>
      <c r="E432" s="72" t="str">
        <f t="shared" si="4"/>
        <v>Q1</v>
      </c>
      <c r="F432" s="72">
        <f t="shared" si="5"/>
        <v>2020</v>
      </c>
      <c r="G432" s="89">
        <f t="shared" si="6"/>
        <v>43897</v>
      </c>
      <c r="H432" s="72" t="str">
        <f t="shared" si="7"/>
        <v>Yes</v>
      </c>
    </row>
    <row r="433" ht="15.75" customHeight="1">
      <c r="A433" s="88">
        <f t="shared" si="8"/>
        <v>43897</v>
      </c>
      <c r="B433" s="72" t="str">
        <f t="shared" si="1"/>
        <v>20200307</v>
      </c>
      <c r="C433" s="72" t="str">
        <f t="shared" si="2"/>
        <v>Saturday</v>
      </c>
      <c r="D433" s="72" t="str">
        <f t="shared" si="3"/>
        <v>March</v>
      </c>
      <c r="E433" s="72" t="str">
        <f t="shared" si="4"/>
        <v>Q1</v>
      </c>
      <c r="F433" s="72">
        <f t="shared" si="5"/>
        <v>2020</v>
      </c>
      <c r="G433" s="89">
        <f t="shared" si="6"/>
        <v>43897</v>
      </c>
      <c r="H433" s="72" t="str">
        <f t="shared" si="7"/>
        <v>No</v>
      </c>
    </row>
    <row r="434" ht="15.75" customHeight="1">
      <c r="A434" s="88">
        <f t="shared" si="8"/>
        <v>43898</v>
      </c>
      <c r="B434" s="72" t="str">
        <f t="shared" si="1"/>
        <v>20200308</v>
      </c>
      <c r="C434" s="72" t="str">
        <f t="shared" si="2"/>
        <v>Sunday</v>
      </c>
      <c r="D434" s="72" t="str">
        <f t="shared" si="3"/>
        <v>March</v>
      </c>
      <c r="E434" s="72" t="str">
        <f t="shared" si="4"/>
        <v>Q1</v>
      </c>
      <c r="F434" s="72">
        <f t="shared" si="5"/>
        <v>2020</v>
      </c>
      <c r="G434" s="89">
        <f t="shared" si="6"/>
        <v>43904</v>
      </c>
      <c r="H434" s="72" t="str">
        <f t="shared" si="7"/>
        <v>No</v>
      </c>
    </row>
    <row r="435" ht="15.75" customHeight="1">
      <c r="A435" s="88">
        <f t="shared" si="8"/>
        <v>43899</v>
      </c>
      <c r="B435" s="72" t="str">
        <f t="shared" si="1"/>
        <v>20200309</v>
      </c>
      <c r="C435" s="72" t="str">
        <f t="shared" si="2"/>
        <v>Monday</v>
      </c>
      <c r="D435" s="72" t="str">
        <f t="shared" si="3"/>
        <v>March</v>
      </c>
      <c r="E435" s="72" t="str">
        <f t="shared" si="4"/>
        <v>Q1</v>
      </c>
      <c r="F435" s="72">
        <f t="shared" si="5"/>
        <v>2020</v>
      </c>
      <c r="G435" s="89">
        <f t="shared" si="6"/>
        <v>43904</v>
      </c>
      <c r="H435" s="72" t="str">
        <f t="shared" si="7"/>
        <v>Yes</v>
      </c>
    </row>
    <row r="436" ht="15.75" customHeight="1">
      <c r="A436" s="88">
        <f t="shared" si="8"/>
        <v>43900</v>
      </c>
      <c r="B436" s="72" t="str">
        <f t="shared" si="1"/>
        <v>20200310</v>
      </c>
      <c r="C436" s="72" t="str">
        <f t="shared" si="2"/>
        <v>Tuesday</v>
      </c>
      <c r="D436" s="72" t="str">
        <f t="shared" si="3"/>
        <v>March</v>
      </c>
      <c r="E436" s="72" t="str">
        <f t="shared" si="4"/>
        <v>Q1</v>
      </c>
      <c r="F436" s="72">
        <f t="shared" si="5"/>
        <v>2020</v>
      </c>
      <c r="G436" s="89">
        <f t="shared" si="6"/>
        <v>43904</v>
      </c>
      <c r="H436" s="72" t="str">
        <f t="shared" si="7"/>
        <v>Yes</v>
      </c>
    </row>
    <row r="437" ht="15.75" customHeight="1">
      <c r="A437" s="88">
        <f t="shared" si="8"/>
        <v>43901</v>
      </c>
      <c r="B437" s="72" t="str">
        <f t="shared" si="1"/>
        <v>20200311</v>
      </c>
      <c r="C437" s="72" t="str">
        <f t="shared" si="2"/>
        <v>Wednesday</v>
      </c>
      <c r="D437" s="72" t="str">
        <f t="shared" si="3"/>
        <v>March</v>
      </c>
      <c r="E437" s="72" t="str">
        <f t="shared" si="4"/>
        <v>Q1</v>
      </c>
      <c r="F437" s="72">
        <f t="shared" si="5"/>
        <v>2020</v>
      </c>
      <c r="G437" s="89">
        <f t="shared" si="6"/>
        <v>43904</v>
      </c>
      <c r="H437" s="72" t="str">
        <f t="shared" si="7"/>
        <v>Yes</v>
      </c>
    </row>
    <row r="438" ht="15.75" customHeight="1">
      <c r="A438" s="88">
        <f t="shared" si="8"/>
        <v>43902</v>
      </c>
      <c r="B438" s="72" t="str">
        <f t="shared" si="1"/>
        <v>20200312</v>
      </c>
      <c r="C438" s="72" t="str">
        <f t="shared" si="2"/>
        <v>Thursday</v>
      </c>
      <c r="D438" s="72" t="str">
        <f t="shared" si="3"/>
        <v>March</v>
      </c>
      <c r="E438" s="72" t="str">
        <f t="shared" si="4"/>
        <v>Q1</v>
      </c>
      <c r="F438" s="72">
        <f t="shared" si="5"/>
        <v>2020</v>
      </c>
      <c r="G438" s="89">
        <f t="shared" si="6"/>
        <v>43904</v>
      </c>
      <c r="H438" s="72" t="str">
        <f t="shared" si="7"/>
        <v>Yes</v>
      </c>
    </row>
    <row r="439" ht="15.75" customHeight="1">
      <c r="A439" s="88">
        <f t="shared" si="8"/>
        <v>43903</v>
      </c>
      <c r="B439" s="72" t="str">
        <f t="shared" si="1"/>
        <v>20200313</v>
      </c>
      <c r="C439" s="72" t="str">
        <f t="shared" si="2"/>
        <v>Friday</v>
      </c>
      <c r="D439" s="72" t="str">
        <f t="shared" si="3"/>
        <v>March</v>
      </c>
      <c r="E439" s="72" t="str">
        <f t="shared" si="4"/>
        <v>Q1</v>
      </c>
      <c r="F439" s="72">
        <f t="shared" si="5"/>
        <v>2020</v>
      </c>
      <c r="G439" s="89">
        <f t="shared" si="6"/>
        <v>43904</v>
      </c>
      <c r="H439" s="72" t="str">
        <f t="shared" si="7"/>
        <v>Yes</v>
      </c>
    </row>
    <row r="440" ht="15.75" customHeight="1">
      <c r="A440" s="88">
        <f t="shared" si="8"/>
        <v>43904</v>
      </c>
      <c r="B440" s="72" t="str">
        <f t="shared" si="1"/>
        <v>20200314</v>
      </c>
      <c r="C440" s="72" t="str">
        <f t="shared" si="2"/>
        <v>Saturday</v>
      </c>
      <c r="D440" s="72" t="str">
        <f t="shared" si="3"/>
        <v>March</v>
      </c>
      <c r="E440" s="72" t="str">
        <f t="shared" si="4"/>
        <v>Q1</v>
      </c>
      <c r="F440" s="72">
        <f t="shared" si="5"/>
        <v>2020</v>
      </c>
      <c r="G440" s="89">
        <f t="shared" si="6"/>
        <v>43904</v>
      </c>
      <c r="H440" s="72" t="str">
        <f t="shared" si="7"/>
        <v>No</v>
      </c>
    </row>
    <row r="441" ht="15.75" customHeight="1">
      <c r="A441" s="88">
        <f t="shared" si="8"/>
        <v>43905</v>
      </c>
      <c r="B441" s="72" t="str">
        <f t="shared" si="1"/>
        <v>20200315</v>
      </c>
      <c r="C441" s="72" t="str">
        <f t="shared" si="2"/>
        <v>Sunday</v>
      </c>
      <c r="D441" s="72" t="str">
        <f t="shared" si="3"/>
        <v>March</v>
      </c>
      <c r="E441" s="72" t="str">
        <f t="shared" si="4"/>
        <v>Q1</v>
      </c>
      <c r="F441" s="72">
        <f t="shared" si="5"/>
        <v>2020</v>
      </c>
      <c r="G441" s="89">
        <f t="shared" si="6"/>
        <v>43911</v>
      </c>
      <c r="H441" s="72" t="str">
        <f t="shared" si="7"/>
        <v>No</v>
      </c>
    </row>
    <row r="442" ht="15.75" customHeight="1">
      <c r="A442" s="88">
        <f t="shared" si="8"/>
        <v>43906</v>
      </c>
      <c r="B442" s="72" t="str">
        <f t="shared" si="1"/>
        <v>20200316</v>
      </c>
      <c r="C442" s="72" t="str">
        <f t="shared" si="2"/>
        <v>Monday</v>
      </c>
      <c r="D442" s="72" t="str">
        <f t="shared" si="3"/>
        <v>March</v>
      </c>
      <c r="E442" s="72" t="str">
        <f t="shared" si="4"/>
        <v>Q1</v>
      </c>
      <c r="F442" s="72">
        <f t="shared" si="5"/>
        <v>2020</v>
      </c>
      <c r="G442" s="89">
        <f t="shared" si="6"/>
        <v>43911</v>
      </c>
      <c r="H442" s="72" t="str">
        <f t="shared" si="7"/>
        <v>Yes</v>
      </c>
    </row>
    <row r="443" ht="15.75" customHeight="1">
      <c r="A443" s="88">
        <f t="shared" si="8"/>
        <v>43907</v>
      </c>
      <c r="B443" s="72" t="str">
        <f t="shared" si="1"/>
        <v>20200317</v>
      </c>
      <c r="C443" s="72" t="str">
        <f t="shared" si="2"/>
        <v>Tuesday</v>
      </c>
      <c r="D443" s="72" t="str">
        <f t="shared" si="3"/>
        <v>March</v>
      </c>
      <c r="E443" s="72" t="str">
        <f t="shared" si="4"/>
        <v>Q1</v>
      </c>
      <c r="F443" s="72">
        <f t="shared" si="5"/>
        <v>2020</v>
      </c>
      <c r="G443" s="89">
        <f t="shared" si="6"/>
        <v>43911</v>
      </c>
      <c r="H443" s="72" t="str">
        <f t="shared" si="7"/>
        <v>Yes</v>
      </c>
    </row>
    <row r="444" ht="15.75" customHeight="1">
      <c r="A444" s="88">
        <f t="shared" si="8"/>
        <v>43908</v>
      </c>
      <c r="B444" s="72" t="str">
        <f t="shared" si="1"/>
        <v>20200318</v>
      </c>
      <c r="C444" s="72" t="str">
        <f t="shared" si="2"/>
        <v>Wednesday</v>
      </c>
      <c r="D444" s="72" t="str">
        <f t="shared" si="3"/>
        <v>March</v>
      </c>
      <c r="E444" s="72" t="str">
        <f t="shared" si="4"/>
        <v>Q1</v>
      </c>
      <c r="F444" s="72">
        <f t="shared" si="5"/>
        <v>2020</v>
      </c>
      <c r="G444" s="89">
        <f t="shared" si="6"/>
        <v>43911</v>
      </c>
      <c r="H444" s="72" t="str">
        <f t="shared" si="7"/>
        <v>Yes</v>
      </c>
    </row>
    <row r="445" ht="15.75" customHeight="1">
      <c r="A445" s="88">
        <f t="shared" si="8"/>
        <v>43909</v>
      </c>
      <c r="B445" s="72" t="str">
        <f t="shared" si="1"/>
        <v>20200319</v>
      </c>
      <c r="C445" s="72" t="str">
        <f t="shared" si="2"/>
        <v>Thursday</v>
      </c>
      <c r="D445" s="72" t="str">
        <f t="shared" si="3"/>
        <v>March</v>
      </c>
      <c r="E445" s="72" t="str">
        <f t="shared" si="4"/>
        <v>Q1</v>
      </c>
      <c r="F445" s="72">
        <f t="shared" si="5"/>
        <v>2020</v>
      </c>
      <c r="G445" s="89">
        <f t="shared" si="6"/>
        <v>43911</v>
      </c>
      <c r="H445" s="72" t="str">
        <f t="shared" si="7"/>
        <v>Yes</v>
      </c>
    </row>
    <row r="446" ht="15.75" customHeight="1">
      <c r="A446" s="88">
        <f t="shared" si="8"/>
        <v>43910</v>
      </c>
      <c r="B446" s="72" t="str">
        <f t="shared" si="1"/>
        <v>20200320</v>
      </c>
      <c r="C446" s="72" t="str">
        <f t="shared" si="2"/>
        <v>Friday</v>
      </c>
      <c r="D446" s="72" t="str">
        <f t="shared" si="3"/>
        <v>March</v>
      </c>
      <c r="E446" s="72" t="str">
        <f t="shared" si="4"/>
        <v>Q1</v>
      </c>
      <c r="F446" s="72">
        <f t="shared" si="5"/>
        <v>2020</v>
      </c>
      <c r="G446" s="89">
        <f t="shared" si="6"/>
        <v>43911</v>
      </c>
      <c r="H446" s="72" t="str">
        <f t="shared" si="7"/>
        <v>Yes</v>
      </c>
    </row>
    <row r="447" ht="15.75" customHeight="1">
      <c r="A447" s="88">
        <f t="shared" si="8"/>
        <v>43911</v>
      </c>
      <c r="B447" s="72" t="str">
        <f t="shared" si="1"/>
        <v>20200321</v>
      </c>
      <c r="C447" s="72" t="str">
        <f t="shared" si="2"/>
        <v>Saturday</v>
      </c>
      <c r="D447" s="72" t="str">
        <f t="shared" si="3"/>
        <v>March</v>
      </c>
      <c r="E447" s="72" t="str">
        <f t="shared" si="4"/>
        <v>Q1</v>
      </c>
      <c r="F447" s="72">
        <f t="shared" si="5"/>
        <v>2020</v>
      </c>
      <c r="G447" s="89">
        <f t="shared" si="6"/>
        <v>43911</v>
      </c>
      <c r="H447" s="72" t="str">
        <f t="shared" si="7"/>
        <v>No</v>
      </c>
    </row>
    <row r="448" ht="15.75" customHeight="1">
      <c r="A448" s="88">
        <f t="shared" si="8"/>
        <v>43912</v>
      </c>
      <c r="B448" s="72" t="str">
        <f t="shared" si="1"/>
        <v>20200322</v>
      </c>
      <c r="C448" s="72" t="str">
        <f t="shared" si="2"/>
        <v>Sunday</v>
      </c>
      <c r="D448" s="72" t="str">
        <f t="shared" si="3"/>
        <v>March</v>
      </c>
      <c r="E448" s="72" t="str">
        <f t="shared" si="4"/>
        <v>Q1</v>
      </c>
      <c r="F448" s="72">
        <f t="shared" si="5"/>
        <v>2020</v>
      </c>
      <c r="G448" s="89">
        <f t="shared" si="6"/>
        <v>43918</v>
      </c>
      <c r="H448" s="72" t="str">
        <f t="shared" si="7"/>
        <v>No</v>
      </c>
    </row>
    <row r="449" ht="15.75" customHeight="1">
      <c r="A449" s="88">
        <f t="shared" si="8"/>
        <v>43913</v>
      </c>
      <c r="B449" s="72" t="str">
        <f t="shared" si="1"/>
        <v>20200323</v>
      </c>
      <c r="C449" s="72" t="str">
        <f t="shared" si="2"/>
        <v>Monday</v>
      </c>
      <c r="D449" s="72" t="str">
        <f t="shared" si="3"/>
        <v>March</v>
      </c>
      <c r="E449" s="72" t="str">
        <f t="shared" si="4"/>
        <v>Q1</v>
      </c>
      <c r="F449" s="72">
        <f t="shared" si="5"/>
        <v>2020</v>
      </c>
      <c r="G449" s="89">
        <f t="shared" si="6"/>
        <v>43918</v>
      </c>
      <c r="H449" s="72" t="str">
        <f t="shared" si="7"/>
        <v>Yes</v>
      </c>
    </row>
    <row r="450" ht="15.75" customHeight="1">
      <c r="A450" s="88">
        <f t="shared" si="8"/>
        <v>43914</v>
      </c>
      <c r="B450" s="72" t="str">
        <f t="shared" si="1"/>
        <v>20200324</v>
      </c>
      <c r="C450" s="72" t="str">
        <f t="shared" si="2"/>
        <v>Tuesday</v>
      </c>
      <c r="D450" s="72" t="str">
        <f t="shared" si="3"/>
        <v>March</v>
      </c>
      <c r="E450" s="72" t="str">
        <f t="shared" si="4"/>
        <v>Q1</v>
      </c>
      <c r="F450" s="72">
        <f t="shared" si="5"/>
        <v>2020</v>
      </c>
      <c r="G450" s="89">
        <f t="shared" si="6"/>
        <v>43918</v>
      </c>
      <c r="H450" s="72" t="str">
        <f t="shared" si="7"/>
        <v>Yes</v>
      </c>
    </row>
    <row r="451" ht="15.75" customHeight="1">
      <c r="A451" s="88">
        <f t="shared" si="8"/>
        <v>43915</v>
      </c>
      <c r="B451" s="72" t="str">
        <f t="shared" si="1"/>
        <v>20200325</v>
      </c>
      <c r="C451" s="72" t="str">
        <f t="shared" si="2"/>
        <v>Wednesday</v>
      </c>
      <c r="D451" s="72" t="str">
        <f t="shared" si="3"/>
        <v>March</v>
      </c>
      <c r="E451" s="72" t="str">
        <f t="shared" si="4"/>
        <v>Q1</v>
      </c>
      <c r="F451" s="72">
        <f t="shared" si="5"/>
        <v>2020</v>
      </c>
      <c r="G451" s="89">
        <f t="shared" si="6"/>
        <v>43918</v>
      </c>
      <c r="H451" s="72" t="str">
        <f t="shared" si="7"/>
        <v>Yes</v>
      </c>
    </row>
    <row r="452" ht="15.75" customHeight="1">
      <c r="A452" s="88">
        <f t="shared" si="8"/>
        <v>43916</v>
      </c>
      <c r="B452" s="72" t="str">
        <f t="shared" si="1"/>
        <v>20200326</v>
      </c>
      <c r="C452" s="72" t="str">
        <f t="shared" si="2"/>
        <v>Thursday</v>
      </c>
      <c r="D452" s="72" t="str">
        <f t="shared" si="3"/>
        <v>March</v>
      </c>
      <c r="E452" s="72" t="str">
        <f t="shared" si="4"/>
        <v>Q1</v>
      </c>
      <c r="F452" s="72">
        <f t="shared" si="5"/>
        <v>2020</v>
      </c>
      <c r="G452" s="89">
        <f t="shared" si="6"/>
        <v>43918</v>
      </c>
      <c r="H452" s="72" t="str">
        <f t="shared" si="7"/>
        <v>Yes</v>
      </c>
    </row>
    <row r="453" ht="15.75" customHeight="1">
      <c r="A453" s="88">
        <f t="shared" si="8"/>
        <v>43917</v>
      </c>
      <c r="B453" s="72" t="str">
        <f t="shared" si="1"/>
        <v>20200327</v>
      </c>
      <c r="C453" s="72" t="str">
        <f t="shared" si="2"/>
        <v>Friday</v>
      </c>
      <c r="D453" s="72" t="str">
        <f t="shared" si="3"/>
        <v>March</v>
      </c>
      <c r="E453" s="72" t="str">
        <f t="shared" si="4"/>
        <v>Q1</v>
      </c>
      <c r="F453" s="72">
        <f t="shared" si="5"/>
        <v>2020</v>
      </c>
      <c r="G453" s="89">
        <f t="shared" si="6"/>
        <v>43918</v>
      </c>
      <c r="H453" s="72" t="str">
        <f t="shared" si="7"/>
        <v>Yes</v>
      </c>
    </row>
    <row r="454" ht="15.75" customHeight="1">
      <c r="A454" s="88">
        <f t="shared" si="8"/>
        <v>43918</v>
      </c>
      <c r="B454" s="72" t="str">
        <f t="shared" si="1"/>
        <v>20200328</v>
      </c>
      <c r="C454" s="72" t="str">
        <f t="shared" si="2"/>
        <v>Saturday</v>
      </c>
      <c r="D454" s="72" t="str">
        <f t="shared" si="3"/>
        <v>March</v>
      </c>
      <c r="E454" s="72" t="str">
        <f t="shared" si="4"/>
        <v>Q1</v>
      </c>
      <c r="F454" s="72">
        <f t="shared" si="5"/>
        <v>2020</v>
      </c>
      <c r="G454" s="89">
        <f t="shared" si="6"/>
        <v>43918</v>
      </c>
      <c r="H454" s="72" t="str">
        <f t="shared" si="7"/>
        <v>No</v>
      </c>
    </row>
    <row r="455" ht="15.75" customHeight="1">
      <c r="A455" s="88">
        <f t="shared" si="8"/>
        <v>43919</v>
      </c>
      <c r="B455" s="72" t="str">
        <f t="shared" si="1"/>
        <v>20200329</v>
      </c>
      <c r="C455" s="72" t="str">
        <f t="shared" si="2"/>
        <v>Sunday</v>
      </c>
      <c r="D455" s="72" t="str">
        <f t="shared" si="3"/>
        <v>March</v>
      </c>
      <c r="E455" s="72" t="str">
        <f t="shared" si="4"/>
        <v>Q1</v>
      </c>
      <c r="F455" s="72">
        <f t="shared" si="5"/>
        <v>2020</v>
      </c>
      <c r="G455" s="89">
        <f t="shared" si="6"/>
        <v>43925</v>
      </c>
      <c r="H455" s="72" t="str">
        <f t="shared" si="7"/>
        <v>No</v>
      </c>
    </row>
    <row r="456" ht="15.75" customHeight="1">
      <c r="A456" s="88">
        <f t="shared" si="8"/>
        <v>43920</v>
      </c>
      <c r="B456" s="72" t="str">
        <f t="shared" si="1"/>
        <v>20200330</v>
      </c>
      <c r="C456" s="72" t="str">
        <f t="shared" si="2"/>
        <v>Monday</v>
      </c>
      <c r="D456" s="72" t="str">
        <f t="shared" si="3"/>
        <v>March</v>
      </c>
      <c r="E456" s="72" t="str">
        <f t="shared" si="4"/>
        <v>Q1</v>
      </c>
      <c r="F456" s="72">
        <f t="shared" si="5"/>
        <v>2020</v>
      </c>
      <c r="G456" s="89">
        <f t="shared" si="6"/>
        <v>43925</v>
      </c>
      <c r="H456" s="72" t="str">
        <f t="shared" si="7"/>
        <v>Yes</v>
      </c>
    </row>
    <row r="457" ht="15.75" customHeight="1">
      <c r="A457" s="88">
        <f t="shared" si="8"/>
        <v>43921</v>
      </c>
      <c r="B457" s="72" t="str">
        <f t="shared" si="1"/>
        <v>20200331</v>
      </c>
      <c r="C457" s="72" t="str">
        <f t="shared" si="2"/>
        <v>Tuesday</v>
      </c>
      <c r="D457" s="72" t="str">
        <f t="shared" si="3"/>
        <v>March</v>
      </c>
      <c r="E457" s="72" t="str">
        <f t="shared" si="4"/>
        <v>Q1</v>
      </c>
      <c r="F457" s="72">
        <f t="shared" si="5"/>
        <v>2020</v>
      </c>
      <c r="G457" s="89">
        <f t="shared" si="6"/>
        <v>43925</v>
      </c>
      <c r="H457" s="72" t="str">
        <f t="shared" si="7"/>
        <v>Yes</v>
      </c>
    </row>
    <row r="458" ht="15.75" customHeight="1">
      <c r="A458" s="88">
        <f t="shared" si="8"/>
        <v>43922</v>
      </c>
      <c r="B458" s="72" t="str">
        <f t="shared" si="1"/>
        <v>20200401</v>
      </c>
      <c r="C458" s="72" t="str">
        <f t="shared" si="2"/>
        <v>Wednesday</v>
      </c>
      <c r="D458" s="72" t="str">
        <f t="shared" si="3"/>
        <v>April</v>
      </c>
      <c r="E458" s="72" t="str">
        <f t="shared" si="4"/>
        <v>Q2</v>
      </c>
      <c r="F458" s="72">
        <f t="shared" si="5"/>
        <v>2020</v>
      </c>
      <c r="G458" s="89">
        <f t="shared" si="6"/>
        <v>43925</v>
      </c>
      <c r="H458" s="72" t="str">
        <f t="shared" si="7"/>
        <v>Yes</v>
      </c>
    </row>
    <row r="459" ht="15.75" customHeight="1">
      <c r="A459" s="88">
        <f t="shared" si="8"/>
        <v>43923</v>
      </c>
      <c r="B459" s="72" t="str">
        <f t="shared" si="1"/>
        <v>20200402</v>
      </c>
      <c r="C459" s="72" t="str">
        <f t="shared" si="2"/>
        <v>Thursday</v>
      </c>
      <c r="D459" s="72" t="str">
        <f t="shared" si="3"/>
        <v>April</v>
      </c>
      <c r="E459" s="72" t="str">
        <f t="shared" si="4"/>
        <v>Q2</v>
      </c>
      <c r="F459" s="72">
        <f t="shared" si="5"/>
        <v>2020</v>
      </c>
      <c r="G459" s="89">
        <f t="shared" si="6"/>
        <v>43925</v>
      </c>
      <c r="H459" s="72" t="str">
        <f t="shared" si="7"/>
        <v>Yes</v>
      </c>
    </row>
    <row r="460" ht="15.75" customHeight="1">
      <c r="A460" s="88">
        <f t="shared" si="8"/>
        <v>43924</v>
      </c>
      <c r="B460" s="72" t="str">
        <f t="shared" si="1"/>
        <v>20200403</v>
      </c>
      <c r="C460" s="72" t="str">
        <f t="shared" si="2"/>
        <v>Friday</v>
      </c>
      <c r="D460" s="72" t="str">
        <f t="shared" si="3"/>
        <v>April</v>
      </c>
      <c r="E460" s="72" t="str">
        <f t="shared" si="4"/>
        <v>Q2</v>
      </c>
      <c r="F460" s="72">
        <f t="shared" si="5"/>
        <v>2020</v>
      </c>
      <c r="G460" s="89">
        <f t="shared" si="6"/>
        <v>43925</v>
      </c>
      <c r="H460" s="72" t="str">
        <f t="shared" si="7"/>
        <v>Yes</v>
      </c>
    </row>
    <row r="461" ht="15.75" customHeight="1">
      <c r="A461" s="88">
        <f t="shared" si="8"/>
        <v>43925</v>
      </c>
      <c r="B461" s="72" t="str">
        <f t="shared" si="1"/>
        <v>20200404</v>
      </c>
      <c r="C461" s="72" t="str">
        <f t="shared" si="2"/>
        <v>Saturday</v>
      </c>
      <c r="D461" s="72" t="str">
        <f t="shared" si="3"/>
        <v>April</v>
      </c>
      <c r="E461" s="72" t="str">
        <f t="shared" si="4"/>
        <v>Q2</v>
      </c>
      <c r="F461" s="72">
        <f t="shared" si="5"/>
        <v>2020</v>
      </c>
      <c r="G461" s="89">
        <f t="shared" si="6"/>
        <v>43925</v>
      </c>
      <c r="H461" s="72" t="str">
        <f t="shared" si="7"/>
        <v>No</v>
      </c>
    </row>
    <row r="462" ht="15.75" customHeight="1">
      <c r="A462" s="88">
        <f t="shared" si="8"/>
        <v>43926</v>
      </c>
      <c r="B462" s="72" t="str">
        <f t="shared" si="1"/>
        <v>20200405</v>
      </c>
      <c r="C462" s="72" t="str">
        <f t="shared" si="2"/>
        <v>Sunday</v>
      </c>
      <c r="D462" s="72" t="str">
        <f t="shared" si="3"/>
        <v>April</v>
      </c>
      <c r="E462" s="72" t="str">
        <f t="shared" si="4"/>
        <v>Q2</v>
      </c>
      <c r="F462" s="72">
        <f t="shared" si="5"/>
        <v>2020</v>
      </c>
      <c r="G462" s="89">
        <f t="shared" si="6"/>
        <v>43932</v>
      </c>
      <c r="H462" s="72" t="str">
        <f t="shared" si="7"/>
        <v>No</v>
      </c>
    </row>
    <row r="463" ht="15.75" customHeight="1">
      <c r="A463" s="88">
        <f t="shared" si="8"/>
        <v>43927</v>
      </c>
      <c r="B463" s="72" t="str">
        <f t="shared" si="1"/>
        <v>20200406</v>
      </c>
      <c r="C463" s="72" t="str">
        <f t="shared" si="2"/>
        <v>Monday</v>
      </c>
      <c r="D463" s="72" t="str">
        <f t="shared" si="3"/>
        <v>April</v>
      </c>
      <c r="E463" s="72" t="str">
        <f t="shared" si="4"/>
        <v>Q2</v>
      </c>
      <c r="F463" s="72">
        <f t="shared" si="5"/>
        <v>2020</v>
      </c>
      <c r="G463" s="89">
        <f t="shared" si="6"/>
        <v>43932</v>
      </c>
      <c r="H463" s="72" t="str">
        <f t="shared" si="7"/>
        <v>Yes</v>
      </c>
    </row>
    <row r="464" ht="15.75" customHeight="1">
      <c r="A464" s="88">
        <f t="shared" si="8"/>
        <v>43928</v>
      </c>
      <c r="B464" s="72" t="str">
        <f t="shared" si="1"/>
        <v>20200407</v>
      </c>
      <c r="C464" s="72" t="str">
        <f t="shared" si="2"/>
        <v>Tuesday</v>
      </c>
      <c r="D464" s="72" t="str">
        <f t="shared" si="3"/>
        <v>April</v>
      </c>
      <c r="E464" s="72" t="str">
        <f t="shared" si="4"/>
        <v>Q2</v>
      </c>
      <c r="F464" s="72">
        <f t="shared" si="5"/>
        <v>2020</v>
      </c>
      <c r="G464" s="89">
        <f t="shared" si="6"/>
        <v>43932</v>
      </c>
      <c r="H464" s="72" t="str">
        <f t="shared" si="7"/>
        <v>Yes</v>
      </c>
    </row>
    <row r="465" ht="15.75" customHeight="1">
      <c r="A465" s="88">
        <f t="shared" si="8"/>
        <v>43929</v>
      </c>
      <c r="B465" s="72" t="str">
        <f t="shared" si="1"/>
        <v>20200408</v>
      </c>
      <c r="C465" s="72" t="str">
        <f t="shared" si="2"/>
        <v>Wednesday</v>
      </c>
      <c r="D465" s="72" t="str">
        <f t="shared" si="3"/>
        <v>April</v>
      </c>
      <c r="E465" s="72" t="str">
        <f t="shared" si="4"/>
        <v>Q2</v>
      </c>
      <c r="F465" s="72">
        <f t="shared" si="5"/>
        <v>2020</v>
      </c>
      <c r="G465" s="89">
        <f t="shared" si="6"/>
        <v>43932</v>
      </c>
      <c r="H465" s="72" t="str">
        <f t="shared" si="7"/>
        <v>Yes</v>
      </c>
    </row>
    <row r="466" ht="15.75" customHeight="1">
      <c r="A466" s="88">
        <f t="shared" si="8"/>
        <v>43930</v>
      </c>
      <c r="B466" s="72" t="str">
        <f t="shared" si="1"/>
        <v>20200409</v>
      </c>
      <c r="C466" s="72" t="str">
        <f t="shared" si="2"/>
        <v>Thursday</v>
      </c>
      <c r="D466" s="72" t="str">
        <f t="shared" si="3"/>
        <v>April</v>
      </c>
      <c r="E466" s="72" t="str">
        <f t="shared" si="4"/>
        <v>Q2</v>
      </c>
      <c r="F466" s="72">
        <f t="shared" si="5"/>
        <v>2020</v>
      </c>
      <c r="G466" s="89">
        <f t="shared" si="6"/>
        <v>43932</v>
      </c>
      <c r="H466" s="72" t="str">
        <f t="shared" si="7"/>
        <v>Yes</v>
      </c>
    </row>
    <row r="467" ht="15.75" customHeight="1">
      <c r="A467" s="88">
        <f t="shared" si="8"/>
        <v>43931</v>
      </c>
      <c r="B467" s="72" t="str">
        <f t="shared" si="1"/>
        <v>20200410</v>
      </c>
      <c r="C467" s="72" t="str">
        <f t="shared" si="2"/>
        <v>Friday</v>
      </c>
      <c r="D467" s="72" t="str">
        <f t="shared" si="3"/>
        <v>April</v>
      </c>
      <c r="E467" s="72" t="str">
        <f t="shared" si="4"/>
        <v>Q2</v>
      </c>
      <c r="F467" s="72">
        <f t="shared" si="5"/>
        <v>2020</v>
      </c>
      <c r="G467" s="89">
        <f t="shared" si="6"/>
        <v>43932</v>
      </c>
      <c r="H467" s="72" t="str">
        <f t="shared" si="7"/>
        <v>Yes</v>
      </c>
    </row>
    <row r="468" ht="15.75" customHeight="1">
      <c r="A468" s="88">
        <f t="shared" si="8"/>
        <v>43932</v>
      </c>
      <c r="B468" s="72" t="str">
        <f t="shared" si="1"/>
        <v>20200411</v>
      </c>
      <c r="C468" s="72" t="str">
        <f t="shared" si="2"/>
        <v>Saturday</v>
      </c>
      <c r="D468" s="72" t="str">
        <f t="shared" si="3"/>
        <v>April</v>
      </c>
      <c r="E468" s="72" t="str">
        <f t="shared" si="4"/>
        <v>Q2</v>
      </c>
      <c r="F468" s="72">
        <f t="shared" si="5"/>
        <v>2020</v>
      </c>
      <c r="G468" s="89">
        <f t="shared" si="6"/>
        <v>43932</v>
      </c>
      <c r="H468" s="72" t="str">
        <f t="shared" si="7"/>
        <v>No</v>
      </c>
    </row>
    <row r="469" ht="15.75" customHeight="1">
      <c r="A469" s="88">
        <f t="shared" si="8"/>
        <v>43933</v>
      </c>
      <c r="B469" s="72" t="str">
        <f t="shared" si="1"/>
        <v>20200412</v>
      </c>
      <c r="C469" s="72" t="str">
        <f t="shared" si="2"/>
        <v>Sunday</v>
      </c>
      <c r="D469" s="72" t="str">
        <f t="shared" si="3"/>
        <v>April</v>
      </c>
      <c r="E469" s="72" t="str">
        <f t="shared" si="4"/>
        <v>Q2</v>
      </c>
      <c r="F469" s="72">
        <f t="shared" si="5"/>
        <v>2020</v>
      </c>
      <c r="G469" s="89">
        <f t="shared" si="6"/>
        <v>43939</v>
      </c>
      <c r="H469" s="72" t="str">
        <f t="shared" si="7"/>
        <v>No</v>
      </c>
    </row>
    <row r="470" ht="15.75" customHeight="1">
      <c r="A470" s="88">
        <f t="shared" si="8"/>
        <v>43934</v>
      </c>
      <c r="B470" s="72" t="str">
        <f t="shared" si="1"/>
        <v>20200413</v>
      </c>
      <c r="C470" s="72" t="str">
        <f t="shared" si="2"/>
        <v>Monday</v>
      </c>
      <c r="D470" s="72" t="str">
        <f t="shared" si="3"/>
        <v>April</v>
      </c>
      <c r="E470" s="72" t="str">
        <f t="shared" si="4"/>
        <v>Q2</v>
      </c>
      <c r="F470" s="72">
        <f t="shared" si="5"/>
        <v>2020</v>
      </c>
      <c r="G470" s="89">
        <f t="shared" si="6"/>
        <v>43939</v>
      </c>
      <c r="H470" s="72" t="str">
        <f t="shared" si="7"/>
        <v>Yes</v>
      </c>
    </row>
    <row r="471" ht="15.75" customHeight="1">
      <c r="A471" s="88">
        <f t="shared" si="8"/>
        <v>43935</v>
      </c>
      <c r="B471" s="72" t="str">
        <f t="shared" si="1"/>
        <v>20200414</v>
      </c>
      <c r="C471" s="72" t="str">
        <f t="shared" si="2"/>
        <v>Tuesday</v>
      </c>
      <c r="D471" s="72" t="str">
        <f t="shared" si="3"/>
        <v>April</v>
      </c>
      <c r="E471" s="72" t="str">
        <f t="shared" si="4"/>
        <v>Q2</v>
      </c>
      <c r="F471" s="72">
        <f t="shared" si="5"/>
        <v>2020</v>
      </c>
      <c r="G471" s="89">
        <f t="shared" si="6"/>
        <v>43939</v>
      </c>
      <c r="H471" s="72" t="str">
        <f t="shared" si="7"/>
        <v>Yes</v>
      </c>
    </row>
    <row r="472" ht="15.75" customHeight="1">
      <c r="A472" s="88">
        <f t="shared" si="8"/>
        <v>43936</v>
      </c>
      <c r="B472" s="72" t="str">
        <f t="shared" si="1"/>
        <v>20200415</v>
      </c>
      <c r="C472" s="72" t="str">
        <f t="shared" si="2"/>
        <v>Wednesday</v>
      </c>
      <c r="D472" s="72" t="str">
        <f t="shared" si="3"/>
        <v>April</v>
      </c>
      <c r="E472" s="72" t="str">
        <f t="shared" si="4"/>
        <v>Q2</v>
      </c>
      <c r="F472" s="72">
        <f t="shared" si="5"/>
        <v>2020</v>
      </c>
      <c r="G472" s="89">
        <f t="shared" si="6"/>
        <v>43939</v>
      </c>
      <c r="H472" s="72" t="str">
        <f t="shared" si="7"/>
        <v>Yes</v>
      </c>
    </row>
    <row r="473" ht="15.75" customHeight="1">
      <c r="A473" s="88">
        <f t="shared" si="8"/>
        <v>43937</v>
      </c>
      <c r="B473" s="72" t="str">
        <f t="shared" si="1"/>
        <v>20200416</v>
      </c>
      <c r="C473" s="72" t="str">
        <f t="shared" si="2"/>
        <v>Thursday</v>
      </c>
      <c r="D473" s="72" t="str">
        <f t="shared" si="3"/>
        <v>April</v>
      </c>
      <c r="E473" s="72" t="str">
        <f t="shared" si="4"/>
        <v>Q2</v>
      </c>
      <c r="F473" s="72">
        <f t="shared" si="5"/>
        <v>2020</v>
      </c>
      <c r="G473" s="89">
        <f t="shared" si="6"/>
        <v>43939</v>
      </c>
      <c r="H473" s="72" t="str">
        <f t="shared" si="7"/>
        <v>Yes</v>
      </c>
    </row>
    <row r="474" ht="15.75" customHeight="1">
      <c r="A474" s="88">
        <f t="shared" si="8"/>
        <v>43938</v>
      </c>
      <c r="B474" s="72" t="str">
        <f t="shared" si="1"/>
        <v>20200417</v>
      </c>
      <c r="C474" s="72" t="str">
        <f t="shared" si="2"/>
        <v>Friday</v>
      </c>
      <c r="D474" s="72" t="str">
        <f t="shared" si="3"/>
        <v>April</v>
      </c>
      <c r="E474" s="72" t="str">
        <f t="shared" si="4"/>
        <v>Q2</v>
      </c>
      <c r="F474" s="72">
        <f t="shared" si="5"/>
        <v>2020</v>
      </c>
      <c r="G474" s="89">
        <f t="shared" si="6"/>
        <v>43939</v>
      </c>
      <c r="H474" s="72" t="str">
        <f t="shared" si="7"/>
        <v>Yes</v>
      </c>
    </row>
    <row r="475" ht="15.75" customHeight="1">
      <c r="A475" s="88">
        <f t="shared" si="8"/>
        <v>43939</v>
      </c>
      <c r="B475" s="72" t="str">
        <f t="shared" si="1"/>
        <v>20200418</v>
      </c>
      <c r="C475" s="72" t="str">
        <f t="shared" si="2"/>
        <v>Saturday</v>
      </c>
      <c r="D475" s="72" t="str">
        <f t="shared" si="3"/>
        <v>April</v>
      </c>
      <c r="E475" s="72" t="str">
        <f t="shared" si="4"/>
        <v>Q2</v>
      </c>
      <c r="F475" s="72">
        <f t="shared" si="5"/>
        <v>2020</v>
      </c>
      <c r="G475" s="89">
        <f t="shared" si="6"/>
        <v>43939</v>
      </c>
      <c r="H475" s="72" t="str">
        <f t="shared" si="7"/>
        <v>No</v>
      </c>
    </row>
    <row r="476" ht="15.75" customHeight="1">
      <c r="A476" s="88">
        <f t="shared" si="8"/>
        <v>43940</v>
      </c>
      <c r="B476" s="72" t="str">
        <f t="shared" si="1"/>
        <v>20200419</v>
      </c>
      <c r="C476" s="72" t="str">
        <f t="shared" si="2"/>
        <v>Sunday</v>
      </c>
      <c r="D476" s="72" t="str">
        <f t="shared" si="3"/>
        <v>April</v>
      </c>
      <c r="E476" s="72" t="str">
        <f t="shared" si="4"/>
        <v>Q2</v>
      </c>
      <c r="F476" s="72">
        <f t="shared" si="5"/>
        <v>2020</v>
      </c>
      <c r="G476" s="89">
        <f t="shared" si="6"/>
        <v>43946</v>
      </c>
      <c r="H476" s="72" t="str">
        <f t="shared" si="7"/>
        <v>No</v>
      </c>
    </row>
    <row r="477" ht="15.75" customHeight="1">
      <c r="A477" s="88">
        <f t="shared" si="8"/>
        <v>43941</v>
      </c>
      <c r="B477" s="72" t="str">
        <f t="shared" si="1"/>
        <v>20200420</v>
      </c>
      <c r="C477" s="72" t="str">
        <f t="shared" si="2"/>
        <v>Monday</v>
      </c>
      <c r="D477" s="72" t="str">
        <f t="shared" si="3"/>
        <v>April</v>
      </c>
      <c r="E477" s="72" t="str">
        <f t="shared" si="4"/>
        <v>Q2</v>
      </c>
      <c r="F477" s="72">
        <f t="shared" si="5"/>
        <v>2020</v>
      </c>
      <c r="G477" s="89">
        <f t="shared" si="6"/>
        <v>43946</v>
      </c>
      <c r="H477" s="72" t="str">
        <f t="shared" si="7"/>
        <v>Yes</v>
      </c>
    </row>
    <row r="478" ht="15.75" customHeight="1">
      <c r="A478" s="88">
        <f t="shared" si="8"/>
        <v>43942</v>
      </c>
      <c r="B478" s="72" t="str">
        <f t="shared" si="1"/>
        <v>20200421</v>
      </c>
      <c r="C478" s="72" t="str">
        <f t="shared" si="2"/>
        <v>Tuesday</v>
      </c>
      <c r="D478" s="72" t="str">
        <f t="shared" si="3"/>
        <v>April</v>
      </c>
      <c r="E478" s="72" t="str">
        <f t="shared" si="4"/>
        <v>Q2</v>
      </c>
      <c r="F478" s="72">
        <f t="shared" si="5"/>
        <v>2020</v>
      </c>
      <c r="G478" s="89">
        <f t="shared" si="6"/>
        <v>43946</v>
      </c>
      <c r="H478" s="72" t="str">
        <f t="shared" si="7"/>
        <v>Yes</v>
      </c>
    </row>
    <row r="479" ht="15.75" customHeight="1">
      <c r="A479" s="88">
        <f t="shared" si="8"/>
        <v>43943</v>
      </c>
      <c r="B479" s="72" t="str">
        <f t="shared" si="1"/>
        <v>20200422</v>
      </c>
      <c r="C479" s="72" t="str">
        <f t="shared" si="2"/>
        <v>Wednesday</v>
      </c>
      <c r="D479" s="72" t="str">
        <f t="shared" si="3"/>
        <v>April</v>
      </c>
      <c r="E479" s="72" t="str">
        <f t="shared" si="4"/>
        <v>Q2</v>
      </c>
      <c r="F479" s="72">
        <f t="shared" si="5"/>
        <v>2020</v>
      </c>
      <c r="G479" s="89">
        <f t="shared" si="6"/>
        <v>43946</v>
      </c>
      <c r="H479" s="72" t="str">
        <f t="shared" si="7"/>
        <v>Yes</v>
      </c>
    </row>
    <row r="480" ht="15.75" customHeight="1">
      <c r="A480" s="88">
        <f t="shared" si="8"/>
        <v>43944</v>
      </c>
      <c r="B480" s="72" t="str">
        <f t="shared" si="1"/>
        <v>20200423</v>
      </c>
      <c r="C480" s="72" t="str">
        <f t="shared" si="2"/>
        <v>Thursday</v>
      </c>
      <c r="D480" s="72" t="str">
        <f t="shared" si="3"/>
        <v>April</v>
      </c>
      <c r="E480" s="72" t="str">
        <f t="shared" si="4"/>
        <v>Q2</v>
      </c>
      <c r="F480" s="72">
        <f t="shared" si="5"/>
        <v>2020</v>
      </c>
      <c r="G480" s="89">
        <f t="shared" si="6"/>
        <v>43946</v>
      </c>
      <c r="H480" s="72" t="str">
        <f t="shared" si="7"/>
        <v>Yes</v>
      </c>
    </row>
    <row r="481" ht="15.75" customHeight="1">
      <c r="A481" s="88">
        <f t="shared" si="8"/>
        <v>43945</v>
      </c>
      <c r="B481" s="72" t="str">
        <f t="shared" si="1"/>
        <v>20200424</v>
      </c>
      <c r="C481" s="72" t="str">
        <f t="shared" si="2"/>
        <v>Friday</v>
      </c>
      <c r="D481" s="72" t="str">
        <f t="shared" si="3"/>
        <v>April</v>
      </c>
      <c r="E481" s="72" t="str">
        <f t="shared" si="4"/>
        <v>Q2</v>
      </c>
      <c r="F481" s="72">
        <f t="shared" si="5"/>
        <v>2020</v>
      </c>
      <c r="G481" s="89">
        <f t="shared" si="6"/>
        <v>43946</v>
      </c>
      <c r="H481" s="72" t="str">
        <f t="shared" si="7"/>
        <v>Yes</v>
      </c>
    </row>
    <row r="482" ht="15.75" customHeight="1">
      <c r="A482" s="88">
        <f t="shared" si="8"/>
        <v>43946</v>
      </c>
      <c r="B482" s="72" t="str">
        <f t="shared" si="1"/>
        <v>20200425</v>
      </c>
      <c r="C482" s="72" t="str">
        <f t="shared" si="2"/>
        <v>Saturday</v>
      </c>
      <c r="D482" s="72" t="str">
        <f t="shared" si="3"/>
        <v>April</v>
      </c>
      <c r="E482" s="72" t="str">
        <f t="shared" si="4"/>
        <v>Q2</v>
      </c>
      <c r="F482" s="72">
        <f t="shared" si="5"/>
        <v>2020</v>
      </c>
      <c r="G482" s="89">
        <f t="shared" si="6"/>
        <v>43946</v>
      </c>
      <c r="H482" s="72" t="str">
        <f t="shared" si="7"/>
        <v>No</v>
      </c>
    </row>
    <row r="483" ht="15.75" customHeight="1">
      <c r="A483" s="88">
        <f t="shared" si="8"/>
        <v>43947</v>
      </c>
      <c r="B483" s="72" t="str">
        <f t="shared" si="1"/>
        <v>20200426</v>
      </c>
      <c r="C483" s="72" t="str">
        <f t="shared" si="2"/>
        <v>Sunday</v>
      </c>
      <c r="D483" s="72" t="str">
        <f t="shared" si="3"/>
        <v>April</v>
      </c>
      <c r="E483" s="72" t="str">
        <f t="shared" si="4"/>
        <v>Q2</v>
      </c>
      <c r="F483" s="72">
        <f t="shared" si="5"/>
        <v>2020</v>
      </c>
      <c r="G483" s="89">
        <f t="shared" si="6"/>
        <v>43953</v>
      </c>
      <c r="H483" s="72" t="str">
        <f t="shared" si="7"/>
        <v>No</v>
      </c>
    </row>
    <row r="484" ht="15.75" customHeight="1">
      <c r="A484" s="88">
        <f t="shared" si="8"/>
        <v>43948</v>
      </c>
      <c r="B484" s="72" t="str">
        <f t="shared" si="1"/>
        <v>20200427</v>
      </c>
      <c r="C484" s="72" t="str">
        <f t="shared" si="2"/>
        <v>Monday</v>
      </c>
      <c r="D484" s="72" t="str">
        <f t="shared" si="3"/>
        <v>April</v>
      </c>
      <c r="E484" s="72" t="str">
        <f t="shared" si="4"/>
        <v>Q2</v>
      </c>
      <c r="F484" s="72">
        <f t="shared" si="5"/>
        <v>2020</v>
      </c>
      <c r="G484" s="89">
        <f t="shared" si="6"/>
        <v>43953</v>
      </c>
      <c r="H484" s="72" t="str">
        <f t="shared" si="7"/>
        <v>Yes</v>
      </c>
    </row>
    <row r="485" ht="15.75" customHeight="1">
      <c r="A485" s="88">
        <f t="shared" si="8"/>
        <v>43949</v>
      </c>
      <c r="B485" s="72" t="str">
        <f t="shared" si="1"/>
        <v>20200428</v>
      </c>
      <c r="C485" s="72" t="str">
        <f t="shared" si="2"/>
        <v>Tuesday</v>
      </c>
      <c r="D485" s="72" t="str">
        <f t="shared" si="3"/>
        <v>April</v>
      </c>
      <c r="E485" s="72" t="str">
        <f t="shared" si="4"/>
        <v>Q2</v>
      </c>
      <c r="F485" s="72">
        <f t="shared" si="5"/>
        <v>2020</v>
      </c>
      <c r="G485" s="89">
        <f t="shared" si="6"/>
        <v>43953</v>
      </c>
      <c r="H485" s="72" t="str">
        <f t="shared" si="7"/>
        <v>Yes</v>
      </c>
    </row>
    <row r="486" ht="15.75" customHeight="1">
      <c r="A486" s="88">
        <f t="shared" si="8"/>
        <v>43950</v>
      </c>
      <c r="B486" s="72" t="str">
        <f t="shared" si="1"/>
        <v>20200429</v>
      </c>
      <c r="C486" s="72" t="str">
        <f t="shared" si="2"/>
        <v>Wednesday</v>
      </c>
      <c r="D486" s="72" t="str">
        <f t="shared" si="3"/>
        <v>April</v>
      </c>
      <c r="E486" s="72" t="str">
        <f t="shared" si="4"/>
        <v>Q2</v>
      </c>
      <c r="F486" s="72">
        <f t="shared" si="5"/>
        <v>2020</v>
      </c>
      <c r="G486" s="89">
        <f t="shared" si="6"/>
        <v>43953</v>
      </c>
      <c r="H486" s="72" t="str">
        <f t="shared" si="7"/>
        <v>Yes</v>
      </c>
    </row>
    <row r="487" ht="15.75" customHeight="1">
      <c r="A487" s="88">
        <f t="shared" si="8"/>
        <v>43951</v>
      </c>
      <c r="B487" s="72" t="str">
        <f t="shared" si="1"/>
        <v>20200430</v>
      </c>
      <c r="C487" s="72" t="str">
        <f t="shared" si="2"/>
        <v>Thursday</v>
      </c>
      <c r="D487" s="72" t="str">
        <f t="shared" si="3"/>
        <v>April</v>
      </c>
      <c r="E487" s="72" t="str">
        <f t="shared" si="4"/>
        <v>Q2</v>
      </c>
      <c r="F487" s="72">
        <f t="shared" si="5"/>
        <v>2020</v>
      </c>
      <c r="G487" s="89">
        <f t="shared" si="6"/>
        <v>43953</v>
      </c>
      <c r="H487" s="72" t="str">
        <f t="shared" si="7"/>
        <v>Yes</v>
      </c>
    </row>
    <row r="488" ht="15.75" customHeight="1">
      <c r="A488" s="88">
        <f t="shared" si="8"/>
        <v>43952</v>
      </c>
      <c r="B488" s="72" t="str">
        <f t="shared" si="1"/>
        <v>20200501</v>
      </c>
      <c r="C488" s="72" t="str">
        <f t="shared" si="2"/>
        <v>Friday</v>
      </c>
      <c r="D488" s="72" t="str">
        <f t="shared" si="3"/>
        <v>May</v>
      </c>
      <c r="E488" s="72" t="str">
        <f t="shared" si="4"/>
        <v>Q2</v>
      </c>
      <c r="F488" s="72">
        <f t="shared" si="5"/>
        <v>2020</v>
      </c>
      <c r="G488" s="89">
        <f t="shared" si="6"/>
        <v>43953</v>
      </c>
      <c r="H488" s="72" t="str">
        <f t="shared" si="7"/>
        <v>Yes</v>
      </c>
    </row>
    <row r="489" ht="15.75" customHeight="1">
      <c r="A489" s="88">
        <f t="shared" si="8"/>
        <v>43953</v>
      </c>
      <c r="B489" s="72" t="str">
        <f t="shared" si="1"/>
        <v>20200502</v>
      </c>
      <c r="C489" s="72" t="str">
        <f t="shared" si="2"/>
        <v>Saturday</v>
      </c>
      <c r="D489" s="72" t="str">
        <f t="shared" si="3"/>
        <v>May</v>
      </c>
      <c r="E489" s="72" t="str">
        <f t="shared" si="4"/>
        <v>Q2</v>
      </c>
      <c r="F489" s="72">
        <f t="shared" si="5"/>
        <v>2020</v>
      </c>
      <c r="G489" s="89">
        <f t="shared" si="6"/>
        <v>43953</v>
      </c>
      <c r="H489" s="72" t="str">
        <f t="shared" si="7"/>
        <v>No</v>
      </c>
    </row>
    <row r="490" ht="15.75" customHeight="1">
      <c r="A490" s="88">
        <f t="shared" si="8"/>
        <v>43954</v>
      </c>
      <c r="B490" s="72" t="str">
        <f t="shared" si="1"/>
        <v>20200503</v>
      </c>
      <c r="C490" s="72" t="str">
        <f t="shared" si="2"/>
        <v>Sunday</v>
      </c>
      <c r="D490" s="72" t="str">
        <f t="shared" si="3"/>
        <v>May</v>
      </c>
      <c r="E490" s="72" t="str">
        <f t="shared" si="4"/>
        <v>Q2</v>
      </c>
      <c r="F490" s="72">
        <f t="shared" si="5"/>
        <v>2020</v>
      </c>
      <c r="G490" s="89">
        <f t="shared" si="6"/>
        <v>43960</v>
      </c>
      <c r="H490" s="72" t="str">
        <f t="shared" si="7"/>
        <v>No</v>
      </c>
    </row>
    <row r="491" ht="15.75" customHeight="1">
      <c r="A491" s="88">
        <f t="shared" si="8"/>
        <v>43955</v>
      </c>
      <c r="B491" s="72" t="str">
        <f t="shared" si="1"/>
        <v>20200504</v>
      </c>
      <c r="C491" s="72" t="str">
        <f t="shared" si="2"/>
        <v>Monday</v>
      </c>
      <c r="D491" s="72" t="str">
        <f t="shared" si="3"/>
        <v>May</v>
      </c>
      <c r="E491" s="72" t="str">
        <f t="shared" si="4"/>
        <v>Q2</v>
      </c>
      <c r="F491" s="72">
        <f t="shared" si="5"/>
        <v>2020</v>
      </c>
      <c r="G491" s="89">
        <f t="shared" si="6"/>
        <v>43960</v>
      </c>
      <c r="H491" s="72" t="str">
        <f t="shared" si="7"/>
        <v>Yes</v>
      </c>
    </row>
    <row r="492" ht="15.75" customHeight="1">
      <c r="A492" s="88">
        <f t="shared" si="8"/>
        <v>43956</v>
      </c>
      <c r="B492" s="72" t="str">
        <f t="shared" si="1"/>
        <v>20200505</v>
      </c>
      <c r="C492" s="72" t="str">
        <f t="shared" si="2"/>
        <v>Tuesday</v>
      </c>
      <c r="D492" s="72" t="str">
        <f t="shared" si="3"/>
        <v>May</v>
      </c>
      <c r="E492" s="72" t="str">
        <f t="shared" si="4"/>
        <v>Q2</v>
      </c>
      <c r="F492" s="72">
        <f t="shared" si="5"/>
        <v>2020</v>
      </c>
      <c r="G492" s="89">
        <f t="shared" si="6"/>
        <v>43960</v>
      </c>
      <c r="H492" s="72" t="str">
        <f t="shared" si="7"/>
        <v>Yes</v>
      </c>
    </row>
    <row r="493" ht="15.75" customHeight="1">
      <c r="A493" s="88">
        <f t="shared" si="8"/>
        <v>43957</v>
      </c>
      <c r="B493" s="72" t="str">
        <f t="shared" si="1"/>
        <v>20200506</v>
      </c>
      <c r="C493" s="72" t="str">
        <f t="shared" si="2"/>
        <v>Wednesday</v>
      </c>
      <c r="D493" s="72" t="str">
        <f t="shared" si="3"/>
        <v>May</v>
      </c>
      <c r="E493" s="72" t="str">
        <f t="shared" si="4"/>
        <v>Q2</v>
      </c>
      <c r="F493" s="72">
        <f t="shared" si="5"/>
        <v>2020</v>
      </c>
      <c r="G493" s="89">
        <f t="shared" si="6"/>
        <v>43960</v>
      </c>
      <c r="H493" s="72" t="str">
        <f t="shared" si="7"/>
        <v>Yes</v>
      </c>
    </row>
    <row r="494" ht="15.75" customHeight="1">
      <c r="A494" s="88">
        <f t="shared" si="8"/>
        <v>43958</v>
      </c>
      <c r="B494" s="72" t="str">
        <f t="shared" si="1"/>
        <v>20200507</v>
      </c>
      <c r="C494" s="72" t="str">
        <f t="shared" si="2"/>
        <v>Thursday</v>
      </c>
      <c r="D494" s="72" t="str">
        <f t="shared" si="3"/>
        <v>May</v>
      </c>
      <c r="E494" s="72" t="str">
        <f t="shared" si="4"/>
        <v>Q2</v>
      </c>
      <c r="F494" s="72">
        <f t="shared" si="5"/>
        <v>2020</v>
      </c>
      <c r="G494" s="89">
        <f t="shared" si="6"/>
        <v>43960</v>
      </c>
      <c r="H494" s="72" t="str">
        <f t="shared" si="7"/>
        <v>Yes</v>
      </c>
    </row>
    <row r="495" ht="15.75" customHeight="1">
      <c r="A495" s="88">
        <f t="shared" si="8"/>
        <v>43959</v>
      </c>
      <c r="B495" s="72" t="str">
        <f t="shared" si="1"/>
        <v>20200508</v>
      </c>
      <c r="C495" s="72" t="str">
        <f t="shared" si="2"/>
        <v>Friday</v>
      </c>
      <c r="D495" s="72" t="str">
        <f t="shared" si="3"/>
        <v>May</v>
      </c>
      <c r="E495" s="72" t="str">
        <f t="shared" si="4"/>
        <v>Q2</v>
      </c>
      <c r="F495" s="72">
        <f t="shared" si="5"/>
        <v>2020</v>
      </c>
      <c r="G495" s="89">
        <f t="shared" si="6"/>
        <v>43960</v>
      </c>
      <c r="H495" s="72" t="str">
        <f t="shared" si="7"/>
        <v>Yes</v>
      </c>
    </row>
    <row r="496" ht="15.75" customHeight="1">
      <c r="A496" s="88">
        <f t="shared" si="8"/>
        <v>43960</v>
      </c>
      <c r="B496" s="72" t="str">
        <f t="shared" si="1"/>
        <v>20200509</v>
      </c>
      <c r="C496" s="72" t="str">
        <f t="shared" si="2"/>
        <v>Saturday</v>
      </c>
      <c r="D496" s="72" t="str">
        <f t="shared" si="3"/>
        <v>May</v>
      </c>
      <c r="E496" s="72" t="str">
        <f t="shared" si="4"/>
        <v>Q2</v>
      </c>
      <c r="F496" s="72">
        <f t="shared" si="5"/>
        <v>2020</v>
      </c>
      <c r="G496" s="89">
        <f t="shared" si="6"/>
        <v>43960</v>
      </c>
      <c r="H496" s="72" t="str">
        <f t="shared" si="7"/>
        <v>No</v>
      </c>
    </row>
    <row r="497" ht="15.75" customHeight="1">
      <c r="A497" s="88">
        <f t="shared" si="8"/>
        <v>43961</v>
      </c>
      <c r="B497" s="72" t="str">
        <f t="shared" si="1"/>
        <v>20200510</v>
      </c>
      <c r="C497" s="72" t="str">
        <f t="shared" si="2"/>
        <v>Sunday</v>
      </c>
      <c r="D497" s="72" t="str">
        <f t="shared" si="3"/>
        <v>May</v>
      </c>
      <c r="E497" s="72" t="str">
        <f t="shared" si="4"/>
        <v>Q2</v>
      </c>
      <c r="F497" s="72">
        <f t="shared" si="5"/>
        <v>2020</v>
      </c>
      <c r="G497" s="89">
        <f t="shared" si="6"/>
        <v>43967</v>
      </c>
      <c r="H497" s="72" t="str">
        <f t="shared" si="7"/>
        <v>No</v>
      </c>
    </row>
    <row r="498" ht="15.75" customHeight="1">
      <c r="A498" s="88">
        <f t="shared" si="8"/>
        <v>43962</v>
      </c>
      <c r="B498" s="72" t="str">
        <f t="shared" si="1"/>
        <v>20200511</v>
      </c>
      <c r="C498" s="72" t="str">
        <f t="shared" si="2"/>
        <v>Monday</v>
      </c>
      <c r="D498" s="72" t="str">
        <f t="shared" si="3"/>
        <v>May</v>
      </c>
      <c r="E498" s="72" t="str">
        <f t="shared" si="4"/>
        <v>Q2</v>
      </c>
      <c r="F498" s="72">
        <f t="shared" si="5"/>
        <v>2020</v>
      </c>
      <c r="G498" s="89">
        <f t="shared" si="6"/>
        <v>43967</v>
      </c>
      <c r="H498" s="72" t="str">
        <f t="shared" si="7"/>
        <v>Yes</v>
      </c>
    </row>
    <row r="499" ht="15.75" customHeight="1">
      <c r="A499" s="88">
        <f t="shared" si="8"/>
        <v>43963</v>
      </c>
      <c r="B499" s="72" t="str">
        <f t="shared" si="1"/>
        <v>20200512</v>
      </c>
      <c r="C499" s="72" t="str">
        <f t="shared" si="2"/>
        <v>Tuesday</v>
      </c>
      <c r="D499" s="72" t="str">
        <f t="shared" si="3"/>
        <v>May</v>
      </c>
      <c r="E499" s="72" t="str">
        <f t="shared" si="4"/>
        <v>Q2</v>
      </c>
      <c r="F499" s="72">
        <f t="shared" si="5"/>
        <v>2020</v>
      </c>
      <c r="G499" s="89">
        <f t="shared" si="6"/>
        <v>43967</v>
      </c>
      <c r="H499" s="72" t="str">
        <f t="shared" si="7"/>
        <v>Yes</v>
      </c>
    </row>
    <row r="500" ht="15.75" customHeight="1">
      <c r="A500" s="88">
        <f t="shared" si="8"/>
        <v>43964</v>
      </c>
      <c r="B500" s="72" t="str">
        <f t="shared" si="1"/>
        <v>20200513</v>
      </c>
      <c r="C500" s="72" t="str">
        <f t="shared" si="2"/>
        <v>Wednesday</v>
      </c>
      <c r="D500" s="72" t="str">
        <f t="shared" si="3"/>
        <v>May</v>
      </c>
      <c r="E500" s="72" t="str">
        <f t="shared" si="4"/>
        <v>Q2</v>
      </c>
      <c r="F500" s="72">
        <f t="shared" si="5"/>
        <v>2020</v>
      </c>
      <c r="G500" s="89">
        <f t="shared" si="6"/>
        <v>43967</v>
      </c>
      <c r="H500" s="72" t="str">
        <f t="shared" si="7"/>
        <v>Yes</v>
      </c>
    </row>
    <row r="501" ht="15.75" customHeight="1">
      <c r="A501" s="88">
        <f t="shared" si="8"/>
        <v>43965</v>
      </c>
      <c r="B501" s="72" t="str">
        <f t="shared" si="1"/>
        <v>20200514</v>
      </c>
      <c r="C501" s="72" t="str">
        <f t="shared" si="2"/>
        <v>Thursday</v>
      </c>
      <c r="D501" s="72" t="str">
        <f t="shared" si="3"/>
        <v>May</v>
      </c>
      <c r="E501" s="72" t="str">
        <f t="shared" si="4"/>
        <v>Q2</v>
      </c>
      <c r="F501" s="72">
        <f t="shared" si="5"/>
        <v>2020</v>
      </c>
      <c r="G501" s="89">
        <f t="shared" si="6"/>
        <v>43967</v>
      </c>
      <c r="H501" s="72" t="str">
        <f t="shared" si="7"/>
        <v>Yes</v>
      </c>
    </row>
    <row r="502" ht="15.75" customHeight="1">
      <c r="A502" s="88">
        <f t="shared" si="8"/>
        <v>43966</v>
      </c>
      <c r="B502" s="72" t="str">
        <f t="shared" si="1"/>
        <v>20200515</v>
      </c>
      <c r="C502" s="72" t="str">
        <f t="shared" si="2"/>
        <v>Friday</v>
      </c>
      <c r="D502" s="72" t="str">
        <f t="shared" si="3"/>
        <v>May</v>
      </c>
      <c r="E502" s="72" t="str">
        <f t="shared" si="4"/>
        <v>Q2</v>
      </c>
      <c r="F502" s="72">
        <f t="shared" si="5"/>
        <v>2020</v>
      </c>
      <c r="G502" s="89">
        <f t="shared" si="6"/>
        <v>43967</v>
      </c>
      <c r="H502" s="72" t="str">
        <f t="shared" si="7"/>
        <v>Yes</v>
      </c>
    </row>
    <row r="503" ht="15.75" customHeight="1">
      <c r="A503" s="88">
        <f t="shared" si="8"/>
        <v>43967</v>
      </c>
      <c r="B503" s="72" t="str">
        <f t="shared" si="1"/>
        <v>20200516</v>
      </c>
      <c r="C503" s="72" t="str">
        <f t="shared" si="2"/>
        <v>Saturday</v>
      </c>
      <c r="D503" s="72" t="str">
        <f t="shared" si="3"/>
        <v>May</v>
      </c>
      <c r="E503" s="72" t="str">
        <f t="shared" si="4"/>
        <v>Q2</v>
      </c>
      <c r="F503" s="72">
        <f t="shared" si="5"/>
        <v>2020</v>
      </c>
      <c r="G503" s="89">
        <f t="shared" si="6"/>
        <v>43967</v>
      </c>
      <c r="H503" s="72" t="str">
        <f t="shared" si="7"/>
        <v>No</v>
      </c>
    </row>
    <row r="504" ht="15.75" customHeight="1">
      <c r="A504" s="88">
        <f t="shared" si="8"/>
        <v>43968</v>
      </c>
      <c r="B504" s="72" t="str">
        <f t="shared" si="1"/>
        <v>20200517</v>
      </c>
      <c r="C504" s="72" t="str">
        <f t="shared" si="2"/>
        <v>Sunday</v>
      </c>
      <c r="D504" s="72" t="str">
        <f t="shared" si="3"/>
        <v>May</v>
      </c>
      <c r="E504" s="72" t="str">
        <f t="shared" si="4"/>
        <v>Q2</v>
      </c>
      <c r="F504" s="72">
        <f t="shared" si="5"/>
        <v>2020</v>
      </c>
      <c r="G504" s="89">
        <f t="shared" si="6"/>
        <v>43974</v>
      </c>
      <c r="H504" s="72" t="str">
        <f t="shared" si="7"/>
        <v>No</v>
      </c>
    </row>
    <row r="505" ht="15.75" customHeight="1">
      <c r="A505" s="88">
        <f t="shared" si="8"/>
        <v>43969</v>
      </c>
      <c r="B505" s="72" t="str">
        <f t="shared" si="1"/>
        <v>20200518</v>
      </c>
      <c r="C505" s="72" t="str">
        <f t="shared" si="2"/>
        <v>Monday</v>
      </c>
      <c r="D505" s="72" t="str">
        <f t="shared" si="3"/>
        <v>May</v>
      </c>
      <c r="E505" s="72" t="str">
        <f t="shared" si="4"/>
        <v>Q2</v>
      </c>
      <c r="F505" s="72">
        <f t="shared" si="5"/>
        <v>2020</v>
      </c>
      <c r="G505" s="89">
        <f t="shared" si="6"/>
        <v>43974</v>
      </c>
      <c r="H505" s="72" t="str">
        <f t="shared" si="7"/>
        <v>Yes</v>
      </c>
    </row>
    <row r="506" ht="15.75" customHeight="1">
      <c r="A506" s="88">
        <f t="shared" si="8"/>
        <v>43970</v>
      </c>
      <c r="B506" s="72" t="str">
        <f t="shared" si="1"/>
        <v>20200519</v>
      </c>
      <c r="C506" s="72" t="str">
        <f t="shared" si="2"/>
        <v>Tuesday</v>
      </c>
      <c r="D506" s="72" t="str">
        <f t="shared" si="3"/>
        <v>May</v>
      </c>
      <c r="E506" s="72" t="str">
        <f t="shared" si="4"/>
        <v>Q2</v>
      </c>
      <c r="F506" s="72">
        <f t="shared" si="5"/>
        <v>2020</v>
      </c>
      <c r="G506" s="89">
        <f t="shared" si="6"/>
        <v>43974</v>
      </c>
      <c r="H506" s="72" t="str">
        <f t="shared" si="7"/>
        <v>Yes</v>
      </c>
    </row>
    <row r="507" ht="15.75" customHeight="1">
      <c r="A507" s="88">
        <f t="shared" si="8"/>
        <v>43971</v>
      </c>
      <c r="B507" s="72" t="str">
        <f t="shared" si="1"/>
        <v>20200520</v>
      </c>
      <c r="C507" s="72" t="str">
        <f t="shared" si="2"/>
        <v>Wednesday</v>
      </c>
      <c r="D507" s="72" t="str">
        <f t="shared" si="3"/>
        <v>May</v>
      </c>
      <c r="E507" s="72" t="str">
        <f t="shared" si="4"/>
        <v>Q2</v>
      </c>
      <c r="F507" s="72">
        <f t="shared" si="5"/>
        <v>2020</v>
      </c>
      <c r="G507" s="89">
        <f t="shared" si="6"/>
        <v>43974</v>
      </c>
      <c r="H507" s="72" t="str">
        <f t="shared" si="7"/>
        <v>Yes</v>
      </c>
    </row>
    <row r="508" ht="15.75" customHeight="1">
      <c r="A508" s="88">
        <f t="shared" si="8"/>
        <v>43972</v>
      </c>
      <c r="B508" s="72" t="str">
        <f t="shared" si="1"/>
        <v>20200521</v>
      </c>
      <c r="C508" s="72" t="str">
        <f t="shared" si="2"/>
        <v>Thursday</v>
      </c>
      <c r="D508" s="72" t="str">
        <f t="shared" si="3"/>
        <v>May</v>
      </c>
      <c r="E508" s="72" t="str">
        <f t="shared" si="4"/>
        <v>Q2</v>
      </c>
      <c r="F508" s="72">
        <f t="shared" si="5"/>
        <v>2020</v>
      </c>
      <c r="G508" s="89">
        <f t="shared" si="6"/>
        <v>43974</v>
      </c>
      <c r="H508" s="72" t="str">
        <f t="shared" si="7"/>
        <v>Yes</v>
      </c>
    </row>
    <row r="509" ht="15.75" customHeight="1">
      <c r="A509" s="88">
        <f t="shared" si="8"/>
        <v>43973</v>
      </c>
      <c r="B509" s="72" t="str">
        <f t="shared" si="1"/>
        <v>20200522</v>
      </c>
      <c r="C509" s="72" t="str">
        <f t="shared" si="2"/>
        <v>Friday</v>
      </c>
      <c r="D509" s="72" t="str">
        <f t="shared" si="3"/>
        <v>May</v>
      </c>
      <c r="E509" s="72" t="str">
        <f t="shared" si="4"/>
        <v>Q2</v>
      </c>
      <c r="F509" s="72">
        <f t="shared" si="5"/>
        <v>2020</v>
      </c>
      <c r="G509" s="89">
        <f t="shared" si="6"/>
        <v>43974</v>
      </c>
      <c r="H509" s="72" t="str">
        <f t="shared" si="7"/>
        <v>Yes</v>
      </c>
    </row>
    <row r="510" ht="15.75" customHeight="1">
      <c r="A510" s="88">
        <f t="shared" si="8"/>
        <v>43974</v>
      </c>
      <c r="B510" s="72" t="str">
        <f t="shared" si="1"/>
        <v>20200523</v>
      </c>
      <c r="C510" s="72" t="str">
        <f t="shared" si="2"/>
        <v>Saturday</v>
      </c>
      <c r="D510" s="72" t="str">
        <f t="shared" si="3"/>
        <v>May</v>
      </c>
      <c r="E510" s="72" t="str">
        <f t="shared" si="4"/>
        <v>Q2</v>
      </c>
      <c r="F510" s="72">
        <f t="shared" si="5"/>
        <v>2020</v>
      </c>
      <c r="G510" s="89">
        <f t="shared" si="6"/>
        <v>43974</v>
      </c>
      <c r="H510" s="72" t="str">
        <f t="shared" si="7"/>
        <v>No</v>
      </c>
    </row>
    <row r="511" ht="15.75" customHeight="1">
      <c r="A511" s="88">
        <f t="shared" si="8"/>
        <v>43975</v>
      </c>
      <c r="B511" s="72" t="str">
        <f t="shared" si="1"/>
        <v>20200524</v>
      </c>
      <c r="C511" s="72" t="str">
        <f t="shared" si="2"/>
        <v>Sunday</v>
      </c>
      <c r="D511" s="72" t="str">
        <f t="shared" si="3"/>
        <v>May</v>
      </c>
      <c r="E511" s="72" t="str">
        <f t="shared" si="4"/>
        <v>Q2</v>
      </c>
      <c r="F511" s="72">
        <f t="shared" si="5"/>
        <v>2020</v>
      </c>
      <c r="G511" s="89">
        <f t="shared" si="6"/>
        <v>43981</v>
      </c>
      <c r="H511" s="72" t="str">
        <f t="shared" si="7"/>
        <v>No</v>
      </c>
    </row>
    <row r="512" ht="15.75" customHeight="1">
      <c r="A512" s="88">
        <f t="shared" si="8"/>
        <v>43976</v>
      </c>
      <c r="B512" s="72" t="str">
        <f t="shared" si="1"/>
        <v>20200525</v>
      </c>
      <c r="C512" s="72" t="str">
        <f t="shared" si="2"/>
        <v>Monday</v>
      </c>
      <c r="D512" s="72" t="str">
        <f t="shared" si="3"/>
        <v>May</v>
      </c>
      <c r="E512" s="72" t="str">
        <f t="shared" si="4"/>
        <v>Q2</v>
      </c>
      <c r="F512" s="72">
        <f t="shared" si="5"/>
        <v>2020</v>
      </c>
      <c r="G512" s="89">
        <f t="shared" si="6"/>
        <v>43981</v>
      </c>
      <c r="H512" s="72" t="str">
        <f t="shared" si="7"/>
        <v>Yes</v>
      </c>
    </row>
    <row r="513" ht="15.75" customHeight="1">
      <c r="A513" s="88">
        <f t="shared" si="8"/>
        <v>43977</v>
      </c>
      <c r="B513" s="72" t="str">
        <f t="shared" si="1"/>
        <v>20200526</v>
      </c>
      <c r="C513" s="72" t="str">
        <f t="shared" si="2"/>
        <v>Tuesday</v>
      </c>
      <c r="D513" s="72" t="str">
        <f t="shared" si="3"/>
        <v>May</v>
      </c>
      <c r="E513" s="72" t="str">
        <f t="shared" si="4"/>
        <v>Q2</v>
      </c>
      <c r="F513" s="72">
        <f t="shared" si="5"/>
        <v>2020</v>
      </c>
      <c r="G513" s="89">
        <f t="shared" si="6"/>
        <v>43981</v>
      </c>
      <c r="H513" s="72" t="str">
        <f t="shared" si="7"/>
        <v>Yes</v>
      </c>
    </row>
    <row r="514" ht="15.75" customHeight="1">
      <c r="A514" s="88">
        <f t="shared" si="8"/>
        <v>43978</v>
      </c>
      <c r="B514" s="72" t="str">
        <f t="shared" si="1"/>
        <v>20200527</v>
      </c>
      <c r="C514" s="72" t="str">
        <f t="shared" si="2"/>
        <v>Wednesday</v>
      </c>
      <c r="D514" s="72" t="str">
        <f t="shared" si="3"/>
        <v>May</v>
      </c>
      <c r="E514" s="72" t="str">
        <f t="shared" si="4"/>
        <v>Q2</v>
      </c>
      <c r="F514" s="72">
        <f t="shared" si="5"/>
        <v>2020</v>
      </c>
      <c r="G514" s="89">
        <f t="shared" si="6"/>
        <v>43981</v>
      </c>
      <c r="H514" s="72" t="str">
        <f t="shared" si="7"/>
        <v>Yes</v>
      </c>
    </row>
    <row r="515" ht="15.75" customHeight="1">
      <c r="A515" s="88">
        <f t="shared" si="8"/>
        <v>43979</v>
      </c>
      <c r="B515" s="72" t="str">
        <f t="shared" si="1"/>
        <v>20200528</v>
      </c>
      <c r="C515" s="72" t="str">
        <f t="shared" si="2"/>
        <v>Thursday</v>
      </c>
      <c r="D515" s="72" t="str">
        <f t="shared" si="3"/>
        <v>May</v>
      </c>
      <c r="E515" s="72" t="str">
        <f t="shared" si="4"/>
        <v>Q2</v>
      </c>
      <c r="F515" s="72">
        <f t="shared" si="5"/>
        <v>2020</v>
      </c>
      <c r="G515" s="89">
        <f t="shared" si="6"/>
        <v>43981</v>
      </c>
      <c r="H515" s="72" t="str">
        <f t="shared" si="7"/>
        <v>Yes</v>
      </c>
    </row>
    <row r="516" ht="15.75" customHeight="1">
      <c r="A516" s="88">
        <f t="shared" si="8"/>
        <v>43980</v>
      </c>
      <c r="B516" s="72" t="str">
        <f t="shared" si="1"/>
        <v>20200529</v>
      </c>
      <c r="C516" s="72" t="str">
        <f t="shared" si="2"/>
        <v>Friday</v>
      </c>
      <c r="D516" s="72" t="str">
        <f t="shared" si="3"/>
        <v>May</v>
      </c>
      <c r="E516" s="72" t="str">
        <f t="shared" si="4"/>
        <v>Q2</v>
      </c>
      <c r="F516" s="72">
        <f t="shared" si="5"/>
        <v>2020</v>
      </c>
      <c r="G516" s="89">
        <f t="shared" si="6"/>
        <v>43981</v>
      </c>
      <c r="H516" s="72" t="str">
        <f t="shared" si="7"/>
        <v>Yes</v>
      </c>
    </row>
    <row r="517" ht="15.75" customHeight="1">
      <c r="A517" s="88">
        <f t="shared" si="8"/>
        <v>43981</v>
      </c>
      <c r="B517" s="72" t="str">
        <f t="shared" si="1"/>
        <v>20200530</v>
      </c>
      <c r="C517" s="72" t="str">
        <f t="shared" si="2"/>
        <v>Saturday</v>
      </c>
      <c r="D517" s="72" t="str">
        <f t="shared" si="3"/>
        <v>May</v>
      </c>
      <c r="E517" s="72" t="str">
        <f t="shared" si="4"/>
        <v>Q2</v>
      </c>
      <c r="F517" s="72">
        <f t="shared" si="5"/>
        <v>2020</v>
      </c>
      <c r="G517" s="89">
        <f t="shared" si="6"/>
        <v>43981</v>
      </c>
      <c r="H517" s="72" t="str">
        <f t="shared" si="7"/>
        <v>No</v>
      </c>
    </row>
    <row r="518" ht="15.75" customHeight="1">
      <c r="A518" s="88">
        <f t="shared" si="8"/>
        <v>43982</v>
      </c>
      <c r="B518" s="72" t="str">
        <f t="shared" si="1"/>
        <v>20200531</v>
      </c>
      <c r="C518" s="72" t="str">
        <f t="shared" si="2"/>
        <v>Sunday</v>
      </c>
      <c r="D518" s="72" t="str">
        <f t="shared" si="3"/>
        <v>May</v>
      </c>
      <c r="E518" s="72" t="str">
        <f t="shared" si="4"/>
        <v>Q2</v>
      </c>
      <c r="F518" s="72">
        <f t="shared" si="5"/>
        <v>2020</v>
      </c>
      <c r="G518" s="89">
        <f t="shared" si="6"/>
        <v>43988</v>
      </c>
      <c r="H518" s="72" t="str">
        <f t="shared" si="7"/>
        <v>No</v>
      </c>
    </row>
    <row r="519" ht="15.75" customHeight="1">
      <c r="A519" s="88">
        <f t="shared" si="8"/>
        <v>43983</v>
      </c>
      <c r="B519" s="72" t="str">
        <f t="shared" si="1"/>
        <v>20200601</v>
      </c>
      <c r="C519" s="72" t="str">
        <f t="shared" si="2"/>
        <v>Monday</v>
      </c>
      <c r="D519" s="72" t="str">
        <f t="shared" si="3"/>
        <v>June</v>
      </c>
      <c r="E519" s="72" t="str">
        <f t="shared" si="4"/>
        <v>Q2</v>
      </c>
      <c r="F519" s="72">
        <f t="shared" si="5"/>
        <v>2020</v>
      </c>
      <c r="G519" s="89">
        <f t="shared" si="6"/>
        <v>43988</v>
      </c>
      <c r="H519" s="72" t="str">
        <f t="shared" si="7"/>
        <v>Yes</v>
      </c>
    </row>
    <row r="520" ht="15.75" customHeight="1">
      <c r="A520" s="88">
        <f t="shared" si="8"/>
        <v>43984</v>
      </c>
      <c r="B520" s="72" t="str">
        <f t="shared" si="1"/>
        <v>20200602</v>
      </c>
      <c r="C520" s="72" t="str">
        <f t="shared" si="2"/>
        <v>Tuesday</v>
      </c>
      <c r="D520" s="72" t="str">
        <f t="shared" si="3"/>
        <v>June</v>
      </c>
      <c r="E520" s="72" t="str">
        <f t="shared" si="4"/>
        <v>Q2</v>
      </c>
      <c r="F520" s="72">
        <f t="shared" si="5"/>
        <v>2020</v>
      </c>
      <c r="G520" s="89">
        <f t="shared" si="6"/>
        <v>43988</v>
      </c>
      <c r="H520" s="72" t="str">
        <f t="shared" si="7"/>
        <v>Yes</v>
      </c>
    </row>
    <row r="521" ht="15.75" customHeight="1">
      <c r="A521" s="88">
        <f t="shared" si="8"/>
        <v>43985</v>
      </c>
      <c r="B521" s="72" t="str">
        <f t="shared" si="1"/>
        <v>20200603</v>
      </c>
      <c r="C521" s="72" t="str">
        <f t="shared" si="2"/>
        <v>Wednesday</v>
      </c>
      <c r="D521" s="72" t="str">
        <f t="shared" si="3"/>
        <v>June</v>
      </c>
      <c r="E521" s="72" t="str">
        <f t="shared" si="4"/>
        <v>Q2</v>
      </c>
      <c r="F521" s="72">
        <f t="shared" si="5"/>
        <v>2020</v>
      </c>
      <c r="G521" s="89">
        <f t="shared" si="6"/>
        <v>43988</v>
      </c>
      <c r="H521" s="72" t="str">
        <f t="shared" si="7"/>
        <v>Yes</v>
      </c>
    </row>
    <row r="522" ht="15.75" customHeight="1">
      <c r="A522" s="88">
        <f t="shared" si="8"/>
        <v>43986</v>
      </c>
      <c r="B522" s="72" t="str">
        <f t="shared" si="1"/>
        <v>20200604</v>
      </c>
      <c r="C522" s="72" t="str">
        <f t="shared" si="2"/>
        <v>Thursday</v>
      </c>
      <c r="D522" s="72" t="str">
        <f t="shared" si="3"/>
        <v>June</v>
      </c>
      <c r="E522" s="72" t="str">
        <f t="shared" si="4"/>
        <v>Q2</v>
      </c>
      <c r="F522" s="72">
        <f t="shared" si="5"/>
        <v>2020</v>
      </c>
      <c r="G522" s="89">
        <f t="shared" si="6"/>
        <v>43988</v>
      </c>
      <c r="H522" s="72" t="str">
        <f t="shared" si="7"/>
        <v>Yes</v>
      </c>
    </row>
    <row r="523" ht="15.75" customHeight="1">
      <c r="A523" s="88">
        <f t="shared" si="8"/>
        <v>43987</v>
      </c>
      <c r="B523" s="72" t="str">
        <f t="shared" si="1"/>
        <v>20200605</v>
      </c>
      <c r="C523" s="72" t="str">
        <f t="shared" si="2"/>
        <v>Friday</v>
      </c>
      <c r="D523" s="72" t="str">
        <f t="shared" si="3"/>
        <v>June</v>
      </c>
      <c r="E523" s="72" t="str">
        <f t="shared" si="4"/>
        <v>Q2</v>
      </c>
      <c r="F523" s="72">
        <f t="shared" si="5"/>
        <v>2020</v>
      </c>
      <c r="G523" s="89">
        <f t="shared" si="6"/>
        <v>43988</v>
      </c>
      <c r="H523" s="72" t="str">
        <f t="shared" si="7"/>
        <v>Yes</v>
      </c>
    </row>
    <row r="524" ht="15.75" customHeight="1">
      <c r="A524" s="88">
        <f t="shared" si="8"/>
        <v>43988</v>
      </c>
      <c r="B524" s="72" t="str">
        <f t="shared" si="1"/>
        <v>20200606</v>
      </c>
      <c r="C524" s="72" t="str">
        <f t="shared" si="2"/>
        <v>Saturday</v>
      </c>
      <c r="D524" s="72" t="str">
        <f t="shared" si="3"/>
        <v>June</v>
      </c>
      <c r="E524" s="72" t="str">
        <f t="shared" si="4"/>
        <v>Q2</v>
      </c>
      <c r="F524" s="72">
        <f t="shared" si="5"/>
        <v>2020</v>
      </c>
      <c r="G524" s="89">
        <f t="shared" si="6"/>
        <v>43988</v>
      </c>
      <c r="H524" s="72" t="str">
        <f t="shared" si="7"/>
        <v>No</v>
      </c>
    </row>
    <row r="525" ht="15.75" customHeight="1">
      <c r="A525" s="88">
        <f t="shared" si="8"/>
        <v>43989</v>
      </c>
      <c r="B525" s="72" t="str">
        <f t="shared" si="1"/>
        <v>20200607</v>
      </c>
      <c r="C525" s="72" t="str">
        <f t="shared" si="2"/>
        <v>Sunday</v>
      </c>
      <c r="D525" s="72" t="str">
        <f t="shared" si="3"/>
        <v>June</v>
      </c>
      <c r="E525" s="72" t="str">
        <f t="shared" si="4"/>
        <v>Q2</v>
      </c>
      <c r="F525" s="72">
        <f t="shared" si="5"/>
        <v>2020</v>
      </c>
      <c r="G525" s="89">
        <f t="shared" si="6"/>
        <v>43995</v>
      </c>
      <c r="H525" s="72" t="str">
        <f t="shared" si="7"/>
        <v>No</v>
      </c>
    </row>
    <row r="526" ht="15.75" customHeight="1">
      <c r="A526" s="88">
        <f t="shared" si="8"/>
        <v>43990</v>
      </c>
      <c r="B526" s="72" t="str">
        <f t="shared" si="1"/>
        <v>20200608</v>
      </c>
      <c r="C526" s="72" t="str">
        <f t="shared" si="2"/>
        <v>Monday</v>
      </c>
      <c r="D526" s="72" t="str">
        <f t="shared" si="3"/>
        <v>June</v>
      </c>
      <c r="E526" s="72" t="str">
        <f t="shared" si="4"/>
        <v>Q2</v>
      </c>
      <c r="F526" s="72">
        <f t="shared" si="5"/>
        <v>2020</v>
      </c>
      <c r="G526" s="89">
        <f t="shared" si="6"/>
        <v>43995</v>
      </c>
      <c r="H526" s="72" t="str">
        <f t="shared" si="7"/>
        <v>Yes</v>
      </c>
    </row>
    <row r="527" ht="15.75" customHeight="1">
      <c r="A527" s="88">
        <f t="shared" si="8"/>
        <v>43991</v>
      </c>
      <c r="B527" s="72" t="str">
        <f t="shared" si="1"/>
        <v>20200609</v>
      </c>
      <c r="C527" s="72" t="str">
        <f t="shared" si="2"/>
        <v>Tuesday</v>
      </c>
      <c r="D527" s="72" t="str">
        <f t="shared" si="3"/>
        <v>June</v>
      </c>
      <c r="E527" s="72" t="str">
        <f t="shared" si="4"/>
        <v>Q2</v>
      </c>
      <c r="F527" s="72">
        <f t="shared" si="5"/>
        <v>2020</v>
      </c>
      <c r="G527" s="89">
        <f t="shared" si="6"/>
        <v>43995</v>
      </c>
      <c r="H527" s="72" t="str">
        <f t="shared" si="7"/>
        <v>Yes</v>
      </c>
    </row>
    <row r="528" ht="15.75" customHeight="1">
      <c r="A528" s="88">
        <f t="shared" si="8"/>
        <v>43992</v>
      </c>
      <c r="B528" s="72" t="str">
        <f t="shared" si="1"/>
        <v>20200610</v>
      </c>
      <c r="C528" s="72" t="str">
        <f t="shared" si="2"/>
        <v>Wednesday</v>
      </c>
      <c r="D528" s="72" t="str">
        <f t="shared" si="3"/>
        <v>June</v>
      </c>
      <c r="E528" s="72" t="str">
        <f t="shared" si="4"/>
        <v>Q2</v>
      </c>
      <c r="F528" s="72">
        <f t="shared" si="5"/>
        <v>2020</v>
      </c>
      <c r="G528" s="89">
        <f t="shared" si="6"/>
        <v>43995</v>
      </c>
      <c r="H528" s="72" t="str">
        <f t="shared" si="7"/>
        <v>Yes</v>
      </c>
    </row>
    <row r="529" ht="15.75" customHeight="1">
      <c r="A529" s="88">
        <f t="shared" si="8"/>
        <v>43993</v>
      </c>
      <c r="B529" s="72" t="str">
        <f t="shared" si="1"/>
        <v>20200611</v>
      </c>
      <c r="C529" s="72" t="str">
        <f t="shared" si="2"/>
        <v>Thursday</v>
      </c>
      <c r="D529" s="72" t="str">
        <f t="shared" si="3"/>
        <v>June</v>
      </c>
      <c r="E529" s="72" t="str">
        <f t="shared" si="4"/>
        <v>Q2</v>
      </c>
      <c r="F529" s="72">
        <f t="shared" si="5"/>
        <v>2020</v>
      </c>
      <c r="G529" s="89">
        <f t="shared" si="6"/>
        <v>43995</v>
      </c>
      <c r="H529" s="72" t="str">
        <f t="shared" si="7"/>
        <v>Yes</v>
      </c>
    </row>
    <row r="530" ht="15.75" customHeight="1">
      <c r="A530" s="88">
        <f t="shared" si="8"/>
        <v>43994</v>
      </c>
      <c r="B530" s="72" t="str">
        <f t="shared" si="1"/>
        <v>20200612</v>
      </c>
      <c r="C530" s="72" t="str">
        <f t="shared" si="2"/>
        <v>Friday</v>
      </c>
      <c r="D530" s="72" t="str">
        <f t="shared" si="3"/>
        <v>June</v>
      </c>
      <c r="E530" s="72" t="str">
        <f t="shared" si="4"/>
        <v>Q2</v>
      </c>
      <c r="F530" s="72">
        <f t="shared" si="5"/>
        <v>2020</v>
      </c>
      <c r="G530" s="89">
        <f t="shared" si="6"/>
        <v>43995</v>
      </c>
      <c r="H530" s="72" t="str">
        <f t="shared" si="7"/>
        <v>Yes</v>
      </c>
    </row>
    <row r="531" ht="15.75" customHeight="1">
      <c r="A531" s="88">
        <f t="shared" si="8"/>
        <v>43995</v>
      </c>
      <c r="B531" s="72" t="str">
        <f t="shared" si="1"/>
        <v>20200613</v>
      </c>
      <c r="C531" s="72" t="str">
        <f t="shared" si="2"/>
        <v>Saturday</v>
      </c>
      <c r="D531" s="72" t="str">
        <f t="shared" si="3"/>
        <v>June</v>
      </c>
      <c r="E531" s="72" t="str">
        <f t="shared" si="4"/>
        <v>Q2</v>
      </c>
      <c r="F531" s="72">
        <f t="shared" si="5"/>
        <v>2020</v>
      </c>
      <c r="G531" s="89">
        <f t="shared" si="6"/>
        <v>43995</v>
      </c>
      <c r="H531" s="72" t="str">
        <f t="shared" si="7"/>
        <v>No</v>
      </c>
    </row>
    <row r="532" ht="15.75" customHeight="1">
      <c r="A532" s="88">
        <f t="shared" si="8"/>
        <v>43996</v>
      </c>
      <c r="B532" s="72" t="str">
        <f t="shared" si="1"/>
        <v>20200614</v>
      </c>
      <c r="C532" s="72" t="str">
        <f t="shared" si="2"/>
        <v>Sunday</v>
      </c>
      <c r="D532" s="72" t="str">
        <f t="shared" si="3"/>
        <v>June</v>
      </c>
      <c r="E532" s="72" t="str">
        <f t="shared" si="4"/>
        <v>Q2</v>
      </c>
      <c r="F532" s="72">
        <f t="shared" si="5"/>
        <v>2020</v>
      </c>
      <c r="G532" s="89">
        <f t="shared" si="6"/>
        <v>44002</v>
      </c>
      <c r="H532" s="72" t="str">
        <f t="shared" si="7"/>
        <v>No</v>
      </c>
    </row>
    <row r="533" ht="15.75" customHeight="1">
      <c r="A533" s="88">
        <f t="shared" si="8"/>
        <v>43997</v>
      </c>
      <c r="B533" s="72" t="str">
        <f t="shared" si="1"/>
        <v>20200615</v>
      </c>
      <c r="C533" s="72" t="str">
        <f t="shared" si="2"/>
        <v>Monday</v>
      </c>
      <c r="D533" s="72" t="str">
        <f t="shared" si="3"/>
        <v>June</v>
      </c>
      <c r="E533" s="72" t="str">
        <f t="shared" si="4"/>
        <v>Q2</v>
      </c>
      <c r="F533" s="72">
        <f t="shared" si="5"/>
        <v>2020</v>
      </c>
      <c r="G533" s="89">
        <f t="shared" si="6"/>
        <v>44002</v>
      </c>
      <c r="H533" s="72" t="str">
        <f t="shared" si="7"/>
        <v>Yes</v>
      </c>
    </row>
    <row r="534" ht="15.75" customHeight="1">
      <c r="A534" s="88">
        <f t="shared" si="8"/>
        <v>43998</v>
      </c>
      <c r="B534" s="72" t="str">
        <f t="shared" si="1"/>
        <v>20200616</v>
      </c>
      <c r="C534" s="72" t="str">
        <f t="shared" si="2"/>
        <v>Tuesday</v>
      </c>
      <c r="D534" s="72" t="str">
        <f t="shared" si="3"/>
        <v>June</v>
      </c>
      <c r="E534" s="72" t="str">
        <f t="shared" si="4"/>
        <v>Q2</v>
      </c>
      <c r="F534" s="72">
        <f t="shared" si="5"/>
        <v>2020</v>
      </c>
      <c r="G534" s="89">
        <f t="shared" si="6"/>
        <v>44002</v>
      </c>
      <c r="H534" s="72" t="str">
        <f t="shared" si="7"/>
        <v>Yes</v>
      </c>
    </row>
    <row r="535" ht="15.75" customHeight="1">
      <c r="A535" s="88">
        <f t="shared" si="8"/>
        <v>43999</v>
      </c>
      <c r="B535" s="72" t="str">
        <f t="shared" si="1"/>
        <v>20200617</v>
      </c>
      <c r="C535" s="72" t="str">
        <f t="shared" si="2"/>
        <v>Wednesday</v>
      </c>
      <c r="D535" s="72" t="str">
        <f t="shared" si="3"/>
        <v>June</v>
      </c>
      <c r="E535" s="72" t="str">
        <f t="shared" si="4"/>
        <v>Q2</v>
      </c>
      <c r="F535" s="72">
        <f t="shared" si="5"/>
        <v>2020</v>
      </c>
      <c r="G535" s="89">
        <f t="shared" si="6"/>
        <v>44002</v>
      </c>
      <c r="H535" s="72" t="str">
        <f t="shared" si="7"/>
        <v>Yes</v>
      </c>
    </row>
    <row r="536" ht="15.75" customHeight="1">
      <c r="A536" s="88">
        <f t="shared" si="8"/>
        <v>44000</v>
      </c>
      <c r="B536" s="72" t="str">
        <f t="shared" si="1"/>
        <v>20200618</v>
      </c>
      <c r="C536" s="72" t="str">
        <f t="shared" si="2"/>
        <v>Thursday</v>
      </c>
      <c r="D536" s="72" t="str">
        <f t="shared" si="3"/>
        <v>June</v>
      </c>
      <c r="E536" s="72" t="str">
        <f t="shared" si="4"/>
        <v>Q2</v>
      </c>
      <c r="F536" s="72">
        <f t="shared" si="5"/>
        <v>2020</v>
      </c>
      <c r="G536" s="89">
        <f t="shared" si="6"/>
        <v>44002</v>
      </c>
      <c r="H536" s="72" t="str">
        <f t="shared" si="7"/>
        <v>Yes</v>
      </c>
    </row>
    <row r="537" ht="15.75" customHeight="1">
      <c r="A537" s="88">
        <f t="shared" si="8"/>
        <v>44001</v>
      </c>
      <c r="B537" s="72" t="str">
        <f t="shared" si="1"/>
        <v>20200619</v>
      </c>
      <c r="C537" s="72" t="str">
        <f t="shared" si="2"/>
        <v>Friday</v>
      </c>
      <c r="D537" s="72" t="str">
        <f t="shared" si="3"/>
        <v>June</v>
      </c>
      <c r="E537" s="72" t="str">
        <f t="shared" si="4"/>
        <v>Q2</v>
      </c>
      <c r="F537" s="72">
        <f t="shared" si="5"/>
        <v>2020</v>
      </c>
      <c r="G537" s="89">
        <f t="shared" si="6"/>
        <v>44002</v>
      </c>
      <c r="H537" s="72" t="str">
        <f t="shared" si="7"/>
        <v>Yes</v>
      </c>
    </row>
    <row r="538" ht="15.75" customHeight="1">
      <c r="A538" s="88">
        <f t="shared" si="8"/>
        <v>44002</v>
      </c>
      <c r="B538" s="72" t="str">
        <f t="shared" si="1"/>
        <v>20200620</v>
      </c>
      <c r="C538" s="72" t="str">
        <f t="shared" si="2"/>
        <v>Saturday</v>
      </c>
      <c r="D538" s="72" t="str">
        <f t="shared" si="3"/>
        <v>June</v>
      </c>
      <c r="E538" s="72" t="str">
        <f t="shared" si="4"/>
        <v>Q2</v>
      </c>
      <c r="F538" s="72">
        <f t="shared" si="5"/>
        <v>2020</v>
      </c>
      <c r="G538" s="89">
        <f t="shared" si="6"/>
        <v>44002</v>
      </c>
      <c r="H538" s="72" t="str">
        <f t="shared" si="7"/>
        <v>No</v>
      </c>
    </row>
    <row r="539" ht="15.75" customHeight="1">
      <c r="A539" s="88">
        <f t="shared" si="8"/>
        <v>44003</v>
      </c>
      <c r="B539" s="72" t="str">
        <f t="shared" si="1"/>
        <v>20200621</v>
      </c>
      <c r="C539" s="72" t="str">
        <f t="shared" si="2"/>
        <v>Sunday</v>
      </c>
      <c r="D539" s="72" t="str">
        <f t="shared" si="3"/>
        <v>June</v>
      </c>
      <c r="E539" s="72" t="str">
        <f t="shared" si="4"/>
        <v>Q2</v>
      </c>
      <c r="F539" s="72">
        <f t="shared" si="5"/>
        <v>2020</v>
      </c>
      <c r="G539" s="89">
        <f t="shared" si="6"/>
        <v>44009</v>
      </c>
      <c r="H539" s="72" t="str">
        <f t="shared" si="7"/>
        <v>No</v>
      </c>
    </row>
    <row r="540" ht="15.75" customHeight="1">
      <c r="A540" s="88">
        <f t="shared" si="8"/>
        <v>44004</v>
      </c>
      <c r="B540" s="72" t="str">
        <f t="shared" si="1"/>
        <v>20200622</v>
      </c>
      <c r="C540" s="72" t="str">
        <f t="shared" si="2"/>
        <v>Monday</v>
      </c>
      <c r="D540" s="72" t="str">
        <f t="shared" si="3"/>
        <v>June</v>
      </c>
      <c r="E540" s="72" t="str">
        <f t="shared" si="4"/>
        <v>Q2</v>
      </c>
      <c r="F540" s="72">
        <f t="shared" si="5"/>
        <v>2020</v>
      </c>
      <c r="G540" s="89">
        <f t="shared" si="6"/>
        <v>44009</v>
      </c>
      <c r="H540" s="72" t="str">
        <f t="shared" si="7"/>
        <v>Yes</v>
      </c>
    </row>
    <row r="541" ht="15.75" customHeight="1">
      <c r="A541" s="88">
        <f t="shared" si="8"/>
        <v>44005</v>
      </c>
      <c r="B541" s="72" t="str">
        <f t="shared" si="1"/>
        <v>20200623</v>
      </c>
      <c r="C541" s="72" t="str">
        <f t="shared" si="2"/>
        <v>Tuesday</v>
      </c>
      <c r="D541" s="72" t="str">
        <f t="shared" si="3"/>
        <v>June</v>
      </c>
      <c r="E541" s="72" t="str">
        <f t="shared" si="4"/>
        <v>Q2</v>
      </c>
      <c r="F541" s="72">
        <f t="shared" si="5"/>
        <v>2020</v>
      </c>
      <c r="G541" s="89">
        <f t="shared" si="6"/>
        <v>44009</v>
      </c>
      <c r="H541" s="72" t="str">
        <f t="shared" si="7"/>
        <v>Yes</v>
      </c>
    </row>
    <row r="542" ht="15.75" customHeight="1">
      <c r="A542" s="88">
        <f t="shared" si="8"/>
        <v>44006</v>
      </c>
      <c r="B542" s="72" t="str">
        <f t="shared" si="1"/>
        <v>20200624</v>
      </c>
      <c r="C542" s="72" t="str">
        <f t="shared" si="2"/>
        <v>Wednesday</v>
      </c>
      <c r="D542" s="72" t="str">
        <f t="shared" si="3"/>
        <v>June</v>
      </c>
      <c r="E542" s="72" t="str">
        <f t="shared" si="4"/>
        <v>Q2</v>
      </c>
      <c r="F542" s="72">
        <f t="shared" si="5"/>
        <v>2020</v>
      </c>
      <c r="G542" s="89">
        <f t="shared" si="6"/>
        <v>44009</v>
      </c>
      <c r="H542" s="72" t="str">
        <f t="shared" si="7"/>
        <v>Yes</v>
      </c>
    </row>
    <row r="543" ht="15.75" customHeight="1">
      <c r="A543" s="88">
        <f t="shared" si="8"/>
        <v>44007</v>
      </c>
      <c r="B543" s="72" t="str">
        <f t="shared" si="1"/>
        <v>20200625</v>
      </c>
      <c r="C543" s="72" t="str">
        <f t="shared" si="2"/>
        <v>Thursday</v>
      </c>
      <c r="D543" s="72" t="str">
        <f t="shared" si="3"/>
        <v>June</v>
      </c>
      <c r="E543" s="72" t="str">
        <f t="shared" si="4"/>
        <v>Q2</v>
      </c>
      <c r="F543" s="72">
        <f t="shared" si="5"/>
        <v>2020</v>
      </c>
      <c r="G543" s="89">
        <f t="shared" si="6"/>
        <v>44009</v>
      </c>
      <c r="H543" s="72" t="str">
        <f t="shared" si="7"/>
        <v>Yes</v>
      </c>
    </row>
    <row r="544" ht="15.75" customHeight="1">
      <c r="A544" s="88">
        <f t="shared" si="8"/>
        <v>44008</v>
      </c>
      <c r="B544" s="72" t="str">
        <f t="shared" si="1"/>
        <v>20200626</v>
      </c>
      <c r="C544" s="72" t="str">
        <f t="shared" si="2"/>
        <v>Friday</v>
      </c>
      <c r="D544" s="72" t="str">
        <f t="shared" si="3"/>
        <v>June</v>
      </c>
      <c r="E544" s="72" t="str">
        <f t="shared" si="4"/>
        <v>Q2</v>
      </c>
      <c r="F544" s="72">
        <f t="shared" si="5"/>
        <v>2020</v>
      </c>
      <c r="G544" s="89">
        <f t="shared" si="6"/>
        <v>44009</v>
      </c>
      <c r="H544" s="72" t="str">
        <f t="shared" si="7"/>
        <v>Yes</v>
      </c>
    </row>
    <row r="545" ht="15.75" customHeight="1">
      <c r="A545" s="88">
        <f t="shared" si="8"/>
        <v>44009</v>
      </c>
      <c r="B545" s="72" t="str">
        <f t="shared" si="1"/>
        <v>20200627</v>
      </c>
      <c r="C545" s="72" t="str">
        <f t="shared" si="2"/>
        <v>Saturday</v>
      </c>
      <c r="D545" s="72" t="str">
        <f t="shared" si="3"/>
        <v>June</v>
      </c>
      <c r="E545" s="72" t="str">
        <f t="shared" si="4"/>
        <v>Q2</v>
      </c>
      <c r="F545" s="72">
        <f t="shared" si="5"/>
        <v>2020</v>
      </c>
      <c r="G545" s="89">
        <f t="shared" si="6"/>
        <v>44009</v>
      </c>
      <c r="H545" s="72" t="str">
        <f t="shared" si="7"/>
        <v>No</v>
      </c>
    </row>
    <row r="546" ht="15.75" customHeight="1">
      <c r="A546" s="88">
        <f t="shared" si="8"/>
        <v>44010</v>
      </c>
      <c r="B546" s="72" t="str">
        <f t="shared" si="1"/>
        <v>20200628</v>
      </c>
      <c r="C546" s="72" t="str">
        <f t="shared" si="2"/>
        <v>Sunday</v>
      </c>
      <c r="D546" s="72" t="str">
        <f t="shared" si="3"/>
        <v>June</v>
      </c>
      <c r="E546" s="72" t="str">
        <f t="shared" si="4"/>
        <v>Q2</v>
      </c>
      <c r="F546" s="72">
        <f t="shared" si="5"/>
        <v>2020</v>
      </c>
      <c r="G546" s="89">
        <f t="shared" si="6"/>
        <v>44016</v>
      </c>
      <c r="H546" s="72" t="str">
        <f t="shared" si="7"/>
        <v>No</v>
      </c>
    </row>
    <row r="547" ht="15.75" customHeight="1">
      <c r="A547" s="88">
        <f t="shared" si="8"/>
        <v>44011</v>
      </c>
      <c r="B547" s="72" t="str">
        <f t="shared" si="1"/>
        <v>20200629</v>
      </c>
      <c r="C547" s="72" t="str">
        <f t="shared" si="2"/>
        <v>Monday</v>
      </c>
      <c r="D547" s="72" t="str">
        <f t="shared" si="3"/>
        <v>June</v>
      </c>
      <c r="E547" s="72" t="str">
        <f t="shared" si="4"/>
        <v>Q2</v>
      </c>
      <c r="F547" s="72">
        <f t="shared" si="5"/>
        <v>2020</v>
      </c>
      <c r="G547" s="89">
        <f t="shared" si="6"/>
        <v>44016</v>
      </c>
      <c r="H547" s="72" t="str">
        <f t="shared" si="7"/>
        <v>Yes</v>
      </c>
    </row>
    <row r="548" ht="15.75" customHeight="1">
      <c r="A548" s="88">
        <f t="shared" si="8"/>
        <v>44012</v>
      </c>
      <c r="B548" s="72" t="str">
        <f t="shared" si="1"/>
        <v>20200630</v>
      </c>
      <c r="C548" s="72" t="str">
        <f t="shared" si="2"/>
        <v>Tuesday</v>
      </c>
      <c r="D548" s="72" t="str">
        <f t="shared" si="3"/>
        <v>June</v>
      </c>
      <c r="E548" s="72" t="str">
        <f t="shared" si="4"/>
        <v>Q2</v>
      </c>
      <c r="F548" s="72">
        <f t="shared" si="5"/>
        <v>2020</v>
      </c>
      <c r="G548" s="89">
        <f t="shared" si="6"/>
        <v>44016</v>
      </c>
      <c r="H548" s="72" t="str">
        <f t="shared" si="7"/>
        <v>Yes</v>
      </c>
    </row>
    <row r="549" ht="15.75" customHeight="1">
      <c r="A549" s="88">
        <f t="shared" si="8"/>
        <v>44013</v>
      </c>
      <c r="B549" s="72" t="str">
        <f t="shared" si="1"/>
        <v>20200701</v>
      </c>
      <c r="C549" s="72" t="str">
        <f t="shared" si="2"/>
        <v>Wednesday</v>
      </c>
      <c r="D549" s="72" t="str">
        <f t="shared" si="3"/>
        <v>July</v>
      </c>
      <c r="E549" s="72" t="str">
        <f t="shared" si="4"/>
        <v>Q3</v>
      </c>
      <c r="F549" s="72">
        <f t="shared" si="5"/>
        <v>2020</v>
      </c>
      <c r="G549" s="89">
        <f t="shared" si="6"/>
        <v>44016</v>
      </c>
      <c r="H549" s="72" t="str">
        <f t="shared" si="7"/>
        <v>Yes</v>
      </c>
    </row>
    <row r="550" ht="15.75" customHeight="1">
      <c r="A550" s="88">
        <f t="shared" si="8"/>
        <v>44014</v>
      </c>
      <c r="B550" s="72" t="str">
        <f t="shared" si="1"/>
        <v>20200702</v>
      </c>
      <c r="C550" s="72" t="str">
        <f t="shared" si="2"/>
        <v>Thursday</v>
      </c>
      <c r="D550" s="72" t="str">
        <f t="shared" si="3"/>
        <v>July</v>
      </c>
      <c r="E550" s="72" t="str">
        <f t="shared" si="4"/>
        <v>Q3</v>
      </c>
      <c r="F550" s="72">
        <f t="shared" si="5"/>
        <v>2020</v>
      </c>
      <c r="G550" s="89">
        <f t="shared" si="6"/>
        <v>44016</v>
      </c>
      <c r="H550" s="72" t="str">
        <f t="shared" si="7"/>
        <v>Yes</v>
      </c>
    </row>
    <row r="551" ht="15.75" customHeight="1">
      <c r="A551" s="88">
        <f t="shared" si="8"/>
        <v>44015</v>
      </c>
      <c r="B551" s="72" t="str">
        <f t="shared" si="1"/>
        <v>20200703</v>
      </c>
      <c r="C551" s="72" t="str">
        <f t="shared" si="2"/>
        <v>Friday</v>
      </c>
      <c r="D551" s="72" t="str">
        <f t="shared" si="3"/>
        <v>July</v>
      </c>
      <c r="E551" s="72" t="str">
        <f t="shared" si="4"/>
        <v>Q3</v>
      </c>
      <c r="F551" s="72">
        <f t="shared" si="5"/>
        <v>2020</v>
      </c>
      <c r="G551" s="89">
        <f t="shared" si="6"/>
        <v>44016</v>
      </c>
      <c r="H551" s="72" t="str">
        <f t="shared" si="7"/>
        <v>Yes</v>
      </c>
    </row>
    <row r="552" ht="15.75" customHeight="1">
      <c r="A552" s="88">
        <f t="shared" si="8"/>
        <v>44016</v>
      </c>
      <c r="B552" s="72" t="str">
        <f t="shared" si="1"/>
        <v>20200704</v>
      </c>
      <c r="C552" s="72" t="str">
        <f t="shared" si="2"/>
        <v>Saturday</v>
      </c>
      <c r="D552" s="72" t="str">
        <f t="shared" si="3"/>
        <v>July</v>
      </c>
      <c r="E552" s="72" t="str">
        <f t="shared" si="4"/>
        <v>Q3</v>
      </c>
      <c r="F552" s="72">
        <f t="shared" si="5"/>
        <v>2020</v>
      </c>
      <c r="G552" s="89">
        <f t="shared" si="6"/>
        <v>44016</v>
      </c>
      <c r="H552" s="72" t="str">
        <f t="shared" si="7"/>
        <v>No</v>
      </c>
    </row>
    <row r="553" ht="15.75" customHeight="1">
      <c r="A553" s="88">
        <f t="shared" si="8"/>
        <v>44017</v>
      </c>
      <c r="B553" s="72" t="str">
        <f t="shared" si="1"/>
        <v>20200705</v>
      </c>
      <c r="C553" s="72" t="str">
        <f t="shared" si="2"/>
        <v>Sunday</v>
      </c>
      <c r="D553" s="72" t="str">
        <f t="shared" si="3"/>
        <v>July</v>
      </c>
      <c r="E553" s="72" t="str">
        <f t="shared" si="4"/>
        <v>Q3</v>
      </c>
      <c r="F553" s="72">
        <f t="shared" si="5"/>
        <v>2020</v>
      </c>
      <c r="G553" s="89">
        <f t="shared" si="6"/>
        <v>44023</v>
      </c>
      <c r="H553" s="72" t="str">
        <f t="shared" si="7"/>
        <v>No</v>
      </c>
    </row>
    <row r="554" ht="15.75" customHeight="1">
      <c r="A554" s="88">
        <f t="shared" si="8"/>
        <v>44018</v>
      </c>
      <c r="B554" s="72" t="str">
        <f t="shared" si="1"/>
        <v>20200706</v>
      </c>
      <c r="C554" s="72" t="str">
        <f t="shared" si="2"/>
        <v>Monday</v>
      </c>
      <c r="D554" s="72" t="str">
        <f t="shared" si="3"/>
        <v>July</v>
      </c>
      <c r="E554" s="72" t="str">
        <f t="shared" si="4"/>
        <v>Q3</v>
      </c>
      <c r="F554" s="72">
        <f t="shared" si="5"/>
        <v>2020</v>
      </c>
      <c r="G554" s="89">
        <f t="shared" si="6"/>
        <v>44023</v>
      </c>
      <c r="H554" s="72" t="str">
        <f t="shared" si="7"/>
        <v>Yes</v>
      </c>
    </row>
    <row r="555" ht="15.75" customHeight="1">
      <c r="A555" s="88">
        <f t="shared" si="8"/>
        <v>44019</v>
      </c>
      <c r="B555" s="72" t="str">
        <f t="shared" si="1"/>
        <v>20200707</v>
      </c>
      <c r="C555" s="72" t="str">
        <f t="shared" si="2"/>
        <v>Tuesday</v>
      </c>
      <c r="D555" s="72" t="str">
        <f t="shared" si="3"/>
        <v>July</v>
      </c>
      <c r="E555" s="72" t="str">
        <f t="shared" si="4"/>
        <v>Q3</v>
      </c>
      <c r="F555" s="72">
        <f t="shared" si="5"/>
        <v>2020</v>
      </c>
      <c r="G555" s="89">
        <f t="shared" si="6"/>
        <v>44023</v>
      </c>
      <c r="H555" s="72" t="str">
        <f t="shared" si="7"/>
        <v>Yes</v>
      </c>
    </row>
    <row r="556" ht="15.75" customHeight="1">
      <c r="A556" s="88">
        <f t="shared" si="8"/>
        <v>44020</v>
      </c>
      <c r="B556" s="72" t="str">
        <f t="shared" si="1"/>
        <v>20200708</v>
      </c>
      <c r="C556" s="72" t="str">
        <f t="shared" si="2"/>
        <v>Wednesday</v>
      </c>
      <c r="D556" s="72" t="str">
        <f t="shared" si="3"/>
        <v>July</v>
      </c>
      <c r="E556" s="72" t="str">
        <f t="shared" si="4"/>
        <v>Q3</v>
      </c>
      <c r="F556" s="72">
        <f t="shared" si="5"/>
        <v>2020</v>
      </c>
      <c r="G556" s="89">
        <f t="shared" si="6"/>
        <v>44023</v>
      </c>
      <c r="H556" s="72" t="str">
        <f t="shared" si="7"/>
        <v>Yes</v>
      </c>
    </row>
    <row r="557" ht="15.75" customHeight="1">
      <c r="A557" s="88">
        <f t="shared" si="8"/>
        <v>44021</v>
      </c>
      <c r="B557" s="72" t="str">
        <f t="shared" si="1"/>
        <v>20200709</v>
      </c>
      <c r="C557" s="72" t="str">
        <f t="shared" si="2"/>
        <v>Thursday</v>
      </c>
      <c r="D557" s="72" t="str">
        <f t="shared" si="3"/>
        <v>July</v>
      </c>
      <c r="E557" s="72" t="str">
        <f t="shared" si="4"/>
        <v>Q3</v>
      </c>
      <c r="F557" s="72">
        <f t="shared" si="5"/>
        <v>2020</v>
      </c>
      <c r="G557" s="89">
        <f t="shared" si="6"/>
        <v>44023</v>
      </c>
      <c r="H557" s="72" t="str">
        <f t="shared" si="7"/>
        <v>Yes</v>
      </c>
    </row>
    <row r="558" ht="15.75" customHeight="1">
      <c r="A558" s="88">
        <f t="shared" si="8"/>
        <v>44022</v>
      </c>
      <c r="B558" s="72" t="str">
        <f t="shared" si="1"/>
        <v>20200710</v>
      </c>
      <c r="C558" s="72" t="str">
        <f t="shared" si="2"/>
        <v>Friday</v>
      </c>
      <c r="D558" s="72" t="str">
        <f t="shared" si="3"/>
        <v>July</v>
      </c>
      <c r="E558" s="72" t="str">
        <f t="shared" si="4"/>
        <v>Q3</v>
      </c>
      <c r="F558" s="72">
        <f t="shared" si="5"/>
        <v>2020</v>
      </c>
      <c r="G558" s="89">
        <f t="shared" si="6"/>
        <v>44023</v>
      </c>
      <c r="H558" s="72" t="str">
        <f t="shared" si="7"/>
        <v>Yes</v>
      </c>
    </row>
    <row r="559" ht="15.75" customHeight="1">
      <c r="A559" s="88">
        <f t="shared" si="8"/>
        <v>44023</v>
      </c>
      <c r="B559" s="72" t="str">
        <f t="shared" si="1"/>
        <v>20200711</v>
      </c>
      <c r="C559" s="72" t="str">
        <f t="shared" si="2"/>
        <v>Saturday</v>
      </c>
      <c r="D559" s="72" t="str">
        <f t="shared" si="3"/>
        <v>July</v>
      </c>
      <c r="E559" s="72" t="str">
        <f t="shared" si="4"/>
        <v>Q3</v>
      </c>
      <c r="F559" s="72">
        <f t="shared" si="5"/>
        <v>2020</v>
      </c>
      <c r="G559" s="89">
        <f t="shared" si="6"/>
        <v>44023</v>
      </c>
      <c r="H559" s="72" t="str">
        <f t="shared" si="7"/>
        <v>No</v>
      </c>
    </row>
    <row r="560" ht="15.75" customHeight="1">
      <c r="A560" s="88">
        <f t="shared" si="8"/>
        <v>44024</v>
      </c>
      <c r="B560" s="72" t="str">
        <f t="shared" si="1"/>
        <v>20200712</v>
      </c>
      <c r="C560" s="72" t="str">
        <f t="shared" si="2"/>
        <v>Sunday</v>
      </c>
      <c r="D560" s="72" t="str">
        <f t="shared" si="3"/>
        <v>July</v>
      </c>
      <c r="E560" s="72" t="str">
        <f t="shared" si="4"/>
        <v>Q3</v>
      </c>
      <c r="F560" s="72">
        <f t="shared" si="5"/>
        <v>2020</v>
      </c>
      <c r="G560" s="89">
        <f t="shared" si="6"/>
        <v>44030</v>
      </c>
      <c r="H560" s="72" t="str">
        <f t="shared" si="7"/>
        <v>No</v>
      </c>
    </row>
    <row r="561" ht="15.75" customHeight="1">
      <c r="A561" s="88">
        <f t="shared" si="8"/>
        <v>44025</v>
      </c>
      <c r="B561" s="72" t="str">
        <f t="shared" si="1"/>
        <v>20200713</v>
      </c>
      <c r="C561" s="72" t="str">
        <f t="shared" si="2"/>
        <v>Monday</v>
      </c>
      <c r="D561" s="72" t="str">
        <f t="shared" si="3"/>
        <v>July</v>
      </c>
      <c r="E561" s="72" t="str">
        <f t="shared" si="4"/>
        <v>Q3</v>
      </c>
      <c r="F561" s="72">
        <f t="shared" si="5"/>
        <v>2020</v>
      </c>
      <c r="G561" s="89">
        <f t="shared" si="6"/>
        <v>44030</v>
      </c>
      <c r="H561" s="72" t="str">
        <f t="shared" si="7"/>
        <v>Yes</v>
      </c>
    </row>
    <row r="562" ht="15.75" customHeight="1">
      <c r="A562" s="88">
        <f t="shared" si="8"/>
        <v>44026</v>
      </c>
      <c r="B562" s="72" t="str">
        <f t="shared" si="1"/>
        <v>20200714</v>
      </c>
      <c r="C562" s="72" t="str">
        <f t="shared" si="2"/>
        <v>Tuesday</v>
      </c>
      <c r="D562" s="72" t="str">
        <f t="shared" si="3"/>
        <v>July</v>
      </c>
      <c r="E562" s="72" t="str">
        <f t="shared" si="4"/>
        <v>Q3</v>
      </c>
      <c r="F562" s="72">
        <f t="shared" si="5"/>
        <v>2020</v>
      </c>
      <c r="G562" s="89">
        <f t="shared" si="6"/>
        <v>44030</v>
      </c>
      <c r="H562" s="72" t="str">
        <f t="shared" si="7"/>
        <v>Yes</v>
      </c>
    </row>
    <row r="563" ht="15.75" customHeight="1">
      <c r="A563" s="88">
        <f t="shared" si="8"/>
        <v>44027</v>
      </c>
      <c r="B563" s="72" t="str">
        <f t="shared" si="1"/>
        <v>20200715</v>
      </c>
      <c r="C563" s="72" t="str">
        <f t="shared" si="2"/>
        <v>Wednesday</v>
      </c>
      <c r="D563" s="72" t="str">
        <f t="shared" si="3"/>
        <v>July</v>
      </c>
      <c r="E563" s="72" t="str">
        <f t="shared" si="4"/>
        <v>Q3</v>
      </c>
      <c r="F563" s="72">
        <f t="shared" si="5"/>
        <v>2020</v>
      </c>
      <c r="G563" s="89">
        <f t="shared" si="6"/>
        <v>44030</v>
      </c>
      <c r="H563" s="72" t="str">
        <f t="shared" si="7"/>
        <v>Yes</v>
      </c>
    </row>
    <row r="564" ht="15.75" customHeight="1">
      <c r="A564" s="88">
        <f t="shared" si="8"/>
        <v>44028</v>
      </c>
      <c r="B564" s="72" t="str">
        <f t="shared" si="1"/>
        <v>20200716</v>
      </c>
      <c r="C564" s="72" t="str">
        <f t="shared" si="2"/>
        <v>Thursday</v>
      </c>
      <c r="D564" s="72" t="str">
        <f t="shared" si="3"/>
        <v>July</v>
      </c>
      <c r="E564" s="72" t="str">
        <f t="shared" si="4"/>
        <v>Q3</v>
      </c>
      <c r="F564" s="72">
        <f t="shared" si="5"/>
        <v>2020</v>
      </c>
      <c r="G564" s="89">
        <f t="shared" si="6"/>
        <v>44030</v>
      </c>
      <c r="H564" s="72" t="str">
        <f t="shared" si="7"/>
        <v>Yes</v>
      </c>
    </row>
    <row r="565" ht="15.75" customHeight="1">
      <c r="A565" s="88">
        <f t="shared" si="8"/>
        <v>44029</v>
      </c>
      <c r="B565" s="72" t="str">
        <f t="shared" si="1"/>
        <v>20200717</v>
      </c>
      <c r="C565" s="72" t="str">
        <f t="shared" si="2"/>
        <v>Friday</v>
      </c>
      <c r="D565" s="72" t="str">
        <f t="shared" si="3"/>
        <v>July</v>
      </c>
      <c r="E565" s="72" t="str">
        <f t="shared" si="4"/>
        <v>Q3</v>
      </c>
      <c r="F565" s="72">
        <f t="shared" si="5"/>
        <v>2020</v>
      </c>
      <c r="G565" s="89">
        <f t="shared" si="6"/>
        <v>44030</v>
      </c>
      <c r="H565" s="72" t="str">
        <f t="shared" si="7"/>
        <v>Yes</v>
      </c>
    </row>
    <row r="566" ht="15.75" customHeight="1">
      <c r="A566" s="88">
        <f t="shared" si="8"/>
        <v>44030</v>
      </c>
      <c r="B566" s="72" t="str">
        <f t="shared" si="1"/>
        <v>20200718</v>
      </c>
      <c r="C566" s="72" t="str">
        <f t="shared" si="2"/>
        <v>Saturday</v>
      </c>
      <c r="D566" s="72" t="str">
        <f t="shared" si="3"/>
        <v>July</v>
      </c>
      <c r="E566" s="72" t="str">
        <f t="shared" si="4"/>
        <v>Q3</v>
      </c>
      <c r="F566" s="72">
        <f t="shared" si="5"/>
        <v>2020</v>
      </c>
      <c r="G566" s="89">
        <f t="shared" si="6"/>
        <v>44030</v>
      </c>
      <c r="H566" s="72" t="str">
        <f t="shared" si="7"/>
        <v>No</v>
      </c>
    </row>
    <row r="567" ht="15.75" customHeight="1">
      <c r="A567" s="88">
        <f t="shared" si="8"/>
        <v>44031</v>
      </c>
      <c r="B567" s="72" t="str">
        <f t="shared" si="1"/>
        <v>20200719</v>
      </c>
      <c r="C567" s="72" t="str">
        <f t="shared" si="2"/>
        <v>Sunday</v>
      </c>
      <c r="D567" s="72" t="str">
        <f t="shared" si="3"/>
        <v>July</v>
      </c>
      <c r="E567" s="72" t="str">
        <f t="shared" si="4"/>
        <v>Q3</v>
      </c>
      <c r="F567" s="72">
        <f t="shared" si="5"/>
        <v>2020</v>
      </c>
      <c r="G567" s="89">
        <f t="shared" si="6"/>
        <v>44037</v>
      </c>
      <c r="H567" s="72" t="str">
        <f t="shared" si="7"/>
        <v>No</v>
      </c>
    </row>
    <row r="568" ht="15.75" customHeight="1">
      <c r="A568" s="88">
        <f t="shared" si="8"/>
        <v>44032</v>
      </c>
      <c r="B568" s="72" t="str">
        <f t="shared" si="1"/>
        <v>20200720</v>
      </c>
      <c r="C568" s="72" t="str">
        <f t="shared" si="2"/>
        <v>Monday</v>
      </c>
      <c r="D568" s="72" t="str">
        <f t="shared" si="3"/>
        <v>July</v>
      </c>
      <c r="E568" s="72" t="str">
        <f t="shared" si="4"/>
        <v>Q3</v>
      </c>
      <c r="F568" s="72">
        <f t="shared" si="5"/>
        <v>2020</v>
      </c>
      <c r="G568" s="89">
        <f t="shared" si="6"/>
        <v>44037</v>
      </c>
      <c r="H568" s="72" t="str">
        <f t="shared" si="7"/>
        <v>Yes</v>
      </c>
    </row>
    <row r="569" ht="15.75" customHeight="1">
      <c r="A569" s="88">
        <f t="shared" si="8"/>
        <v>44033</v>
      </c>
      <c r="B569" s="72" t="str">
        <f t="shared" si="1"/>
        <v>20200721</v>
      </c>
      <c r="C569" s="72" t="str">
        <f t="shared" si="2"/>
        <v>Tuesday</v>
      </c>
      <c r="D569" s="72" t="str">
        <f t="shared" si="3"/>
        <v>July</v>
      </c>
      <c r="E569" s="72" t="str">
        <f t="shared" si="4"/>
        <v>Q3</v>
      </c>
      <c r="F569" s="72">
        <f t="shared" si="5"/>
        <v>2020</v>
      </c>
      <c r="G569" s="89">
        <f t="shared" si="6"/>
        <v>44037</v>
      </c>
      <c r="H569" s="72" t="str">
        <f t="shared" si="7"/>
        <v>Yes</v>
      </c>
    </row>
    <row r="570" ht="15.75" customHeight="1">
      <c r="A570" s="88">
        <f t="shared" si="8"/>
        <v>44034</v>
      </c>
      <c r="B570" s="72" t="str">
        <f t="shared" si="1"/>
        <v>20200722</v>
      </c>
      <c r="C570" s="72" t="str">
        <f t="shared" si="2"/>
        <v>Wednesday</v>
      </c>
      <c r="D570" s="72" t="str">
        <f t="shared" si="3"/>
        <v>July</v>
      </c>
      <c r="E570" s="72" t="str">
        <f t="shared" si="4"/>
        <v>Q3</v>
      </c>
      <c r="F570" s="72">
        <f t="shared" si="5"/>
        <v>2020</v>
      </c>
      <c r="G570" s="89">
        <f t="shared" si="6"/>
        <v>44037</v>
      </c>
      <c r="H570" s="72" t="str">
        <f t="shared" si="7"/>
        <v>Yes</v>
      </c>
    </row>
    <row r="571" ht="15.75" customHeight="1">
      <c r="A571" s="88">
        <f t="shared" si="8"/>
        <v>44035</v>
      </c>
      <c r="B571" s="72" t="str">
        <f t="shared" si="1"/>
        <v>20200723</v>
      </c>
      <c r="C571" s="72" t="str">
        <f t="shared" si="2"/>
        <v>Thursday</v>
      </c>
      <c r="D571" s="72" t="str">
        <f t="shared" si="3"/>
        <v>July</v>
      </c>
      <c r="E571" s="72" t="str">
        <f t="shared" si="4"/>
        <v>Q3</v>
      </c>
      <c r="F571" s="72">
        <f t="shared" si="5"/>
        <v>2020</v>
      </c>
      <c r="G571" s="89">
        <f t="shared" si="6"/>
        <v>44037</v>
      </c>
      <c r="H571" s="72" t="str">
        <f t="shared" si="7"/>
        <v>Yes</v>
      </c>
    </row>
    <row r="572" ht="15.75" customHeight="1">
      <c r="A572" s="88">
        <f t="shared" si="8"/>
        <v>44036</v>
      </c>
      <c r="B572" s="72" t="str">
        <f t="shared" si="1"/>
        <v>20200724</v>
      </c>
      <c r="C572" s="72" t="str">
        <f t="shared" si="2"/>
        <v>Friday</v>
      </c>
      <c r="D572" s="72" t="str">
        <f t="shared" si="3"/>
        <v>July</v>
      </c>
      <c r="E572" s="72" t="str">
        <f t="shared" si="4"/>
        <v>Q3</v>
      </c>
      <c r="F572" s="72">
        <f t="shared" si="5"/>
        <v>2020</v>
      </c>
      <c r="G572" s="89">
        <f t="shared" si="6"/>
        <v>44037</v>
      </c>
      <c r="H572" s="72" t="str">
        <f t="shared" si="7"/>
        <v>Yes</v>
      </c>
    </row>
    <row r="573" ht="15.75" customHeight="1">
      <c r="A573" s="88">
        <f t="shared" si="8"/>
        <v>44037</v>
      </c>
      <c r="B573" s="72" t="str">
        <f t="shared" si="1"/>
        <v>20200725</v>
      </c>
      <c r="C573" s="72" t="str">
        <f t="shared" si="2"/>
        <v>Saturday</v>
      </c>
      <c r="D573" s="72" t="str">
        <f t="shared" si="3"/>
        <v>July</v>
      </c>
      <c r="E573" s="72" t="str">
        <f t="shared" si="4"/>
        <v>Q3</v>
      </c>
      <c r="F573" s="72">
        <f t="shared" si="5"/>
        <v>2020</v>
      </c>
      <c r="G573" s="89">
        <f t="shared" si="6"/>
        <v>44037</v>
      </c>
      <c r="H573" s="72" t="str">
        <f t="shared" si="7"/>
        <v>No</v>
      </c>
    </row>
    <row r="574" ht="15.75" customHeight="1">
      <c r="A574" s="88">
        <f t="shared" si="8"/>
        <v>44038</v>
      </c>
      <c r="B574" s="72" t="str">
        <f t="shared" si="1"/>
        <v>20200726</v>
      </c>
      <c r="C574" s="72" t="str">
        <f t="shared" si="2"/>
        <v>Sunday</v>
      </c>
      <c r="D574" s="72" t="str">
        <f t="shared" si="3"/>
        <v>July</v>
      </c>
      <c r="E574" s="72" t="str">
        <f t="shared" si="4"/>
        <v>Q3</v>
      </c>
      <c r="F574" s="72">
        <f t="shared" si="5"/>
        <v>2020</v>
      </c>
      <c r="G574" s="89">
        <f t="shared" si="6"/>
        <v>44044</v>
      </c>
      <c r="H574" s="72" t="str">
        <f t="shared" si="7"/>
        <v>No</v>
      </c>
    </row>
    <row r="575" ht="15.75" customHeight="1">
      <c r="A575" s="88">
        <f t="shared" si="8"/>
        <v>44039</v>
      </c>
      <c r="B575" s="72" t="str">
        <f t="shared" si="1"/>
        <v>20200727</v>
      </c>
      <c r="C575" s="72" t="str">
        <f t="shared" si="2"/>
        <v>Monday</v>
      </c>
      <c r="D575" s="72" t="str">
        <f t="shared" si="3"/>
        <v>July</v>
      </c>
      <c r="E575" s="72" t="str">
        <f t="shared" si="4"/>
        <v>Q3</v>
      </c>
      <c r="F575" s="72">
        <f t="shared" si="5"/>
        <v>2020</v>
      </c>
      <c r="G575" s="89">
        <f t="shared" si="6"/>
        <v>44044</v>
      </c>
      <c r="H575" s="72" t="str">
        <f t="shared" si="7"/>
        <v>Yes</v>
      </c>
    </row>
    <row r="576" ht="15.75" customHeight="1">
      <c r="A576" s="88">
        <f t="shared" si="8"/>
        <v>44040</v>
      </c>
      <c r="B576" s="72" t="str">
        <f t="shared" si="1"/>
        <v>20200728</v>
      </c>
      <c r="C576" s="72" t="str">
        <f t="shared" si="2"/>
        <v>Tuesday</v>
      </c>
      <c r="D576" s="72" t="str">
        <f t="shared" si="3"/>
        <v>July</v>
      </c>
      <c r="E576" s="72" t="str">
        <f t="shared" si="4"/>
        <v>Q3</v>
      </c>
      <c r="F576" s="72">
        <f t="shared" si="5"/>
        <v>2020</v>
      </c>
      <c r="G576" s="89">
        <f t="shared" si="6"/>
        <v>44044</v>
      </c>
      <c r="H576" s="72" t="str">
        <f t="shared" si="7"/>
        <v>Yes</v>
      </c>
    </row>
    <row r="577" ht="15.75" customHeight="1">
      <c r="A577" s="88">
        <f t="shared" si="8"/>
        <v>44041</v>
      </c>
      <c r="B577" s="72" t="str">
        <f t="shared" si="1"/>
        <v>20200729</v>
      </c>
      <c r="C577" s="72" t="str">
        <f t="shared" si="2"/>
        <v>Wednesday</v>
      </c>
      <c r="D577" s="72" t="str">
        <f t="shared" si="3"/>
        <v>July</v>
      </c>
      <c r="E577" s="72" t="str">
        <f t="shared" si="4"/>
        <v>Q3</v>
      </c>
      <c r="F577" s="72">
        <f t="shared" si="5"/>
        <v>2020</v>
      </c>
      <c r="G577" s="89">
        <f t="shared" si="6"/>
        <v>44044</v>
      </c>
      <c r="H577" s="72" t="str">
        <f t="shared" si="7"/>
        <v>Yes</v>
      </c>
    </row>
    <row r="578" ht="15.75" customHeight="1">
      <c r="A578" s="88">
        <f t="shared" si="8"/>
        <v>44042</v>
      </c>
      <c r="B578" s="72" t="str">
        <f t="shared" si="1"/>
        <v>20200730</v>
      </c>
      <c r="C578" s="72" t="str">
        <f t="shared" si="2"/>
        <v>Thursday</v>
      </c>
      <c r="D578" s="72" t="str">
        <f t="shared" si="3"/>
        <v>July</v>
      </c>
      <c r="E578" s="72" t="str">
        <f t="shared" si="4"/>
        <v>Q3</v>
      </c>
      <c r="F578" s="72">
        <f t="shared" si="5"/>
        <v>2020</v>
      </c>
      <c r="G578" s="89">
        <f t="shared" si="6"/>
        <v>44044</v>
      </c>
      <c r="H578" s="72" t="str">
        <f t="shared" si="7"/>
        <v>Yes</v>
      </c>
    </row>
    <row r="579" ht="15.75" customHeight="1">
      <c r="A579" s="88">
        <f t="shared" si="8"/>
        <v>44043</v>
      </c>
      <c r="B579" s="72" t="str">
        <f t="shared" si="1"/>
        <v>20200731</v>
      </c>
      <c r="C579" s="72" t="str">
        <f t="shared" si="2"/>
        <v>Friday</v>
      </c>
      <c r="D579" s="72" t="str">
        <f t="shared" si="3"/>
        <v>July</v>
      </c>
      <c r="E579" s="72" t="str">
        <f t="shared" si="4"/>
        <v>Q3</v>
      </c>
      <c r="F579" s="72">
        <f t="shared" si="5"/>
        <v>2020</v>
      </c>
      <c r="G579" s="89">
        <f t="shared" si="6"/>
        <v>44044</v>
      </c>
      <c r="H579" s="72" t="str">
        <f t="shared" si="7"/>
        <v>Yes</v>
      </c>
    </row>
    <row r="580" ht="15.75" customHeight="1">
      <c r="A580" s="88">
        <f t="shared" si="8"/>
        <v>44044</v>
      </c>
      <c r="B580" s="72" t="str">
        <f t="shared" si="1"/>
        <v>20200801</v>
      </c>
      <c r="C580" s="72" t="str">
        <f t="shared" si="2"/>
        <v>Saturday</v>
      </c>
      <c r="D580" s="72" t="str">
        <f t="shared" si="3"/>
        <v>August</v>
      </c>
      <c r="E580" s="72" t="str">
        <f t="shared" si="4"/>
        <v>Q3</v>
      </c>
      <c r="F580" s="72">
        <f t="shared" si="5"/>
        <v>2020</v>
      </c>
      <c r="G580" s="89">
        <f t="shared" si="6"/>
        <v>44044</v>
      </c>
      <c r="H580" s="72" t="str">
        <f t="shared" si="7"/>
        <v>No</v>
      </c>
    </row>
    <row r="581" ht="15.75" customHeight="1">
      <c r="A581" s="88">
        <f t="shared" si="8"/>
        <v>44045</v>
      </c>
      <c r="B581" s="72" t="str">
        <f t="shared" si="1"/>
        <v>20200802</v>
      </c>
      <c r="C581" s="72" t="str">
        <f t="shared" si="2"/>
        <v>Sunday</v>
      </c>
      <c r="D581" s="72" t="str">
        <f t="shared" si="3"/>
        <v>August</v>
      </c>
      <c r="E581" s="72" t="str">
        <f t="shared" si="4"/>
        <v>Q3</v>
      </c>
      <c r="F581" s="72">
        <f t="shared" si="5"/>
        <v>2020</v>
      </c>
      <c r="G581" s="89">
        <f t="shared" si="6"/>
        <v>44051</v>
      </c>
      <c r="H581" s="72" t="str">
        <f t="shared" si="7"/>
        <v>No</v>
      </c>
    </row>
    <row r="582" ht="15.75" customHeight="1">
      <c r="A582" s="88">
        <f t="shared" si="8"/>
        <v>44046</v>
      </c>
      <c r="B582" s="72" t="str">
        <f t="shared" si="1"/>
        <v>20200803</v>
      </c>
      <c r="C582" s="72" t="str">
        <f t="shared" si="2"/>
        <v>Monday</v>
      </c>
      <c r="D582" s="72" t="str">
        <f t="shared" si="3"/>
        <v>August</v>
      </c>
      <c r="E582" s="72" t="str">
        <f t="shared" si="4"/>
        <v>Q3</v>
      </c>
      <c r="F582" s="72">
        <f t="shared" si="5"/>
        <v>2020</v>
      </c>
      <c r="G582" s="89">
        <f t="shared" si="6"/>
        <v>44051</v>
      </c>
      <c r="H582" s="72" t="str">
        <f t="shared" si="7"/>
        <v>Yes</v>
      </c>
    </row>
    <row r="583" ht="15.75" customHeight="1">
      <c r="A583" s="88">
        <f t="shared" si="8"/>
        <v>44047</v>
      </c>
      <c r="B583" s="72" t="str">
        <f t="shared" si="1"/>
        <v>20200804</v>
      </c>
      <c r="C583" s="72" t="str">
        <f t="shared" si="2"/>
        <v>Tuesday</v>
      </c>
      <c r="D583" s="72" t="str">
        <f t="shared" si="3"/>
        <v>August</v>
      </c>
      <c r="E583" s="72" t="str">
        <f t="shared" si="4"/>
        <v>Q3</v>
      </c>
      <c r="F583" s="72">
        <f t="shared" si="5"/>
        <v>2020</v>
      </c>
      <c r="G583" s="89">
        <f t="shared" si="6"/>
        <v>44051</v>
      </c>
      <c r="H583" s="72" t="str">
        <f t="shared" si="7"/>
        <v>Yes</v>
      </c>
    </row>
    <row r="584" ht="15.75" customHeight="1">
      <c r="A584" s="88">
        <f t="shared" si="8"/>
        <v>44048</v>
      </c>
      <c r="B584" s="72" t="str">
        <f t="shared" si="1"/>
        <v>20200805</v>
      </c>
      <c r="C584" s="72" t="str">
        <f t="shared" si="2"/>
        <v>Wednesday</v>
      </c>
      <c r="D584" s="72" t="str">
        <f t="shared" si="3"/>
        <v>August</v>
      </c>
      <c r="E584" s="72" t="str">
        <f t="shared" si="4"/>
        <v>Q3</v>
      </c>
      <c r="F584" s="72">
        <f t="shared" si="5"/>
        <v>2020</v>
      </c>
      <c r="G584" s="89">
        <f t="shared" si="6"/>
        <v>44051</v>
      </c>
      <c r="H584" s="72" t="str">
        <f t="shared" si="7"/>
        <v>Yes</v>
      </c>
    </row>
    <row r="585" ht="15.75" customHeight="1">
      <c r="A585" s="88">
        <f t="shared" si="8"/>
        <v>44049</v>
      </c>
      <c r="B585" s="72" t="str">
        <f t="shared" si="1"/>
        <v>20200806</v>
      </c>
      <c r="C585" s="72" t="str">
        <f t="shared" si="2"/>
        <v>Thursday</v>
      </c>
      <c r="D585" s="72" t="str">
        <f t="shared" si="3"/>
        <v>August</v>
      </c>
      <c r="E585" s="72" t="str">
        <f t="shared" si="4"/>
        <v>Q3</v>
      </c>
      <c r="F585" s="72">
        <f t="shared" si="5"/>
        <v>2020</v>
      </c>
      <c r="G585" s="89">
        <f t="shared" si="6"/>
        <v>44051</v>
      </c>
      <c r="H585" s="72" t="str">
        <f t="shared" si="7"/>
        <v>Yes</v>
      </c>
    </row>
    <row r="586" ht="15.75" customHeight="1">
      <c r="A586" s="88">
        <f t="shared" si="8"/>
        <v>44050</v>
      </c>
      <c r="B586" s="72" t="str">
        <f t="shared" si="1"/>
        <v>20200807</v>
      </c>
      <c r="C586" s="72" t="str">
        <f t="shared" si="2"/>
        <v>Friday</v>
      </c>
      <c r="D586" s="72" t="str">
        <f t="shared" si="3"/>
        <v>August</v>
      </c>
      <c r="E586" s="72" t="str">
        <f t="shared" si="4"/>
        <v>Q3</v>
      </c>
      <c r="F586" s="72">
        <f t="shared" si="5"/>
        <v>2020</v>
      </c>
      <c r="G586" s="89">
        <f t="shared" si="6"/>
        <v>44051</v>
      </c>
      <c r="H586" s="72" t="str">
        <f t="shared" si="7"/>
        <v>Yes</v>
      </c>
    </row>
    <row r="587" ht="15.75" customHeight="1">
      <c r="A587" s="88">
        <f t="shared" si="8"/>
        <v>44051</v>
      </c>
      <c r="B587" s="72" t="str">
        <f t="shared" si="1"/>
        <v>20200808</v>
      </c>
      <c r="C587" s="72" t="str">
        <f t="shared" si="2"/>
        <v>Saturday</v>
      </c>
      <c r="D587" s="72" t="str">
        <f t="shared" si="3"/>
        <v>August</v>
      </c>
      <c r="E587" s="72" t="str">
        <f t="shared" si="4"/>
        <v>Q3</v>
      </c>
      <c r="F587" s="72">
        <f t="shared" si="5"/>
        <v>2020</v>
      </c>
      <c r="G587" s="89">
        <f t="shared" si="6"/>
        <v>44051</v>
      </c>
      <c r="H587" s="72" t="str">
        <f t="shared" si="7"/>
        <v>No</v>
      </c>
    </row>
    <row r="588" ht="15.75" customHeight="1">
      <c r="A588" s="88">
        <f t="shared" si="8"/>
        <v>44052</v>
      </c>
      <c r="B588" s="72" t="str">
        <f t="shared" si="1"/>
        <v>20200809</v>
      </c>
      <c r="C588" s="72" t="str">
        <f t="shared" si="2"/>
        <v>Sunday</v>
      </c>
      <c r="D588" s="72" t="str">
        <f t="shared" si="3"/>
        <v>August</v>
      </c>
      <c r="E588" s="72" t="str">
        <f t="shared" si="4"/>
        <v>Q3</v>
      </c>
      <c r="F588" s="72">
        <f t="shared" si="5"/>
        <v>2020</v>
      </c>
      <c r="G588" s="89">
        <f t="shared" si="6"/>
        <v>44058</v>
      </c>
      <c r="H588" s="72" t="str">
        <f t="shared" si="7"/>
        <v>No</v>
      </c>
    </row>
    <row r="589" ht="15.75" customHeight="1">
      <c r="A589" s="88">
        <f t="shared" si="8"/>
        <v>44053</v>
      </c>
      <c r="B589" s="72" t="str">
        <f t="shared" si="1"/>
        <v>20200810</v>
      </c>
      <c r="C589" s="72" t="str">
        <f t="shared" si="2"/>
        <v>Monday</v>
      </c>
      <c r="D589" s="72" t="str">
        <f t="shared" si="3"/>
        <v>August</v>
      </c>
      <c r="E589" s="72" t="str">
        <f t="shared" si="4"/>
        <v>Q3</v>
      </c>
      <c r="F589" s="72">
        <f t="shared" si="5"/>
        <v>2020</v>
      </c>
      <c r="G589" s="89">
        <f t="shared" si="6"/>
        <v>44058</v>
      </c>
      <c r="H589" s="72" t="str">
        <f t="shared" si="7"/>
        <v>Yes</v>
      </c>
    </row>
    <row r="590" ht="15.75" customHeight="1">
      <c r="A590" s="88">
        <f t="shared" si="8"/>
        <v>44054</v>
      </c>
      <c r="B590" s="72" t="str">
        <f t="shared" si="1"/>
        <v>20200811</v>
      </c>
      <c r="C590" s="72" t="str">
        <f t="shared" si="2"/>
        <v>Tuesday</v>
      </c>
      <c r="D590" s="72" t="str">
        <f t="shared" si="3"/>
        <v>August</v>
      </c>
      <c r="E590" s="72" t="str">
        <f t="shared" si="4"/>
        <v>Q3</v>
      </c>
      <c r="F590" s="72">
        <f t="shared" si="5"/>
        <v>2020</v>
      </c>
      <c r="G590" s="89">
        <f t="shared" si="6"/>
        <v>44058</v>
      </c>
      <c r="H590" s="72" t="str">
        <f t="shared" si="7"/>
        <v>Yes</v>
      </c>
    </row>
    <row r="591" ht="15.75" customHeight="1">
      <c r="A591" s="88">
        <f t="shared" si="8"/>
        <v>44055</v>
      </c>
      <c r="B591" s="72" t="str">
        <f t="shared" si="1"/>
        <v>20200812</v>
      </c>
      <c r="C591" s="72" t="str">
        <f t="shared" si="2"/>
        <v>Wednesday</v>
      </c>
      <c r="D591" s="72" t="str">
        <f t="shared" si="3"/>
        <v>August</v>
      </c>
      <c r="E591" s="72" t="str">
        <f t="shared" si="4"/>
        <v>Q3</v>
      </c>
      <c r="F591" s="72">
        <f t="shared" si="5"/>
        <v>2020</v>
      </c>
      <c r="G591" s="89">
        <f t="shared" si="6"/>
        <v>44058</v>
      </c>
      <c r="H591" s="72" t="str">
        <f t="shared" si="7"/>
        <v>Yes</v>
      </c>
    </row>
    <row r="592" ht="15.75" customHeight="1">
      <c r="A592" s="88">
        <f t="shared" si="8"/>
        <v>44056</v>
      </c>
      <c r="B592" s="72" t="str">
        <f t="shared" si="1"/>
        <v>20200813</v>
      </c>
      <c r="C592" s="72" t="str">
        <f t="shared" si="2"/>
        <v>Thursday</v>
      </c>
      <c r="D592" s="72" t="str">
        <f t="shared" si="3"/>
        <v>August</v>
      </c>
      <c r="E592" s="72" t="str">
        <f t="shared" si="4"/>
        <v>Q3</v>
      </c>
      <c r="F592" s="72">
        <f t="shared" si="5"/>
        <v>2020</v>
      </c>
      <c r="G592" s="89">
        <f t="shared" si="6"/>
        <v>44058</v>
      </c>
      <c r="H592" s="72" t="str">
        <f t="shared" si="7"/>
        <v>Yes</v>
      </c>
    </row>
    <row r="593" ht="15.75" customHeight="1">
      <c r="A593" s="88">
        <f t="shared" si="8"/>
        <v>44057</v>
      </c>
      <c r="B593" s="72" t="str">
        <f t="shared" si="1"/>
        <v>20200814</v>
      </c>
      <c r="C593" s="72" t="str">
        <f t="shared" si="2"/>
        <v>Friday</v>
      </c>
      <c r="D593" s="72" t="str">
        <f t="shared" si="3"/>
        <v>August</v>
      </c>
      <c r="E593" s="72" t="str">
        <f t="shared" si="4"/>
        <v>Q3</v>
      </c>
      <c r="F593" s="72">
        <f t="shared" si="5"/>
        <v>2020</v>
      </c>
      <c r="G593" s="89">
        <f t="shared" si="6"/>
        <v>44058</v>
      </c>
      <c r="H593" s="72" t="str">
        <f t="shared" si="7"/>
        <v>Yes</v>
      </c>
    </row>
    <row r="594" ht="15.75" customHeight="1">
      <c r="A594" s="88">
        <f t="shared" si="8"/>
        <v>44058</v>
      </c>
      <c r="B594" s="72" t="str">
        <f t="shared" si="1"/>
        <v>20200815</v>
      </c>
      <c r="C594" s="72" t="str">
        <f t="shared" si="2"/>
        <v>Saturday</v>
      </c>
      <c r="D594" s="72" t="str">
        <f t="shared" si="3"/>
        <v>August</v>
      </c>
      <c r="E594" s="72" t="str">
        <f t="shared" si="4"/>
        <v>Q3</v>
      </c>
      <c r="F594" s="72">
        <f t="shared" si="5"/>
        <v>2020</v>
      </c>
      <c r="G594" s="89">
        <f t="shared" si="6"/>
        <v>44058</v>
      </c>
      <c r="H594" s="72" t="str">
        <f t="shared" si="7"/>
        <v>No</v>
      </c>
    </row>
    <row r="595" ht="15.75" customHeight="1">
      <c r="A595" s="88">
        <f t="shared" si="8"/>
        <v>44059</v>
      </c>
      <c r="B595" s="72" t="str">
        <f t="shared" si="1"/>
        <v>20200816</v>
      </c>
      <c r="C595" s="72" t="str">
        <f t="shared" si="2"/>
        <v>Sunday</v>
      </c>
      <c r="D595" s="72" t="str">
        <f t="shared" si="3"/>
        <v>August</v>
      </c>
      <c r="E595" s="72" t="str">
        <f t="shared" si="4"/>
        <v>Q3</v>
      </c>
      <c r="F595" s="72">
        <f t="shared" si="5"/>
        <v>2020</v>
      </c>
      <c r="G595" s="89">
        <f t="shared" si="6"/>
        <v>44065</v>
      </c>
      <c r="H595" s="72" t="str">
        <f t="shared" si="7"/>
        <v>No</v>
      </c>
    </row>
    <row r="596" ht="15.75" customHeight="1">
      <c r="A596" s="88">
        <f t="shared" si="8"/>
        <v>44060</v>
      </c>
      <c r="B596" s="72" t="str">
        <f t="shared" si="1"/>
        <v>20200817</v>
      </c>
      <c r="C596" s="72" t="str">
        <f t="shared" si="2"/>
        <v>Monday</v>
      </c>
      <c r="D596" s="72" t="str">
        <f t="shared" si="3"/>
        <v>August</v>
      </c>
      <c r="E596" s="72" t="str">
        <f t="shared" si="4"/>
        <v>Q3</v>
      </c>
      <c r="F596" s="72">
        <f t="shared" si="5"/>
        <v>2020</v>
      </c>
      <c r="G596" s="89">
        <f t="shared" si="6"/>
        <v>44065</v>
      </c>
      <c r="H596" s="72" t="str">
        <f t="shared" si="7"/>
        <v>Yes</v>
      </c>
    </row>
    <row r="597" ht="15.75" customHeight="1">
      <c r="A597" s="88">
        <f t="shared" si="8"/>
        <v>44061</v>
      </c>
      <c r="B597" s="72" t="str">
        <f t="shared" si="1"/>
        <v>20200818</v>
      </c>
      <c r="C597" s="72" t="str">
        <f t="shared" si="2"/>
        <v>Tuesday</v>
      </c>
      <c r="D597" s="72" t="str">
        <f t="shared" si="3"/>
        <v>August</v>
      </c>
      <c r="E597" s="72" t="str">
        <f t="shared" si="4"/>
        <v>Q3</v>
      </c>
      <c r="F597" s="72">
        <f t="shared" si="5"/>
        <v>2020</v>
      </c>
      <c r="G597" s="89">
        <f t="shared" si="6"/>
        <v>44065</v>
      </c>
      <c r="H597" s="72" t="str">
        <f t="shared" si="7"/>
        <v>Yes</v>
      </c>
    </row>
    <row r="598" ht="15.75" customHeight="1">
      <c r="A598" s="88">
        <f t="shared" si="8"/>
        <v>44062</v>
      </c>
      <c r="B598" s="72" t="str">
        <f t="shared" si="1"/>
        <v>20200819</v>
      </c>
      <c r="C598" s="72" t="str">
        <f t="shared" si="2"/>
        <v>Wednesday</v>
      </c>
      <c r="D598" s="72" t="str">
        <f t="shared" si="3"/>
        <v>August</v>
      </c>
      <c r="E598" s="72" t="str">
        <f t="shared" si="4"/>
        <v>Q3</v>
      </c>
      <c r="F598" s="72">
        <f t="shared" si="5"/>
        <v>2020</v>
      </c>
      <c r="G598" s="89">
        <f t="shared" si="6"/>
        <v>44065</v>
      </c>
      <c r="H598" s="72" t="str">
        <f t="shared" si="7"/>
        <v>Yes</v>
      </c>
    </row>
    <row r="599" ht="15.75" customHeight="1">
      <c r="A599" s="88">
        <f t="shared" si="8"/>
        <v>44063</v>
      </c>
      <c r="B599" s="72" t="str">
        <f t="shared" si="1"/>
        <v>20200820</v>
      </c>
      <c r="C599" s="72" t="str">
        <f t="shared" si="2"/>
        <v>Thursday</v>
      </c>
      <c r="D599" s="72" t="str">
        <f t="shared" si="3"/>
        <v>August</v>
      </c>
      <c r="E599" s="72" t="str">
        <f t="shared" si="4"/>
        <v>Q3</v>
      </c>
      <c r="F599" s="72">
        <f t="shared" si="5"/>
        <v>2020</v>
      </c>
      <c r="G599" s="89">
        <f t="shared" si="6"/>
        <v>44065</v>
      </c>
      <c r="H599" s="72" t="str">
        <f t="shared" si="7"/>
        <v>Yes</v>
      </c>
    </row>
    <row r="600" ht="15.75" customHeight="1">
      <c r="A600" s="88">
        <f t="shared" si="8"/>
        <v>44064</v>
      </c>
      <c r="B600" s="72" t="str">
        <f t="shared" si="1"/>
        <v>20200821</v>
      </c>
      <c r="C600" s="72" t="str">
        <f t="shared" si="2"/>
        <v>Friday</v>
      </c>
      <c r="D600" s="72" t="str">
        <f t="shared" si="3"/>
        <v>August</v>
      </c>
      <c r="E600" s="72" t="str">
        <f t="shared" si="4"/>
        <v>Q3</v>
      </c>
      <c r="F600" s="72">
        <f t="shared" si="5"/>
        <v>2020</v>
      </c>
      <c r="G600" s="89">
        <f t="shared" si="6"/>
        <v>44065</v>
      </c>
      <c r="H600" s="72" t="str">
        <f t="shared" si="7"/>
        <v>Yes</v>
      </c>
    </row>
    <row r="601" ht="15.75" customHeight="1">
      <c r="A601" s="88">
        <f t="shared" si="8"/>
        <v>44065</v>
      </c>
      <c r="B601" s="72" t="str">
        <f t="shared" si="1"/>
        <v>20200822</v>
      </c>
      <c r="C601" s="72" t="str">
        <f t="shared" si="2"/>
        <v>Saturday</v>
      </c>
      <c r="D601" s="72" t="str">
        <f t="shared" si="3"/>
        <v>August</v>
      </c>
      <c r="E601" s="72" t="str">
        <f t="shared" si="4"/>
        <v>Q3</v>
      </c>
      <c r="F601" s="72">
        <f t="shared" si="5"/>
        <v>2020</v>
      </c>
      <c r="G601" s="89">
        <f t="shared" si="6"/>
        <v>44065</v>
      </c>
      <c r="H601" s="72" t="str">
        <f t="shared" si="7"/>
        <v>No</v>
      </c>
    </row>
    <row r="602" ht="15.75" customHeight="1">
      <c r="A602" s="88">
        <f t="shared" si="8"/>
        <v>44066</v>
      </c>
      <c r="B602" s="72" t="str">
        <f t="shared" si="1"/>
        <v>20200823</v>
      </c>
      <c r="C602" s="72" t="str">
        <f t="shared" si="2"/>
        <v>Sunday</v>
      </c>
      <c r="D602" s="72" t="str">
        <f t="shared" si="3"/>
        <v>August</v>
      </c>
      <c r="E602" s="72" t="str">
        <f t="shared" si="4"/>
        <v>Q3</v>
      </c>
      <c r="F602" s="72">
        <f t="shared" si="5"/>
        <v>2020</v>
      </c>
      <c r="G602" s="89">
        <f t="shared" si="6"/>
        <v>44072</v>
      </c>
      <c r="H602" s="72" t="str">
        <f t="shared" si="7"/>
        <v>No</v>
      </c>
    </row>
    <row r="603" ht="15.75" customHeight="1">
      <c r="A603" s="88">
        <f t="shared" si="8"/>
        <v>44067</v>
      </c>
      <c r="B603" s="72" t="str">
        <f t="shared" si="1"/>
        <v>20200824</v>
      </c>
      <c r="C603" s="72" t="str">
        <f t="shared" si="2"/>
        <v>Monday</v>
      </c>
      <c r="D603" s="72" t="str">
        <f t="shared" si="3"/>
        <v>August</v>
      </c>
      <c r="E603" s="72" t="str">
        <f t="shared" si="4"/>
        <v>Q3</v>
      </c>
      <c r="F603" s="72">
        <f t="shared" si="5"/>
        <v>2020</v>
      </c>
      <c r="G603" s="89">
        <f t="shared" si="6"/>
        <v>44072</v>
      </c>
      <c r="H603" s="72" t="str">
        <f t="shared" si="7"/>
        <v>Yes</v>
      </c>
    </row>
    <row r="604" ht="15.75" customHeight="1">
      <c r="A604" s="88">
        <f t="shared" si="8"/>
        <v>44068</v>
      </c>
      <c r="B604" s="72" t="str">
        <f t="shared" si="1"/>
        <v>20200825</v>
      </c>
      <c r="C604" s="72" t="str">
        <f t="shared" si="2"/>
        <v>Tuesday</v>
      </c>
      <c r="D604" s="72" t="str">
        <f t="shared" si="3"/>
        <v>August</v>
      </c>
      <c r="E604" s="72" t="str">
        <f t="shared" si="4"/>
        <v>Q3</v>
      </c>
      <c r="F604" s="72">
        <f t="shared" si="5"/>
        <v>2020</v>
      </c>
      <c r="G604" s="89">
        <f t="shared" si="6"/>
        <v>44072</v>
      </c>
      <c r="H604" s="72" t="str">
        <f t="shared" si="7"/>
        <v>Yes</v>
      </c>
    </row>
    <row r="605" ht="15.75" customHeight="1">
      <c r="A605" s="88">
        <f t="shared" si="8"/>
        <v>44069</v>
      </c>
      <c r="B605" s="72" t="str">
        <f t="shared" si="1"/>
        <v>20200826</v>
      </c>
      <c r="C605" s="72" t="str">
        <f t="shared" si="2"/>
        <v>Wednesday</v>
      </c>
      <c r="D605" s="72" t="str">
        <f t="shared" si="3"/>
        <v>August</v>
      </c>
      <c r="E605" s="72" t="str">
        <f t="shared" si="4"/>
        <v>Q3</v>
      </c>
      <c r="F605" s="72">
        <f t="shared" si="5"/>
        <v>2020</v>
      </c>
      <c r="G605" s="89">
        <f t="shared" si="6"/>
        <v>44072</v>
      </c>
      <c r="H605" s="72" t="str">
        <f t="shared" si="7"/>
        <v>Yes</v>
      </c>
    </row>
    <row r="606" ht="15.75" customHeight="1">
      <c r="A606" s="88">
        <f t="shared" si="8"/>
        <v>44070</v>
      </c>
      <c r="B606" s="72" t="str">
        <f t="shared" si="1"/>
        <v>20200827</v>
      </c>
      <c r="C606" s="72" t="str">
        <f t="shared" si="2"/>
        <v>Thursday</v>
      </c>
      <c r="D606" s="72" t="str">
        <f t="shared" si="3"/>
        <v>August</v>
      </c>
      <c r="E606" s="72" t="str">
        <f t="shared" si="4"/>
        <v>Q3</v>
      </c>
      <c r="F606" s="72">
        <f t="shared" si="5"/>
        <v>2020</v>
      </c>
      <c r="G606" s="89">
        <f t="shared" si="6"/>
        <v>44072</v>
      </c>
      <c r="H606" s="72" t="str">
        <f t="shared" si="7"/>
        <v>Yes</v>
      </c>
    </row>
    <row r="607" ht="15.75" customHeight="1">
      <c r="A607" s="88">
        <f t="shared" si="8"/>
        <v>44071</v>
      </c>
      <c r="B607" s="72" t="str">
        <f t="shared" si="1"/>
        <v>20200828</v>
      </c>
      <c r="C607" s="72" t="str">
        <f t="shared" si="2"/>
        <v>Friday</v>
      </c>
      <c r="D607" s="72" t="str">
        <f t="shared" si="3"/>
        <v>August</v>
      </c>
      <c r="E607" s="72" t="str">
        <f t="shared" si="4"/>
        <v>Q3</v>
      </c>
      <c r="F607" s="72">
        <f t="shared" si="5"/>
        <v>2020</v>
      </c>
      <c r="G607" s="89">
        <f t="shared" si="6"/>
        <v>44072</v>
      </c>
      <c r="H607" s="72" t="str">
        <f t="shared" si="7"/>
        <v>Yes</v>
      </c>
    </row>
    <row r="608" ht="15.75" customHeight="1">
      <c r="A608" s="88">
        <f t="shared" si="8"/>
        <v>44072</v>
      </c>
      <c r="B608" s="72" t="str">
        <f t="shared" si="1"/>
        <v>20200829</v>
      </c>
      <c r="C608" s="72" t="str">
        <f t="shared" si="2"/>
        <v>Saturday</v>
      </c>
      <c r="D608" s="72" t="str">
        <f t="shared" si="3"/>
        <v>August</v>
      </c>
      <c r="E608" s="72" t="str">
        <f t="shared" si="4"/>
        <v>Q3</v>
      </c>
      <c r="F608" s="72">
        <f t="shared" si="5"/>
        <v>2020</v>
      </c>
      <c r="G608" s="89">
        <f t="shared" si="6"/>
        <v>44072</v>
      </c>
      <c r="H608" s="72" t="str">
        <f t="shared" si="7"/>
        <v>No</v>
      </c>
    </row>
    <row r="609" ht="15.75" customHeight="1">
      <c r="A609" s="88">
        <f t="shared" si="8"/>
        <v>44073</v>
      </c>
      <c r="B609" s="72" t="str">
        <f t="shared" si="1"/>
        <v>20200830</v>
      </c>
      <c r="C609" s="72" t="str">
        <f t="shared" si="2"/>
        <v>Sunday</v>
      </c>
      <c r="D609" s="72" t="str">
        <f t="shared" si="3"/>
        <v>August</v>
      </c>
      <c r="E609" s="72" t="str">
        <f t="shared" si="4"/>
        <v>Q3</v>
      </c>
      <c r="F609" s="72">
        <f t="shared" si="5"/>
        <v>2020</v>
      </c>
      <c r="G609" s="89">
        <f t="shared" si="6"/>
        <v>44079</v>
      </c>
      <c r="H609" s="72" t="str">
        <f t="shared" si="7"/>
        <v>No</v>
      </c>
    </row>
    <row r="610" ht="15.75" customHeight="1">
      <c r="A610" s="88">
        <f t="shared" si="8"/>
        <v>44074</v>
      </c>
      <c r="B610" s="72" t="str">
        <f t="shared" si="1"/>
        <v>20200831</v>
      </c>
      <c r="C610" s="72" t="str">
        <f t="shared" si="2"/>
        <v>Monday</v>
      </c>
      <c r="D610" s="72" t="str">
        <f t="shared" si="3"/>
        <v>August</v>
      </c>
      <c r="E610" s="72" t="str">
        <f t="shared" si="4"/>
        <v>Q3</v>
      </c>
      <c r="F610" s="72">
        <f t="shared" si="5"/>
        <v>2020</v>
      </c>
      <c r="G610" s="89">
        <f t="shared" si="6"/>
        <v>44079</v>
      </c>
      <c r="H610" s="72" t="str">
        <f t="shared" si="7"/>
        <v>Yes</v>
      </c>
    </row>
    <row r="611" ht="15.75" customHeight="1">
      <c r="A611" s="88">
        <f t="shared" si="8"/>
        <v>44075</v>
      </c>
      <c r="B611" s="72" t="str">
        <f t="shared" si="1"/>
        <v>20200901</v>
      </c>
      <c r="C611" s="72" t="str">
        <f t="shared" si="2"/>
        <v>Tuesday</v>
      </c>
      <c r="D611" s="72" t="str">
        <f t="shared" si="3"/>
        <v>September</v>
      </c>
      <c r="E611" s="72" t="str">
        <f t="shared" si="4"/>
        <v>Q3</v>
      </c>
      <c r="F611" s="72">
        <f t="shared" si="5"/>
        <v>2020</v>
      </c>
      <c r="G611" s="89">
        <f t="shared" si="6"/>
        <v>44079</v>
      </c>
      <c r="H611" s="72" t="str">
        <f t="shared" si="7"/>
        <v>Yes</v>
      </c>
    </row>
    <row r="612" ht="15.75" customHeight="1">
      <c r="A612" s="88">
        <f t="shared" si="8"/>
        <v>44076</v>
      </c>
      <c r="B612" s="72" t="str">
        <f t="shared" si="1"/>
        <v>20200902</v>
      </c>
      <c r="C612" s="72" t="str">
        <f t="shared" si="2"/>
        <v>Wednesday</v>
      </c>
      <c r="D612" s="72" t="str">
        <f t="shared" si="3"/>
        <v>September</v>
      </c>
      <c r="E612" s="72" t="str">
        <f t="shared" si="4"/>
        <v>Q3</v>
      </c>
      <c r="F612" s="72">
        <f t="shared" si="5"/>
        <v>2020</v>
      </c>
      <c r="G612" s="89">
        <f t="shared" si="6"/>
        <v>44079</v>
      </c>
      <c r="H612" s="72" t="str">
        <f t="shared" si="7"/>
        <v>Yes</v>
      </c>
    </row>
    <row r="613" ht="15.75" customHeight="1">
      <c r="A613" s="88">
        <f t="shared" si="8"/>
        <v>44077</v>
      </c>
      <c r="B613" s="72" t="str">
        <f t="shared" si="1"/>
        <v>20200903</v>
      </c>
      <c r="C613" s="72" t="str">
        <f t="shared" si="2"/>
        <v>Thursday</v>
      </c>
      <c r="D613" s="72" t="str">
        <f t="shared" si="3"/>
        <v>September</v>
      </c>
      <c r="E613" s="72" t="str">
        <f t="shared" si="4"/>
        <v>Q3</v>
      </c>
      <c r="F613" s="72">
        <f t="shared" si="5"/>
        <v>2020</v>
      </c>
      <c r="G613" s="89">
        <f t="shared" si="6"/>
        <v>44079</v>
      </c>
      <c r="H613" s="72" t="str">
        <f t="shared" si="7"/>
        <v>Yes</v>
      </c>
    </row>
    <row r="614" ht="15.75" customHeight="1">
      <c r="A614" s="88">
        <f t="shared" si="8"/>
        <v>44078</v>
      </c>
      <c r="B614" s="72" t="str">
        <f t="shared" si="1"/>
        <v>20200904</v>
      </c>
      <c r="C614" s="72" t="str">
        <f t="shared" si="2"/>
        <v>Friday</v>
      </c>
      <c r="D614" s="72" t="str">
        <f t="shared" si="3"/>
        <v>September</v>
      </c>
      <c r="E614" s="72" t="str">
        <f t="shared" si="4"/>
        <v>Q3</v>
      </c>
      <c r="F614" s="72">
        <f t="shared" si="5"/>
        <v>2020</v>
      </c>
      <c r="G614" s="89">
        <f t="shared" si="6"/>
        <v>44079</v>
      </c>
      <c r="H614" s="72" t="str">
        <f t="shared" si="7"/>
        <v>Yes</v>
      </c>
    </row>
    <row r="615" ht="15.75" customHeight="1">
      <c r="A615" s="88">
        <f t="shared" si="8"/>
        <v>44079</v>
      </c>
      <c r="B615" s="72" t="str">
        <f t="shared" si="1"/>
        <v>20200905</v>
      </c>
      <c r="C615" s="72" t="str">
        <f t="shared" si="2"/>
        <v>Saturday</v>
      </c>
      <c r="D615" s="72" t="str">
        <f t="shared" si="3"/>
        <v>September</v>
      </c>
      <c r="E615" s="72" t="str">
        <f t="shared" si="4"/>
        <v>Q3</v>
      </c>
      <c r="F615" s="72">
        <f t="shared" si="5"/>
        <v>2020</v>
      </c>
      <c r="G615" s="89">
        <f t="shared" si="6"/>
        <v>44079</v>
      </c>
      <c r="H615" s="72" t="str">
        <f t="shared" si="7"/>
        <v>No</v>
      </c>
    </row>
    <row r="616" ht="15.75" customHeight="1">
      <c r="A616" s="88">
        <f t="shared" si="8"/>
        <v>44080</v>
      </c>
      <c r="B616" s="72" t="str">
        <f t="shared" si="1"/>
        <v>20200906</v>
      </c>
      <c r="C616" s="72" t="str">
        <f t="shared" si="2"/>
        <v>Sunday</v>
      </c>
      <c r="D616" s="72" t="str">
        <f t="shared" si="3"/>
        <v>September</v>
      </c>
      <c r="E616" s="72" t="str">
        <f t="shared" si="4"/>
        <v>Q3</v>
      </c>
      <c r="F616" s="72">
        <f t="shared" si="5"/>
        <v>2020</v>
      </c>
      <c r="G616" s="89">
        <f t="shared" si="6"/>
        <v>44086</v>
      </c>
      <c r="H616" s="72" t="str">
        <f t="shared" si="7"/>
        <v>No</v>
      </c>
    </row>
    <row r="617" ht="15.75" customHeight="1">
      <c r="A617" s="88">
        <f t="shared" si="8"/>
        <v>44081</v>
      </c>
      <c r="B617" s="72" t="str">
        <f t="shared" si="1"/>
        <v>20200907</v>
      </c>
      <c r="C617" s="72" t="str">
        <f t="shared" si="2"/>
        <v>Monday</v>
      </c>
      <c r="D617" s="72" t="str">
        <f t="shared" si="3"/>
        <v>September</v>
      </c>
      <c r="E617" s="72" t="str">
        <f t="shared" si="4"/>
        <v>Q3</v>
      </c>
      <c r="F617" s="72">
        <f t="shared" si="5"/>
        <v>2020</v>
      </c>
      <c r="G617" s="89">
        <f t="shared" si="6"/>
        <v>44086</v>
      </c>
      <c r="H617" s="72" t="str">
        <f t="shared" si="7"/>
        <v>Yes</v>
      </c>
    </row>
    <row r="618" ht="15.75" customHeight="1">
      <c r="A618" s="88">
        <f t="shared" si="8"/>
        <v>44082</v>
      </c>
      <c r="B618" s="72" t="str">
        <f t="shared" si="1"/>
        <v>20200908</v>
      </c>
      <c r="C618" s="72" t="str">
        <f t="shared" si="2"/>
        <v>Tuesday</v>
      </c>
      <c r="D618" s="72" t="str">
        <f t="shared" si="3"/>
        <v>September</v>
      </c>
      <c r="E618" s="72" t="str">
        <f t="shared" si="4"/>
        <v>Q3</v>
      </c>
      <c r="F618" s="72">
        <f t="shared" si="5"/>
        <v>2020</v>
      </c>
      <c r="G618" s="89">
        <f t="shared" si="6"/>
        <v>44086</v>
      </c>
      <c r="H618" s="72" t="str">
        <f t="shared" si="7"/>
        <v>Yes</v>
      </c>
    </row>
    <row r="619" ht="15.75" customHeight="1">
      <c r="A619" s="88">
        <f t="shared" si="8"/>
        <v>44083</v>
      </c>
      <c r="B619" s="72" t="str">
        <f t="shared" si="1"/>
        <v>20200909</v>
      </c>
      <c r="C619" s="72" t="str">
        <f t="shared" si="2"/>
        <v>Wednesday</v>
      </c>
      <c r="D619" s="72" t="str">
        <f t="shared" si="3"/>
        <v>September</v>
      </c>
      <c r="E619" s="72" t="str">
        <f t="shared" si="4"/>
        <v>Q3</v>
      </c>
      <c r="F619" s="72">
        <f t="shared" si="5"/>
        <v>2020</v>
      </c>
      <c r="G619" s="89">
        <f t="shared" si="6"/>
        <v>44086</v>
      </c>
      <c r="H619" s="72" t="str">
        <f t="shared" si="7"/>
        <v>Yes</v>
      </c>
    </row>
    <row r="620" ht="15.75" customHeight="1">
      <c r="A620" s="88">
        <f t="shared" si="8"/>
        <v>44084</v>
      </c>
      <c r="B620" s="72" t="str">
        <f t="shared" si="1"/>
        <v>20200910</v>
      </c>
      <c r="C620" s="72" t="str">
        <f t="shared" si="2"/>
        <v>Thursday</v>
      </c>
      <c r="D620" s="72" t="str">
        <f t="shared" si="3"/>
        <v>September</v>
      </c>
      <c r="E620" s="72" t="str">
        <f t="shared" si="4"/>
        <v>Q3</v>
      </c>
      <c r="F620" s="72">
        <f t="shared" si="5"/>
        <v>2020</v>
      </c>
      <c r="G620" s="89">
        <f t="shared" si="6"/>
        <v>44086</v>
      </c>
      <c r="H620" s="72" t="str">
        <f t="shared" si="7"/>
        <v>Yes</v>
      </c>
    </row>
    <row r="621" ht="15.75" customHeight="1">
      <c r="A621" s="88">
        <f t="shared" si="8"/>
        <v>44085</v>
      </c>
      <c r="B621" s="72" t="str">
        <f t="shared" si="1"/>
        <v>20200911</v>
      </c>
      <c r="C621" s="72" t="str">
        <f t="shared" si="2"/>
        <v>Friday</v>
      </c>
      <c r="D621" s="72" t="str">
        <f t="shared" si="3"/>
        <v>September</v>
      </c>
      <c r="E621" s="72" t="str">
        <f t="shared" si="4"/>
        <v>Q3</v>
      </c>
      <c r="F621" s="72">
        <f t="shared" si="5"/>
        <v>2020</v>
      </c>
      <c r="G621" s="89">
        <f t="shared" si="6"/>
        <v>44086</v>
      </c>
      <c r="H621" s="72" t="str">
        <f t="shared" si="7"/>
        <v>Yes</v>
      </c>
    </row>
    <row r="622" ht="15.75" customHeight="1">
      <c r="A622" s="88">
        <f t="shared" si="8"/>
        <v>44086</v>
      </c>
      <c r="B622" s="72" t="str">
        <f t="shared" si="1"/>
        <v>20200912</v>
      </c>
      <c r="C622" s="72" t="str">
        <f t="shared" si="2"/>
        <v>Saturday</v>
      </c>
      <c r="D622" s="72" t="str">
        <f t="shared" si="3"/>
        <v>September</v>
      </c>
      <c r="E622" s="72" t="str">
        <f t="shared" si="4"/>
        <v>Q3</v>
      </c>
      <c r="F622" s="72">
        <f t="shared" si="5"/>
        <v>2020</v>
      </c>
      <c r="G622" s="89">
        <f t="shared" si="6"/>
        <v>44086</v>
      </c>
      <c r="H622" s="72" t="str">
        <f t="shared" si="7"/>
        <v>No</v>
      </c>
    </row>
    <row r="623" ht="15.75" customHeight="1">
      <c r="A623" s="88">
        <f t="shared" si="8"/>
        <v>44087</v>
      </c>
      <c r="B623" s="72" t="str">
        <f t="shared" si="1"/>
        <v>20200913</v>
      </c>
      <c r="C623" s="72" t="str">
        <f t="shared" si="2"/>
        <v>Sunday</v>
      </c>
      <c r="D623" s="72" t="str">
        <f t="shared" si="3"/>
        <v>September</v>
      </c>
      <c r="E623" s="72" t="str">
        <f t="shared" si="4"/>
        <v>Q3</v>
      </c>
      <c r="F623" s="72">
        <f t="shared" si="5"/>
        <v>2020</v>
      </c>
      <c r="G623" s="89">
        <f t="shared" si="6"/>
        <v>44093</v>
      </c>
      <c r="H623" s="72" t="str">
        <f t="shared" si="7"/>
        <v>No</v>
      </c>
    </row>
    <row r="624" ht="15.75" customHeight="1">
      <c r="A624" s="88">
        <f t="shared" si="8"/>
        <v>44088</v>
      </c>
      <c r="B624" s="72" t="str">
        <f t="shared" si="1"/>
        <v>20200914</v>
      </c>
      <c r="C624" s="72" t="str">
        <f t="shared" si="2"/>
        <v>Monday</v>
      </c>
      <c r="D624" s="72" t="str">
        <f t="shared" si="3"/>
        <v>September</v>
      </c>
      <c r="E624" s="72" t="str">
        <f t="shared" si="4"/>
        <v>Q3</v>
      </c>
      <c r="F624" s="72">
        <f t="shared" si="5"/>
        <v>2020</v>
      </c>
      <c r="G624" s="89">
        <f t="shared" si="6"/>
        <v>44093</v>
      </c>
      <c r="H624" s="72" t="str">
        <f t="shared" si="7"/>
        <v>Yes</v>
      </c>
    </row>
    <row r="625" ht="15.75" customHeight="1">
      <c r="A625" s="88">
        <f t="shared" si="8"/>
        <v>44089</v>
      </c>
      <c r="B625" s="72" t="str">
        <f t="shared" si="1"/>
        <v>20200915</v>
      </c>
      <c r="C625" s="72" t="str">
        <f t="shared" si="2"/>
        <v>Tuesday</v>
      </c>
      <c r="D625" s="72" t="str">
        <f t="shared" si="3"/>
        <v>September</v>
      </c>
      <c r="E625" s="72" t="str">
        <f t="shared" si="4"/>
        <v>Q3</v>
      </c>
      <c r="F625" s="72">
        <f t="shared" si="5"/>
        <v>2020</v>
      </c>
      <c r="G625" s="89">
        <f t="shared" si="6"/>
        <v>44093</v>
      </c>
      <c r="H625" s="72" t="str">
        <f t="shared" si="7"/>
        <v>Yes</v>
      </c>
    </row>
    <row r="626" ht="15.75" customHeight="1">
      <c r="A626" s="88">
        <f t="shared" si="8"/>
        <v>44090</v>
      </c>
      <c r="B626" s="72" t="str">
        <f t="shared" si="1"/>
        <v>20200916</v>
      </c>
      <c r="C626" s="72" t="str">
        <f t="shared" si="2"/>
        <v>Wednesday</v>
      </c>
      <c r="D626" s="72" t="str">
        <f t="shared" si="3"/>
        <v>September</v>
      </c>
      <c r="E626" s="72" t="str">
        <f t="shared" si="4"/>
        <v>Q3</v>
      </c>
      <c r="F626" s="72">
        <f t="shared" si="5"/>
        <v>2020</v>
      </c>
      <c r="G626" s="89">
        <f t="shared" si="6"/>
        <v>44093</v>
      </c>
      <c r="H626" s="72" t="str">
        <f t="shared" si="7"/>
        <v>Yes</v>
      </c>
    </row>
    <row r="627" ht="15.75" customHeight="1">
      <c r="A627" s="88">
        <f t="shared" si="8"/>
        <v>44091</v>
      </c>
      <c r="B627" s="72" t="str">
        <f t="shared" si="1"/>
        <v>20200917</v>
      </c>
      <c r="C627" s="72" t="str">
        <f t="shared" si="2"/>
        <v>Thursday</v>
      </c>
      <c r="D627" s="72" t="str">
        <f t="shared" si="3"/>
        <v>September</v>
      </c>
      <c r="E627" s="72" t="str">
        <f t="shared" si="4"/>
        <v>Q3</v>
      </c>
      <c r="F627" s="72">
        <f t="shared" si="5"/>
        <v>2020</v>
      </c>
      <c r="G627" s="89">
        <f t="shared" si="6"/>
        <v>44093</v>
      </c>
      <c r="H627" s="72" t="str">
        <f t="shared" si="7"/>
        <v>Yes</v>
      </c>
    </row>
    <row r="628" ht="15.75" customHeight="1">
      <c r="A628" s="88">
        <f t="shared" si="8"/>
        <v>44092</v>
      </c>
      <c r="B628" s="72" t="str">
        <f t="shared" si="1"/>
        <v>20200918</v>
      </c>
      <c r="C628" s="72" t="str">
        <f t="shared" si="2"/>
        <v>Friday</v>
      </c>
      <c r="D628" s="72" t="str">
        <f t="shared" si="3"/>
        <v>September</v>
      </c>
      <c r="E628" s="72" t="str">
        <f t="shared" si="4"/>
        <v>Q3</v>
      </c>
      <c r="F628" s="72">
        <f t="shared" si="5"/>
        <v>2020</v>
      </c>
      <c r="G628" s="89">
        <f t="shared" si="6"/>
        <v>44093</v>
      </c>
      <c r="H628" s="72" t="str">
        <f t="shared" si="7"/>
        <v>Yes</v>
      </c>
    </row>
    <row r="629" ht="15.75" customHeight="1">
      <c r="A629" s="88">
        <f t="shared" si="8"/>
        <v>44093</v>
      </c>
      <c r="B629" s="72" t="str">
        <f t="shared" si="1"/>
        <v>20200919</v>
      </c>
      <c r="C629" s="72" t="str">
        <f t="shared" si="2"/>
        <v>Saturday</v>
      </c>
      <c r="D629" s="72" t="str">
        <f t="shared" si="3"/>
        <v>September</v>
      </c>
      <c r="E629" s="72" t="str">
        <f t="shared" si="4"/>
        <v>Q3</v>
      </c>
      <c r="F629" s="72">
        <f t="shared" si="5"/>
        <v>2020</v>
      </c>
      <c r="G629" s="89">
        <f t="shared" si="6"/>
        <v>44093</v>
      </c>
      <c r="H629" s="72" t="str">
        <f t="shared" si="7"/>
        <v>No</v>
      </c>
    </row>
    <row r="630" ht="15.75" customHeight="1">
      <c r="A630" s="88">
        <f t="shared" si="8"/>
        <v>44094</v>
      </c>
      <c r="B630" s="72" t="str">
        <f t="shared" si="1"/>
        <v>20200920</v>
      </c>
      <c r="C630" s="72" t="str">
        <f t="shared" si="2"/>
        <v>Sunday</v>
      </c>
      <c r="D630" s="72" t="str">
        <f t="shared" si="3"/>
        <v>September</v>
      </c>
      <c r="E630" s="72" t="str">
        <f t="shared" si="4"/>
        <v>Q3</v>
      </c>
      <c r="F630" s="72">
        <f t="shared" si="5"/>
        <v>2020</v>
      </c>
      <c r="G630" s="89">
        <f t="shared" si="6"/>
        <v>44100</v>
      </c>
      <c r="H630" s="72" t="str">
        <f t="shared" si="7"/>
        <v>No</v>
      </c>
    </row>
    <row r="631" ht="15.75" customHeight="1">
      <c r="A631" s="88">
        <f t="shared" si="8"/>
        <v>44095</v>
      </c>
      <c r="B631" s="72" t="str">
        <f t="shared" si="1"/>
        <v>20200921</v>
      </c>
      <c r="C631" s="72" t="str">
        <f t="shared" si="2"/>
        <v>Monday</v>
      </c>
      <c r="D631" s="72" t="str">
        <f t="shared" si="3"/>
        <v>September</v>
      </c>
      <c r="E631" s="72" t="str">
        <f t="shared" si="4"/>
        <v>Q3</v>
      </c>
      <c r="F631" s="72">
        <f t="shared" si="5"/>
        <v>2020</v>
      </c>
      <c r="G631" s="89">
        <f t="shared" si="6"/>
        <v>44100</v>
      </c>
      <c r="H631" s="72" t="str">
        <f t="shared" si="7"/>
        <v>Yes</v>
      </c>
    </row>
    <row r="632" ht="15.75" customHeight="1">
      <c r="A632" s="88">
        <f t="shared" si="8"/>
        <v>44096</v>
      </c>
      <c r="B632" s="72" t="str">
        <f t="shared" si="1"/>
        <v>20200922</v>
      </c>
      <c r="C632" s="72" t="str">
        <f t="shared" si="2"/>
        <v>Tuesday</v>
      </c>
      <c r="D632" s="72" t="str">
        <f t="shared" si="3"/>
        <v>September</v>
      </c>
      <c r="E632" s="72" t="str">
        <f t="shared" si="4"/>
        <v>Q3</v>
      </c>
      <c r="F632" s="72">
        <f t="shared" si="5"/>
        <v>2020</v>
      </c>
      <c r="G632" s="89">
        <f t="shared" si="6"/>
        <v>44100</v>
      </c>
      <c r="H632" s="72" t="str">
        <f t="shared" si="7"/>
        <v>Yes</v>
      </c>
    </row>
    <row r="633" ht="15.75" customHeight="1">
      <c r="A633" s="88">
        <f t="shared" si="8"/>
        <v>44097</v>
      </c>
      <c r="B633" s="72" t="str">
        <f t="shared" si="1"/>
        <v>20200923</v>
      </c>
      <c r="C633" s="72" t="str">
        <f t="shared" si="2"/>
        <v>Wednesday</v>
      </c>
      <c r="D633" s="72" t="str">
        <f t="shared" si="3"/>
        <v>September</v>
      </c>
      <c r="E633" s="72" t="str">
        <f t="shared" si="4"/>
        <v>Q3</v>
      </c>
      <c r="F633" s="72">
        <f t="shared" si="5"/>
        <v>2020</v>
      </c>
      <c r="G633" s="89">
        <f t="shared" si="6"/>
        <v>44100</v>
      </c>
      <c r="H633" s="72" t="str">
        <f t="shared" si="7"/>
        <v>Yes</v>
      </c>
    </row>
    <row r="634" ht="15.75" customHeight="1">
      <c r="A634" s="88">
        <f t="shared" si="8"/>
        <v>44098</v>
      </c>
      <c r="B634" s="72" t="str">
        <f t="shared" si="1"/>
        <v>20200924</v>
      </c>
      <c r="C634" s="72" t="str">
        <f t="shared" si="2"/>
        <v>Thursday</v>
      </c>
      <c r="D634" s="72" t="str">
        <f t="shared" si="3"/>
        <v>September</v>
      </c>
      <c r="E634" s="72" t="str">
        <f t="shared" si="4"/>
        <v>Q3</v>
      </c>
      <c r="F634" s="72">
        <f t="shared" si="5"/>
        <v>2020</v>
      </c>
      <c r="G634" s="89">
        <f t="shared" si="6"/>
        <v>44100</v>
      </c>
      <c r="H634" s="72" t="str">
        <f t="shared" si="7"/>
        <v>Yes</v>
      </c>
    </row>
    <row r="635" ht="15.75" customHeight="1">
      <c r="A635" s="88">
        <f t="shared" si="8"/>
        <v>44099</v>
      </c>
      <c r="B635" s="72" t="str">
        <f t="shared" si="1"/>
        <v>20200925</v>
      </c>
      <c r="C635" s="72" t="str">
        <f t="shared" si="2"/>
        <v>Friday</v>
      </c>
      <c r="D635" s="72" t="str">
        <f t="shared" si="3"/>
        <v>September</v>
      </c>
      <c r="E635" s="72" t="str">
        <f t="shared" si="4"/>
        <v>Q3</v>
      </c>
      <c r="F635" s="72">
        <f t="shared" si="5"/>
        <v>2020</v>
      </c>
      <c r="G635" s="89">
        <f t="shared" si="6"/>
        <v>44100</v>
      </c>
      <c r="H635" s="72" t="str">
        <f t="shared" si="7"/>
        <v>Yes</v>
      </c>
    </row>
    <row r="636" ht="15.75" customHeight="1">
      <c r="A636" s="88">
        <f t="shared" si="8"/>
        <v>44100</v>
      </c>
      <c r="B636" s="72" t="str">
        <f t="shared" si="1"/>
        <v>20200926</v>
      </c>
      <c r="C636" s="72" t="str">
        <f t="shared" si="2"/>
        <v>Saturday</v>
      </c>
      <c r="D636" s="72" t="str">
        <f t="shared" si="3"/>
        <v>September</v>
      </c>
      <c r="E636" s="72" t="str">
        <f t="shared" si="4"/>
        <v>Q3</v>
      </c>
      <c r="F636" s="72">
        <f t="shared" si="5"/>
        <v>2020</v>
      </c>
      <c r="G636" s="89">
        <f t="shared" si="6"/>
        <v>44100</v>
      </c>
      <c r="H636" s="72" t="str">
        <f t="shared" si="7"/>
        <v>No</v>
      </c>
    </row>
    <row r="637" ht="15.75" customHeight="1">
      <c r="A637" s="88">
        <f t="shared" si="8"/>
        <v>44101</v>
      </c>
      <c r="B637" s="72" t="str">
        <f t="shared" si="1"/>
        <v>20200927</v>
      </c>
      <c r="C637" s="72" t="str">
        <f t="shared" si="2"/>
        <v>Sunday</v>
      </c>
      <c r="D637" s="72" t="str">
        <f t="shared" si="3"/>
        <v>September</v>
      </c>
      <c r="E637" s="72" t="str">
        <f t="shared" si="4"/>
        <v>Q3</v>
      </c>
      <c r="F637" s="72">
        <f t="shared" si="5"/>
        <v>2020</v>
      </c>
      <c r="G637" s="89">
        <f t="shared" si="6"/>
        <v>44107</v>
      </c>
      <c r="H637" s="72" t="str">
        <f t="shared" si="7"/>
        <v>No</v>
      </c>
    </row>
    <row r="638" ht="15.75" customHeight="1">
      <c r="A638" s="88">
        <f t="shared" si="8"/>
        <v>44102</v>
      </c>
      <c r="B638" s="72" t="str">
        <f t="shared" si="1"/>
        <v>20200928</v>
      </c>
      <c r="C638" s="72" t="str">
        <f t="shared" si="2"/>
        <v>Monday</v>
      </c>
      <c r="D638" s="72" t="str">
        <f t="shared" si="3"/>
        <v>September</v>
      </c>
      <c r="E638" s="72" t="str">
        <f t="shared" si="4"/>
        <v>Q3</v>
      </c>
      <c r="F638" s="72">
        <f t="shared" si="5"/>
        <v>2020</v>
      </c>
      <c r="G638" s="89">
        <f t="shared" si="6"/>
        <v>44107</v>
      </c>
      <c r="H638" s="72" t="str">
        <f t="shared" si="7"/>
        <v>Yes</v>
      </c>
    </row>
    <row r="639" ht="15.75" customHeight="1">
      <c r="A639" s="88">
        <f t="shared" si="8"/>
        <v>44103</v>
      </c>
      <c r="B639" s="72" t="str">
        <f t="shared" si="1"/>
        <v>20200929</v>
      </c>
      <c r="C639" s="72" t="str">
        <f t="shared" si="2"/>
        <v>Tuesday</v>
      </c>
      <c r="D639" s="72" t="str">
        <f t="shared" si="3"/>
        <v>September</v>
      </c>
      <c r="E639" s="72" t="str">
        <f t="shared" si="4"/>
        <v>Q3</v>
      </c>
      <c r="F639" s="72">
        <f t="shared" si="5"/>
        <v>2020</v>
      </c>
      <c r="G639" s="89">
        <f t="shared" si="6"/>
        <v>44107</v>
      </c>
      <c r="H639" s="72" t="str">
        <f t="shared" si="7"/>
        <v>Yes</v>
      </c>
    </row>
    <row r="640" ht="15.75" customHeight="1">
      <c r="A640" s="88">
        <f t="shared" si="8"/>
        <v>44104</v>
      </c>
      <c r="B640" s="72" t="str">
        <f t="shared" si="1"/>
        <v>20200930</v>
      </c>
      <c r="C640" s="72" t="str">
        <f t="shared" si="2"/>
        <v>Wednesday</v>
      </c>
      <c r="D640" s="72" t="str">
        <f t="shared" si="3"/>
        <v>September</v>
      </c>
      <c r="E640" s="72" t="str">
        <f t="shared" si="4"/>
        <v>Q3</v>
      </c>
      <c r="F640" s="72">
        <f t="shared" si="5"/>
        <v>2020</v>
      </c>
      <c r="G640" s="89">
        <f t="shared" si="6"/>
        <v>44107</v>
      </c>
      <c r="H640" s="72" t="str">
        <f t="shared" si="7"/>
        <v>Yes</v>
      </c>
    </row>
    <row r="641" ht="15.75" customHeight="1">
      <c r="A641" s="88">
        <f t="shared" si="8"/>
        <v>44105</v>
      </c>
      <c r="B641" s="72" t="str">
        <f t="shared" si="1"/>
        <v>20201001</v>
      </c>
      <c r="C641" s="72" t="str">
        <f t="shared" si="2"/>
        <v>Thursday</v>
      </c>
      <c r="D641" s="72" t="str">
        <f t="shared" si="3"/>
        <v>October</v>
      </c>
      <c r="E641" s="72" t="str">
        <f t="shared" si="4"/>
        <v>Q4</v>
      </c>
      <c r="F641" s="72">
        <f t="shared" si="5"/>
        <v>2020</v>
      </c>
      <c r="G641" s="89">
        <f t="shared" si="6"/>
        <v>44107</v>
      </c>
      <c r="H641" s="72" t="str">
        <f t="shared" si="7"/>
        <v>Yes</v>
      </c>
    </row>
    <row r="642" ht="15.75" customHeight="1">
      <c r="A642" s="88">
        <f t="shared" si="8"/>
        <v>44106</v>
      </c>
      <c r="B642" s="72" t="str">
        <f t="shared" si="1"/>
        <v>20201002</v>
      </c>
      <c r="C642" s="72" t="str">
        <f t="shared" si="2"/>
        <v>Friday</v>
      </c>
      <c r="D642" s="72" t="str">
        <f t="shared" si="3"/>
        <v>October</v>
      </c>
      <c r="E642" s="72" t="str">
        <f t="shared" si="4"/>
        <v>Q4</v>
      </c>
      <c r="F642" s="72">
        <f t="shared" si="5"/>
        <v>2020</v>
      </c>
      <c r="G642" s="89">
        <f t="shared" si="6"/>
        <v>44107</v>
      </c>
      <c r="H642" s="72" t="str">
        <f t="shared" si="7"/>
        <v>Yes</v>
      </c>
    </row>
    <row r="643" ht="15.75" customHeight="1">
      <c r="A643" s="88">
        <f t="shared" si="8"/>
        <v>44107</v>
      </c>
      <c r="B643" s="72" t="str">
        <f t="shared" si="1"/>
        <v>20201003</v>
      </c>
      <c r="C643" s="72" t="str">
        <f t="shared" si="2"/>
        <v>Saturday</v>
      </c>
      <c r="D643" s="72" t="str">
        <f t="shared" si="3"/>
        <v>October</v>
      </c>
      <c r="E643" s="72" t="str">
        <f t="shared" si="4"/>
        <v>Q4</v>
      </c>
      <c r="F643" s="72">
        <f t="shared" si="5"/>
        <v>2020</v>
      </c>
      <c r="G643" s="89">
        <f t="shared" si="6"/>
        <v>44107</v>
      </c>
      <c r="H643" s="72" t="str">
        <f t="shared" si="7"/>
        <v>No</v>
      </c>
    </row>
    <row r="644" ht="15.75" customHeight="1">
      <c r="A644" s="88">
        <f t="shared" si="8"/>
        <v>44108</v>
      </c>
      <c r="B644" s="72" t="str">
        <f t="shared" si="1"/>
        <v>20201004</v>
      </c>
      <c r="C644" s="72" t="str">
        <f t="shared" si="2"/>
        <v>Sunday</v>
      </c>
      <c r="D644" s="72" t="str">
        <f t="shared" si="3"/>
        <v>October</v>
      </c>
      <c r="E644" s="72" t="str">
        <f t="shared" si="4"/>
        <v>Q4</v>
      </c>
      <c r="F644" s="72">
        <f t="shared" si="5"/>
        <v>2020</v>
      </c>
      <c r="G644" s="89">
        <f t="shared" si="6"/>
        <v>44114</v>
      </c>
      <c r="H644" s="72" t="str">
        <f t="shared" si="7"/>
        <v>No</v>
      </c>
    </row>
    <row r="645" ht="15.75" customHeight="1">
      <c r="A645" s="88">
        <f t="shared" si="8"/>
        <v>44109</v>
      </c>
      <c r="B645" s="72" t="str">
        <f t="shared" si="1"/>
        <v>20201005</v>
      </c>
      <c r="C645" s="72" t="str">
        <f t="shared" si="2"/>
        <v>Monday</v>
      </c>
      <c r="D645" s="72" t="str">
        <f t="shared" si="3"/>
        <v>October</v>
      </c>
      <c r="E645" s="72" t="str">
        <f t="shared" si="4"/>
        <v>Q4</v>
      </c>
      <c r="F645" s="72">
        <f t="shared" si="5"/>
        <v>2020</v>
      </c>
      <c r="G645" s="89">
        <f t="shared" si="6"/>
        <v>44114</v>
      </c>
      <c r="H645" s="72" t="str">
        <f t="shared" si="7"/>
        <v>Yes</v>
      </c>
    </row>
    <row r="646" ht="15.75" customHeight="1">
      <c r="A646" s="88">
        <f t="shared" si="8"/>
        <v>44110</v>
      </c>
      <c r="B646" s="72" t="str">
        <f t="shared" si="1"/>
        <v>20201006</v>
      </c>
      <c r="C646" s="72" t="str">
        <f t="shared" si="2"/>
        <v>Tuesday</v>
      </c>
      <c r="D646" s="72" t="str">
        <f t="shared" si="3"/>
        <v>October</v>
      </c>
      <c r="E646" s="72" t="str">
        <f t="shared" si="4"/>
        <v>Q4</v>
      </c>
      <c r="F646" s="72">
        <f t="shared" si="5"/>
        <v>2020</v>
      </c>
      <c r="G646" s="89">
        <f t="shared" si="6"/>
        <v>44114</v>
      </c>
      <c r="H646" s="72" t="str">
        <f t="shared" si="7"/>
        <v>Yes</v>
      </c>
    </row>
    <row r="647" ht="15.75" customHeight="1">
      <c r="A647" s="88">
        <f t="shared" si="8"/>
        <v>44111</v>
      </c>
      <c r="B647" s="72" t="str">
        <f t="shared" si="1"/>
        <v>20201007</v>
      </c>
      <c r="C647" s="72" t="str">
        <f t="shared" si="2"/>
        <v>Wednesday</v>
      </c>
      <c r="D647" s="72" t="str">
        <f t="shared" si="3"/>
        <v>October</v>
      </c>
      <c r="E647" s="72" t="str">
        <f t="shared" si="4"/>
        <v>Q4</v>
      </c>
      <c r="F647" s="72">
        <f t="shared" si="5"/>
        <v>2020</v>
      </c>
      <c r="G647" s="89">
        <f t="shared" si="6"/>
        <v>44114</v>
      </c>
      <c r="H647" s="72" t="str">
        <f t="shared" si="7"/>
        <v>Yes</v>
      </c>
    </row>
    <row r="648" ht="15.75" customHeight="1">
      <c r="A648" s="88">
        <f t="shared" si="8"/>
        <v>44112</v>
      </c>
      <c r="B648" s="72" t="str">
        <f t="shared" si="1"/>
        <v>20201008</v>
      </c>
      <c r="C648" s="72" t="str">
        <f t="shared" si="2"/>
        <v>Thursday</v>
      </c>
      <c r="D648" s="72" t="str">
        <f t="shared" si="3"/>
        <v>October</v>
      </c>
      <c r="E648" s="72" t="str">
        <f t="shared" si="4"/>
        <v>Q4</v>
      </c>
      <c r="F648" s="72">
        <f t="shared" si="5"/>
        <v>2020</v>
      </c>
      <c r="G648" s="89">
        <f t="shared" si="6"/>
        <v>44114</v>
      </c>
      <c r="H648" s="72" t="str">
        <f t="shared" si="7"/>
        <v>Yes</v>
      </c>
    </row>
    <row r="649" ht="15.75" customHeight="1">
      <c r="A649" s="88">
        <f t="shared" si="8"/>
        <v>44113</v>
      </c>
      <c r="B649" s="72" t="str">
        <f t="shared" si="1"/>
        <v>20201009</v>
      </c>
      <c r="C649" s="72" t="str">
        <f t="shared" si="2"/>
        <v>Friday</v>
      </c>
      <c r="D649" s="72" t="str">
        <f t="shared" si="3"/>
        <v>October</v>
      </c>
      <c r="E649" s="72" t="str">
        <f t="shared" si="4"/>
        <v>Q4</v>
      </c>
      <c r="F649" s="72">
        <f t="shared" si="5"/>
        <v>2020</v>
      </c>
      <c r="G649" s="89">
        <f t="shared" si="6"/>
        <v>44114</v>
      </c>
      <c r="H649" s="72" t="str">
        <f t="shared" si="7"/>
        <v>Yes</v>
      </c>
    </row>
    <row r="650" ht="15.75" customHeight="1">
      <c r="A650" s="88">
        <f t="shared" si="8"/>
        <v>44114</v>
      </c>
      <c r="B650" s="72" t="str">
        <f t="shared" si="1"/>
        <v>20201010</v>
      </c>
      <c r="C650" s="72" t="str">
        <f t="shared" si="2"/>
        <v>Saturday</v>
      </c>
      <c r="D650" s="72" t="str">
        <f t="shared" si="3"/>
        <v>October</v>
      </c>
      <c r="E650" s="72" t="str">
        <f t="shared" si="4"/>
        <v>Q4</v>
      </c>
      <c r="F650" s="72">
        <f t="shared" si="5"/>
        <v>2020</v>
      </c>
      <c r="G650" s="89">
        <f t="shared" si="6"/>
        <v>44114</v>
      </c>
      <c r="H650" s="72" t="str">
        <f t="shared" si="7"/>
        <v>No</v>
      </c>
    </row>
    <row r="651" ht="15.75" customHeight="1">
      <c r="A651" s="88">
        <f t="shared" si="8"/>
        <v>44115</v>
      </c>
      <c r="B651" s="72" t="str">
        <f t="shared" si="1"/>
        <v>20201011</v>
      </c>
      <c r="C651" s="72" t="str">
        <f t="shared" si="2"/>
        <v>Sunday</v>
      </c>
      <c r="D651" s="72" t="str">
        <f t="shared" si="3"/>
        <v>October</v>
      </c>
      <c r="E651" s="72" t="str">
        <f t="shared" si="4"/>
        <v>Q4</v>
      </c>
      <c r="F651" s="72">
        <f t="shared" si="5"/>
        <v>2020</v>
      </c>
      <c r="G651" s="89">
        <f t="shared" si="6"/>
        <v>44121</v>
      </c>
      <c r="H651" s="72" t="str">
        <f t="shared" si="7"/>
        <v>No</v>
      </c>
    </row>
    <row r="652" ht="15.75" customHeight="1">
      <c r="A652" s="88">
        <f t="shared" si="8"/>
        <v>44116</v>
      </c>
      <c r="B652" s="72" t="str">
        <f t="shared" si="1"/>
        <v>20201012</v>
      </c>
      <c r="C652" s="72" t="str">
        <f t="shared" si="2"/>
        <v>Monday</v>
      </c>
      <c r="D652" s="72" t="str">
        <f t="shared" si="3"/>
        <v>October</v>
      </c>
      <c r="E652" s="72" t="str">
        <f t="shared" si="4"/>
        <v>Q4</v>
      </c>
      <c r="F652" s="72">
        <f t="shared" si="5"/>
        <v>2020</v>
      </c>
      <c r="G652" s="89">
        <f t="shared" si="6"/>
        <v>44121</v>
      </c>
      <c r="H652" s="72" t="str">
        <f t="shared" si="7"/>
        <v>Yes</v>
      </c>
    </row>
    <row r="653" ht="15.75" customHeight="1">
      <c r="A653" s="88">
        <f t="shared" si="8"/>
        <v>44117</v>
      </c>
      <c r="B653" s="72" t="str">
        <f t="shared" si="1"/>
        <v>20201013</v>
      </c>
      <c r="C653" s="72" t="str">
        <f t="shared" si="2"/>
        <v>Tuesday</v>
      </c>
      <c r="D653" s="72" t="str">
        <f t="shared" si="3"/>
        <v>October</v>
      </c>
      <c r="E653" s="72" t="str">
        <f t="shared" si="4"/>
        <v>Q4</v>
      </c>
      <c r="F653" s="72">
        <f t="shared" si="5"/>
        <v>2020</v>
      </c>
      <c r="G653" s="89">
        <f t="shared" si="6"/>
        <v>44121</v>
      </c>
      <c r="H653" s="72" t="str">
        <f t="shared" si="7"/>
        <v>Yes</v>
      </c>
    </row>
    <row r="654" ht="15.75" customHeight="1">
      <c r="A654" s="88">
        <f t="shared" si="8"/>
        <v>44118</v>
      </c>
      <c r="B654" s="72" t="str">
        <f t="shared" si="1"/>
        <v>20201014</v>
      </c>
      <c r="C654" s="72" t="str">
        <f t="shared" si="2"/>
        <v>Wednesday</v>
      </c>
      <c r="D654" s="72" t="str">
        <f t="shared" si="3"/>
        <v>October</v>
      </c>
      <c r="E654" s="72" t="str">
        <f t="shared" si="4"/>
        <v>Q4</v>
      </c>
      <c r="F654" s="72">
        <f t="shared" si="5"/>
        <v>2020</v>
      </c>
      <c r="G654" s="89">
        <f t="shared" si="6"/>
        <v>44121</v>
      </c>
      <c r="H654" s="72" t="str">
        <f t="shared" si="7"/>
        <v>Yes</v>
      </c>
    </row>
    <row r="655" ht="15.75" customHeight="1">
      <c r="A655" s="88">
        <f t="shared" si="8"/>
        <v>44119</v>
      </c>
      <c r="B655" s="72" t="str">
        <f t="shared" si="1"/>
        <v>20201015</v>
      </c>
      <c r="C655" s="72" t="str">
        <f t="shared" si="2"/>
        <v>Thursday</v>
      </c>
      <c r="D655" s="72" t="str">
        <f t="shared" si="3"/>
        <v>October</v>
      </c>
      <c r="E655" s="72" t="str">
        <f t="shared" si="4"/>
        <v>Q4</v>
      </c>
      <c r="F655" s="72">
        <f t="shared" si="5"/>
        <v>2020</v>
      </c>
      <c r="G655" s="89">
        <f t="shared" si="6"/>
        <v>44121</v>
      </c>
      <c r="H655" s="72" t="str">
        <f t="shared" si="7"/>
        <v>Yes</v>
      </c>
    </row>
    <row r="656" ht="15.75" customHeight="1">
      <c r="A656" s="88">
        <f t="shared" si="8"/>
        <v>44120</v>
      </c>
      <c r="B656" s="72" t="str">
        <f t="shared" si="1"/>
        <v>20201016</v>
      </c>
      <c r="C656" s="72" t="str">
        <f t="shared" si="2"/>
        <v>Friday</v>
      </c>
      <c r="D656" s="72" t="str">
        <f t="shared" si="3"/>
        <v>October</v>
      </c>
      <c r="E656" s="72" t="str">
        <f t="shared" si="4"/>
        <v>Q4</v>
      </c>
      <c r="F656" s="72">
        <f t="shared" si="5"/>
        <v>2020</v>
      </c>
      <c r="G656" s="89">
        <f t="shared" si="6"/>
        <v>44121</v>
      </c>
      <c r="H656" s="72" t="str">
        <f t="shared" si="7"/>
        <v>Yes</v>
      </c>
    </row>
    <row r="657" ht="15.75" customHeight="1">
      <c r="A657" s="88">
        <f t="shared" si="8"/>
        <v>44121</v>
      </c>
      <c r="B657" s="72" t="str">
        <f t="shared" si="1"/>
        <v>20201017</v>
      </c>
      <c r="C657" s="72" t="str">
        <f t="shared" si="2"/>
        <v>Saturday</v>
      </c>
      <c r="D657" s="72" t="str">
        <f t="shared" si="3"/>
        <v>October</v>
      </c>
      <c r="E657" s="72" t="str">
        <f t="shared" si="4"/>
        <v>Q4</v>
      </c>
      <c r="F657" s="72">
        <f t="shared" si="5"/>
        <v>2020</v>
      </c>
      <c r="G657" s="89">
        <f t="shared" si="6"/>
        <v>44121</v>
      </c>
      <c r="H657" s="72" t="str">
        <f t="shared" si="7"/>
        <v>No</v>
      </c>
    </row>
    <row r="658" ht="15.75" customHeight="1">
      <c r="A658" s="88">
        <f t="shared" si="8"/>
        <v>44122</v>
      </c>
      <c r="B658" s="72" t="str">
        <f t="shared" si="1"/>
        <v>20201018</v>
      </c>
      <c r="C658" s="72" t="str">
        <f t="shared" si="2"/>
        <v>Sunday</v>
      </c>
      <c r="D658" s="72" t="str">
        <f t="shared" si="3"/>
        <v>October</v>
      </c>
      <c r="E658" s="72" t="str">
        <f t="shared" si="4"/>
        <v>Q4</v>
      </c>
      <c r="F658" s="72">
        <f t="shared" si="5"/>
        <v>2020</v>
      </c>
      <c r="G658" s="89">
        <f t="shared" si="6"/>
        <v>44128</v>
      </c>
      <c r="H658" s="72" t="str">
        <f t="shared" si="7"/>
        <v>No</v>
      </c>
    </row>
    <row r="659" ht="15.75" customHeight="1">
      <c r="A659" s="88">
        <f t="shared" si="8"/>
        <v>44123</v>
      </c>
      <c r="B659" s="72" t="str">
        <f t="shared" si="1"/>
        <v>20201019</v>
      </c>
      <c r="C659" s="72" t="str">
        <f t="shared" si="2"/>
        <v>Monday</v>
      </c>
      <c r="D659" s="72" t="str">
        <f t="shared" si="3"/>
        <v>October</v>
      </c>
      <c r="E659" s="72" t="str">
        <f t="shared" si="4"/>
        <v>Q4</v>
      </c>
      <c r="F659" s="72">
        <f t="shared" si="5"/>
        <v>2020</v>
      </c>
      <c r="G659" s="89">
        <f t="shared" si="6"/>
        <v>44128</v>
      </c>
      <c r="H659" s="72" t="str">
        <f t="shared" si="7"/>
        <v>Yes</v>
      </c>
    </row>
    <row r="660" ht="15.75" customHeight="1">
      <c r="A660" s="88">
        <f t="shared" si="8"/>
        <v>44124</v>
      </c>
      <c r="B660" s="72" t="str">
        <f t="shared" si="1"/>
        <v>20201020</v>
      </c>
      <c r="C660" s="72" t="str">
        <f t="shared" si="2"/>
        <v>Tuesday</v>
      </c>
      <c r="D660" s="72" t="str">
        <f t="shared" si="3"/>
        <v>October</v>
      </c>
      <c r="E660" s="72" t="str">
        <f t="shared" si="4"/>
        <v>Q4</v>
      </c>
      <c r="F660" s="72">
        <f t="shared" si="5"/>
        <v>2020</v>
      </c>
      <c r="G660" s="89">
        <f t="shared" si="6"/>
        <v>44128</v>
      </c>
      <c r="H660" s="72" t="str">
        <f t="shared" si="7"/>
        <v>Yes</v>
      </c>
    </row>
    <row r="661" ht="15.75" customHeight="1">
      <c r="A661" s="88">
        <f t="shared" si="8"/>
        <v>44125</v>
      </c>
      <c r="B661" s="72" t="str">
        <f t="shared" si="1"/>
        <v>20201021</v>
      </c>
      <c r="C661" s="72" t="str">
        <f t="shared" si="2"/>
        <v>Wednesday</v>
      </c>
      <c r="D661" s="72" t="str">
        <f t="shared" si="3"/>
        <v>October</v>
      </c>
      <c r="E661" s="72" t="str">
        <f t="shared" si="4"/>
        <v>Q4</v>
      </c>
      <c r="F661" s="72">
        <f t="shared" si="5"/>
        <v>2020</v>
      </c>
      <c r="G661" s="89">
        <f t="shared" si="6"/>
        <v>44128</v>
      </c>
      <c r="H661" s="72" t="str">
        <f t="shared" si="7"/>
        <v>Yes</v>
      </c>
    </row>
    <row r="662" ht="15.75" customHeight="1">
      <c r="A662" s="88">
        <f t="shared" si="8"/>
        <v>44126</v>
      </c>
      <c r="B662" s="72" t="str">
        <f t="shared" si="1"/>
        <v>20201022</v>
      </c>
      <c r="C662" s="72" t="str">
        <f t="shared" si="2"/>
        <v>Thursday</v>
      </c>
      <c r="D662" s="72" t="str">
        <f t="shared" si="3"/>
        <v>October</v>
      </c>
      <c r="E662" s="72" t="str">
        <f t="shared" si="4"/>
        <v>Q4</v>
      </c>
      <c r="F662" s="72">
        <f t="shared" si="5"/>
        <v>2020</v>
      </c>
      <c r="G662" s="89">
        <f t="shared" si="6"/>
        <v>44128</v>
      </c>
      <c r="H662" s="72" t="str">
        <f t="shared" si="7"/>
        <v>Yes</v>
      </c>
    </row>
    <row r="663" ht="15.75" customHeight="1">
      <c r="A663" s="88">
        <f t="shared" si="8"/>
        <v>44127</v>
      </c>
      <c r="B663" s="72" t="str">
        <f t="shared" si="1"/>
        <v>20201023</v>
      </c>
      <c r="C663" s="72" t="str">
        <f t="shared" si="2"/>
        <v>Friday</v>
      </c>
      <c r="D663" s="72" t="str">
        <f t="shared" si="3"/>
        <v>October</v>
      </c>
      <c r="E663" s="72" t="str">
        <f t="shared" si="4"/>
        <v>Q4</v>
      </c>
      <c r="F663" s="72">
        <f t="shared" si="5"/>
        <v>2020</v>
      </c>
      <c r="G663" s="89">
        <f t="shared" si="6"/>
        <v>44128</v>
      </c>
      <c r="H663" s="72" t="str">
        <f t="shared" si="7"/>
        <v>Yes</v>
      </c>
    </row>
    <row r="664" ht="15.75" customHeight="1">
      <c r="A664" s="88">
        <f t="shared" si="8"/>
        <v>44128</v>
      </c>
      <c r="B664" s="72" t="str">
        <f t="shared" si="1"/>
        <v>20201024</v>
      </c>
      <c r="C664" s="72" t="str">
        <f t="shared" si="2"/>
        <v>Saturday</v>
      </c>
      <c r="D664" s="72" t="str">
        <f t="shared" si="3"/>
        <v>October</v>
      </c>
      <c r="E664" s="72" t="str">
        <f t="shared" si="4"/>
        <v>Q4</v>
      </c>
      <c r="F664" s="72">
        <f t="shared" si="5"/>
        <v>2020</v>
      </c>
      <c r="G664" s="89">
        <f t="shared" si="6"/>
        <v>44128</v>
      </c>
      <c r="H664" s="72" t="str">
        <f t="shared" si="7"/>
        <v>No</v>
      </c>
    </row>
    <row r="665" ht="15.75" customHeight="1">
      <c r="A665" s="88">
        <f t="shared" si="8"/>
        <v>44129</v>
      </c>
      <c r="B665" s="72" t="str">
        <f t="shared" si="1"/>
        <v>20201025</v>
      </c>
      <c r="C665" s="72" t="str">
        <f t="shared" si="2"/>
        <v>Sunday</v>
      </c>
      <c r="D665" s="72" t="str">
        <f t="shared" si="3"/>
        <v>October</v>
      </c>
      <c r="E665" s="72" t="str">
        <f t="shared" si="4"/>
        <v>Q4</v>
      </c>
      <c r="F665" s="72">
        <f t="shared" si="5"/>
        <v>2020</v>
      </c>
      <c r="G665" s="89">
        <f t="shared" si="6"/>
        <v>44135</v>
      </c>
      <c r="H665" s="72" t="str">
        <f t="shared" si="7"/>
        <v>No</v>
      </c>
    </row>
    <row r="666" ht="15.75" customHeight="1">
      <c r="A666" s="88">
        <f t="shared" si="8"/>
        <v>44130</v>
      </c>
      <c r="B666" s="72" t="str">
        <f t="shared" si="1"/>
        <v>20201026</v>
      </c>
      <c r="C666" s="72" t="str">
        <f t="shared" si="2"/>
        <v>Monday</v>
      </c>
      <c r="D666" s="72" t="str">
        <f t="shared" si="3"/>
        <v>October</v>
      </c>
      <c r="E666" s="72" t="str">
        <f t="shared" si="4"/>
        <v>Q4</v>
      </c>
      <c r="F666" s="72">
        <f t="shared" si="5"/>
        <v>2020</v>
      </c>
      <c r="G666" s="89">
        <f t="shared" si="6"/>
        <v>44135</v>
      </c>
      <c r="H666" s="72" t="str">
        <f t="shared" si="7"/>
        <v>Yes</v>
      </c>
    </row>
    <row r="667" ht="15.75" customHeight="1">
      <c r="A667" s="88">
        <f t="shared" si="8"/>
        <v>44131</v>
      </c>
      <c r="B667" s="72" t="str">
        <f t="shared" si="1"/>
        <v>20201027</v>
      </c>
      <c r="C667" s="72" t="str">
        <f t="shared" si="2"/>
        <v>Tuesday</v>
      </c>
      <c r="D667" s="72" t="str">
        <f t="shared" si="3"/>
        <v>October</v>
      </c>
      <c r="E667" s="72" t="str">
        <f t="shared" si="4"/>
        <v>Q4</v>
      </c>
      <c r="F667" s="72">
        <f t="shared" si="5"/>
        <v>2020</v>
      </c>
      <c r="G667" s="89">
        <f t="shared" si="6"/>
        <v>44135</v>
      </c>
      <c r="H667" s="72" t="str">
        <f t="shared" si="7"/>
        <v>Yes</v>
      </c>
    </row>
    <row r="668" ht="15.75" customHeight="1">
      <c r="A668" s="88">
        <f t="shared" si="8"/>
        <v>44132</v>
      </c>
      <c r="B668" s="72" t="str">
        <f t="shared" si="1"/>
        <v>20201028</v>
      </c>
      <c r="C668" s="72" t="str">
        <f t="shared" si="2"/>
        <v>Wednesday</v>
      </c>
      <c r="D668" s="72" t="str">
        <f t="shared" si="3"/>
        <v>October</v>
      </c>
      <c r="E668" s="72" t="str">
        <f t="shared" si="4"/>
        <v>Q4</v>
      </c>
      <c r="F668" s="72">
        <f t="shared" si="5"/>
        <v>2020</v>
      </c>
      <c r="G668" s="89">
        <f t="shared" si="6"/>
        <v>44135</v>
      </c>
      <c r="H668" s="72" t="str">
        <f t="shared" si="7"/>
        <v>Yes</v>
      </c>
    </row>
    <row r="669" ht="15.75" customHeight="1">
      <c r="A669" s="88">
        <f t="shared" si="8"/>
        <v>44133</v>
      </c>
      <c r="B669" s="72" t="str">
        <f t="shared" si="1"/>
        <v>20201029</v>
      </c>
      <c r="C669" s="72" t="str">
        <f t="shared" si="2"/>
        <v>Thursday</v>
      </c>
      <c r="D669" s="72" t="str">
        <f t="shared" si="3"/>
        <v>October</v>
      </c>
      <c r="E669" s="72" t="str">
        <f t="shared" si="4"/>
        <v>Q4</v>
      </c>
      <c r="F669" s="72">
        <f t="shared" si="5"/>
        <v>2020</v>
      </c>
      <c r="G669" s="89">
        <f t="shared" si="6"/>
        <v>44135</v>
      </c>
      <c r="H669" s="72" t="str">
        <f t="shared" si="7"/>
        <v>Yes</v>
      </c>
    </row>
    <row r="670" ht="15.75" customHeight="1">
      <c r="A670" s="88">
        <f t="shared" si="8"/>
        <v>44134</v>
      </c>
      <c r="B670" s="72" t="str">
        <f t="shared" si="1"/>
        <v>20201030</v>
      </c>
      <c r="C670" s="72" t="str">
        <f t="shared" si="2"/>
        <v>Friday</v>
      </c>
      <c r="D670" s="72" t="str">
        <f t="shared" si="3"/>
        <v>October</v>
      </c>
      <c r="E670" s="72" t="str">
        <f t="shared" si="4"/>
        <v>Q4</v>
      </c>
      <c r="F670" s="72">
        <f t="shared" si="5"/>
        <v>2020</v>
      </c>
      <c r="G670" s="89">
        <f t="shared" si="6"/>
        <v>44135</v>
      </c>
      <c r="H670" s="72" t="str">
        <f t="shared" si="7"/>
        <v>Yes</v>
      </c>
    </row>
    <row r="671" ht="15.75" customHeight="1">
      <c r="A671" s="88">
        <f t="shared" si="8"/>
        <v>44135</v>
      </c>
      <c r="B671" s="72" t="str">
        <f t="shared" si="1"/>
        <v>20201031</v>
      </c>
      <c r="C671" s="72" t="str">
        <f t="shared" si="2"/>
        <v>Saturday</v>
      </c>
      <c r="D671" s="72" t="str">
        <f t="shared" si="3"/>
        <v>October</v>
      </c>
      <c r="E671" s="72" t="str">
        <f t="shared" si="4"/>
        <v>Q4</v>
      </c>
      <c r="F671" s="72">
        <f t="shared" si="5"/>
        <v>2020</v>
      </c>
      <c r="G671" s="89">
        <f t="shared" si="6"/>
        <v>44135</v>
      </c>
      <c r="H671" s="72" t="str">
        <f t="shared" si="7"/>
        <v>No</v>
      </c>
    </row>
    <row r="672" ht="15.75" customHeight="1">
      <c r="A672" s="88">
        <f t="shared" si="8"/>
        <v>44136</v>
      </c>
      <c r="B672" s="72" t="str">
        <f t="shared" si="1"/>
        <v>20201101</v>
      </c>
      <c r="C672" s="72" t="str">
        <f t="shared" si="2"/>
        <v>Sunday</v>
      </c>
      <c r="D672" s="72" t="str">
        <f t="shared" si="3"/>
        <v>November</v>
      </c>
      <c r="E672" s="72" t="str">
        <f t="shared" si="4"/>
        <v>Q4</v>
      </c>
      <c r="F672" s="72">
        <f t="shared" si="5"/>
        <v>2020</v>
      </c>
      <c r="G672" s="89">
        <f t="shared" si="6"/>
        <v>44142</v>
      </c>
      <c r="H672" s="72" t="str">
        <f t="shared" si="7"/>
        <v>No</v>
      </c>
    </row>
    <row r="673" ht="15.75" customHeight="1">
      <c r="A673" s="88">
        <f t="shared" si="8"/>
        <v>44137</v>
      </c>
      <c r="B673" s="72" t="str">
        <f t="shared" si="1"/>
        <v>20201102</v>
      </c>
      <c r="C673" s="72" t="str">
        <f t="shared" si="2"/>
        <v>Monday</v>
      </c>
      <c r="D673" s="72" t="str">
        <f t="shared" si="3"/>
        <v>November</v>
      </c>
      <c r="E673" s="72" t="str">
        <f t="shared" si="4"/>
        <v>Q4</v>
      </c>
      <c r="F673" s="72">
        <f t="shared" si="5"/>
        <v>2020</v>
      </c>
      <c r="G673" s="89">
        <f t="shared" si="6"/>
        <v>44142</v>
      </c>
      <c r="H673" s="72" t="str">
        <f t="shared" si="7"/>
        <v>Yes</v>
      </c>
    </row>
    <row r="674" ht="15.75" customHeight="1">
      <c r="A674" s="88">
        <f t="shared" si="8"/>
        <v>44138</v>
      </c>
      <c r="B674" s="72" t="str">
        <f t="shared" si="1"/>
        <v>20201103</v>
      </c>
      <c r="C674" s="72" t="str">
        <f t="shared" si="2"/>
        <v>Tuesday</v>
      </c>
      <c r="D674" s="72" t="str">
        <f t="shared" si="3"/>
        <v>November</v>
      </c>
      <c r="E674" s="72" t="str">
        <f t="shared" si="4"/>
        <v>Q4</v>
      </c>
      <c r="F674" s="72">
        <f t="shared" si="5"/>
        <v>2020</v>
      </c>
      <c r="G674" s="89">
        <f t="shared" si="6"/>
        <v>44142</v>
      </c>
      <c r="H674" s="72" t="str">
        <f t="shared" si="7"/>
        <v>Yes</v>
      </c>
    </row>
    <row r="675" ht="15.75" customHeight="1">
      <c r="A675" s="88">
        <f t="shared" si="8"/>
        <v>44139</v>
      </c>
      <c r="B675" s="72" t="str">
        <f t="shared" si="1"/>
        <v>20201104</v>
      </c>
      <c r="C675" s="72" t="str">
        <f t="shared" si="2"/>
        <v>Wednesday</v>
      </c>
      <c r="D675" s="72" t="str">
        <f t="shared" si="3"/>
        <v>November</v>
      </c>
      <c r="E675" s="72" t="str">
        <f t="shared" si="4"/>
        <v>Q4</v>
      </c>
      <c r="F675" s="72">
        <f t="shared" si="5"/>
        <v>2020</v>
      </c>
      <c r="G675" s="89">
        <f t="shared" si="6"/>
        <v>44142</v>
      </c>
      <c r="H675" s="72" t="str">
        <f t="shared" si="7"/>
        <v>Yes</v>
      </c>
    </row>
    <row r="676" ht="15.75" customHeight="1">
      <c r="A676" s="88">
        <f t="shared" si="8"/>
        <v>44140</v>
      </c>
      <c r="B676" s="72" t="str">
        <f t="shared" si="1"/>
        <v>20201105</v>
      </c>
      <c r="C676" s="72" t="str">
        <f t="shared" si="2"/>
        <v>Thursday</v>
      </c>
      <c r="D676" s="72" t="str">
        <f t="shared" si="3"/>
        <v>November</v>
      </c>
      <c r="E676" s="72" t="str">
        <f t="shared" si="4"/>
        <v>Q4</v>
      </c>
      <c r="F676" s="72">
        <f t="shared" si="5"/>
        <v>2020</v>
      </c>
      <c r="G676" s="89">
        <f t="shared" si="6"/>
        <v>44142</v>
      </c>
      <c r="H676" s="72" t="str">
        <f t="shared" si="7"/>
        <v>Yes</v>
      </c>
    </row>
    <row r="677" ht="15.75" customHeight="1">
      <c r="A677" s="88">
        <f t="shared" si="8"/>
        <v>44141</v>
      </c>
      <c r="B677" s="72" t="str">
        <f t="shared" si="1"/>
        <v>20201106</v>
      </c>
      <c r="C677" s="72" t="str">
        <f t="shared" si="2"/>
        <v>Friday</v>
      </c>
      <c r="D677" s="72" t="str">
        <f t="shared" si="3"/>
        <v>November</v>
      </c>
      <c r="E677" s="72" t="str">
        <f t="shared" si="4"/>
        <v>Q4</v>
      </c>
      <c r="F677" s="72">
        <f t="shared" si="5"/>
        <v>2020</v>
      </c>
      <c r="G677" s="89">
        <f t="shared" si="6"/>
        <v>44142</v>
      </c>
      <c r="H677" s="72" t="str">
        <f t="shared" si="7"/>
        <v>Yes</v>
      </c>
    </row>
    <row r="678" ht="15.75" customHeight="1">
      <c r="A678" s="88">
        <f t="shared" si="8"/>
        <v>44142</v>
      </c>
      <c r="B678" s="72" t="str">
        <f t="shared" si="1"/>
        <v>20201107</v>
      </c>
      <c r="C678" s="72" t="str">
        <f t="shared" si="2"/>
        <v>Saturday</v>
      </c>
      <c r="D678" s="72" t="str">
        <f t="shared" si="3"/>
        <v>November</v>
      </c>
      <c r="E678" s="72" t="str">
        <f t="shared" si="4"/>
        <v>Q4</v>
      </c>
      <c r="F678" s="72">
        <f t="shared" si="5"/>
        <v>2020</v>
      </c>
      <c r="G678" s="89">
        <f t="shared" si="6"/>
        <v>44142</v>
      </c>
      <c r="H678" s="72" t="str">
        <f t="shared" si="7"/>
        <v>No</v>
      </c>
    </row>
    <row r="679" ht="15.75" customHeight="1">
      <c r="A679" s="88">
        <f t="shared" si="8"/>
        <v>44143</v>
      </c>
      <c r="B679" s="72" t="str">
        <f t="shared" si="1"/>
        <v>20201108</v>
      </c>
      <c r="C679" s="72" t="str">
        <f t="shared" si="2"/>
        <v>Sunday</v>
      </c>
      <c r="D679" s="72" t="str">
        <f t="shared" si="3"/>
        <v>November</v>
      </c>
      <c r="E679" s="72" t="str">
        <f t="shared" si="4"/>
        <v>Q4</v>
      </c>
      <c r="F679" s="72">
        <f t="shared" si="5"/>
        <v>2020</v>
      </c>
      <c r="G679" s="89">
        <f t="shared" si="6"/>
        <v>44149</v>
      </c>
      <c r="H679" s="72" t="str">
        <f t="shared" si="7"/>
        <v>No</v>
      </c>
    </row>
    <row r="680" ht="15.75" customHeight="1">
      <c r="A680" s="88">
        <f t="shared" si="8"/>
        <v>44144</v>
      </c>
      <c r="B680" s="72" t="str">
        <f t="shared" si="1"/>
        <v>20201109</v>
      </c>
      <c r="C680" s="72" t="str">
        <f t="shared" si="2"/>
        <v>Monday</v>
      </c>
      <c r="D680" s="72" t="str">
        <f t="shared" si="3"/>
        <v>November</v>
      </c>
      <c r="E680" s="72" t="str">
        <f t="shared" si="4"/>
        <v>Q4</v>
      </c>
      <c r="F680" s="72">
        <f t="shared" si="5"/>
        <v>2020</v>
      </c>
      <c r="G680" s="89">
        <f t="shared" si="6"/>
        <v>44149</v>
      </c>
      <c r="H680" s="72" t="str">
        <f t="shared" si="7"/>
        <v>Yes</v>
      </c>
    </row>
    <row r="681" ht="15.75" customHeight="1">
      <c r="A681" s="88">
        <f t="shared" si="8"/>
        <v>44145</v>
      </c>
      <c r="B681" s="72" t="str">
        <f t="shared" si="1"/>
        <v>20201110</v>
      </c>
      <c r="C681" s="72" t="str">
        <f t="shared" si="2"/>
        <v>Tuesday</v>
      </c>
      <c r="D681" s="72" t="str">
        <f t="shared" si="3"/>
        <v>November</v>
      </c>
      <c r="E681" s="72" t="str">
        <f t="shared" si="4"/>
        <v>Q4</v>
      </c>
      <c r="F681" s="72">
        <f t="shared" si="5"/>
        <v>2020</v>
      </c>
      <c r="G681" s="89">
        <f t="shared" si="6"/>
        <v>44149</v>
      </c>
      <c r="H681" s="72" t="str">
        <f t="shared" si="7"/>
        <v>Yes</v>
      </c>
    </row>
    <row r="682" ht="15.75" customHeight="1">
      <c r="A682" s="88">
        <f t="shared" si="8"/>
        <v>44146</v>
      </c>
      <c r="B682" s="72" t="str">
        <f t="shared" si="1"/>
        <v>20201111</v>
      </c>
      <c r="C682" s="72" t="str">
        <f t="shared" si="2"/>
        <v>Wednesday</v>
      </c>
      <c r="D682" s="72" t="str">
        <f t="shared" si="3"/>
        <v>November</v>
      </c>
      <c r="E682" s="72" t="str">
        <f t="shared" si="4"/>
        <v>Q4</v>
      </c>
      <c r="F682" s="72">
        <f t="shared" si="5"/>
        <v>2020</v>
      </c>
      <c r="G682" s="89">
        <f t="shared" si="6"/>
        <v>44149</v>
      </c>
      <c r="H682" s="72" t="str">
        <f t="shared" si="7"/>
        <v>Yes</v>
      </c>
    </row>
    <row r="683" ht="15.75" customHeight="1">
      <c r="A683" s="88">
        <f t="shared" si="8"/>
        <v>44147</v>
      </c>
      <c r="B683" s="72" t="str">
        <f t="shared" si="1"/>
        <v>20201112</v>
      </c>
      <c r="C683" s="72" t="str">
        <f t="shared" si="2"/>
        <v>Thursday</v>
      </c>
      <c r="D683" s="72" t="str">
        <f t="shared" si="3"/>
        <v>November</v>
      </c>
      <c r="E683" s="72" t="str">
        <f t="shared" si="4"/>
        <v>Q4</v>
      </c>
      <c r="F683" s="72">
        <f t="shared" si="5"/>
        <v>2020</v>
      </c>
      <c r="G683" s="89">
        <f t="shared" si="6"/>
        <v>44149</v>
      </c>
      <c r="H683" s="72" t="str">
        <f t="shared" si="7"/>
        <v>Yes</v>
      </c>
    </row>
    <row r="684" ht="15.75" customHeight="1">
      <c r="A684" s="88">
        <f t="shared" si="8"/>
        <v>44148</v>
      </c>
      <c r="B684" s="72" t="str">
        <f t="shared" si="1"/>
        <v>20201113</v>
      </c>
      <c r="C684" s="72" t="str">
        <f t="shared" si="2"/>
        <v>Friday</v>
      </c>
      <c r="D684" s="72" t="str">
        <f t="shared" si="3"/>
        <v>November</v>
      </c>
      <c r="E684" s="72" t="str">
        <f t="shared" si="4"/>
        <v>Q4</v>
      </c>
      <c r="F684" s="72">
        <f t="shared" si="5"/>
        <v>2020</v>
      </c>
      <c r="G684" s="89">
        <f t="shared" si="6"/>
        <v>44149</v>
      </c>
      <c r="H684" s="72" t="str">
        <f t="shared" si="7"/>
        <v>Yes</v>
      </c>
    </row>
    <row r="685" ht="15.75" customHeight="1">
      <c r="A685" s="88">
        <f t="shared" si="8"/>
        <v>44149</v>
      </c>
      <c r="B685" s="72" t="str">
        <f t="shared" si="1"/>
        <v>20201114</v>
      </c>
      <c r="C685" s="72" t="str">
        <f t="shared" si="2"/>
        <v>Saturday</v>
      </c>
      <c r="D685" s="72" t="str">
        <f t="shared" si="3"/>
        <v>November</v>
      </c>
      <c r="E685" s="72" t="str">
        <f t="shared" si="4"/>
        <v>Q4</v>
      </c>
      <c r="F685" s="72">
        <f t="shared" si="5"/>
        <v>2020</v>
      </c>
      <c r="G685" s="89">
        <f t="shared" si="6"/>
        <v>44149</v>
      </c>
      <c r="H685" s="72" t="str">
        <f t="shared" si="7"/>
        <v>No</v>
      </c>
    </row>
    <row r="686" ht="15.75" customHeight="1">
      <c r="A686" s="88">
        <f t="shared" si="8"/>
        <v>44150</v>
      </c>
      <c r="B686" s="72" t="str">
        <f t="shared" si="1"/>
        <v>20201115</v>
      </c>
      <c r="C686" s="72" t="str">
        <f t="shared" si="2"/>
        <v>Sunday</v>
      </c>
      <c r="D686" s="72" t="str">
        <f t="shared" si="3"/>
        <v>November</v>
      </c>
      <c r="E686" s="72" t="str">
        <f t="shared" si="4"/>
        <v>Q4</v>
      </c>
      <c r="F686" s="72">
        <f t="shared" si="5"/>
        <v>2020</v>
      </c>
      <c r="G686" s="89">
        <f t="shared" si="6"/>
        <v>44156</v>
      </c>
      <c r="H686" s="72" t="str">
        <f t="shared" si="7"/>
        <v>No</v>
      </c>
    </row>
    <row r="687" ht="15.75" customHeight="1">
      <c r="A687" s="88">
        <f t="shared" si="8"/>
        <v>44151</v>
      </c>
      <c r="B687" s="72" t="str">
        <f t="shared" si="1"/>
        <v>20201116</v>
      </c>
      <c r="C687" s="72" t="str">
        <f t="shared" si="2"/>
        <v>Monday</v>
      </c>
      <c r="D687" s="72" t="str">
        <f t="shared" si="3"/>
        <v>November</v>
      </c>
      <c r="E687" s="72" t="str">
        <f t="shared" si="4"/>
        <v>Q4</v>
      </c>
      <c r="F687" s="72">
        <f t="shared" si="5"/>
        <v>2020</v>
      </c>
      <c r="G687" s="89">
        <f t="shared" si="6"/>
        <v>44156</v>
      </c>
      <c r="H687" s="72" t="str">
        <f t="shared" si="7"/>
        <v>Yes</v>
      </c>
    </row>
    <row r="688" ht="15.75" customHeight="1">
      <c r="A688" s="88">
        <f t="shared" si="8"/>
        <v>44152</v>
      </c>
      <c r="B688" s="72" t="str">
        <f t="shared" si="1"/>
        <v>20201117</v>
      </c>
      <c r="C688" s="72" t="str">
        <f t="shared" si="2"/>
        <v>Tuesday</v>
      </c>
      <c r="D688" s="72" t="str">
        <f t="shared" si="3"/>
        <v>November</v>
      </c>
      <c r="E688" s="72" t="str">
        <f t="shared" si="4"/>
        <v>Q4</v>
      </c>
      <c r="F688" s="72">
        <f t="shared" si="5"/>
        <v>2020</v>
      </c>
      <c r="G688" s="89">
        <f t="shared" si="6"/>
        <v>44156</v>
      </c>
      <c r="H688" s="72" t="str">
        <f t="shared" si="7"/>
        <v>Yes</v>
      </c>
    </row>
    <row r="689" ht="15.75" customHeight="1">
      <c r="A689" s="88">
        <f t="shared" si="8"/>
        <v>44153</v>
      </c>
      <c r="B689" s="72" t="str">
        <f t="shared" si="1"/>
        <v>20201118</v>
      </c>
      <c r="C689" s="72" t="str">
        <f t="shared" si="2"/>
        <v>Wednesday</v>
      </c>
      <c r="D689" s="72" t="str">
        <f t="shared" si="3"/>
        <v>November</v>
      </c>
      <c r="E689" s="72" t="str">
        <f t="shared" si="4"/>
        <v>Q4</v>
      </c>
      <c r="F689" s="72">
        <f t="shared" si="5"/>
        <v>2020</v>
      </c>
      <c r="G689" s="89">
        <f t="shared" si="6"/>
        <v>44156</v>
      </c>
      <c r="H689" s="72" t="str">
        <f t="shared" si="7"/>
        <v>Yes</v>
      </c>
    </row>
    <row r="690" ht="15.75" customHeight="1">
      <c r="A690" s="88">
        <f t="shared" si="8"/>
        <v>44154</v>
      </c>
      <c r="B690" s="72" t="str">
        <f t="shared" si="1"/>
        <v>20201119</v>
      </c>
      <c r="C690" s="72" t="str">
        <f t="shared" si="2"/>
        <v>Thursday</v>
      </c>
      <c r="D690" s="72" t="str">
        <f t="shared" si="3"/>
        <v>November</v>
      </c>
      <c r="E690" s="72" t="str">
        <f t="shared" si="4"/>
        <v>Q4</v>
      </c>
      <c r="F690" s="72">
        <f t="shared" si="5"/>
        <v>2020</v>
      </c>
      <c r="G690" s="89">
        <f t="shared" si="6"/>
        <v>44156</v>
      </c>
      <c r="H690" s="72" t="str">
        <f t="shared" si="7"/>
        <v>Yes</v>
      </c>
    </row>
    <row r="691" ht="15.75" customHeight="1">
      <c r="A691" s="88">
        <f t="shared" si="8"/>
        <v>44155</v>
      </c>
      <c r="B691" s="72" t="str">
        <f t="shared" si="1"/>
        <v>20201120</v>
      </c>
      <c r="C691" s="72" t="str">
        <f t="shared" si="2"/>
        <v>Friday</v>
      </c>
      <c r="D691" s="72" t="str">
        <f t="shared" si="3"/>
        <v>November</v>
      </c>
      <c r="E691" s="72" t="str">
        <f t="shared" si="4"/>
        <v>Q4</v>
      </c>
      <c r="F691" s="72">
        <f t="shared" si="5"/>
        <v>2020</v>
      </c>
      <c r="G691" s="89">
        <f t="shared" si="6"/>
        <v>44156</v>
      </c>
      <c r="H691" s="72" t="str">
        <f t="shared" si="7"/>
        <v>Yes</v>
      </c>
    </row>
    <row r="692" ht="15.75" customHeight="1">
      <c r="A692" s="88">
        <f t="shared" si="8"/>
        <v>44156</v>
      </c>
      <c r="B692" s="72" t="str">
        <f t="shared" si="1"/>
        <v>20201121</v>
      </c>
      <c r="C692" s="72" t="str">
        <f t="shared" si="2"/>
        <v>Saturday</v>
      </c>
      <c r="D692" s="72" t="str">
        <f t="shared" si="3"/>
        <v>November</v>
      </c>
      <c r="E692" s="72" t="str">
        <f t="shared" si="4"/>
        <v>Q4</v>
      </c>
      <c r="F692" s="72">
        <f t="shared" si="5"/>
        <v>2020</v>
      </c>
      <c r="G692" s="89">
        <f t="shared" si="6"/>
        <v>44156</v>
      </c>
      <c r="H692" s="72" t="str">
        <f t="shared" si="7"/>
        <v>No</v>
      </c>
    </row>
    <row r="693" ht="15.75" customHeight="1">
      <c r="A693" s="88">
        <f t="shared" si="8"/>
        <v>44157</v>
      </c>
      <c r="B693" s="72" t="str">
        <f t="shared" si="1"/>
        <v>20201122</v>
      </c>
      <c r="C693" s="72" t="str">
        <f t="shared" si="2"/>
        <v>Sunday</v>
      </c>
      <c r="D693" s="72" t="str">
        <f t="shared" si="3"/>
        <v>November</v>
      </c>
      <c r="E693" s="72" t="str">
        <f t="shared" si="4"/>
        <v>Q4</v>
      </c>
      <c r="F693" s="72">
        <f t="shared" si="5"/>
        <v>2020</v>
      </c>
      <c r="G693" s="89">
        <f t="shared" si="6"/>
        <v>44163</v>
      </c>
      <c r="H693" s="72" t="str">
        <f t="shared" si="7"/>
        <v>No</v>
      </c>
    </row>
    <row r="694" ht="15.75" customHeight="1">
      <c r="A694" s="88">
        <f t="shared" si="8"/>
        <v>44158</v>
      </c>
      <c r="B694" s="72" t="str">
        <f t="shared" si="1"/>
        <v>20201123</v>
      </c>
      <c r="C694" s="72" t="str">
        <f t="shared" si="2"/>
        <v>Monday</v>
      </c>
      <c r="D694" s="72" t="str">
        <f t="shared" si="3"/>
        <v>November</v>
      </c>
      <c r="E694" s="72" t="str">
        <f t="shared" si="4"/>
        <v>Q4</v>
      </c>
      <c r="F694" s="72">
        <f t="shared" si="5"/>
        <v>2020</v>
      </c>
      <c r="G694" s="89">
        <f t="shared" si="6"/>
        <v>44163</v>
      </c>
      <c r="H694" s="72" t="str">
        <f t="shared" si="7"/>
        <v>Yes</v>
      </c>
    </row>
    <row r="695" ht="15.75" customHeight="1">
      <c r="A695" s="88">
        <f t="shared" si="8"/>
        <v>44159</v>
      </c>
      <c r="B695" s="72" t="str">
        <f t="shared" si="1"/>
        <v>20201124</v>
      </c>
      <c r="C695" s="72" t="str">
        <f t="shared" si="2"/>
        <v>Tuesday</v>
      </c>
      <c r="D695" s="72" t="str">
        <f t="shared" si="3"/>
        <v>November</v>
      </c>
      <c r="E695" s="72" t="str">
        <f t="shared" si="4"/>
        <v>Q4</v>
      </c>
      <c r="F695" s="72">
        <f t="shared" si="5"/>
        <v>2020</v>
      </c>
      <c r="G695" s="89">
        <f t="shared" si="6"/>
        <v>44163</v>
      </c>
      <c r="H695" s="72" t="str">
        <f t="shared" si="7"/>
        <v>Yes</v>
      </c>
    </row>
    <row r="696" ht="15.75" customHeight="1">
      <c r="A696" s="88">
        <f t="shared" si="8"/>
        <v>44160</v>
      </c>
      <c r="B696" s="72" t="str">
        <f t="shared" si="1"/>
        <v>20201125</v>
      </c>
      <c r="C696" s="72" t="str">
        <f t="shared" si="2"/>
        <v>Wednesday</v>
      </c>
      <c r="D696" s="72" t="str">
        <f t="shared" si="3"/>
        <v>November</v>
      </c>
      <c r="E696" s="72" t="str">
        <f t="shared" si="4"/>
        <v>Q4</v>
      </c>
      <c r="F696" s="72">
        <f t="shared" si="5"/>
        <v>2020</v>
      </c>
      <c r="G696" s="89">
        <f t="shared" si="6"/>
        <v>44163</v>
      </c>
      <c r="H696" s="72" t="str">
        <f t="shared" si="7"/>
        <v>Yes</v>
      </c>
    </row>
    <row r="697" ht="15.75" customHeight="1">
      <c r="A697" s="88">
        <f t="shared" si="8"/>
        <v>44161</v>
      </c>
      <c r="B697" s="72" t="str">
        <f t="shared" si="1"/>
        <v>20201126</v>
      </c>
      <c r="C697" s="72" t="str">
        <f t="shared" si="2"/>
        <v>Thursday</v>
      </c>
      <c r="D697" s="72" t="str">
        <f t="shared" si="3"/>
        <v>November</v>
      </c>
      <c r="E697" s="72" t="str">
        <f t="shared" si="4"/>
        <v>Q4</v>
      </c>
      <c r="F697" s="72">
        <f t="shared" si="5"/>
        <v>2020</v>
      </c>
      <c r="G697" s="89">
        <f t="shared" si="6"/>
        <v>44163</v>
      </c>
      <c r="H697" s="72" t="str">
        <f t="shared" si="7"/>
        <v>Yes</v>
      </c>
    </row>
    <row r="698" ht="15.75" customHeight="1">
      <c r="A698" s="88">
        <f t="shared" si="8"/>
        <v>44162</v>
      </c>
      <c r="B698" s="72" t="str">
        <f t="shared" si="1"/>
        <v>20201127</v>
      </c>
      <c r="C698" s="72" t="str">
        <f t="shared" si="2"/>
        <v>Friday</v>
      </c>
      <c r="D698" s="72" t="str">
        <f t="shared" si="3"/>
        <v>November</v>
      </c>
      <c r="E698" s="72" t="str">
        <f t="shared" si="4"/>
        <v>Q4</v>
      </c>
      <c r="F698" s="72">
        <f t="shared" si="5"/>
        <v>2020</v>
      </c>
      <c r="G698" s="89">
        <f t="shared" si="6"/>
        <v>44163</v>
      </c>
      <c r="H698" s="72" t="str">
        <f t="shared" si="7"/>
        <v>Yes</v>
      </c>
    </row>
    <row r="699" ht="15.75" customHeight="1">
      <c r="A699" s="88">
        <f t="shared" si="8"/>
        <v>44163</v>
      </c>
      <c r="B699" s="72" t="str">
        <f t="shared" si="1"/>
        <v>20201128</v>
      </c>
      <c r="C699" s="72" t="str">
        <f t="shared" si="2"/>
        <v>Saturday</v>
      </c>
      <c r="D699" s="72" t="str">
        <f t="shared" si="3"/>
        <v>November</v>
      </c>
      <c r="E699" s="72" t="str">
        <f t="shared" si="4"/>
        <v>Q4</v>
      </c>
      <c r="F699" s="72">
        <f t="shared" si="5"/>
        <v>2020</v>
      </c>
      <c r="G699" s="89">
        <f t="shared" si="6"/>
        <v>44163</v>
      </c>
      <c r="H699" s="72" t="str">
        <f t="shared" si="7"/>
        <v>No</v>
      </c>
    </row>
    <row r="700" ht="15.75" customHeight="1">
      <c r="A700" s="88">
        <f t="shared" si="8"/>
        <v>44164</v>
      </c>
      <c r="B700" s="72" t="str">
        <f t="shared" si="1"/>
        <v>20201129</v>
      </c>
      <c r="C700" s="72" t="str">
        <f t="shared" si="2"/>
        <v>Sunday</v>
      </c>
      <c r="D700" s="72" t="str">
        <f t="shared" si="3"/>
        <v>November</v>
      </c>
      <c r="E700" s="72" t="str">
        <f t="shared" si="4"/>
        <v>Q4</v>
      </c>
      <c r="F700" s="72">
        <f t="shared" si="5"/>
        <v>2020</v>
      </c>
      <c r="G700" s="89">
        <f t="shared" si="6"/>
        <v>44170</v>
      </c>
      <c r="H700" s="72" t="str">
        <f t="shared" si="7"/>
        <v>No</v>
      </c>
    </row>
    <row r="701" ht="15.75" customHeight="1">
      <c r="A701" s="88">
        <f t="shared" si="8"/>
        <v>44165</v>
      </c>
      <c r="B701" s="72" t="str">
        <f t="shared" si="1"/>
        <v>20201130</v>
      </c>
      <c r="C701" s="72" t="str">
        <f t="shared" si="2"/>
        <v>Monday</v>
      </c>
      <c r="D701" s="72" t="str">
        <f t="shared" si="3"/>
        <v>November</v>
      </c>
      <c r="E701" s="72" t="str">
        <f t="shared" si="4"/>
        <v>Q4</v>
      </c>
      <c r="F701" s="72">
        <f t="shared" si="5"/>
        <v>2020</v>
      </c>
      <c r="G701" s="89">
        <f t="shared" si="6"/>
        <v>44170</v>
      </c>
      <c r="H701" s="72" t="str">
        <f t="shared" si="7"/>
        <v>Yes</v>
      </c>
    </row>
    <row r="702" ht="15.75" customHeight="1">
      <c r="A702" s="88">
        <f t="shared" si="8"/>
        <v>44166</v>
      </c>
      <c r="B702" s="72" t="str">
        <f t="shared" si="1"/>
        <v>20201201</v>
      </c>
      <c r="C702" s="72" t="str">
        <f t="shared" si="2"/>
        <v>Tuesday</v>
      </c>
      <c r="D702" s="72" t="str">
        <f t="shared" si="3"/>
        <v>December</v>
      </c>
      <c r="E702" s="72" t="str">
        <f t="shared" si="4"/>
        <v>Q4</v>
      </c>
      <c r="F702" s="72">
        <f t="shared" si="5"/>
        <v>2020</v>
      </c>
      <c r="G702" s="89">
        <f t="shared" si="6"/>
        <v>44170</v>
      </c>
      <c r="H702" s="72" t="str">
        <f t="shared" si="7"/>
        <v>Yes</v>
      </c>
    </row>
    <row r="703" ht="15.75" customHeight="1">
      <c r="A703" s="88">
        <f t="shared" si="8"/>
        <v>44167</v>
      </c>
      <c r="B703" s="72" t="str">
        <f t="shared" si="1"/>
        <v>20201202</v>
      </c>
      <c r="C703" s="72" t="str">
        <f t="shared" si="2"/>
        <v>Wednesday</v>
      </c>
      <c r="D703" s="72" t="str">
        <f t="shared" si="3"/>
        <v>December</v>
      </c>
      <c r="E703" s="72" t="str">
        <f t="shared" si="4"/>
        <v>Q4</v>
      </c>
      <c r="F703" s="72">
        <f t="shared" si="5"/>
        <v>2020</v>
      </c>
      <c r="G703" s="89">
        <f t="shared" si="6"/>
        <v>44170</v>
      </c>
      <c r="H703" s="72" t="str">
        <f t="shared" si="7"/>
        <v>Yes</v>
      </c>
    </row>
    <row r="704" ht="15.75" customHeight="1">
      <c r="A704" s="88">
        <f t="shared" si="8"/>
        <v>44168</v>
      </c>
      <c r="B704" s="72" t="str">
        <f t="shared" si="1"/>
        <v>20201203</v>
      </c>
      <c r="C704" s="72" t="str">
        <f t="shared" si="2"/>
        <v>Thursday</v>
      </c>
      <c r="D704" s="72" t="str">
        <f t="shared" si="3"/>
        <v>December</v>
      </c>
      <c r="E704" s="72" t="str">
        <f t="shared" si="4"/>
        <v>Q4</v>
      </c>
      <c r="F704" s="72">
        <f t="shared" si="5"/>
        <v>2020</v>
      </c>
      <c r="G704" s="89">
        <f t="shared" si="6"/>
        <v>44170</v>
      </c>
      <c r="H704" s="72" t="str">
        <f t="shared" si="7"/>
        <v>Yes</v>
      </c>
    </row>
    <row r="705" ht="15.75" customHeight="1">
      <c r="A705" s="88">
        <f t="shared" si="8"/>
        <v>44169</v>
      </c>
      <c r="B705" s="72" t="str">
        <f t="shared" si="1"/>
        <v>20201204</v>
      </c>
      <c r="C705" s="72" t="str">
        <f t="shared" si="2"/>
        <v>Friday</v>
      </c>
      <c r="D705" s="72" t="str">
        <f t="shared" si="3"/>
        <v>December</v>
      </c>
      <c r="E705" s="72" t="str">
        <f t="shared" si="4"/>
        <v>Q4</v>
      </c>
      <c r="F705" s="72">
        <f t="shared" si="5"/>
        <v>2020</v>
      </c>
      <c r="G705" s="89">
        <f t="shared" si="6"/>
        <v>44170</v>
      </c>
      <c r="H705" s="72" t="str">
        <f t="shared" si="7"/>
        <v>Yes</v>
      </c>
    </row>
    <row r="706" ht="15.75" customHeight="1">
      <c r="A706" s="88">
        <f t="shared" si="8"/>
        <v>44170</v>
      </c>
      <c r="B706" s="72" t="str">
        <f t="shared" si="1"/>
        <v>20201205</v>
      </c>
      <c r="C706" s="72" t="str">
        <f t="shared" si="2"/>
        <v>Saturday</v>
      </c>
      <c r="D706" s="72" t="str">
        <f t="shared" si="3"/>
        <v>December</v>
      </c>
      <c r="E706" s="72" t="str">
        <f t="shared" si="4"/>
        <v>Q4</v>
      </c>
      <c r="F706" s="72">
        <f t="shared" si="5"/>
        <v>2020</v>
      </c>
      <c r="G706" s="89">
        <f t="shared" si="6"/>
        <v>44170</v>
      </c>
      <c r="H706" s="72" t="str">
        <f t="shared" si="7"/>
        <v>No</v>
      </c>
    </row>
    <row r="707" ht="15.75" customHeight="1">
      <c r="A707" s="88">
        <f t="shared" si="8"/>
        <v>44171</v>
      </c>
      <c r="B707" s="72" t="str">
        <f t="shared" si="1"/>
        <v>20201206</v>
      </c>
      <c r="C707" s="72" t="str">
        <f t="shared" si="2"/>
        <v>Sunday</v>
      </c>
      <c r="D707" s="72" t="str">
        <f t="shared" si="3"/>
        <v>December</v>
      </c>
      <c r="E707" s="72" t="str">
        <f t="shared" si="4"/>
        <v>Q4</v>
      </c>
      <c r="F707" s="72">
        <f t="shared" si="5"/>
        <v>2020</v>
      </c>
      <c r="G707" s="89">
        <f t="shared" si="6"/>
        <v>44177</v>
      </c>
      <c r="H707" s="72" t="str">
        <f t="shared" si="7"/>
        <v>No</v>
      </c>
    </row>
    <row r="708" ht="15.75" customHeight="1">
      <c r="A708" s="88">
        <f t="shared" si="8"/>
        <v>44172</v>
      </c>
      <c r="B708" s="72" t="str">
        <f t="shared" si="1"/>
        <v>20201207</v>
      </c>
      <c r="C708" s="72" t="str">
        <f t="shared" si="2"/>
        <v>Monday</v>
      </c>
      <c r="D708" s="72" t="str">
        <f t="shared" si="3"/>
        <v>December</v>
      </c>
      <c r="E708" s="72" t="str">
        <f t="shared" si="4"/>
        <v>Q4</v>
      </c>
      <c r="F708" s="72">
        <f t="shared" si="5"/>
        <v>2020</v>
      </c>
      <c r="G708" s="89">
        <f t="shared" si="6"/>
        <v>44177</v>
      </c>
      <c r="H708" s="72" t="str">
        <f t="shared" si="7"/>
        <v>Yes</v>
      </c>
    </row>
    <row r="709" ht="15.75" customHeight="1">
      <c r="A709" s="88">
        <f t="shared" si="8"/>
        <v>44173</v>
      </c>
      <c r="B709" s="72" t="str">
        <f t="shared" si="1"/>
        <v>20201208</v>
      </c>
      <c r="C709" s="72" t="str">
        <f t="shared" si="2"/>
        <v>Tuesday</v>
      </c>
      <c r="D709" s="72" t="str">
        <f t="shared" si="3"/>
        <v>December</v>
      </c>
      <c r="E709" s="72" t="str">
        <f t="shared" si="4"/>
        <v>Q4</v>
      </c>
      <c r="F709" s="72">
        <f t="shared" si="5"/>
        <v>2020</v>
      </c>
      <c r="G709" s="89">
        <f t="shared" si="6"/>
        <v>44177</v>
      </c>
      <c r="H709" s="72" t="str">
        <f t="shared" si="7"/>
        <v>Yes</v>
      </c>
    </row>
    <row r="710" ht="15.75" customHeight="1">
      <c r="A710" s="88">
        <f t="shared" si="8"/>
        <v>44174</v>
      </c>
      <c r="B710" s="72" t="str">
        <f t="shared" si="1"/>
        <v>20201209</v>
      </c>
      <c r="C710" s="72" t="str">
        <f t="shared" si="2"/>
        <v>Wednesday</v>
      </c>
      <c r="D710" s="72" t="str">
        <f t="shared" si="3"/>
        <v>December</v>
      </c>
      <c r="E710" s="72" t="str">
        <f t="shared" si="4"/>
        <v>Q4</v>
      </c>
      <c r="F710" s="72">
        <f t="shared" si="5"/>
        <v>2020</v>
      </c>
      <c r="G710" s="89">
        <f t="shared" si="6"/>
        <v>44177</v>
      </c>
      <c r="H710" s="72" t="str">
        <f t="shared" si="7"/>
        <v>Yes</v>
      </c>
    </row>
    <row r="711" ht="15.75" customHeight="1">
      <c r="A711" s="88">
        <f t="shared" si="8"/>
        <v>44175</v>
      </c>
      <c r="B711" s="72" t="str">
        <f t="shared" si="1"/>
        <v>20201210</v>
      </c>
      <c r="C711" s="72" t="str">
        <f t="shared" si="2"/>
        <v>Thursday</v>
      </c>
      <c r="D711" s="72" t="str">
        <f t="shared" si="3"/>
        <v>December</v>
      </c>
      <c r="E711" s="72" t="str">
        <f t="shared" si="4"/>
        <v>Q4</v>
      </c>
      <c r="F711" s="72">
        <f t="shared" si="5"/>
        <v>2020</v>
      </c>
      <c r="G711" s="89">
        <f t="shared" si="6"/>
        <v>44177</v>
      </c>
      <c r="H711" s="72" t="str">
        <f t="shared" si="7"/>
        <v>Yes</v>
      </c>
    </row>
    <row r="712" ht="15.75" customHeight="1">
      <c r="A712" s="88">
        <f t="shared" si="8"/>
        <v>44176</v>
      </c>
      <c r="B712" s="72" t="str">
        <f t="shared" si="1"/>
        <v>20201211</v>
      </c>
      <c r="C712" s="72" t="str">
        <f t="shared" si="2"/>
        <v>Friday</v>
      </c>
      <c r="D712" s="72" t="str">
        <f t="shared" si="3"/>
        <v>December</v>
      </c>
      <c r="E712" s="72" t="str">
        <f t="shared" si="4"/>
        <v>Q4</v>
      </c>
      <c r="F712" s="72">
        <f t="shared" si="5"/>
        <v>2020</v>
      </c>
      <c r="G712" s="89">
        <f t="shared" si="6"/>
        <v>44177</v>
      </c>
      <c r="H712" s="72" t="str">
        <f t="shared" si="7"/>
        <v>Yes</v>
      </c>
    </row>
    <row r="713" ht="15.75" customHeight="1">
      <c r="A713" s="88">
        <f t="shared" si="8"/>
        <v>44177</v>
      </c>
      <c r="B713" s="72" t="str">
        <f t="shared" si="1"/>
        <v>20201212</v>
      </c>
      <c r="C713" s="72" t="str">
        <f t="shared" si="2"/>
        <v>Saturday</v>
      </c>
      <c r="D713" s="72" t="str">
        <f t="shared" si="3"/>
        <v>December</v>
      </c>
      <c r="E713" s="72" t="str">
        <f t="shared" si="4"/>
        <v>Q4</v>
      </c>
      <c r="F713" s="72">
        <f t="shared" si="5"/>
        <v>2020</v>
      </c>
      <c r="G713" s="89">
        <f t="shared" si="6"/>
        <v>44177</v>
      </c>
      <c r="H713" s="72" t="str">
        <f t="shared" si="7"/>
        <v>No</v>
      </c>
    </row>
    <row r="714" ht="15.75" customHeight="1">
      <c r="A714" s="88">
        <f t="shared" si="8"/>
        <v>44178</v>
      </c>
      <c r="B714" s="72" t="str">
        <f t="shared" si="1"/>
        <v>20201213</v>
      </c>
      <c r="C714" s="72" t="str">
        <f t="shared" si="2"/>
        <v>Sunday</v>
      </c>
      <c r="D714" s="72" t="str">
        <f t="shared" si="3"/>
        <v>December</v>
      </c>
      <c r="E714" s="72" t="str">
        <f t="shared" si="4"/>
        <v>Q4</v>
      </c>
      <c r="F714" s="72">
        <f t="shared" si="5"/>
        <v>2020</v>
      </c>
      <c r="G714" s="89">
        <f t="shared" si="6"/>
        <v>44184</v>
      </c>
      <c r="H714" s="72" t="str">
        <f t="shared" si="7"/>
        <v>No</v>
      </c>
    </row>
    <row r="715" ht="15.75" customHeight="1">
      <c r="A715" s="88">
        <f t="shared" si="8"/>
        <v>44179</v>
      </c>
      <c r="B715" s="72" t="str">
        <f t="shared" si="1"/>
        <v>20201214</v>
      </c>
      <c r="C715" s="72" t="str">
        <f t="shared" si="2"/>
        <v>Monday</v>
      </c>
      <c r="D715" s="72" t="str">
        <f t="shared" si="3"/>
        <v>December</v>
      </c>
      <c r="E715" s="72" t="str">
        <f t="shared" si="4"/>
        <v>Q4</v>
      </c>
      <c r="F715" s="72">
        <f t="shared" si="5"/>
        <v>2020</v>
      </c>
      <c r="G715" s="89">
        <f t="shared" si="6"/>
        <v>44184</v>
      </c>
      <c r="H715" s="72" t="str">
        <f t="shared" si="7"/>
        <v>Yes</v>
      </c>
    </row>
    <row r="716" ht="15.75" customHeight="1">
      <c r="A716" s="88">
        <f t="shared" si="8"/>
        <v>44180</v>
      </c>
      <c r="B716" s="72" t="str">
        <f t="shared" si="1"/>
        <v>20201215</v>
      </c>
      <c r="C716" s="72" t="str">
        <f t="shared" si="2"/>
        <v>Tuesday</v>
      </c>
      <c r="D716" s="72" t="str">
        <f t="shared" si="3"/>
        <v>December</v>
      </c>
      <c r="E716" s="72" t="str">
        <f t="shared" si="4"/>
        <v>Q4</v>
      </c>
      <c r="F716" s="72">
        <f t="shared" si="5"/>
        <v>2020</v>
      </c>
      <c r="G716" s="89">
        <f t="shared" si="6"/>
        <v>44184</v>
      </c>
      <c r="H716" s="72" t="str">
        <f t="shared" si="7"/>
        <v>Yes</v>
      </c>
    </row>
    <row r="717" ht="15.75" customHeight="1">
      <c r="A717" s="88">
        <f t="shared" si="8"/>
        <v>44181</v>
      </c>
      <c r="B717" s="72" t="str">
        <f t="shared" si="1"/>
        <v>20201216</v>
      </c>
      <c r="C717" s="72" t="str">
        <f t="shared" si="2"/>
        <v>Wednesday</v>
      </c>
      <c r="D717" s="72" t="str">
        <f t="shared" si="3"/>
        <v>December</v>
      </c>
      <c r="E717" s="72" t="str">
        <f t="shared" si="4"/>
        <v>Q4</v>
      </c>
      <c r="F717" s="72">
        <f t="shared" si="5"/>
        <v>2020</v>
      </c>
      <c r="G717" s="89">
        <f t="shared" si="6"/>
        <v>44184</v>
      </c>
      <c r="H717" s="72" t="str">
        <f t="shared" si="7"/>
        <v>Yes</v>
      </c>
    </row>
    <row r="718" ht="15.75" customHeight="1">
      <c r="A718" s="88">
        <f t="shared" si="8"/>
        <v>44182</v>
      </c>
      <c r="B718" s="72" t="str">
        <f t="shared" si="1"/>
        <v>20201217</v>
      </c>
      <c r="C718" s="72" t="str">
        <f t="shared" si="2"/>
        <v>Thursday</v>
      </c>
      <c r="D718" s="72" t="str">
        <f t="shared" si="3"/>
        <v>December</v>
      </c>
      <c r="E718" s="72" t="str">
        <f t="shared" si="4"/>
        <v>Q4</v>
      </c>
      <c r="F718" s="72">
        <f t="shared" si="5"/>
        <v>2020</v>
      </c>
      <c r="G718" s="89">
        <f t="shared" si="6"/>
        <v>44184</v>
      </c>
      <c r="H718" s="72" t="str">
        <f t="shared" si="7"/>
        <v>Yes</v>
      </c>
    </row>
    <row r="719" ht="15.75" customHeight="1">
      <c r="A719" s="88">
        <f t="shared" si="8"/>
        <v>44183</v>
      </c>
      <c r="B719" s="72" t="str">
        <f t="shared" si="1"/>
        <v>20201218</v>
      </c>
      <c r="C719" s="72" t="str">
        <f t="shared" si="2"/>
        <v>Friday</v>
      </c>
      <c r="D719" s="72" t="str">
        <f t="shared" si="3"/>
        <v>December</v>
      </c>
      <c r="E719" s="72" t="str">
        <f t="shared" si="4"/>
        <v>Q4</v>
      </c>
      <c r="F719" s="72">
        <f t="shared" si="5"/>
        <v>2020</v>
      </c>
      <c r="G719" s="89">
        <f t="shared" si="6"/>
        <v>44184</v>
      </c>
      <c r="H719" s="72" t="str">
        <f t="shared" si="7"/>
        <v>Yes</v>
      </c>
    </row>
    <row r="720" ht="15.75" customHeight="1">
      <c r="A720" s="88">
        <f t="shared" si="8"/>
        <v>44184</v>
      </c>
      <c r="B720" s="72" t="str">
        <f t="shared" si="1"/>
        <v>20201219</v>
      </c>
      <c r="C720" s="72" t="str">
        <f t="shared" si="2"/>
        <v>Saturday</v>
      </c>
      <c r="D720" s="72" t="str">
        <f t="shared" si="3"/>
        <v>December</v>
      </c>
      <c r="E720" s="72" t="str">
        <f t="shared" si="4"/>
        <v>Q4</v>
      </c>
      <c r="F720" s="72">
        <f t="shared" si="5"/>
        <v>2020</v>
      </c>
      <c r="G720" s="89">
        <f t="shared" si="6"/>
        <v>44184</v>
      </c>
      <c r="H720" s="72" t="str">
        <f t="shared" si="7"/>
        <v>No</v>
      </c>
    </row>
    <row r="721" ht="15.75" customHeight="1">
      <c r="A721" s="88">
        <f t="shared" si="8"/>
        <v>44185</v>
      </c>
      <c r="B721" s="72" t="str">
        <f t="shared" si="1"/>
        <v>20201220</v>
      </c>
      <c r="C721" s="72" t="str">
        <f t="shared" si="2"/>
        <v>Sunday</v>
      </c>
      <c r="D721" s="72" t="str">
        <f t="shared" si="3"/>
        <v>December</v>
      </c>
      <c r="E721" s="72" t="str">
        <f t="shared" si="4"/>
        <v>Q4</v>
      </c>
      <c r="F721" s="72">
        <f t="shared" si="5"/>
        <v>2020</v>
      </c>
      <c r="G721" s="89">
        <f t="shared" si="6"/>
        <v>44191</v>
      </c>
      <c r="H721" s="72" t="str">
        <f t="shared" si="7"/>
        <v>No</v>
      </c>
    </row>
    <row r="722" ht="15.75" customHeight="1">
      <c r="A722" s="88">
        <f t="shared" si="8"/>
        <v>44186</v>
      </c>
      <c r="B722" s="72" t="str">
        <f t="shared" si="1"/>
        <v>20201221</v>
      </c>
      <c r="C722" s="72" t="str">
        <f t="shared" si="2"/>
        <v>Monday</v>
      </c>
      <c r="D722" s="72" t="str">
        <f t="shared" si="3"/>
        <v>December</v>
      </c>
      <c r="E722" s="72" t="str">
        <f t="shared" si="4"/>
        <v>Q4</v>
      </c>
      <c r="F722" s="72">
        <f t="shared" si="5"/>
        <v>2020</v>
      </c>
      <c r="G722" s="89">
        <f t="shared" si="6"/>
        <v>44191</v>
      </c>
      <c r="H722" s="72" t="str">
        <f t="shared" si="7"/>
        <v>Yes</v>
      </c>
    </row>
    <row r="723" ht="15.75" customHeight="1">
      <c r="A723" s="88">
        <f t="shared" si="8"/>
        <v>44187</v>
      </c>
      <c r="B723" s="72" t="str">
        <f t="shared" si="1"/>
        <v>20201222</v>
      </c>
      <c r="C723" s="72" t="str">
        <f t="shared" si="2"/>
        <v>Tuesday</v>
      </c>
      <c r="D723" s="72" t="str">
        <f t="shared" si="3"/>
        <v>December</v>
      </c>
      <c r="E723" s="72" t="str">
        <f t="shared" si="4"/>
        <v>Q4</v>
      </c>
      <c r="F723" s="72">
        <f t="shared" si="5"/>
        <v>2020</v>
      </c>
      <c r="G723" s="89">
        <f t="shared" si="6"/>
        <v>44191</v>
      </c>
      <c r="H723" s="72" t="str">
        <f t="shared" si="7"/>
        <v>Yes</v>
      </c>
    </row>
    <row r="724" ht="15.75" customHeight="1">
      <c r="A724" s="88">
        <f t="shared" si="8"/>
        <v>44188</v>
      </c>
      <c r="B724" s="72" t="str">
        <f t="shared" si="1"/>
        <v>20201223</v>
      </c>
      <c r="C724" s="72" t="str">
        <f t="shared" si="2"/>
        <v>Wednesday</v>
      </c>
      <c r="D724" s="72" t="str">
        <f t="shared" si="3"/>
        <v>December</v>
      </c>
      <c r="E724" s="72" t="str">
        <f t="shared" si="4"/>
        <v>Q4</v>
      </c>
      <c r="F724" s="72">
        <f t="shared" si="5"/>
        <v>2020</v>
      </c>
      <c r="G724" s="89">
        <f t="shared" si="6"/>
        <v>44191</v>
      </c>
      <c r="H724" s="72" t="str">
        <f t="shared" si="7"/>
        <v>Yes</v>
      </c>
    </row>
    <row r="725" ht="15.75" customHeight="1">
      <c r="A725" s="88">
        <f t="shared" si="8"/>
        <v>44189</v>
      </c>
      <c r="B725" s="72" t="str">
        <f t="shared" si="1"/>
        <v>20201224</v>
      </c>
      <c r="C725" s="72" t="str">
        <f t="shared" si="2"/>
        <v>Thursday</v>
      </c>
      <c r="D725" s="72" t="str">
        <f t="shared" si="3"/>
        <v>December</v>
      </c>
      <c r="E725" s="72" t="str">
        <f t="shared" si="4"/>
        <v>Q4</v>
      </c>
      <c r="F725" s="72">
        <f t="shared" si="5"/>
        <v>2020</v>
      </c>
      <c r="G725" s="89">
        <f t="shared" si="6"/>
        <v>44191</v>
      </c>
      <c r="H725" s="72" t="str">
        <f t="shared" si="7"/>
        <v>Yes</v>
      </c>
    </row>
    <row r="726" ht="15.75" customHeight="1">
      <c r="A726" s="88">
        <f t="shared" si="8"/>
        <v>44190</v>
      </c>
      <c r="B726" s="72" t="str">
        <f t="shared" si="1"/>
        <v>20201225</v>
      </c>
      <c r="C726" s="72" t="str">
        <f t="shared" si="2"/>
        <v>Friday</v>
      </c>
      <c r="D726" s="72" t="str">
        <f t="shared" si="3"/>
        <v>December</v>
      </c>
      <c r="E726" s="72" t="str">
        <f t="shared" si="4"/>
        <v>Q4</v>
      </c>
      <c r="F726" s="72">
        <f t="shared" si="5"/>
        <v>2020</v>
      </c>
      <c r="G726" s="89">
        <f t="shared" si="6"/>
        <v>44191</v>
      </c>
      <c r="H726" s="72" t="str">
        <f t="shared" si="7"/>
        <v>Yes</v>
      </c>
    </row>
    <row r="727" ht="15.75" customHeight="1">
      <c r="A727" s="88">
        <f t="shared" si="8"/>
        <v>44191</v>
      </c>
      <c r="B727" s="72" t="str">
        <f t="shared" si="1"/>
        <v>20201226</v>
      </c>
      <c r="C727" s="72" t="str">
        <f t="shared" si="2"/>
        <v>Saturday</v>
      </c>
      <c r="D727" s="72" t="str">
        <f t="shared" si="3"/>
        <v>December</v>
      </c>
      <c r="E727" s="72" t="str">
        <f t="shared" si="4"/>
        <v>Q4</v>
      </c>
      <c r="F727" s="72">
        <f t="shared" si="5"/>
        <v>2020</v>
      </c>
      <c r="G727" s="89">
        <f t="shared" si="6"/>
        <v>44191</v>
      </c>
      <c r="H727" s="72" t="str">
        <f t="shared" si="7"/>
        <v>No</v>
      </c>
    </row>
    <row r="728" ht="15.75" customHeight="1">
      <c r="A728" s="88">
        <f t="shared" si="8"/>
        <v>44192</v>
      </c>
      <c r="B728" s="72" t="str">
        <f t="shared" si="1"/>
        <v>20201227</v>
      </c>
      <c r="C728" s="72" t="str">
        <f t="shared" si="2"/>
        <v>Sunday</v>
      </c>
      <c r="D728" s="72" t="str">
        <f t="shared" si="3"/>
        <v>December</v>
      </c>
      <c r="E728" s="72" t="str">
        <f t="shared" si="4"/>
        <v>Q4</v>
      </c>
      <c r="F728" s="72">
        <f t="shared" si="5"/>
        <v>2020</v>
      </c>
      <c r="G728" s="89">
        <f t="shared" si="6"/>
        <v>44198</v>
      </c>
      <c r="H728" s="72" t="str">
        <f t="shared" si="7"/>
        <v>No</v>
      </c>
    </row>
    <row r="729" ht="15.75" customHeight="1">
      <c r="A729" s="88">
        <f t="shared" si="8"/>
        <v>44193</v>
      </c>
      <c r="B729" s="72" t="str">
        <f t="shared" si="1"/>
        <v>20201228</v>
      </c>
      <c r="C729" s="72" t="str">
        <f t="shared" si="2"/>
        <v>Monday</v>
      </c>
      <c r="D729" s="72" t="str">
        <f t="shared" si="3"/>
        <v>December</v>
      </c>
      <c r="E729" s="72" t="str">
        <f t="shared" si="4"/>
        <v>Q4</v>
      </c>
      <c r="F729" s="72">
        <f t="shared" si="5"/>
        <v>2020</v>
      </c>
      <c r="G729" s="89">
        <f t="shared" si="6"/>
        <v>44198</v>
      </c>
      <c r="H729" s="72" t="str">
        <f t="shared" si="7"/>
        <v>Yes</v>
      </c>
    </row>
    <row r="730" ht="15.75" customHeight="1">
      <c r="A730" s="88">
        <f t="shared" si="8"/>
        <v>44194</v>
      </c>
      <c r="B730" s="72" t="str">
        <f t="shared" si="1"/>
        <v>20201229</v>
      </c>
      <c r="C730" s="72" t="str">
        <f t="shared" si="2"/>
        <v>Tuesday</v>
      </c>
      <c r="D730" s="72" t="str">
        <f t="shared" si="3"/>
        <v>December</v>
      </c>
      <c r="E730" s="72" t="str">
        <f t="shared" si="4"/>
        <v>Q4</v>
      </c>
      <c r="F730" s="72">
        <f t="shared" si="5"/>
        <v>2020</v>
      </c>
      <c r="G730" s="89">
        <f t="shared" si="6"/>
        <v>44198</v>
      </c>
      <c r="H730" s="72" t="str">
        <f t="shared" si="7"/>
        <v>Yes</v>
      </c>
    </row>
    <row r="731" ht="15.75" customHeight="1">
      <c r="A731" s="88">
        <f t="shared" si="8"/>
        <v>44195</v>
      </c>
      <c r="B731" s="72" t="str">
        <f t="shared" si="1"/>
        <v>20201230</v>
      </c>
      <c r="C731" s="72" t="str">
        <f t="shared" si="2"/>
        <v>Wednesday</v>
      </c>
      <c r="D731" s="72" t="str">
        <f t="shared" si="3"/>
        <v>December</v>
      </c>
      <c r="E731" s="72" t="str">
        <f t="shared" si="4"/>
        <v>Q4</v>
      </c>
      <c r="F731" s="72">
        <f t="shared" si="5"/>
        <v>2020</v>
      </c>
      <c r="G731" s="89">
        <f t="shared" si="6"/>
        <v>44198</v>
      </c>
      <c r="H731" s="72" t="str">
        <f t="shared" si="7"/>
        <v>Yes</v>
      </c>
    </row>
    <row r="732" ht="15.75" customHeight="1">
      <c r="A732" s="88">
        <f t="shared" si="8"/>
        <v>44196</v>
      </c>
      <c r="B732" s="72" t="str">
        <f t="shared" si="1"/>
        <v>20201231</v>
      </c>
      <c r="C732" s="72" t="str">
        <f t="shared" si="2"/>
        <v>Thursday</v>
      </c>
      <c r="D732" s="72" t="str">
        <f t="shared" si="3"/>
        <v>December</v>
      </c>
      <c r="E732" s="72" t="str">
        <f t="shared" si="4"/>
        <v>Q4</v>
      </c>
      <c r="F732" s="72">
        <f t="shared" si="5"/>
        <v>2020</v>
      </c>
      <c r="G732" s="89">
        <f t="shared" si="6"/>
        <v>44198</v>
      </c>
      <c r="H732" s="72" t="str">
        <f t="shared" si="7"/>
        <v>Yes</v>
      </c>
    </row>
    <row r="733" ht="15.75" customHeight="1">
      <c r="A733" s="88">
        <f t="shared" si="8"/>
        <v>44197</v>
      </c>
      <c r="B733" s="72" t="str">
        <f t="shared" si="1"/>
        <v>20210101</v>
      </c>
      <c r="C733" s="72" t="str">
        <f t="shared" si="2"/>
        <v>Friday</v>
      </c>
      <c r="D733" s="72" t="str">
        <f t="shared" si="3"/>
        <v>January</v>
      </c>
      <c r="E733" s="72" t="str">
        <f t="shared" si="4"/>
        <v>Q1</v>
      </c>
      <c r="F733" s="72">
        <f t="shared" si="5"/>
        <v>2021</v>
      </c>
      <c r="G733" s="89">
        <f t="shared" si="6"/>
        <v>44198</v>
      </c>
      <c r="H733" s="72" t="str">
        <f t="shared" si="7"/>
        <v>Yes</v>
      </c>
    </row>
    <row r="734" ht="15.75" customHeight="1">
      <c r="A734" s="88">
        <f t="shared" si="8"/>
        <v>44198</v>
      </c>
      <c r="B734" s="72" t="str">
        <f t="shared" si="1"/>
        <v>20210102</v>
      </c>
      <c r="C734" s="72" t="str">
        <f t="shared" si="2"/>
        <v>Saturday</v>
      </c>
      <c r="D734" s="72" t="str">
        <f t="shared" si="3"/>
        <v>January</v>
      </c>
      <c r="E734" s="72" t="str">
        <f t="shared" si="4"/>
        <v>Q1</v>
      </c>
      <c r="F734" s="72">
        <f t="shared" si="5"/>
        <v>2021</v>
      </c>
      <c r="G734" s="89">
        <f t="shared" si="6"/>
        <v>44198</v>
      </c>
      <c r="H734" s="72" t="str">
        <f t="shared" si="7"/>
        <v>No</v>
      </c>
    </row>
    <row r="735" ht="15.75" customHeight="1">
      <c r="A735" s="88">
        <f t="shared" si="8"/>
        <v>44199</v>
      </c>
      <c r="B735" s="72" t="str">
        <f t="shared" si="1"/>
        <v>20210103</v>
      </c>
      <c r="C735" s="72" t="str">
        <f t="shared" si="2"/>
        <v>Sunday</v>
      </c>
      <c r="D735" s="72" t="str">
        <f t="shared" si="3"/>
        <v>January</v>
      </c>
      <c r="E735" s="72" t="str">
        <f t="shared" si="4"/>
        <v>Q1</v>
      </c>
      <c r="F735" s="72">
        <f t="shared" si="5"/>
        <v>2021</v>
      </c>
      <c r="G735" s="89">
        <f t="shared" si="6"/>
        <v>44205</v>
      </c>
      <c r="H735" s="72" t="str">
        <f t="shared" si="7"/>
        <v>No</v>
      </c>
    </row>
    <row r="736" ht="15.75" customHeight="1">
      <c r="A736" s="88">
        <f t="shared" si="8"/>
        <v>44200</v>
      </c>
      <c r="B736" s="72" t="str">
        <f t="shared" si="1"/>
        <v>20210104</v>
      </c>
      <c r="C736" s="72" t="str">
        <f t="shared" si="2"/>
        <v>Monday</v>
      </c>
      <c r="D736" s="72" t="str">
        <f t="shared" si="3"/>
        <v>January</v>
      </c>
      <c r="E736" s="72" t="str">
        <f t="shared" si="4"/>
        <v>Q1</v>
      </c>
      <c r="F736" s="72">
        <f t="shared" si="5"/>
        <v>2021</v>
      </c>
      <c r="G736" s="89">
        <f t="shared" si="6"/>
        <v>44205</v>
      </c>
      <c r="H736" s="72" t="str">
        <f t="shared" si="7"/>
        <v>Yes</v>
      </c>
    </row>
    <row r="737" ht="15.75" customHeight="1">
      <c r="A737" s="88">
        <f t="shared" si="8"/>
        <v>44201</v>
      </c>
      <c r="B737" s="72" t="str">
        <f t="shared" si="1"/>
        <v>20210105</v>
      </c>
      <c r="C737" s="72" t="str">
        <f t="shared" si="2"/>
        <v>Tuesday</v>
      </c>
      <c r="D737" s="72" t="str">
        <f t="shared" si="3"/>
        <v>January</v>
      </c>
      <c r="E737" s="72" t="str">
        <f t="shared" si="4"/>
        <v>Q1</v>
      </c>
      <c r="F737" s="72">
        <f t="shared" si="5"/>
        <v>2021</v>
      </c>
      <c r="G737" s="89">
        <f t="shared" si="6"/>
        <v>44205</v>
      </c>
      <c r="H737" s="72" t="str">
        <f t="shared" si="7"/>
        <v>Yes</v>
      </c>
    </row>
    <row r="738" ht="15.75" customHeight="1">
      <c r="A738" s="88">
        <f t="shared" si="8"/>
        <v>44202</v>
      </c>
      <c r="B738" s="72" t="str">
        <f t="shared" si="1"/>
        <v>20210106</v>
      </c>
      <c r="C738" s="72" t="str">
        <f t="shared" si="2"/>
        <v>Wednesday</v>
      </c>
      <c r="D738" s="72" t="str">
        <f t="shared" si="3"/>
        <v>January</v>
      </c>
      <c r="E738" s="72" t="str">
        <f t="shared" si="4"/>
        <v>Q1</v>
      </c>
      <c r="F738" s="72">
        <f t="shared" si="5"/>
        <v>2021</v>
      </c>
      <c r="G738" s="89">
        <f t="shared" si="6"/>
        <v>44205</v>
      </c>
      <c r="H738" s="72" t="str">
        <f t="shared" si="7"/>
        <v>Yes</v>
      </c>
    </row>
    <row r="739" ht="15.75" customHeight="1">
      <c r="A739" s="88">
        <f t="shared" si="8"/>
        <v>44203</v>
      </c>
      <c r="B739" s="72" t="str">
        <f t="shared" si="1"/>
        <v>20210107</v>
      </c>
      <c r="C739" s="72" t="str">
        <f t="shared" si="2"/>
        <v>Thursday</v>
      </c>
      <c r="D739" s="72" t="str">
        <f t="shared" si="3"/>
        <v>January</v>
      </c>
      <c r="E739" s="72" t="str">
        <f t="shared" si="4"/>
        <v>Q1</v>
      </c>
      <c r="F739" s="72">
        <f t="shared" si="5"/>
        <v>2021</v>
      </c>
      <c r="G739" s="89">
        <f t="shared" si="6"/>
        <v>44205</v>
      </c>
      <c r="H739" s="72" t="str">
        <f t="shared" si="7"/>
        <v>Yes</v>
      </c>
    </row>
    <row r="740" ht="15.75" customHeight="1">
      <c r="A740" s="88">
        <f t="shared" si="8"/>
        <v>44204</v>
      </c>
      <c r="B740" s="72" t="str">
        <f t="shared" si="1"/>
        <v>20210108</v>
      </c>
      <c r="C740" s="72" t="str">
        <f t="shared" si="2"/>
        <v>Friday</v>
      </c>
      <c r="D740" s="72" t="str">
        <f t="shared" si="3"/>
        <v>January</v>
      </c>
      <c r="E740" s="72" t="str">
        <f t="shared" si="4"/>
        <v>Q1</v>
      </c>
      <c r="F740" s="72">
        <f t="shared" si="5"/>
        <v>2021</v>
      </c>
      <c r="G740" s="89">
        <f t="shared" si="6"/>
        <v>44205</v>
      </c>
      <c r="H740" s="72" t="str">
        <f t="shared" si="7"/>
        <v>Yes</v>
      </c>
    </row>
    <row r="741" ht="15.75" customHeight="1">
      <c r="A741" s="88">
        <f t="shared" si="8"/>
        <v>44205</v>
      </c>
      <c r="B741" s="72" t="str">
        <f t="shared" si="1"/>
        <v>20210109</v>
      </c>
      <c r="C741" s="72" t="str">
        <f t="shared" si="2"/>
        <v>Saturday</v>
      </c>
      <c r="D741" s="72" t="str">
        <f t="shared" si="3"/>
        <v>January</v>
      </c>
      <c r="E741" s="72" t="str">
        <f t="shared" si="4"/>
        <v>Q1</v>
      </c>
      <c r="F741" s="72">
        <f t="shared" si="5"/>
        <v>2021</v>
      </c>
      <c r="G741" s="89">
        <f t="shared" si="6"/>
        <v>44205</v>
      </c>
      <c r="H741" s="72" t="str">
        <f t="shared" si="7"/>
        <v>No</v>
      </c>
    </row>
    <row r="742" ht="15.75" customHeight="1">
      <c r="A742" s="88">
        <f t="shared" si="8"/>
        <v>44206</v>
      </c>
      <c r="B742" s="72" t="str">
        <f t="shared" si="1"/>
        <v>20210110</v>
      </c>
      <c r="C742" s="72" t="str">
        <f t="shared" si="2"/>
        <v>Sunday</v>
      </c>
      <c r="D742" s="72" t="str">
        <f t="shared" si="3"/>
        <v>January</v>
      </c>
      <c r="E742" s="72" t="str">
        <f t="shared" si="4"/>
        <v>Q1</v>
      </c>
      <c r="F742" s="72">
        <f t="shared" si="5"/>
        <v>2021</v>
      </c>
      <c r="G742" s="89">
        <f t="shared" si="6"/>
        <v>44212</v>
      </c>
      <c r="H742" s="72" t="str">
        <f t="shared" si="7"/>
        <v>No</v>
      </c>
    </row>
    <row r="743" ht="15.75" customHeight="1">
      <c r="A743" s="88">
        <f t="shared" si="8"/>
        <v>44207</v>
      </c>
      <c r="B743" s="72" t="str">
        <f t="shared" si="1"/>
        <v>20210111</v>
      </c>
      <c r="C743" s="72" t="str">
        <f t="shared" si="2"/>
        <v>Monday</v>
      </c>
      <c r="D743" s="72" t="str">
        <f t="shared" si="3"/>
        <v>January</v>
      </c>
      <c r="E743" s="72" t="str">
        <f t="shared" si="4"/>
        <v>Q1</v>
      </c>
      <c r="F743" s="72">
        <f t="shared" si="5"/>
        <v>2021</v>
      </c>
      <c r="G743" s="89">
        <f t="shared" si="6"/>
        <v>44212</v>
      </c>
      <c r="H743" s="72" t="str">
        <f t="shared" si="7"/>
        <v>Yes</v>
      </c>
    </row>
    <row r="744" ht="15.75" customHeight="1">
      <c r="A744" s="88">
        <f t="shared" si="8"/>
        <v>44208</v>
      </c>
      <c r="B744" s="72" t="str">
        <f t="shared" si="1"/>
        <v>20210112</v>
      </c>
      <c r="C744" s="72" t="str">
        <f t="shared" si="2"/>
        <v>Tuesday</v>
      </c>
      <c r="D744" s="72" t="str">
        <f t="shared" si="3"/>
        <v>January</v>
      </c>
      <c r="E744" s="72" t="str">
        <f t="shared" si="4"/>
        <v>Q1</v>
      </c>
      <c r="F744" s="72">
        <f t="shared" si="5"/>
        <v>2021</v>
      </c>
      <c r="G744" s="89">
        <f t="shared" si="6"/>
        <v>44212</v>
      </c>
      <c r="H744" s="72" t="str">
        <f t="shared" si="7"/>
        <v>Yes</v>
      </c>
    </row>
    <row r="745" ht="15.75" customHeight="1">
      <c r="A745" s="88">
        <f t="shared" si="8"/>
        <v>44209</v>
      </c>
      <c r="B745" s="72" t="str">
        <f t="shared" si="1"/>
        <v>20210113</v>
      </c>
      <c r="C745" s="72" t="str">
        <f t="shared" si="2"/>
        <v>Wednesday</v>
      </c>
      <c r="D745" s="72" t="str">
        <f t="shared" si="3"/>
        <v>January</v>
      </c>
      <c r="E745" s="72" t="str">
        <f t="shared" si="4"/>
        <v>Q1</v>
      </c>
      <c r="F745" s="72">
        <f t="shared" si="5"/>
        <v>2021</v>
      </c>
      <c r="G745" s="89">
        <f t="shared" si="6"/>
        <v>44212</v>
      </c>
      <c r="H745" s="72" t="str">
        <f t="shared" si="7"/>
        <v>Yes</v>
      </c>
    </row>
    <row r="746" ht="15.75" customHeight="1">
      <c r="A746" s="88">
        <f t="shared" si="8"/>
        <v>44210</v>
      </c>
      <c r="B746" s="72" t="str">
        <f t="shared" si="1"/>
        <v>20210114</v>
      </c>
      <c r="C746" s="72" t="str">
        <f t="shared" si="2"/>
        <v>Thursday</v>
      </c>
      <c r="D746" s="72" t="str">
        <f t="shared" si="3"/>
        <v>January</v>
      </c>
      <c r="E746" s="72" t="str">
        <f t="shared" si="4"/>
        <v>Q1</v>
      </c>
      <c r="F746" s="72">
        <f t="shared" si="5"/>
        <v>2021</v>
      </c>
      <c r="G746" s="89">
        <f t="shared" si="6"/>
        <v>44212</v>
      </c>
      <c r="H746" s="72" t="str">
        <f t="shared" si="7"/>
        <v>Yes</v>
      </c>
    </row>
    <row r="747" ht="15.75" customHeight="1">
      <c r="A747" s="88">
        <f t="shared" si="8"/>
        <v>44211</v>
      </c>
      <c r="B747" s="72" t="str">
        <f t="shared" si="1"/>
        <v>20210115</v>
      </c>
      <c r="C747" s="72" t="str">
        <f t="shared" si="2"/>
        <v>Friday</v>
      </c>
      <c r="D747" s="72" t="str">
        <f t="shared" si="3"/>
        <v>January</v>
      </c>
      <c r="E747" s="72" t="str">
        <f t="shared" si="4"/>
        <v>Q1</v>
      </c>
      <c r="F747" s="72">
        <f t="shared" si="5"/>
        <v>2021</v>
      </c>
      <c r="G747" s="89">
        <f t="shared" si="6"/>
        <v>44212</v>
      </c>
      <c r="H747" s="72" t="str">
        <f t="shared" si="7"/>
        <v>Yes</v>
      </c>
    </row>
    <row r="748" ht="15.75" customHeight="1">
      <c r="A748" s="88">
        <f t="shared" si="8"/>
        <v>44212</v>
      </c>
      <c r="B748" s="72" t="str">
        <f t="shared" si="1"/>
        <v>20210116</v>
      </c>
      <c r="C748" s="72" t="str">
        <f t="shared" si="2"/>
        <v>Saturday</v>
      </c>
      <c r="D748" s="72" t="str">
        <f t="shared" si="3"/>
        <v>January</v>
      </c>
      <c r="E748" s="72" t="str">
        <f t="shared" si="4"/>
        <v>Q1</v>
      </c>
      <c r="F748" s="72">
        <f t="shared" si="5"/>
        <v>2021</v>
      </c>
      <c r="G748" s="89">
        <f t="shared" si="6"/>
        <v>44212</v>
      </c>
      <c r="H748" s="72" t="str">
        <f t="shared" si="7"/>
        <v>No</v>
      </c>
    </row>
    <row r="749" ht="15.75" customHeight="1">
      <c r="A749" s="88">
        <f t="shared" si="8"/>
        <v>44213</v>
      </c>
      <c r="B749" s="72" t="str">
        <f t="shared" si="1"/>
        <v>20210117</v>
      </c>
      <c r="C749" s="72" t="str">
        <f t="shared" si="2"/>
        <v>Sunday</v>
      </c>
      <c r="D749" s="72" t="str">
        <f t="shared" si="3"/>
        <v>January</v>
      </c>
      <c r="E749" s="72" t="str">
        <f t="shared" si="4"/>
        <v>Q1</v>
      </c>
      <c r="F749" s="72">
        <f t="shared" si="5"/>
        <v>2021</v>
      </c>
      <c r="G749" s="89">
        <f t="shared" si="6"/>
        <v>44219</v>
      </c>
      <c r="H749" s="72" t="str">
        <f t="shared" si="7"/>
        <v>No</v>
      </c>
    </row>
    <row r="750" ht="15.75" customHeight="1">
      <c r="A750" s="88">
        <f t="shared" si="8"/>
        <v>44214</v>
      </c>
      <c r="B750" s="72" t="str">
        <f t="shared" si="1"/>
        <v>20210118</v>
      </c>
      <c r="C750" s="72" t="str">
        <f t="shared" si="2"/>
        <v>Monday</v>
      </c>
      <c r="D750" s="72" t="str">
        <f t="shared" si="3"/>
        <v>January</v>
      </c>
      <c r="E750" s="72" t="str">
        <f t="shared" si="4"/>
        <v>Q1</v>
      </c>
      <c r="F750" s="72">
        <f t="shared" si="5"/>
        <v>2021</v>
      </c>
      <c r="G750" s="89">
        <f t="shared" si="6"/>
        <v>44219</v>
      </c>
      <c r="H750" s="72" t="str">
        <f t="shared" si="7"/>
        <v>Yes</v>
      </c>
    </row>
    <row r="751" ht="15.75" customHeight="1">
      <c r="A751" s="88">
        <f t="shared" si="8"/>
        <v>44215</v>
      </c>
      <c r="B751" s="72" t="str">
        <f t="shared" si="1"/>
        <v>20210119</v>
      </c>
      <c r="C751" s="72" t="str">
        <f t="shared" si="2"/>
        <v>Tuesday</v>
      </c>
      <c r="D751" s="72" t="str">
        <f t="shared" si="3"/>
        <v>January</v>
      </c>
      <c r="E751" s="72" t="str">
        <f t="shared" si="4"/>
        <v>Q1</v>
      </c>
      <c r="F751" s="72">
        <f t="shared" si="5"/>
        <v>2021</v>
      </c>
      <c r="G751" s="89">
        <f t="shared" si="6"/>
        <v>44219</v>
      </c>
      <c r="H751" s="72" t="str">
        <f t="shared" si="7"/>
        <v>Yes</v>
      </c>
    </row>
    <row r="752" ht="15.75" customHeight="1">
      <c r="A752" s="88">
        <f t="shared" si="8"/>
        <v>44216</v>
      </c>
      <c r="B752" s="72" t="str">
        <f t="shared" si="1"/>
        <v>20210120</v>
      </c>
      <c r="C752" s="72" t="str">
        <f t="shared" si="2"/>
        <v>Wednesday</v>
      </c>
      <c r="D752" s="72" t="str">
        <f t="shared" si="3"/>
        <v>January</v>
      </c>
      <c r="E752" s="72" t="str">
        <f t="shared" si="4"/>
        <v>Q1</v>
      </c>
      <c r="F752" s="72">
        <f t="shared" si="5"/>
        <v>2021</v>
      </c>
      <c r="G752" s="89">
        <f t="shared" si="6"/>
        <v>44219</v>
      </c>
      <c r="H752" s="72" t="str">
        <f t="shared" si="7"/>
        <v>Yes</v>
      </c>
    </row>
    <row r="753" ht="15.75" customHeight="1">
      <c r="A753" s="88">
        <f t="shared" si="8"/>
        <v>44217</v>
      </c>
      <c r="B753" s="72" t="str">
        <f t="shared" si="1"/>
        <v>20210121</v>
      </c>
      <c r="C753" s="72" t="str">
        <f t="shared" si="2"/>
        <v>Thursday</v>
      </c>
      <c r="D753" s="72" t="str">
        <f t="shared" si="3"/>
        <v>January</v>
      </c>
      <c r="E753" s="72" t="str">
        <f t="shared" si="4"/>
        <v>Q1</v>
      </c>
      <c r="F753" s="72">
        <f t="shared" si="5"/>
        <v>2021</v>
      </c>
      <c r="G753" s="89">
        <f t="shared" si="6"/>
        <v>44219</v>
      </c>
      <c r="H753" s="72" t="str">
        <f t="shared" si="7"/>
        <v>Yes</v>
      </c>
    </row>
    <row r="754" ht="15.75" customHeight="1">
      <c r="A754" s="88">
        <f t="shared" si="8"/>
        <v>44218</v>
      </c>
      <c r="B754" s="72" t="str">
        <f t="shared" si="1"/>
        <v>20210122</v>
      </c>
      <c r="C754" s="72" t="str">
        <f t="shared" si="2"/>
        <v>Friday</v>
      </c>
      <c r="D754" s="72" t="str">
        <f t="shared" si="3"/>
        <v>January</v>
      </c>
      <c r="E754" s="72" t="str">
        <f t="shared" si="4"/>
        <v>Q1</v>
      </c>
      <c r="F754" s="72">
        <f t="shared" si="5"/>
        <v>2021</v>
      </c>
      <c r="G754" s="89">
        <f t="shared" si="6"/>
        <v>44219</v>
      </c>
      <c r="H754" s="72" t="str">
        <f t="shared" si="7"/>
        <v>Yes</v>
      </c>
    </row>
    <row r="755" ht="15.75" customHeight="1">
      <c r="A755" s="88">
        <f t="shared" si="8"/>
        <v>44219</v>
      </c>
      <c r="B755" s="72" t="str">
        <f t="shared" si="1"/>
        <v>20210123</v>
      </c>
      <c r="C755" s="72" t="str">
        <f t="shared" si="2"/>
        <v>Saturday</v>
      </c>
      <c r="D755" s="72" t="str">
        <f t="shared" si="3"/>
        <v>January</v>
      </c>
      <c r="E755" s="72" t="str">
        <f t="shared" si="4"/>
        <v>Q1</v>
      </c>
      <c r="F755" s="72">
        <f t="shared" si="5"/>
        <v>2021</v>
      </c>
      <c r="G755" s="89">
        <f t="shared" si="6"/>
        <v>44219</v>
      </c>
      <c r="H755" s="72" t="str">
        <f t="shared" si="7"/>
        <v>No</v>
      </c>
    </row>
    <row r="756" ht="15.75" customHeight="1">
      <c r="A756" s="88">
        <f t="shared" si="8"/>
        <v>44220</v>
      </c>
      <c r="B756" s="72" t="str">
        <f t="shared" si="1"/>
        <v>20210124</v>
      </c>
      <c r="C756" s="72" t="str">
        <f t="shared" si="2"/>
        <v>Sunday</v>
      </c>
      <c r="D756" s="72" t="str">
        <f t="shared" si="3"/>
        <v>January</v>
      </c>
      <c r="E756" s="72" t="str">
        <f t="shared" si="4"/>
        <v>Q1</v>
      </c>
      <c r="F756" s="72">
        <f t="shared" si="5"/>
        <v>2021</v>
      </c>
      <c r="G756" s="89">
        <f t="shared" si="6"/>
        <v>44226</v>
      </c>
      <c r="H756" s="72" t="str">
        <f t="shared" si="7"/>
        <v>No</v>
      </c>
    </row>
    <row r="757" ht="15.75" customHeight="1">
      <c r="A757" s="88">
        <f t="shared" si="8"/>
        <v>44221</v>
      </c>
      <c r="B757" s="72" t="str">
        <f t="shared" si="1"/>
        <v>20210125</v>
      </c>
      <c r="C757" s="72" t="str">
        <f t="shared" si="2"/>
        <v>Monday</v>
      </c>
      <c r="D757" s="72" t="str">
        <f t="shared" si="3"/>
        <v>January</v>
      </c>
      <c r="E757" s="72" t="str">
        <f t="shared" si="4"/>
        <v>Q1</v>
      </c>
      <c r="F757" s="72">
        <f t="shared" si="5"/>
        <v>2021</v>
      </c>
      <c r="G757" s="89">
        <f t="shared" si="6"/>
        <v>44226</v>
      </c>
      <c r="H757" s="72" t="str">
        <f t="shared" si="7"/>
        <v>Yes</v>
      </c>
    </row>
    <row r="758" ht="15.75" customHeight="1">
      <c r="A758" s="88">
        <f t="shared" si="8"/>
        <v>44222</v>
      </c>
      <c r="B758" s="72" t="str">
        <f t="shared" si="1"/>
        <v>20210126</v>
      </c>
      <c r="C758" s="72" t="str">
        <f t="shared" si="2"/>
        <v>Tuesday</v>
      </c>
      <c r="D758" s="72" t="str">
        <f t="shared" si="3"/>
        <v>January</v>
      </c>
      <c r="E758" s="72" t="str">
        <f t="shared" si="4"/>
        <v>Q1</v>
      </c>
      <c r="F758" s="72">
        <f t="shared" si="5"/>
        <v>2021</v>
      </c>
      <c r="G758" s="89">
        <f t="shared" si="6"/>
        <v>44226</v>
      </c>
      <c r="H758" s="72" t="str">
        <f t="shared" si="7"/>
        <v>Yes</v>
      </c>
    </row>
    <row r="759" ht="15.75" customHeight="1">
      <c r="A759" s="88">
        <f t="shared" si="8"/>
        <v>44223</v>
      </c>
      <c r="B759" s="72" t="str">
        <f t="shared" si="1"/>
        <v>20210127</v>
      </c>
      <c r="C759" s="72" t="str">
        <f t="shared" si="2"/>
        <v>Wednesday</v>
      </c>
      <c r="D759" s="72" t="str">
        <f t="shared" si="3"/>
        <v>January</v>
      </c>
      <c r="E759" s="72" t="str">
        <f t="shared" si="4"/>
        <v>Q1</v>
      </c>
      <c r="F759" s="72">
        <f t="shared" si="5"/>
        <v>2021</v>
      </c>
      <c r="G759" s="89">
        <f t="shared" si="6"/>
        <v>44226</v>
      </c>
      <c r="H759" s="72" t="str">
        <f t="shared" si="7"/>
        <v>Yes</v>
      </c>
    </row>
    <row r="760" ht="15.75" customHeight="1">
      <c r="A760" s="88">
        <f t="shared" si="8"/>
        <v>44224</v>
      </c>
      <c r="B760" s="72" t="str">
        <f t="shared" si="1"/>
        <v>20210128</v>
      </c>
      <c r="C760" s="72" t="str">
        <f t="shared" si="2"/>
        <v>Thursday</v>
      </c>
      <c r="D760" s="72" t="str">
        <f t="shared" si="3"/>
        <v>January</v>
      </c>
      <c r="E760" s="72" t="str">
        <f t="shared" si="4"/>
        <v>Q1</v>
      </c>
      <c r="F760" s="72">
        <f t="shared" si="5"/>
        <v>2021</v>
      </c>
      <c r="G760" s="89">
        <f t="shared" si="6"/>
        <v>44226</v>
      </c>
      <c r="H760" s="72" t="str">
        <f t="shared" si="7"/>
        <v>Yes</v>
      </c>
    </row>
    <row r="761" ht="15.75" customHeight="1">
      <c r="A761" s="88">
        <f t="shared" si="8"/>
        <v>44225</v>
      </c>
      <c r="B761" s="72" t="str">
        <f t="shared" si="1"/>
        <v>20210129</v>
      </c>
      <c r="C761" s="72" t="str">
        <f t="shared" si="2"/>
        <v>Friday</v>
      </c>
      <c r="D761" s="72" t="str">
        <f t="shared" si="3"/>
        <v>January</v>
      </c>
      <c r="E761" s="72" t="str">
        <f t="shared" si="4"/>
        <v>Q1</v>
      </c>
      <c r="F761" s="72">
        <f t="shared" si="5"/>
        <v>2021</v>
      </c>
      <c r="G761" s="89">
        <f t="shared" si="6"/>
        <v>44226</v>
      </c>
      <c r="H761" s="72" t="str">
        <f t="shared" si="7"/>
        <v>Yes</v>
      </c>
    </row>
    <row r="762" ht="15.75" customHeight="1">
      <c r="A762" s="88">
        <f t="shared" si="8"/>
        <v>44226</v>
      </c>
      <c r="B762" s="72" t="str">
        <f t="shared" si="1"/>
        <v>20210130</v>
      </c>
      <c r="C762" s="72" t="str">
        <f t="shared" si="2"/>
        <v>Saturday</v>
      </c>
      <c r="D762" s="72" t="str">
        <f t="shared" si="3"/>
        <v>January</v>
      </c>
      <c r="E762" s="72" t="str">
        <f t="shared" si="4"/>
        <v>Q1</v>
      </c>
      <c r="F762" s="72">
        <f t="shared" si="5"/>
        <v>2021</v>
      </c>
      <c r="G762" s="89">
        <f t="shared" si="6"/>
        <v>44226</v>
      </c>
      <c r="H762" s="72" t="str">
        <f t="shared" si="7"/>
        <v>No</v>
      </c>
    </row>
    <row r="763" ht="15.75" customHeight="1">
      <c r="A763" s="88">
        <f t="shared" si="8"/>
        <v>44227</v>
      </c>
      <c r="B763" s="72" t="str">
        <f t="shared" si="1"/>
        <v>20210131</v>
      </c>
      <c r="C763" s="72" t="str">
        <f t="shared" si="2"/>
        <v>Sunday</v>
      </c>
      <c r="D763" s="72" t="str">
        <f t="shared" si="3"/>
        <v>January</v>
      </c>
      <c r="E763" s="72" t="str">
        <f t="shared" si="4"/>
        <v>Q1</v>
      </c>
      <c r="F763" s="72">
        <f t="shared" si="5"/>
        <v>2021</v>
      </c>
      <c r="G763" s="89">
        <f t="shared" si="6"/>
        <v>44233</v>
      </c>
      <c r="H763" s="72" t="str">
        <f t="shared" si="7"/>
        <v>No</v>
      </c>
    </row>
    <row r="764" ht="15.75" customHeight="1">
      <c r="A764" s="88">
        <f t="shared" si="8"/>
        <v>44228</v>
      </c>
      <c r="B764" s="72" t="str">
        <f t="shared" si="1"/>
        <v>20210201</v>
      </c>
      <c r="C764" s="72" t="str">
        <f t="shared" si="2"/>
        <v>Monday</v>
      </c>
      <c r="D764" s="72" t="str">
        <f t="shared" si="3"/>
        <v>February</v>
      </c>
      <c r="E764" s="72" t="str">
        <f t="shared" si="4"/>
        <v>Q1</v>
      </c>
      <c r="F764" s="72">
        <f t="shared" si="5"/>
        <v>2021</v>
      </c>
      <c r="G764" s="89">
        <f t="shared" si="6"/>
        <v>44233</v>
      </c>
      <c r="H764" s="72" t="str">
        <f t="shared" si="7"/>
        <v>Yes</v>
      </c>
    </row>
    <row r="765" ht="15.75" customHeight="1">
      <c r="A765" s="88">
        <f t="shared" si="8"/>
        <v>44229</v>
      </c>
      <c r="B765" s="72" t="str">
        <f t="shared" si="1"/>
        <v>20210202</v>
      </c>
      <c r="C765" s="72" t="str">
        <f t="shared" si="2"/>
        <v>Tuesday</v>
      </c>
      <c r="D765" s="72" t="str">
        <f t="shared" si="3"/>
        <v>February</v>
      </c>
      <c r="E765" s="72" t="str">
        <f t="shared" si="4"/>
        <v>Q1</v>
      </c>
      <c r="F765" s="72">
        <f t="shared" si="5"/>
        <v>2021</v>
      </c>
      <c r="G765" s="89">
        <f t="shared" si="6"/>
        <v>44233</v>
      </c>
      <c r="H765" s="72" t="str">
        <f t="shared" si="7"/>
        <v>Yes</v>
      </c>
    </row>
    <row r="766" ht="15.75" customHeight="1">
      <c r="A766" s="88">
        <f t="shared" si="8"/>
        <v>44230</v>
      </c>
      <c r="B766" s="72" t="str">
        <f t="shared" si="1"/>
        <v>20210203</v>
      </c>
      <c r="C766" s="72" t="str">
        <f t="shared" si="2"/>
        <v>Wednesday</v>
      </c>
      <c r="D766" s="72" t="str">
        <f t="shared" si="3"/>
        <v>February</v>
      </c>
      <c r="E766" s="72" t="str">
        <f t="shared" si="4"/>
        <v>Q1</v>
      </c>
      <c r="F766" s="72">
        <f t="shared" si="5"/>
        <v>2021</v>
      </c>
      <c r="G766" s="89">
        <f t="shared" si="6"/>
        <v>44233</v>
      </c>
      <c r="H766" s="72" t="str">
        <f t="shared" si="7"/>
        <v>Yes</v>
      </c>
    </row>
    <row r="767" ht="15.75" customHeight="1">
      <c r="A767" s="88">
        <f t="shared" si="8"/>
        <v>44231</v>
      </c>
      <c r="B767" s="72" t="str">
        <f t="shared" si="1"/>
        <v>20210204</v>
      </c>
      <c r="C767" s="72" t="str">
        <f t="shared" si="2"/>
        <v>Thursday</v>
      </c>
      <c r="D767" s="72" t="str">
        <f t="shared" si="3"/>
        <v>February</v>
      </c>
      <c r="E767" s="72" t="str">
        <f t="shared" si="4"/>
        <v>Q1</v>
      </c>
      <c r="F767" s="72">
        <f t="shared" si="5"/>
        <v>2021</v>
      </c>
      <c r="G767" s="89">
        <f t="shared" si="6"/>
        <v>44233</v>
      </c>
      <c r="H767" s="72" t="str">
        <f t="shared" si="7"/>
        <v>Yes</v>
      </c>
    </row>
    <row r="768" ht="15.75" customHeight="1">
      <c r="A768" s="88">
        <f t="shared" si="8"/>
        <v>44232</v>
      </c>
      <c r="B768" s="72" t="str">
        <f t="shared" si="1"/>
        <v>20210205</v>
      </c>
      <c r="C768" s="72" t="str">
        <f t="shared" si="2"/>
        <v>Friday</v>
      </c>
      <c r="D768" s="72" t="str">
        <f t="shared" si="3"/>
        <v>February</v>
      </c>
      <c r="E768" s="72" t="str">
        <f t="shared" si="4"/>
        <v>Q1</v>
      </c>
      <c r="F768" s="72">
        <f t="shared" si="5"/>
        <v>2021</v>
      </c>
      <c r="G768" s="89">
        <f t="shared" si="6"/>
        <v>44233</v>
      </c>
      <c r="H768" s="72" t="str">
        <f t="shared" si="7"/>
        <v>Yes</v>
      </c>
    </row>
    <row r="769" ht="15.75" customHeight="1">
      <c r="A769" s="88">
        <f t="shared" si="8"/>
        <v>44233</v>
      </c>
      <c r="B769" s="72" t="str">
        <f t="shared" si="1"/>
        <v>20210206</v>
      </c>
      <c r="C769" s="72" t="str">
        <f t="shared" si="2"/>
        <v>Saturday</v>
      </c>
      <c r="D769" s="72" t="str">
        <f t="shared" si="3"/>
        <v>February</v>
      </c>
      <c r="E769" s="72" t="str">
        <f t="shared" si="4"/>
        <v>Q1</v>
      </c>
      <c r="F769" s="72">
        <f t="shared" si="5"/>
        <v>2021</v>
      </c>
      <c r="G769" s="89">
        <f t="shared" si="6"/>
        <v>44233</v>
      </c>
      <c r="H769" s="72" t="str">
        <f t="shared" si="7"/>
        <v>No</v>
      </c>
    </row>
    <row r="770" ht="15.75" customHeight="1">
      <c r="A770" s="88">
        <f t="shared" si="8"/>
        <v>44234</v>
      </c>
      <c r="B770" s="72" t="str">
        <f t="shared" si="1"/>
        <v>20210207</v>
      </c>
      <c r="C770" s="72" t="str">
        <f t="shared" si="2"/>
        <v>Sunday</v>
      </c>
      <c r="D770" s="72" t="str">
        <f t="shared" si="3"/>
        <v>February</v>
      </c>
      <c r="E770" s="72" t="str">
        <f t="shared" si="4"/>
        <v>Q1</v>
      </c>
      <c r="F770" s="72">
        <f t="shared" si="5"/>
        <v>2021</v>
      </c>
      <c r="G770" s="89">
        <f t="shared" si="6"/>
        <v>44240</v>
      </c>
      <c r="H770" s="72" t="str">
        <f t="shared" si="7"/>
        <v>No</v>
      </c>
    </row>
    <row r="771" ht="15.75" customHeight="1">
      <c r="A771" s="88">
        <f t="shared" si="8"/>
        <v>44235</v>
      </c>
      <c r="B771" s="72" t="str">
        <f t="shared" si="1"/>
        <v>20210208</v>
      </c>
      <c r="C771" s="72" t="str">
        <f t="shared" si="2"/>
        <v>Monday</v>
      </c>
      <c r="D771" s="72" t="str">
        <f t="shared" si="3"/>
        <v>February</v>
      </c>
      <c r="E771" s="72" t="str">
        <f t="shared" si="4"/>
        <v>Q1</v>
      </c>
      <c r="F771" s="72">
        <f t="shared" si="5"/>
        <v>2021</v>
      </c>
      <c r="G771" s="89">
        <f t="shared" si="6"/>
        <v>44240</v>
      </c>
      <c r="H771" s="72" t="str">
        <f t="shared" si="7"/>
        <v>Yes</v>
      </c>
    </row>
    <row r="772" ht="15.75" customHeight="1">
      <c r="A772" s="88">
        <f t="shared" si="8"/>
        <v>44236</v>
      </c>
      <c r="B772" s="72" t="str">
        <f t="shared" si="1"/>
        <v>20210209</v>
      </c>
      <c r="C772" s="72" t="str">
        <f t="shared" si="2"/>
        <v>Tuesday</v>
      </c>
      <c r="D772" s="72" t="str">
        <f t="shared" si="3"/>
        <v>February</v>
      </c>
      <c r="E772" s="72" t="str">
        <f t="shared" si="4"/>
        <v>Q1</v>
      </c>
      <c r="F772" s="72">
        <f t="shared" si="5"/>
        <v>2021</v>
      </c>
      <c r="G772" s="89">
        <f t="shared" si="6"/>
        <v>44240</v>
      </c>
      <c r="H772" s="72" t="str">
        <f t="shared" si="7"/>
        <v>Yes</v>
      </c>
    </row>
    <row r="773" ht="15.75" customHeight="1">
      <c r="A773" s="88">
        <f t="shared" si="8"/>
        <v>44237</v>
      </c>
      <c r="B773" s="72" t="str">
        <f t="shared" si="1"/>
        <v>20210210</v>
      </c>
      <c r="C773" s="72" t="str">
        <f t="shared" si="2"/>
        <v>Wednesday</v>
      </c>
      <c r="D773" s="72" t="str">
        <f t="shared" si="3"/>
        <v>February</v>
      </c>
      <c r="E773" s="72" t="str">
        <f t="shared" si="4"/>
        <v>Q1</v>
      </c>
      <c r="F773" s="72">
        <f t="shared" si="5"/>
        <v>2021</v>
      </c>
      <c r="G773" s="89">
        <f t="shared" si="6"/>
        <v>44240</v>
      </c>
      <c r="H773" s="72" t="str">
        <f t="shared" si="7"/>
        <v>Yes</v>
      </c>
    </row>
    <row r="774" ht="15.75" customHeight="1">
      <c r="A774" s="88">
        <f t="shared" si="8"/>
        <v>44238</v>
      </c>
      <c r="B774" s="72" t="str">
        <f t="shared" si="1"/>
        <v>20210211</v>
      </c>
      <c r="C774" s="72" t="str">
        <f t="shared" si="2"/>
        <v>Thursday</v>
      </c>
      <c r="D774" s="72" t="str">
        <f t="shared" si="3"/>
        <v>February</v>
      </c>
      <c r="E774" s="72" t="str">
        <f t="shared" si="4"/>
        <v>Q1</v>
      </c>
      <c r="F774" s="72">
        <f t="shared" si="5"/>
        <v>2021</v>
      </c>
      <c r="G774" s="89">
        <f t="shared" si="6"/>
        <v>44240</v>
      </c>
      <c r="H774" s="72" t="str">
        <f t="shared" si="7"/>
        <v>Yes</v>
      </c>
    </row>
    <row r="775" ht="15.75" customHeight="1">
      <c r="A775" s="88">
        <f t="shared" si="8"/>
        <v>44239</v>
      </c>
      <c r="B775" s="72" t="str">
        <f t="shared" si="1"/>
        <v>20210212</v>
      </c>
      <c r="C775" s="72" t="str">
        <f t="shared" si="2"/>
        <v>Friday</v>
      </c>
      <c r="D775" s="72" t="str">
        <f t="shared" si="3"/>
        <v>February</v>
      </c>
      <c r="E775" s="72" t="str">
        <f t="shared" si="4"/>
        <v>Q1</v>
      </c>
      <c r="F775" s="72">
        <f t="shared" si="5"/>
        <v>2021</v>
      </c>
      <c r="G775" s="89">
        <f t="shared" si="6"/>
        <v>44240</v>
      </c>
      <c r="H775" s="72" t="str">
        <f t="shared" si="7"/>
        <v>Yes</v>
      </c>
    </row>
    <row r="776" ht="15.75" customHeight="1">
      <c r="A776" s="88">
        <f t="shared" si="8"/>
        <v>44240</v>
      </c>
      <c r="B776" s="72" t="str">
        <f t="shared" si="1"/>
        <v>20210213</v>
      </c>
      <c r="C776" s="72" t="str">
        <f t="shared" si="2"/>
        <v>Saturday</v>
      </c>
      <c r="D776" s="72" t="str">
        <f t="shared" si="3"/>
        <v>February</v>
      </c>
      <c r="E776" s="72" t="str">
        <f t="shared" si="4"/>
        <v>Q1</v>
      </c>
      <c r="F776" s="72">
        <f t="shared" si="5"/>
        <v>2021</v>
      </c>
      <c r="G776" s="89">
        <f t="shared" si="6"/>
        <v>44240</v>
      </c>
      <c r="H776" s="72" t="str">
        <f t="shared" si="7"/>
        <v>No</v>
      </c>
    </row>
    <row r="777" ht="15.75" customHeight="1">
      <c r="A777" s="88">
        <f t="shared" si="8"/>
        <v>44241</v>
      </c>
      <c r="B777" s="72" t="str">
        <f t="shared" si="1"/>
        <v>20210214</v>
      </c>
      <c r="C777" s="72" t="str">
        <f t="shared" si="2"/>
        <v>Sunday</v>
      </c>
      <c r="D777" s="72" t="str">
        <f t="shared" si="3"/>
        <v>February</v>
      </c>
      <c r="E777" s="72" t="str">
        <f t="shared" si="4"/>
        <v>Q1</v>
      </c>
      <c r="F777" s="72">
        <f t="shared" si="5"/>
        <v>2021</v>
      </c>
      <c r="G777" s="89">
        <f t="shared" si="6"/>
        <v>44247</v>
      </c>
      <c r="H777" s="72" t="str">
        <f t="shared" si="7"/>
        <v>No</v>
      </c>
    </row>
    <row r="778" ht="15.75" customHeight="1">
      <c r="A778" s="88">
        <f t="shared" si="8"/>
        <v>44242</v>
      </c>
      <c r="B778" s="72" t="str">
        <f t="shared" si="1"/>
        <v>20210215</v>
      </c>
      <c r="C778" s="72" t="str">
        <f t="shared" si="2"/>
        <v>Monday</v>
      </c>
      <c r="D778" s="72" t="str">
        <f t="shared" si="3"/>
        <v>February</v>
      </c>
      <c r="E778" s="72" t="str">
        <f t="shared" si="4"/>
        <v>Q1</v>
      </c>
      <c r="F778" s="72">
        <f t="shared" si="5"/>
        <v>2021</v>
      </c>
      <c r="G778" s="89">
        <f t="shared" si="6"/>
        <v>44247</v>
      </c>
      <c r="H778" s="72" t="str">
        <f t="shared" si="7"/>
        <v>Yes</v>
      </c>
    </row>
    <row r="779" ht="15.75" customHeight="1">
      <c r="A779" s="88">
        <f t="shared" si="8"/>
        <v>44243</v>
      </c>
      <c r="B779" s="72" t="str">
        <f t="shared" si="1"/>
        <v>20210216</v>
      </c>
      <c r="C779" s="72" t="str">
        <f t="shared" si="2"/>
        <v>Tuesday</v>
      </c>
      <c r="D779" s="72" t="str">
        <f t="shared" si="3"/>
        <v>February</v>
      </c>
      <c r="E779" s="72" t="str">
        <f t="shared" si="4"/>
        <v>Q1</v>
      </c>
      <c r="F779" s="72">
        <f t="shared" si="5"/>
        <v>2021</v>
      </c>
      <c r="G779" s="89">
        <f t="shared" si="6"/>
        <v>44247</v>
      </c>
      <c r="H779" s="72" t="str">
        <f t="shared" si="7"/>
        <v>Yes</v>
      </c>
    </row>
    <row r="780" ht="15.75" customHeight="1">
      <c r="A780" s="88">
        <f t="shared" si="8"/>
        <v>44244</v>
      </c>
      <c r="B780" s="72" t="str">
        <f t="shared" si="1"/>
        <v>20210217</v>
      </c>
      <c r="C780" s="72" t="str">
        <f t="shared" si="2"/>
        <v>Wednesday</v>
      </c>
      <c r="D780" s="72" t="str">
        <f t="shared" si="3"/>
        <v>February</v>
      </c>
      <c r="E780" s="72" t="str">
        <f t="shared" si="4"/>
        <v>Q1</v>
      </c>
      <c r="F780" s="72">
        <f t="shared" si="5"/>
        <v>2021</v>
      </c>
      <c r="G780" s="89">
        <f t="shared" si="6"/>
        <v>44247</v>
      </c>
      <c r="H780" s="72" t="str">
        <f t="shared" si="7"/>
        <v>Yes</v>
      </c>
    </row>
    <row r="781" ht="15.75" customHeight="1">
      <c r="A781" s="88">
        <f t="shared" si="8"/>
        <v>44245</v>
      </c>
      <c r="B781" s="72" t="str">
        <f t="shared" si="1"/>
        <v>20210218</v>
      </c>
      <c r="C781" s="72" t="str">
        <f t="shared" si="2"/>
        <v>Thursday</v>
      </c>
      <c r="D781" s="72" t="str">
        <f t="shared" si="3"/>
        <v>February</v>
      </c>
      <c r="E781" s="72" t="str">
        <f t="shared" si="4"/>
        <v>Q1</v>
      </c>
      <c r="F781" s="72">
        <f t="shared" si="5"/>
        <v>2021</v>
      </c>
      <c r="G781" s="89">
        <f t="shared" si="6"/>
        <v>44247</v>
      </c>
      <c r="H781" s="72" t="str">
        <f t="shared" si="7"/>
        <v>Yes</v>
      </c>
    </row>
    <row r="782" ht="15.75" customHeight="1">
      <c r="A782" s="88">
        <f t="shared" si="8"/>
        <v>44246</v>
      </c>
      <c r="B782" s="72" t="str">
        <f t="shared" si="1"/>
        <v>20210219</v>
      </c>
      <c r="C782" s="72" t="str">
        <f t="shared" si="2"/>
        <v>Friday</v>
      </c>
      <c r="D782" s="72" t="str">
        <f t="shared" si="3"/>
        <v>February</v>
      </c>
      <c r="E782" s="72" t="str">
        <f t="shared" si="4"/>
        <v>Q1</v>
      </c>
      <c r="F782" s="72">
        <f t="shared" si="5"/>
        <v>2021</v>
      </c>
      <c r="G782" s="89">
        <f t="shared" si="6"/>
        <v>44247</v>
      </c>
      <c r="H782" s="72" t="str">
        <f t="shared" si="7"/>
        <v>Yes</v>
      </c>
    </row>
    <row r="783" ht="15.75" customHeight="1">
      <c r="A783" s="88">
        <f t="shared" si="8"/>
        <v>44247</v>
      </c>
      <c r="B783" s="72" t="str">
        <f t="shared" si="1"/>
        <v>20210220</v>
      </c>
      <c r="C783" s="72" t="str">
        <f t="shared" si="2"/>
        <v>Saturday</v>
      </c>
      <c r="D783" s="72" t="str">
        <f t="shared" si="3"/>
        <v>February</v>
      </c>
      <c r="E783" s="72" t="str">
        <f t="shared" si="4"/>
        <v>Q1</v>
      </c>
      <c r="F783" s="72">
        <f t="shared" si="5"/>
        <v>2021</v>
      </c>
      <c r="G783" s="89">
        <f t="shared" si="6"/>
        <v>44247</v>
      </c>
      <c r="H783" s="72" t="str">
        <f t="shared" si="7"/>
        <v>No</v>
      </c>
    </row>
    <row r="784" ht="15.75" customHeight="1">
      <c r="A784" s="88">
        <f t="shared" si="8"/>
        <v>44248</v>
      </c>
      <c r="B784" s="72" t="str">
        <f t="shared" si="1"/>
        <v>20210221</v>
      </c>
      <c r="C784" s="72" t="str">
        <f t="shared" si="2"/>
        <v>Sunday</v>
      </c>
      <c r="D784" s="72" t="str">
        <f t="shared" si="3"/>
        <v>February</v>
      </c>
      <c r="E784" s="72" t="str">
        <f t="shared" si="4"/>
        <v>Q1</v>
      </c>
      <c r="F784" s="72">
        <f t="shared" si="5"/>
        <v>2021</v>
      </c>
      <c r="G784" s="89">
        <f t="shared" si="6"/>
        <v>44254</v>
      </c>
      <c r="H784" s="72" t="str">
        <f t="shared" si="7"/>
        <v>No</v>
      </c>
    </row>
    <row r="785" ht="15.75" customHeight="1">
      <c r="A785" s="88">
        <f t="shared" si="8"/>
        <v>44249</v>
      </c>
      <c r="B785" s="72" t="str">
        <f t="shared" si="1"/>
        <v>20210222</v>
      </c>
      <c r="C785" s="72" t="str">
        <f t="shared" si="2"/>
        <v>Monday</v>
      </c>
      <c r="D785" s="72" t="str">
        <f t="shared" si="3"/>
        <v>February</v>
      </c>
      <c r="E785" s="72" t="str">
        <f t="shared" si="4"/>
        <v>Q1</v>
      </c>
      <c r="F785" s="72">
        <f t="shared" si="5"/>
        <v>2021</v>
      </c>
      <c r="G785" s="89">
        <f t="shared" si="6"/>
        <v>44254</v>
      </c>
      <c r="H785" s="72" t="str">
        <f t="shared" si="7"/>
        <v>Yes</v>
      </c>
    </row>
    <row r="786" ht="15.75" customHeight="1">
      <c r="A786" s="88">
        <f t="shared" si="8"/>
        <v>44250</v>
      </c>
      <c r="B786" s="72" t="str">
        <f t="shared" si="1"/>
        <v>20210223</v>
      </c>
      <c r="C786" s="72" t="str">
        <f t="shared" si="2"/>
        <v>Tuesday</v>
      </c>
      <c r="D786" s="72" t="str">
        <f t="shared" si="3"/>
        <v>February</v>
      </c>
      <c r="E786" s="72" t="str">
        <f t="shared" si="4"/>
        <v>Q1</v>
      </c>
      <c r="F786" s="72">
        <f t="shared" si="5"/>
        <v>2021</v>
      </c>
      <c r="G786" s="89">
        <f t="shared" si="6"/>
        <v>44254</v>
      </c>
      <c r="H786" s="72" t="str">
        <f t="shared" si="7"/>
        <v>Yes</v>
      </c>
    </row>
    <row r="787" ht="15.75" customHeight="1">
      <c r="A787" s="88">
        <f t="shared" si="8"/>
        <v>44251</v>
      </c>
      <c r="B787" s="72" t="str">
        <f t="shared" si="1"/>
        <v>20210224</v>
      </c>
      <c r="C787" s="72" t="str">
        <f t="shared" si="2"/>
        <v>Wednesday</v>
      </c>
      <c r="D787" s="72" t="str">
        <f t="shared" si="3"/>
        <v>February</v>
      </c>
      <c r="E787" s="72" t="str">
        <f t="shared" si="4"/>
        <v>Q1</v>
      </c>
      <c r="F787" s="72">
        <f t="shared" si="5"/>
        <v>2021</v>
      </c>
      <c r="G787" s="89">
        <f t="shared" si="6"/>
        <v>44254</v>
      </c>
      <c r="H787" s="72" t="str">
        <f t="shared" si="7"/>
        <v>Yes</v>
      </c>
    </row>
    <row r="788" ht="15.75" customHeight="1">
      <c r="A788" s="88">
        <f t="shared" si="8"/>
        <v>44252</v>
      </c>
      <c r="B788" s="72" t="str">
        <f t="shared" si="1"/>
        <v>20210225</v>
      </c>
      <c r="C788" s="72" t="str">
        <f t="shared" si="2"/>
        <v>Thursday</v>
      </c>
      <c r="D788" s="72" t="str">
        <f t="shared" si="3"/>
        <v>February</v>
      </c>
      <c r="E788" s="72" t="str">
        <f t="shared" si="4"/>
        <v>Q1</v>
      </c>
      <c r="F788" s="72">
        <f t="shared" si="5"/>
        <v>2021</v>
      </c>
      <c r="G788" s="89">
        <f t="shared" si="6"/>
        <v>44254</v>
      </c>
      <c r="H788" s="72" t="str">
        <f t="shared" si="7"/>
        <v>Yes</v>
      </c>
    </row>
    <row r="789" ht="15.75" customHeight="1">
      <c r="A789" s="88">
        <f t="shared" si="8"/>
        <v>44253</v>
      </c>
      <c r="B789" s="72" t="str">
        <f t="shared" si="1"/>
        <v>20210226</v>
      </c>
      <c r="C789" s="72" t="str">
        <f t="shared" si="2"/>
        <v>Friday</v>
      </c>
      <c r="D789" s="72" t="str">
        <f t="shared" si="3"/>
        <v>February</v>
      </c>
      <c r="E789" s="72" t="str">
        <f t="shared" si="4"/>
        <v>Q1</v>
      </c>
      <c r="F789" s="72">
        <f t="shared" si="5"/>
        <v>2021</v>
      </c>
      <c r="G789" s="89">
        <f t="shared" si="6"/>
        <v>44254</v>
      </c>
      <c r="H789" s="72" t="str">
        <f t="shared" si="7"/>
        <v>Yes</v>
      </c>
    </row>
    <row r="790" ht="15.75" customHeight="1">
      <c r="A790" s="88">
        <f t="shared" si="8"/>
        <v>44254</v>
      </c>
      <c r="B790" s="72" t="str">
        <f t="shared" si="1"/>
        <v>20210227</v>
      </c>
      <c r="C790" s="72" t="str">
        <f t="shared" si="2"/>
        <v>Saturday</v>
      </c>
      <c r="D790" s="72" t="str">
        <f t="shared" si="3"/>
        <v>February</v>
      </c>
      <c r="E790" s="72" t="str">
        <f t="shared" si="4"/>
        <v>Q1</v>
      </c>
      <c r="F790" s="72">
        <f t="shared" si="5"/>
        <v>2021</v>
      </c>
      <c r="G790" s="89">
        <f t="shared" si="6"/>
        <v>44254</v>
      </c>
      <c r="H790" s="72" t="str">
        <f t="shared" si="7"/>
        <v>No</v>
      </c>
    </row>
    <row r="791" ht="15.75" customHeight="1">
      <c r="A791" s="88">
        <f t="shared" si="8"/>
        <v>44255</v>
      </c>
      <c r="B791" s="72" t="str">
        <f t="shared" si="1"/>
        <v>20210228</v>
      </c>
      <c r="C791" s="72" t="str">
        <f t="shared" si="2"/>
        <v>Sunday</v>
      </c>
      <c r="D791" s="72" t="str">
        <f t="shared" si="3"/>
        <v>February</v>
      </c>
      <c r="E791" s="72" t="str">
        <f t="shared" si="4"/>
        <v>Q1</v>
      </c>
      <c r="F791" s="72">
        <f t="shared" si="5"/>
        <v>2021</v>
      </c>
      <c r="G791" s="89">
        <f t="shared" si="6"/>
        <v>44261</v>
      </c>
      <c r="H791" s="72" t="str">
        <f t="shared" si="7"/>
        <v>No</v>
      </c>
    </row>
    <row r="792" ht="15.75" customHeight="1">
      <c r="A792" s="88">
        <f t="shared" si="8"/>
        <v>44256</v>
      </c>
      <c r="B792" s="72" t="str">
        <f t="shared" si="1"/>
        <v>20210301</v>
      </c>
      <c r="C792" s="72" t="str">
        <f t="shared" si="2"/>
        <v>Monday</v>
      </c>
      <c r="D792" s="72" t="str">
        <f t="shared" si="3"/>
        <v>March</v>
      </c>
      <c r="E792" s="72" t="str">
        <f t="shared" si="4"/>
        <v>Q1</v>
      </c>
      <c r="F792" s="72">
        <f t="shared" si="5"/>
        <v>2021</v>
      </c>
      <c r="G792" s="89">
        <f t="shared" si="6"/>
        <v>44261</v>
      </c>
      <c r="H792" s="72" t="str">
        <f t="shared" si="7"/>
        <v>Yes</v>
      </c>
    </row>
    <row r="793" ht="15.75" customHeight="1">
      <c r="A793" s="88">
        <f t="shared" si="8"/>
        <v>44257</v>
      </c>
      <c r="B793" s="72" t="str">
        <f t="shared" si="1"/>
        <v>20210302</v>
      </c>
      <c r="C793" s="72" t="str">
        <f t="shared" si="2"/>
        <v>Tuesday</v>
      </c>
      <c r="D793" s="72" t="str">
        <f t="shared" si="3"/>
        <v>March</v>
      </c>
      <c r="E793" s="72" t="str">
        <f t="shared" si="4"/>
        <v>Q1</v>
      </c>
      <c r="F793" s="72">
        <f t="shared" si="5"/>
        <v>2021</v>
      </c>
      <c r="G793" s="89">
        <f t="shared" si="6"/>
        <v>44261</v>
      </c>
      <c r="H793" s="72" t="str">
        <f t="shared" si="7"/>
        <v>Yes</v>
      </c>
    </row>
    <row r="794" ht="15.75" customHeight="1">
      <c r="A794" s="88">
        <f t="shared" si="8"/>
        <v>44258</v>
      </c>
      <c r="B794" s="72" t="str">
        <f t="shared" si="1"/>
        <v>20210303</v>
      </c>
      <c r="C794" s="72" t="str">
        <f t="shared" si="2"/>
        <v>Wednesday</v>
      </c>
      <c r="D794" s="72" t="str">
        <f t="shared" si="3"/>
        <v>March</v>
      </c>
      <c r="E794" s="72" t="str">
        <f t="shared" si="4"/>
        <v>Q1</v>
      </c>
      <c r="F794" s="72">
        <f t="shared" si="5"/>
        <v>2021</v>
      </c>
      <c r="G794" s="89">
        <f t="shared" si="6"/>
        <v>44261</v>
      </c>
      <c r="H794" s="72" t="str">
        <f t="shared" si="7"/>
        <v>Yes</v>
      </c>
    </row>
    <row r="795" ht="15.75" customHeight="1">
      <c r="A795" s="88">
        <f t="shared" si="8"/>
        <v>44259</v>
      </c>
      <c r="B795" s="72" t="str">
        <f t="shared" si="1"/>
        <v>20210304</v>
      </c>
      <c r="C795" s="72" t="str">
        <f t="shared" si="2"/>
        <v>Thursday</v>
      </c>
      <c r="D795" s="72" t="str">
        <f t="shared" si="3"/>
        <v>March</v>
      </c>
      <c r="E795" s="72" t="str">
        <f t="shared" si="4"/>
        <v>Q1</v>
      </c>
      <c r="F795" s="72">
        <f t="shared" si="5"/>
        <v>2021</v>
      </c>
      <c r="G795" s="89">
        <f t="shared" si="6"/>
        <v>44261</v>
      </c>
      <c r="H795" s="72" t="str">
        <f t="shared" si="7"/>
        <v>Yes</v>
      </c>
    </row>
    <row r="796" ht="15.75" customHeight="1">
      <c r="A796" s="88">
        <f t="shared" si="8"/>
        <v>44260</v>
      </c>
      <c r="B796" s="72" t="str">
        <f t="shared" si="1"/>
        <v>20210305</v>
      </c>
      <c r="C796" s="72" t="str">
        <f t="shared" si="2"/>
        <v>Friday</v>
      </c>
      <c r="D796" s="72" t="str">
        <f t="shared" si="3"/>
        <v>March</v>
      </c>
      <c r="E796" s="72" t="str">
        <f t="shared" si="4"/>
        <v>Q1</v>
      </c>
      <c r="F796" s="72">
        <f t="shared" si="5"/>
        <v>2021</v>
      </c>
      <c r="G796" s="89">
        <f t="shared" si="6"/>
        <v>44261</v>
      </c>
      <c r="H796" s="72" t="str">
        <f t="shared" si="7"/>
        <v>Yes</v>
      </c>
    </row>
    <row r="797" ht="15.75" customHeight="1">
      <c r="A797" s="88">
        <f t="shared" si="8"/>
        <v>44261</v>
      </c>
      <c r="B797" s="72" t="str">
        <f t="shared" si="1"/>
        <v>20210306</v>
      </c>
      <c r="C797" s="72" t="str">
        <f t="shared" si="2"/>
        <v>Saturday</v>
      </c>
      <c r="D797" s="72" t="str">
        <f t="shared" si="3"/>
        <v>March</v>
      </c>
      <c r="E797" s="72" t="str">
        <f t="shared" si="4"/>
        <v>Q1</v>
      </c>
      <c r="F797" s="72">
        <f t="shared" si="5"/>
        <v>2021</v>
      </c>
      <c r="G797" s="89">
        <f t="shared" si="6"/>
        <v>44261</v>
      </c>
      <c r="H797" s="72" t="str">
        <f t="shared" si="7"/>
        <v>No</v>
      </c>
    </row>
    <row r="798" ht="15.75" customHeight="1">
      <c r="A798" s="88">
        <f t="shared" si="8"/>
        <v>44262</v>
      </c>
      <c r="B798" s="72" t="str">
        <f t="shared" si="1"/>
        <v>20210307</v>
      </c>
      <c r="C798" s="72" t="str">
        <f t="shared" si="2"/>
        <v>Sunday</v>
      </c>
      <c r="D798" s="72" t="str">
        <f t="shared" si="3"/>
        <v>March</v>
      </c>
      <c r="E798" s="72" t="str">
        <f t="shared" si="4"/>
        <v>Q1</v>
      </c>
      <c r="F798" s="72">
        <f t="shared" si="5"/>
        <v>2021</v>
      </c>
      <c r="G798" s="89">
        <f t="shared" si="6"/>
        <v>44268</v>
      </c>
      <c r="H798" s="72" t="str">
        <f t="shared" si="7"/>
        <v>No</v>
      </c>
    </row>
    <row r="799" ht="15.75" customHeight="1">
      <c r="A799" s="88">
        <f t="shared" si="8"/>
        <v>44263</v>
      </c>
      <c r="B799" s="72" t="str">
        <f t="shared" si="1"/>
        <v>20210308</v>
      </c>
      <c r="C799" s="72" t="str">
        <f t="shared" si="2"/>
        <v>Monday</v>
      </c>
      <c r="D799" s="72" t="str">
        <f t="shared" si="3"/>
        <v>March</v>
      </c>
      <c r="E799" s="72" t="str">
        <f t="shared" si="4"/>
        <v>Q1</v>
      </c>
      <c r="F799" s="72">
        <f t="shared" si="5"/>
        <v>2021</v>
      </c>
      <c r="G799" s="89">
        <f t="shared" si="6"/>
        <v>44268</v>
      </c>
      <c r="H799" s="72" t="str">
        <f t="shared" si="7"/>
        <v>Yes</v>
      </c>
    </row>
    <row r="800" ht="15.75" customHeight="1">
      <c r="A800" s="88">
        <f t="shared" si="8"/>
        <v>44264</v>
      </c>
      <c r="B800" s="72" t="str">
        <f t="shared" si="1"/>
        <v>20210309</v>
      </c>
      <c r="C800" s="72" t="str">
        <f t="shared" si="2"/>
        <v>Tuesday</v>
      </c>
      <c r="D800" s="72" t="str">
        <f t="shared" si="3"/>
        <v>March</v>
      </c>
      <c r="E800" s="72" t="str">
        <f t="shared" si="4"/>
        <v>Q1</v>
      </c>
      <c r="F800" s="72">
        <f t="shared" si="5"/>
        <v>2021</v>
      </c>
      <c r="G800" s="89">
        <f t="shared" si="6"/>
        <v>44268</v>
      </c>
      <c r="H800" s="72" t="str">
        <f t="shared" si="7"/>
        <v>Yes</v>
      </c>
    </row>
    <row r="801" ht="15.75" customHeight="1">
      <c r="A801" s="88">
        <f t="shared" si="8"/>
        <v>44265</v>
      </c>
      <c r="B801" s="72" t="str">
        <f t="shared" si="1"/>
        <v>20210310</v>
      </c>
      <c r="C801" s="72" t="str">
        <f t="shared" si="2"/>
        <v>Wednesday</v>
      </c>
      <c r="D801" s="72" t="str">
        <f t="shared" si="3"/>
        <v>March</v>
      </c>
      <c r="E801" s="72" t="str">
        <f t="shared" si="4"/>
        <v>Q1</v>
      </c>
      <c r="F801" s="72">
        <f t="shared" si="5"/>
        <v>2021</v>
      </c>
      <c r="G801" s="89">
        <f t="shared" si="6"/>
        <v>44268</v>
      </c>
      <c r="H801" s="72" t="str">
        <f t="shared" si="7"/>
        <v>Yes</v>
      </c>
    </row>
    <row r="802" ht="15.75" customHeight="1">
      <c r="A802" s="88">
        <f t="shared" si="8"/>
        <v>44266</v>
      </c>
      <c r="B802" s="72" t="str">
        <f t="shared" si="1"/>
        <v>20210311</v>
      </c>
      <c r="C802" s="72" t="str">
        <f t="shared" si="2"/>
        <v>Thursday</v>
      </c>
      <c r="D802" s="72" t="str">
        <f t="shared" si="3"/>
        <v>March</v>
      </c>
      <c r="E802" s="72" t="str">
        <f t="shared" si="4"/>
        <v>Q1</v>
      </c>
      <c r="F802" s="72">
        <f t="shared" si="5"/>
        <v>2021</v>
      </c>
      <c r="G802" s="89">
        <f t="shared" si="6"/>
        <v>44268</v>
      </c>
      <c r="H802" s="72" t="str">
        <f t="shared" si="7"/>
        <v>Yes</v>
      </c>
    </row>
    <row r="803" ht="15.75" customHeight="1">
      <c r="A803" s="88">
        <f t="shared" si="8"/>
        <v>44267</v>
      </c>
      <c r="B803" s="72" t="str">
        <f t="shared" si="1"/>
        <v>20210312</v>
      </c>
      <c r="C803" s="72" t="str">
        <f t="shared" si="2"/>
        <v>Friday</v>
      </c>
      <c r="D803" s="72" t="str">
        <f t="shared" si="3"/>
        <v>March</v>
      </c>
      <c r="E803" s="72" t="str">
        <f t="shared" si="4"/>
        <v>Q1</v>
      </c>
      <c r="F803" s="72">
        <f t="shared" si="5"/>
        <v>2021</v>
      </c>
      <c r="G803" s="89">
        <f t="shared" si="6"/>
        <v>44268</v>
      </c>
      <c r="H803" s="72" t="str">
        <f t="shared" si="7"/>
        <v>Yes</v>
      </c>
    </row>
    <row r="804" ht="15.75" customHeight="1">
      <c r="A804" s="88">
        <f t="shared" si="8"/>
        <v>44268</v>
      </c>
      <c r="B804" s="72" t="str">
        <f t="shared" si="1"/>
        <v>20210313</v>
      </c>
      <c r="C804" s="72" t="str">
        <f t="shared" si="2"/>
        <v>Saturday</v>
      </c>
      <c r="D804" s="72" t="str">
        <f t="shared" si="3"/>
        <v>March</v>
      </c>
      <c r="E804" s="72" t="str">
        <f t="shared" si="4"/>
        <v>Q1</v>
      </c>
      <c r="F804" s="72">
        <f t="shared" si="5"/>
        <v>2021</v>
      </c>
      <c r="G804" s="89">
        <f t="shared" si="6"/>
        <v>44268</v>
      </c>
      <c r="H804" s="72" t="str">
        <f t="shared" si="7"/>
        <v>No</v>
      </c>
    </row>
    <row r="805" ht="15.75" customHeight="1">
      <c r="A805" s="88">
        <f t="shared" si="8"/>
        <v>44269</v>
      </c>
      <c r="B805" s="72" t="str">
        <f t="shared" si="1"/>
        <v>20210314</v>
      </c>
      <c r="C805" s="72" t="str">
        <f t="shared" si="2"/>
        <v>Sunday</v>
      </c>
      <c r="D805" s="72" t="str">
        <f t="shared" si="3"/>
        <v>March</v>
      </c>
      <c r="E805" s="72" t="str">
        <f t="shared" si="4"/>
        <v>Q1</v>
      </c>
      <c r="F805" s="72">
        <f t="shared" si="5"/>
        <v>2021</v>
      </c>
      <c r="G805" s="89">
        <f t="shared" si="6"/>
        <v>44275</v>
      </c>
      <c r="H805" s="72" t="str">
        <f t="shared" si="7"/>
        <v>No</v>
      </c>
    </row>
    <row r="806" ht="15.75" customHeight="1">
      <c r="A806" s="88">
        <f t="shared" si="8"/>
        <v>44270</v>
      </c>
      <c r="B806" s="72" t="str">
        <f t="shared" si="1"/>
        <v>20210315</v>
      </c>
      <c r="C806" s="72" t="str">
        <f t="shared" si="2"/>
        <v>Monday</v>
      </c>
      <c r="D806" s="72" t="str">
        <f t="shared" si="3"/>
        <v>March</v>
      </c>
      <c r="E806" s="72" t="str">
        <f t="shared" si="4"/>
        <v>Q1</v>
      </c>
      <c r="F806" s="72">
        <f t="shared" si="5"/>
        <v>2021</v>
      </c>
      <c r="G806" s="89">
        <f t="shared" si="6"/>
        <v>44275</v>
      </c>
      <c r="H806" s="72" t="str">
        <f t="shared" si="7"/>
        <v>Yes</v>
      </c>
    </row>
    <row r="807" ht="15.75" customHeight="1">
      <c r="A807" s="88">
        <f t="shared" si="8"/>
        <v>44271</v>
      </c>
      <c r="B807" s="72" t="str">
        <f t="shared" si="1"/>
        <v>20210316</v>
      </c>
      <c r="C807" s="72" t="str">
        <f t="shared" si="2"/>
        <v>Tuesday</v>
      </c>
      <c r="D807" s="72" t="str">
        <f t="shared" si="3"/>
        <v>March</v>
      </c>
      <c r="E807" s="72" t="str">
        <f t="shared" si="4"/>
        <v>Q1</v>
      </c>
      <c r="F807" s="72">
        <f t="shared" si="5"/>
        <v>2021</v>
      </c>
      <c r="G807" s="89">
        <f t="shared" si="6"/>
        <v>44275</v>
      </c>
      <c r="H807" s="72" t="str">
        <f t="shared" si="7"/>
        <v>Yes</v>
      </c>
    </row>
    <row r="808" ht="15.75" customHeight="1">
      <c r="A808" s="88">
        <f t="shared" si="8"/>
        <v>44272</v>
      </c>
      <c r="B808" s="72" t="str">
        <f t="shared" si="1"/>
        <v>20210317</v>
      </c>
      <c r="C808" s="72" t="str">
        <f t="shared" si="2"/>
        <v>Wednesday</v>
      </c>
      <c r="D808" s="72" t="str">
        <f t="shared" si="3"/>
        <v>March</v>
      </c>
      <c r="E808" s="72" t="str">
        <f t="shared" si="4"/>
        <v>Q1</v>
      </c>
      <c r="F808" s="72">
        <f t="shared" si="5"/>
        <v>2021</v>
      </c>
      <c r="G808" s="89">
        <f t="shared" si="6"/>
        <v>44275</v>
      </c>
      <c r="H808" s="72" t="str">
        <f t="shared" si="7"/>
        <v>Yes</v>
      </c>
    </row>
    <row r="809" ht="15.75" customHeight="1">
      <c r="A809" s="88">
        <f t="shared" si="8"/>
        <v>44273</v>
      </c>
      <c r="B809" s="72" t="str">
        <f t="shared" si="1"/>
        <v>20210318</v>
      </c>
      <c r="C809" s="72" t="str">
        <f t="shared" si="2"/>
        <v>Thursday</v>
      </c>
      <c r="D809" s="72" t="str">
        <f t="shared" si="3"/>
        <v>March</v>
      </c>
      <c r="E809" s="72" t="str">
        <f t="shared" si="4"/>
        <v>Q1</v>
      </c>
      <c r="F809" s="72">
        <f t="shared" si="5"/>
        <v>2021</v>
      </c>
      <c r="G809" s="89">
        <f t="shared" si="6"/>
        <v>44275</v>
      </c>
      <c r="H809" s="72" t="str">
        <f t="shared" si="7"/>
        <v>Yes</v>
      </c>
    </row>
    <row r="810" ht="15.75" customHeight="1">
      <c r="A810" s="88">
        <f t="shared" si="8"/>
        <v>44274</v>
      </c>
      <c r="B810" s="72" t="str">
        <f t="shared" si="1"/>
        <v>20210319</v>
      </c>
      <c r="C810" s="72" t="str">
        <f t="shared" si="2"/>
        <v>Friday</v>
      </c>
      <c r="D810" s="72" t="str">
        <f t="shared" si="3"/>
        <v>March</v>
      </c>
      <c r="E810" s="72" t="str">
        <f t="shared" si="4"/>
        <v>Q1</v>
      </c>
      <c r="F810" s="72">
        <f t="shared" si="5"/>
        <v>2021</v>
      </c>
      <c r="G810" s="89">
        <f t="shared" si="6"/>
        <v>44275</v>
      </c>
      <c r="H810" s="72" t="str">
        <f t="shared" si="7"/>
        <v>Yes</v>
      </c>
    </row>
    <row r="811" ht="15.75" customHeight="1">
      <c r="A811" s="88">
        <f t="shared" si="8"/>
        <v>44275</v>
      </c>
      <c r="B811" s="72" t="str">
        <f t="shared" si="1"/>
        <v>20210320</v>
      </c>
      <c r="C811" s="72" t="str">
        <f t="shared" si="2"/>
        <v>Saturday</v>
      </c>
      <c r="D811" s="72" t="str">
        <f t="shared" si="3"/>
        <v>March</v>
      </c>
      <c r="E811" s="72" t="str">
        <f t="shared" si="4"/>
        <v>Q1</v>
      </c>
      <c r="F811" s="72">
        <f t="shared" si="5"/>
        <v>2021</v>
      </c>
      <c r="G811" s="89">
        <f t="shared" si="6"/>
        <v>44275</v>
      </c>
      <c r="H811" s="72" t="str">
        <f t="shared" si="7"/>
        <v>No</v>
      </c>
    </row>
    <row r="812" ht="15.75" customHeight="1">
      <c r="A812" s="88">
        <f t="shared" si="8"/>
        <v>44276</v>
      </c>
      <c r="B812" s="72" t="str">
        <f t="shared" si="1"/>
        <v>20210321</v>
      </c>
      <c r="C812" s="72" t="str">
        <f t="shared" si="2"/>
        <v>Sunday</v>
      </c>
      <c r="D812" s="72" t="str">
        <f t="shared" si="3"/>
        <v>March</v>
      </c>
      <c r="E812" s="72" t="str">
        <f t="shared" si="4"/>
        <v>Q1</v>
      </c>
      <c r="F812" s="72">
        <f t="shared" si="5"/>
        <v>2021</v>
      </c>
      <c r="G812" s="89">
        <f t="shared" si="6"/>
        <v>44282</v>
      </c>
      <c r="H812" s="72" t="str">
        <f t="shared" si="7"/>
        <v>No</v>
      </c>
    </row>
    <row r="813" ht="15.75" customHeight="1">
      <c r="A813" s="88">
        <f t="shared" si="8"/>
        <v>44277</v>
      </c>
      <c r="B813" s="72" t="str">
        <f t="shared" si="1"/>
        <v>20210322</v>
      </c>
      <c r="C813" s="72" t="str">
        <f t="shared" si="2"/>
        <v>Monday</v>
      </c>
      <c r="D813" s="72" t="str">
        <f t="shared" si="3"/>
        <v>March</v>
      </c>
      <c r="E813" s="72" t="str">
        <f t="shared" si="4"/>
        <v>Q1</v>
      </c>
      <c r="F813" s="72">
        <f t="shared" si="5"/>
        <v>2021</v>
      </c>
      <c r="G813" s="89">
        <f t="shared" si="6"/>
        <v>44282</v>
      </c>
      <c r="H813" s="72" t="str">
        <f t="shared" si="7"/>
        <v>Yes</v>
      </c>
    </row>
    <row r="814" ht="15.75" customHeight="1">
      <c r="A814" s="88">
        <f t="shared" si="8"/>
        <v>44278</v>
      </c>
      <c r="B814" s="72" t="str">
        <f t="shared" si="1"/>
        <v>20210323</v>
      </c>
      <c r="C814" s="72" t="str">
        <f t="shared" si="2"/>
        <v>Tuesday</v>
      </c>
      <c r="D814" s="72" t="str">
        <f t="shared" si="3"/>
        <v>March</v>
      </c>
      <c r="E814" s="72" t="str">
        <f t="shared" si="4"/>
        <v>Q1</v>
      </c>
      <c r="F814" s="72">
        <f t="shared" si="5"/>
        <v>2021</v>
      </c>
      <c r="G814" s="89">
        <f t="shared" si="6"/>
        <v>44282</v>
      </c>
      <c r="H814" s="72" t="str">
        <f t="shared" si="7"/>
        <v>Yes</v>
      </c>
    </row>
    <row r="815" ht="15.75" customHeight="1">
      <c r="A815" s="88">
        <f t="shared" si="8"/>
        <v>44279</v>
      </c>
      <c r="B815" s="72" t="str">
        <f t="shared" si="1"/>
        <v>20210324</v>
      </c>
      <c r="C815" s="72" t="str">
        <f t="shared" si="2"/>
        <v>Wednesday</v>
      </c>
      <c r="D815" s="72" t="str">
        <f t="shared" si="3"/>
        <v>March</v>
      </c>
      <c r="E815" s="72" t="str">
        <f t="shared" si="4"/>
        <v>Q1</v>
      </c>
      <c r="F815" s="72">
        <f t="shared" si="5"/>
        <v>2021</v>
      </c>
      <c r="G815" s="89">
        <f t="shared" si="6"/>
        <v>44282</v>
      </c>
      <c r="H815" s="72" t="str">
        <f t="shared" si="7"/>
        <v>Yes</v>
      </c>
    </row>
    <row r="816" ht="15.75" customHeight="1">
      <c r="A816" s="88">
        <f t="shared" si="8"/>
        <v>44280</v>
      </c>
      <c r="B816" s="72" t="str">
        <f t="shared" si="1"/>
        <v>20210325</v>
      </c>
      <c r="C816" s="72" t="str">
        <f t="shared" si="2"/>
        <v>Thursday</v>
      </c>
      <c r="D816" s="72" t="str">
        <f t="shared" si="3"/>
        <v>March</v>
      </c>
      <c r="E816" s="72" t="str">
        <f t="shared" si="4"/>
        <v>Q1</v>
      </c>
      <c r="F816" s="72">
        <f t="shared" si="5"/>
        <v>2021</v>
      </c>
      <c r="G816" s="89">
        <f t="shared" si="6"/>
        <v>44282</v>
      </c>
      <c r="H816" s="72" t="str">
        <f t="shared" si="7"/>
        <v>Yes</v>
      </c>
    </row>
    <row r="817" ht="15.75" customHeight="1">
      <c r="A817" s="88">
        <f t="shared" si="8"/>
        <v>44281</v>
      </c>
      <c r="B817" s="72" t="str">
        <f t="shared" si="1"/>
        <v>20210326</v>
      </c>
      <c r="C817" s="72" t="str">
        <f t="shared" si="2"/>
        <v>Friday</v>
      </c>
      <c r="D817" s="72" t="str">
        <f t="shared" si="3"/>
        <v>March</v>
      </c>
      <c r="E817" s="72" t="str">
        <f t="shared" si="4"/>
        <v>Q1</v>
      </c>
      <c r="F817" s="72">
        <f t="shared" si="5"/>
        <v>2021</v>
      </c>
      <c r="G817" s="89">
        <f t="shared" si="6"/>
        <v>44282</v>
      </c>
      <c r="H817" s="72" t="str">
        <f t="shared" si="7"/>
        <v>Yes</v>
      </c>
    </row>
    <row r="818" ht="15.75" customHeight="1">
      <c r="A818" s="88">
        <f t="shared" si="8"/>
        <v>44282</v>
      </c>
      <c r="B818" s="72" t="str">
        <f t="shared" si="1"/>
        <v>20210327</v>
      </c>
      <c r="C818" s="72" t="str">
        <f t="shared" si="2"/>
        <v>Saturday</v>
      </c>
      <c r="D818" s="72" t="str">
        <f t="shared" si="3"/>
        <v>March</v>
      </c>
      <c r="E818" s="72" t="str">
        <f t="shared" si="4"/>
        <v>Q1</v>
      </c>
      <c r="F818" s="72">
        <f t="shared" si="5"/>
        <v>2021</v>
      </c>
      <c r="G818" s="89">
        <f t="shared" si="6"/>
        <v>44282</v>
      </c>
      <c r="H818" s="72" t="str">
        <f t="shared" si="7"/>
        <v>No</v>
      </c>
    </row>
    <row r="819" ht="15.75" customHeight="1">
      <c r="A819" s="88">
        <f t="shared" si="8"/>
        <v>44283</v>
      </c>
      <c r="B819" s="72" t="str">
        <f t="shared" si="1"/>
        <v>20210328</v>
      </c>
      <c r="C819" s="72" t="str">
        <f t="shared" si="2"/>
        <v>Sunday</v>
      </c>
      <c r="D819" s="72" t="str">
        <f t="shared" si="3"/>
        <v>March</v>
      </c>
      <c r="E819" s="72" t="str">
        <f t="shared" si="4"/>
        <v>Q1</v>
      </c>
      <c r="F819" s="72">
        <f t="shared" si="5"/>
        <v>2021</v>
      </c>
      <c r="G819" s="89">
        <f t="shared" si="6"/>
        <v>44289</v>
      </c>
      <c r="H819" s="72" t="str">
        <f t="shared" si="7"/>
        <v>No</v>
      </c>
    </row>
    <row r="820" ht="15.75" customHeight="1">
      <c r="A820" s="88">
        <f t="shared" si="8"/>
        <v>44284</v>
      </c>
      <c r="B820" s="72" t="str">
        <f t="shared" si="1"/>
        <v>20210329</v>
      </c>
      <c r="C820" s="72" t="str">
        <f t="shared" si="2"/>
        <v>Monday</v>
      </c>
      <c r="D820" s="72" t="str">
        <f t="shared" si="3"/>
        <v>March</v>
      </c>
      <c r="E820" s="72" t="str">
        <f t="shared" si="4"/>
        <v>Q1</v>
      </c>
      <c r="F820" s="72">
        <f t="shared" si="5"/>
        <v>2021</v>
      </c>
      <c r="G820" s="89">
        <f t="shared" si="6"/>
        <v>44289</v>
      </c>
      <c r="H820" s="72" t="str">
        <f t="shared" si="7"/>
        <v>Yes</v>
      </c>
    </row>
    <row r="821" ht="15.75" customHeight="1">
      <c r="A821" s="88">
        <f t="shared" si="8"/>
        <v>44285</v>
      </c>
      <c r="B821" s="72" t="str">
        <f t="shared" si="1"/>
        <v>20210330</v>
      </c>
      <c r="C821" s="72" t="str">
        <f t="shared" si="2"/>
        <v>Tuesday</v>
      </c>
      <c r="D821" s="72" t="str">
        <f t="shared" si="3"/>
        <v>March</v>
      </c>
      <c r="E821" s="72" t="str">
        <f t="shared" si="4"/>
        <v>Q1</v>
      </c>
      <c r="F821" s="72">
        <f t="shared" si="5"/>
        <v>2021</v>
      </c>
      <c r="G821" s="89">
        <f t="shared" si="6"/>
        <v>44289</v>
      </c>
      <c r="H821" s="72" t="str">
        <f t="shared" si="7"/>
        <v>Yes</v>
      </c>
    </row>
    <row r="822" ht="15.75" customHeight="1">
      <c r="A822" s="88">
        <f t="shared" si="8"/>
        <v>44286</v>
      </c>
      <c r="B822" s="72" t="str">
        <f t="shared" si="1"/>
        <v>20210331</v>
      </c>
      <c r="C822" s="72" t="str">
        <f t="shared" si="2"/>
        <v>Wednesday</v>
      </c>
      <c r="D822" s="72" t="str">
        <f t="shared" si="3"/>
        <v>March</v>
      </c>
      <c r="E822" s="72" t="str">
        <f t="shared" si="4"/>
        <v>Q1</v>
      </c>
      <c r="F822" s="72">
        <f t="shared" si="5"/>
        <v>2021</v>
      </c>
      <c r="G822" s="89">
        <f t="shared" si="6"/>
        <v>44289</v>
      </c>
      <c r="H822" s="72" t="str">
        <f t="shared" si="7"/>
        <v>Yes</v>
      </c>
    </row>
    <row r="823" ht="15.75" customHeight="1">
      <c r="A823" s="88">
        <f t="shared" si="8"/>
        <v>44287</v>
      </c>
      <c r="B823" s="72" t="str">
        <f t="shared" si="1"/>
        <v>20210401</v>
      </c>
      <c r="C823" s="72" t="str">
        <f t="shared" si="2"/>
        <v>Thursday</v>
      </c>
      <c r="D823" s="72" t="str">
        <f t="shared" si="3"/>
        <v>April</v>
      </c>
      <c r="E823" s="72" t="str">
        <f t="shared" si="4"/>
        <v>Q2</v>
      </c>
      <c r="F823" s="72">
        <f t="shared" si="5"/>
        <v>2021</v>
      </c>
      <c r="G823" s="89">
        <f t="shared" si="6"/>
        <v>44289</v>
      </c>
      <c r="H823" s="72" t="str">
        <f t="shared" si="7"/>
        <v>Yes</v>
      </c>
    </row>
    <row r="824" ht="15.75" customHeight="1">
      <c r="A824" s="88">
        <f t="shared" si="8"/>
        <v>44288</v>
      </c>
      <c r="B824" s="72" t="str">
        <f t="shared" si="1"/>
        <v>20210402</v>
      </c>
      <c r="C824" s="72" t="str">
        <f t="shared" si="2"/>
        <v>Friday</v>
      </c>
      <c r="D824" s="72" t="str">
        <f t="shared" si="3"/>
        <v>April</v>
      </c>
      <c r="E824" s="72" t="str">
        <f t="shared" si="4"/>
        <v>Q2</v>
      </c>
      <c r="F824" s="72">
        <f t="shared" si="5"/>
        <v>2021</v>
      </c>
      <c r="G824" s="89">
        <f t="shared" si="6"/>
        <v>44289</v>
      </c>
      <c r="H824" s="72" t="str">
        <f t="shared" si="7"/>
        <v>Yes</v>
      </c>
    </row>
    <row r="825" ht="15.75" customHeight="1">
      <c r="A825" s="88">
        <f t="shared" si="8"/>
        <v>44289</v>
      </c>
      <c r="B825" s="72" t="str">
        <f t="shared" si="1"/>
        <v>20210403</v>
      </c>
      <c r="C825" s="72" t="str">
        <f t="shared" si="2"/>
        <v>Saturday</v>
      </c>
      <c r="D825" s="72" t="str">
        <f t="shared" si="3"/>
        <v>April</v>
      </c>
      <c r="E825" s="72" t="str">
        <f t="shared" si="4"/>
        <v>Q2</v>
      </c>
      <c r="F825" s="72">
        <f t="shared" si="5"/>
        <v>2021</v>
      </c>
      <c r="G825" s="89">
        <f t="shared" si="6"/>
        <v>44289</v>
      </c>
      <c r="H825" s="72" t="str">
        <f t="shared" si="7"/>
        <v>No</v>
      </c>
    </row>
    <row r="826" ht="15.75" customHeight="1">
      <c r="A826" s="88">
        <f t="shared" si="8"/>
        <v>44290</v>
      </c>
      <c r="B826" s="72" t="str">
        <f t="shared" si="1"/>
        <v>20210404</v>
      </c>
      <c r="C826" s="72" t="str">
        <f t="shared" si="2"/>
        <v>Sunday</v>
      </c>
      <c r="D826" s="72" t="str">
        <f t="shared" si="3"/>
        <v>April</v>
      </c>
      <c r="E826" s="72" t="str">
        <f t="shared" si="4"/>
        <v>Q2</v>
      </c>
      <c r="F826" s="72">
        <f t="shared" si="5"/>
        <v>2021</v>
      </c>
      <c r="G826" s="89">
        <f t="shared" si="6"/>
        <v>44296</v>
      </c>
      <c r="H826" s="72" t="str">
        <f t="shared" si="7"/>
        <v>No</v>
      </c>
    </row>
    <row r="827" ht="15.75" customHeight="1">
      <c r="A827" s="88">
        <f t="shared" si="8"/>
        <v>44291</v>
      </c>
      <c r="B827" s="72" t="str">
        <f t="shared" si="1"/>
        <v>20210405</v>
      </c>
      <c r="C827" s="72" t="str">
        <f t="shared" si="2"/>
        <v>Monday</v>
      </c>
      <c r="D827" s="72" t="str">
        <f t="shared" si="3"/>
        <v>April</v>
      </c>
      <c r="E827" s="72" t="str">
        <f t="shared" si="4"/>
        <v>Q2</v>
      </c>
      <c r="F827" s="72">
        <f t="shared" si="5"/>
        <v>2021</v>
      </c>
      <c r="G827" s="89">
        <f t="shared" si="6"/>
        <v>44296</v>
      </c>
      <c r="H827" s="72" t="str">
        <f t="shared" si="7"/>
        <v>Yes</v>
      </c>
    </row>
    <row r="828" ht="15.75" customHeight="1">
      <c r="A828" s="88">
        <f t="shared" si="8"/>
        <v>44292</v>
      </c>
      <c r="B828" s="72" t="str">
        <f t="shared" si="1"/>
        <v>20210406</v>
      </c>
      <c r="C828" s="72" t="str">
        <f t="shared" si="2"/>
        <v>Tuesday</v>
      </c>
      <c r="D828" s="72" t="str">
        <f t="shared" si="3"/>
        <v>April</v>
      </c>
      <c r="E828" s="72" t="str">
        <f t="shared" si="4"/>
        <v>Q2</v>
      </c>
      <c r="F828" s="72">
        <f t="shared" si="5"/>
        <v>2021</v>
      </c>
      <c r="G828" s="89">
        <f t="shared" si="6"/>
        <v>44296</v>
      </c>
      <c r="H828" s="72" t="str">
        <f t="shared" si="7"/>
        <v>Yes</v>
      </c>
    </row>
    <row r="829" ht="15.75" customHeight="1">
      <c r="A829" s="88">
        <f t="shared" si="8"/>
        <v>44293</v>
      </c>
      <c r="B829" s="72" t="str">
        <f t="shared" si="1"/>
        <v>20210407</v>
      </c>
      <c r="C829" s="72" t="str">
        <f t="shared" si="2"/>
        <v>Wednesday</v>
      </c>
      <c r="D829" s="72" t="str">
        <f t="shared" si="3"/>
        <v>April</v>
      </c>
      <c r="E829" s="72" t="str">
        <f t="shared" si="4"/>
        <v>Q2</v>
      </c>
      <c r="F829" s="72">
        <f t="shared" si="5"/>
        <v>2021</v>
      </c>
      <c r="G829" s="89">
        <f t="shared" si="6"/>
        <v>44296</v>
      </c>
      <c r="H829" s="72" t="str">
        <f t="shared" si="7"/>
        <v>Yes</v>
      </c>
    </row>
    <row r="830" ht="15.75" customHeight="1">
      <c r="A830" s="88">
        <f t="shared" si="8"/>
        <v>44294</v>
      </c>
      <c r="B830" s="72" t="str">
        <f t="shared" si="1"/>
        <v>20210408</v>
      </c>
      <c r="C830" s="72" t="str">
        <f t="shared" si="2"/>
        <v>Thursday</v>
      </c>
      <c r="D830" s="72" t="str">
        <f t="shared" si="3"/>
        <v>April</v>
      </c>
      <c r="E830" s="72" t="str">
        <f t="shared" si="4"/>
        <v>Q2</v>
      </c>
      <c r="F830" s="72">
        <f t="shared" si="5"/>
        <v>2021</v>
      </c>
      <c r="G830" s="89">
        <f t="shared" si="6"/>
        <v>44296</v>
      </c>
      <c r="H830" s="72" t="str">
        <f t="shared" si="7"/>
        <v>Yes</v>
      </c>
    </row>
    <row r="831" ht="15.75" customHeight="1">
      <c r="A831" s="88">
        <f t="shared" si="8"/>
        <v>44295</v>
      </c>
      <c r="B831" s="72" t="str">
        <f t="shared" si="1"/>
        <v>20210409</v>
      </c>
      <c r="C831" s="72" t="str">
        <f t="shared" si="2"/>
        <v>Friday</v>
      </c>
      <c r="D831" s="72" t="str">
        <f t="shared" si="3"/>
        <v>April</v>
      </c>
      <c r="E831" s="72" t="str">
        <f t="shared" si="4"/>
        <v>Q2</v>
      </c>
      <c r="F831" s="72">
        <f t="shared" si="5"/>
        <v>2021</v>
      </c>
      <c r="G831" s="89">
        <f t="shared" si="6"/>
        <v>44296</v>
      </c>
      <c r="H831" s="72" t="str">
        <f t="shared" si="7"/>
        <v>Yes</v>
      </c>
    </row>
    <row r="832" ht="15.75" customHeight="1">
      <c r="A832" s="88">
        <f t="shared" si="8"/>
        <v>44296</v>
      </c>
      <c r="B832" s="72" t="str">
        <f t="shared" si="1"/>
        <v>20210410</v>
      </c>
      <c r="C832" s="72" t="str">
        <f t="shared" si="2"/>
        <v>Saturday</v>
      </c>
      <c r="D832" s="72" t="str">
        <f t="shared" si="3"/>
        <v>April</v>
      </c>
      <c r="E832" s="72" t="str">
        <f t="shared" si="4"/>
        <v>Q2</v>
      </c>
      <c r="F832" s="72">
        <f t="shared" si="5"/>
        <v>2021</v>
      </c>
      <c r="G832" s="89">
        <f t="shared" si="6"/>
        <v>44296</v>
      </c>
      <c r="H832" s="72" t="str">
        <f t="shared" si="7"/>
        <v>No</v>
      </c>
    </row>
    <row r="833" ht="15.75" customHeight="1">
      <c r="A833" s="88">
        <f t="shared" si="8"/>
        <v>44297</v>
      </c>
      <c r="B833" s="72" t="str">
        <f t="shared" si="1"/>
        <v>20210411</v>
      </c>
      <c r="C833" s="72" t="str">
        <f t="shared" si="2"/>
        <v>Sunday</v>
      </c>
      <c r="D833" s="72" t="str">
        <f t="shared" si="3"/>
        <v>April</v>
      </c>
      <c r="E833" s="72" t="str">
        <f t="shared" si="4"/>
        <v>Q2</v>
      </c>
      <c r="F833" s="72">
        <f t="shared" si="5"/>
        <v>2021</v>
      </c>
      <c r="G833" s="89">
        <f t="shared" si="6"/>
        <v>44303</v>
      </c>
      <c r="H833" s="72" t="str">
        <f t="shared" si="7"/>
        <v>No</v>
      </c>
    </row>
    <row r="834" ht="15.75" customHeight="1">
      <c r="A834" s="88">
        <f t="shared" si="8"/>
        <v>44298</v>
      </c>
      <c r="B834" s="72" t="str">
        <f t="shared" si="1"/>
        <v>20210412</v>
      </c>
      <c r="C834" s="72" t="str">
        <f t="shared" si="2"/>
        <v>Monday</v>
      </c>
      <c r="D834" s="72" t="str">
        <f t="shared" si="3"/>
        <v>April</v>
      </c>
      <c r="E834" s="72" t="str">
        <f t="shared" si="4"/>
        <v>Q2</v>
      </c>
      <c r="F834" s="72">
        <f t="shared" si="5"/>
        <v>2021</v>
      </c>
      <c r="G834" s="89">
        <f t="shared" si="6"/>
        <v>44303</v>
      </c>
      <c r="H834" s="72" t="str">
        <f t="shared" si="7"/>
        <v>Yes</v>
      </c>
    </row>
    <row r="835" ht="15.75" customHeight="1">
      <c r="A835" s="88">
        <f t="shared" si="8"/>
        <v>44299</v>
      </c>
      <c r="B835" s="72" t="str">
        <f t="shared" si="1"/>
        <v>20210413</v>
      </c>
      <c r="C835" s="72" t="str">
        <f t="shared" si="2"/>
        <v>Tuesday</v>
      </c>
      <c r="D835" s="72" t="str">
        <f t="shared" si="3"/>
        <v>April</v>
      </c>
      <c r="E835" s="72" t="str">
        <f t="shared" si="4"/>
        <v>Q2</v>
      </c>
      <c r="F835" s="72">
        <f t="shared" si="5"/>
        <v>2021</v>
      </c>
      <c r="G835" s="89">
        <f t="shared" si="6"/>
        <v>44303</v>
      </c>
      <c r="H835" s="72" t="str">
        <f t="shared" si="7"/>
        <v>Yes</v>
      </c>
    </row>
    <row r="836" ht="15.75" customHeight="1">
      <c r="A836" s="88">
        <f t="shared" si="8"/>
        <v>44300</v>
      </c>
      <c r="B836" s="72" t="str">
        <f t="shared" si="1"/>
        <v>20210414</v>
      </c>
      <c r="C836" s="72" t="str">
        <f t="shared" si="2"/>
        <v>Wednesday</v>
      </c>
      <c r="D836" s="72" t="str">
        <f t="shared" si="3"/>
        <v>April</v>
      </c>
      <c r="E836" s="72" t="str">
        <f t="shared" si="4"/>
        <v>Q2</v>
      </c>
      <c r="F836" s="72">
        <f t="shared" si="5"/>
        <v>2021</v>
      </c>
      <c r="G836" s="89">
        <f t="shared" si="6"/>
        <v>44303</v>
      </c>
      <c r="H836" s="72" t="str">
        <f t="shared" si="7"/>
        <v>Yes</v>
      </c>
    </row>
    <row r="837" ht="15.75" customHeight="1">
      <c r="A837" s="88">
        <f t="shared" si="8"/>
        <v>44301</v>
      </c>
      <c r="B837" s="72" t="str">
        <f t="shared" si="1"/>
        <v>20210415</v>
      </c>
      <c r="C837" s="72" t="str">
        <f t="shared" si="2"/>
        <v>Thursday</v>
      </c>
      <c r="D837" s="72" t="str">
        <f t="shared" si="3"/>
        <v>April</v>
      </c>
      <c r="E837" s="72" t="str">
        <f t="shared" si="4"/>
        <v>Q2</v>
      </c>
      <c r="F837" s="72">
        <f t="shared" si="5"/>
        <v>2021</v>
      </c>
      <c r="G837" s="89">
        <f t="shared" si="6"/>
        <v>44303</v>
      </c>
      <c r="H837" s="72" t="str">
        <f t="shared" si="7"/>
        <v>Yes</v>
      </c>
    </row>
    <row r="838" ht="15.75" customHeight="1">
      <c r="A838" s="88">
        <f t="shared" si="8"/>
        <v>44302</v>
      </c>
      <c r="B838" s="72" t="str">
        <f t="shared" si="1"/>
        <v>20210416</v>
      </c>
      <c r="C838" s="72" t="str">
        <f t="shared" si="2"/>
        <v>Friday</v>
      </c>
      <c r="D838" s="72" t="str">
        <f t="shared" si="3"/>
        <v>April</v>
      </c>
      <c r="E838" s="72" t="str">
        <f t="shared" si="4"/>
        <v>Q2</v>
      </c>
      <c r="F838" s="72">
        <f t="shared" si="5"/>
        <v>2021</v>
      </c>
      <c r="G838" s="89">
        <f t="shared" si="6"/>
        <v>44303</v>
      </c>
      <c r="H838" s="72" t="str">
        <f t="shared" si="7"/>
        <v>Yes</v>
      </c>
    </row>
    <row r="839" ht="15.75" customHeight="1">
      <c r="A839" s="88">
        <f t="shared" si="8"/>
        <v>44303</v>
      </c>
      <c r="B839" s="72" t="str">
        <f t="shared" si="1"/>
        <v>20210417</v>
      </c>
      <c r="C839" s="72" t="str">
        <f t="shared" si="2"/>
        <v>Saturday</v>
      </c>
      <c r="D839" s="72" t="str">
        <f t="shared" si="3"/>
        <v>April</v>
      </c>
      <c r="E839" s="72" t="str">
        <f t="shared" si="4"/>
        <v>Q2</v>
      </c>
      <c r="F839" s="72">
        <f t="shared" si="5"/>
        <v>2021</v>
      </c>
      <c r="G839" s="89">
        <f t="shared" si="6"/>
        <v>44303</v>
      </c>
      <c r="H839" s="72" t="str">
        <f t="shared" si="7"/>
        <v>No</v>
      </c>
    </row>
    <row r="840" ht="15.75" customHeight="1">
      <c r="A840" s="88">
        <f t="shared" si="8"/>
        <v>44304</v>
      </c>
      <c r="B840" s="72" t="str">
        <f t="shared" si="1"/>
        <v>20210418</v>
      </c>
      <c r="C840" s="72" t="str">
        <f t="shared" si="2"/>
        <v>Sunday</v>
      </c>
      <c r="D840" s="72" t="str">
        <f t="shared" si="3"/>
        <v>April</v>
      </c>
      <c r="E840" s="72" t="str">
        <f t="shared" si="4"/>
        <v>Q2</v>
      </c>
      <c r="F840" s="72">
        <f t="shared" si="5"/>
        <v>2021</v>
      </c>
      <c r="G840" s="89">
        <f t="shared" si="6"/>
        <v>44310</v>
      </c>
      <c r="H840" s="72" t="str">
        <f t="shared" si="7"/>
        <v>No</v>
      </c>
    </row>
    <row r="841" ht="15.75" customHeight="1">
      <c r="A841" s="88">
        <f t="shared" si="8"/>
        <v>44305</v>
      </c>
      <c r="B841" s="72" t="str">
        <f t="shared" si="1"/>
        <v>20210419</v>
      </c>
      <c r="C841" s="72" t="str">
        <f t="shared" si="2"/>
        <v>Monday</v>
      </c>
      <c r="D841" s="72" t="str">
        <f t="shared" si="3"/>
        <v>April</v>
      </c>
      <c r="E841" s="72" t="str">
        <f t="shared" si="4"/>
        <v>Q2</v>
      </c>
      <c r="F841" s="72">
        <f t="shared" si="5"/>
        <v>2021</v>
      </c>
      <c r="G841" s="89">
        <f t="shared" si="6"/>
        <v>44310</v>
      </c>
      <c r="H841" s="72" t="str">
        <f t="shared" si="7"/>
        <v>Yes</v>
      </c>
    </row>
    <row r="842" ht="15.75" customHeight="1">
      <c r="A842" s="88">
        <f t="shared" si="8"/>
        <v>44306</v>
      </c>
      <c r="B842" s="72" t="str">
        <f t="shared" si="1"/>
        <v>20210420</v>
      </c>
      <c r="C842" s="72" t="str">
        <f t="shared" si="2"/>
        <v>Tuesday</v>
      </c>
      <c r="D842" s="72" t="str">
        <f t="shared" si="3"/>
        <v>April</v>
      </c>
      <c r="E842" s="72" t="str">
        <f t="shared" si="4"/>
        <v>Q2</v>
      </c>
      <c r="F842" s="72">
        <f t="shared" si="5"/>
        <v>2021</v>
      </c>
      <c r="G842" s="89">
        <f t="shared" si="6"/>
        <v>44310</v>
      </c>
      <c r="H842" s="72" t="str">
        <f t="shared" si="7"/>
        <v>Yes</v>
      </c>
    </row>
    <row r="843" ht="15.75" customHeight="1">
      <c r="A843" s="88">
        <f t="shared" si="8"/>
        <v>44307</v>
      </c>
      <c r="B843" s="72" t="str">
        <f t="shared" si="1"/>
        <v>20210421</v>
      </c>
      <c r="C843" s="72" t="str">
        <f t="shared" si="2"/>
        <v>Wednesday</v>
      </c>
      <c r="D843" s="72" t="str">
        <f t="shared" si="3"/>
        <v>April</v>
      </c>
      <c r="E843" s="72" t="str">
        <f t="shared" si="4"/>
        <v>Q2</v>
      </c>
      <c r="F843" s="72">
        <f t="shared" si="5"/>
        <v>2021</v>
      </c>
      <c r="G843" s="89">
        <f t="shared" si="6"/>
        <v>44310</v>
      </c>
      <c r="H843" s="72" t="str">
        <f t="shared" si="7"/>
        <v>Yes</v>
      </c>
    </row>
    <row r="844" ht="15.75" customHeight="1">
      <c r="A844" s="88">
        <f t="shared" si="8"/>
        <v>44308</v>
      </c>
      <c r="B844" s="72" t="str">
        <f t="shared" si="1"/>
        <v>20210422</v>
      </c>
      <c r="C844" s="72" t="str">
        <f t="shared" si="2"/>
        <v>Thursday</v>
      </c>
      <c r="D844" s="72" t="str">
        <f t="shared" si="3"/>
        <v>April</v>
      </c>
      <c r="E844" s="72" t="str">
        <f t="shared" si="4"/>
        <v>Q2</v>
      </c>
      <c r="F844" s="72">
        <f t="shared" si="5"/>
        <v>2021</v>
      </c>
      <c r="G844" s="89">
        <f t="shared" si="6"/>
        <v>44310</v>
      </c>
      <c r="H844" s="72" t="str">
        <f t="shared" si="7"/>
        <v>Yes</v>
      </c>
    </row>
    <row r="845" ht="15.75" customHeight="1">
      <c r="A845" s="88">
        <f t="shared" si="8"/>
        <v>44309</v>
      </c>
      <c r="B845" s="72" t="str">
        <f t="shared" si="1"/>
        <v>20210423</v>
      </c>
      <c r="C845" s="72" t="str">
        <f t="shared" si="2"/>
        <v>Friday</v>
      </c>
      <c r="D845" s="72" t="str">
        <f t="shared" si="3"/>
        <v>April</v>
      </c>
      <c r="E845" s="72" t="str">
        <f t="shared" si="4"/>
        <v>Q2</v>
      </c>
      <c r="F845" s="72">
        <f t="shared" si="5"/>
        <v>2021</v>
      </c>
      <c r="G845" s="89">
        <f t="shared" si="6"/>
        <v>44310</v>
      </c>
      <c r="H845" s="72" t="str">
        <f t="shared" si="7"/>
        <v>Yes</v>
      </c>
    </row>
    <row r="846" ht="15.75" customHeight="1">
      <c r="A846" s="88">
        <f t="shared" si="8"/>
        <v>44310</v>
      </c>
      <c r="B846" s="72" t="str">
        <f t="shared" si="1"/>
        <v>20210424</v>
      </c>
      <c r="C846" s="72" t="str">
        <f t="shared" si="2"/>
        <v>Saturday</v>
      </c>
      <c r="D846" s="72" t="str">
        <f t="shared" si="3"/>
        <v>April</v>
      </c>
      <c r="E846" s="72" t="str">
        <f t="shared" si="4"/>
        <v>Q2</v>
      </c>
      <c r="F846" s="72">
        <f t="shared" si="5"/>
        <v>2021</v>
      </c>
      <c r="G846" s="89">
        <f t="shared" si="6"/>
        <v>44310</v>
      </c>
      <c r="H846" s="72" t="str">
        <f t="shared" si="7"/>
        <v>No</v>
      </c>
    </row>
    <row r="847" ht="15.75" customHeight="1">
      <c r="A847" s="88">
        <f t="shared" si="8"/>
        <v>44311</v>
      </c>
      <c r="B847" s="72" t="str">
        <f t="shared" si="1"/>
        <v>20210425</v>
      </c>
      <c r="C847" s="72" t="str">
        <f t="shared" si="2"/>
        <v>Sunday</v>
      </c>
      <c r="D847" s="72" t="str">
        <f t="shared" si="3"/>
        <v>April</v>
      </c>
      <c r="E847" s="72" t="str">
        <f t="shared" si="4"/>
        <v>Q2</v>
      </c>
      <c r="F847" s="72">
        <f t="shared" si="5"/>
        <v>2021</v>
      </c>
      <c r="G847" s="89">
        <f t="shared" si="6"/>
        <v>44317</v>
      </c>
      <c r="H847" s="72" t="str">
        <f t="shared" si="7"/>
        <v>No</v>
      </c>
    </row>
    <row r="848" ht="15.75" customHeight="1">
      <c r="A848" s="88">
        <f t="shared" si="8"/>
        <v>44312</v>
      </c>
      <c r="B848" s="72" t="str">
        <f t="shared" si="1"/>
        <v>20210426</v>
      </c>
      <c r="C848" s="72" t="str">
        <f t="shared" si="2"/>
        <v>Monday</v>
      </c>
      <c r="D848" s="72" t="str">
        <f t="shared" si="3"/>
        <v>April</v>
      </c>
      <c r="E848" s="72" t="str">
        <f t="shared" si="4"/>
        <v>Q2</v>
      </c>
      <c r="F848" s="72">
        <f t="shared" si="5"/>
        <v>2021</v>
      </c>
      <c r="G848" s="89">
        <f t="shared" si="6"/>
        <v>44317</v>
      </c>
      <c r="H848" s="72" t="str">
        <f t="shared" si="7"/>
        <v>Yes</v>
      </c>
    </row>
    <row r="849" ht="15.75" customHeight="1">
      <c r="A849" s="88">
        <f t="shared" si="8"/>
        <v>44313</v>
      </c>
      <c r="B849" s="72" t="str">
        <f t="shared" si="1"/>
        <v>20210427</v>
      </c>
      <c r="C849" s="72" t="str">
        <f t="shared" si="2"/>
        <v>Tuesday</v>
      </c>
      <c r="D849" s="72" t="str">
        <f t="shared" si="3"/>
        <v>April</v>
      </c>
      <c r="E849" s="72" t="str">
        <f t="shared" si="4"/>
        <v>Q2</v>
      </c>
      <c r="F849" s="72">
        <f t="shared" si="5"/>
        <v>2021</v>
      </c>
      <c r="G849" s="89">
        <f t="shared" si="6"/>
        <v>44317</v>
      </c>
      <c r="H849" s="72" t="str">
        <f t="shared" si="7"/>
        <v>Yes</v>
      </c>
    </row>
    <row r="850" ht="15.75" customHeight="1">
      <c r="A850" s="88">
        <f t="shared" si="8"/>
        <v>44314</v>
      </c>
      <c r="B850" s="72" t="str">
        <f t="shared" si="1"/>
        <v>20210428</v>
      </c>
      <c r="C850" s="72" t="str">
        <f t="shared" si="2"/>
        <v>Wednesday</v>
      </c>
      <c r="D850" s="72" t="str">
        <f t="shared" si="3"/>
        <v>April</v>
      </c>
      <c r="E850" s="72" t="str">
        <f t="shared" si="4"/>
        <v>Q2</v>
      </c>
      <c r="F850" s="72">
        <f t="shared" si="5"/>
        <v>2021</v>
      </c>
      <c r="G850" s="89">
        <f t="shared" si="6"/>
        <v>44317</v>
      </c>
      <c r="H850" s="72" t="str">
        <f t="shared" si="7"/>
        <v>Yes</v>
      </c>
    </row>
    <row r="851" ht="15.75" customHeight="1">
      <c r="A851" s="88">
        <f t="shared" si="8"/>
        <v>44315</v>
      </c>
      <c r="B851" s="72" t="str">
        <f t="shared" si="1"/>
        <v>20210429</v>
      </c>
      <c r="C851" s="72" t="str">
        <f t="shared" si="2"/>
        <v>Thursday</v>
      </c>
      <c r="D851" s="72" t="str">
        <f t="shared" si="3"/>
        <v>April</v>
      </c>
      <c r="E851" s="72" t="str">
        <f t="shared" si="4"/>
        <v>Q2</v>
      </c>
      <c r="F851" s="72">
        <f t="shared" si="5"/>
        <v>2021</v>
      </c>
      <c r="G851" s="89">
        <f t="shared" si="6"/>
        <v>44317</v>
      </c>
      <c r="H851" s="72" t="str">
        <f t="shared" si="7"/>
        <v>Yes</v>
      </c>
    </row>
    <row r="852" ht="15.75" customHeight="1">
      <c r="A852" s="88">
        <f t="shared" si="8"/>
        <v>44316</v>
      </c>
      <c r="B852" s="72" t="str">
        <f t="shared" si="1"/>
        <v>20210430</v>
      </c>
      <c r="C852" s="72" t="str">
        <f t="shared" si="2"/>
        <v>Friday</v>
      </c>
      <c r="D852" s="72" t="str">
        <f t="shared" si="3"/>
        <v>April</v>
      </c>
      <c r="E852" s="72" t="str">
        <f t="shared" si="4"/>
        <v>Q2</v>
      </c>
      <c r="F852" s="72">
        <f t="shared" si="5"/>
        <v>2021</v>
      </c>
      <c r="G852" s="89">
        <f t="shared" si="6"/>
        <v>44317</v>
      </c>
      <c r="H852" s="72" t="str">
        <f t="shared" si="7"/>
        <v>Yes</v>
      </c>
    </row>
    <row r="853" ht="15.75" customHeight="1">
      <c r="A853" s="88">
        <f t="shared" si="8"/>
        <v>44317</v>
      </c>
      <c r="B853" s="72" t="str">
        <f t="shared" si="1"/>
        <v>20210501</v>
      </c>
      <c r="C853" s="72" t="str">
        <f t="shared" si="2"/>
        <v>Saturday</v>
      </c>
      <c r="D853" s="72" t="str">
        <f t="shared" si="3"/>
        <v>May</v>
      </c>
      <c r="E853" s="72" t="str">
        <f t="shared" si="4"/>
        <v>Q2</v>
      </c>
      <c r="F853" s="72">
        <f t="shared" si="5"/>
        <v>2021</v>
      </c>
      <c r="G853" s="89">
        <f t="shared" si="6"/>
        <v>44317</v>
      </c>
      <c r="H853" s="72" t="str">
        <f t="shared" si="7"/>
        <v>No</v>
      </c>
    </row>
    <row r="854" ht="15.75" customHeight="1">
      <c r="A854" s="88">
        <f t="shared" si="8"/>
        <v>44318</v>
      </c>
      <c r="B854" s="72" t="str">
        <f t="shared" si="1"/>
        <v>20210502</v>
      </c>
      <c r="C854" s="72" t="str">
        <f t="shared" si="2"/>
        <v>Sunday</v>
      </c>
      <c r="D854" s="72" t="str">
        <f t="shared" si="3"/>
        <v>May</v>
      </c>
      <c r="E854" s="72" t="str">
        <f t="shared" si="4"/>
        <v>Q2</v>
      </c>
      <c r="F854" s="72">
        <f t="shared" si="5"/>
        <v>2021</v>
      </c>
      <c r="G854" s="89">
        <f t="shared" si="6"/>
        <v>44324</v>
      </c>
      <c r="H854" s="72" t="str">
        <f t="shared" si="7"/>
        <v>No</v>
      </c>
    </row>
    <row r="855" ht="15.75" customHeight="1">
      <c r="A855" s="88">
        <f t="shared" si="8"/>
        <v>44319</v>
      </c>
      <c r="B855" s="72" t="str">
        <f t="shared" si="1"/>
        <v>20210503</v>
      </c>
      <c r="C855" s="72" t="str">
        <f t="shared" si="2"/>
        <v>Monday</v>
      </c>
      <c r="D855" s="72" t="str">
        <f t="shared" si="3"/>
        <v>May</v>
      </c>
      <c r="E855" s="72" t="str">
        <f t="shared" si="4"/>
        <v>Q2</v>
      </c>
      <c r="F855" s="72">
        <f t="shared" si="5"/>
        <v>2021</v>
      </c>
      <c r="G855" s="89">
        <f t="shared" si="6"/>
        <v>44324</v>
      </c>
      <c r="H855" s="72" t="str">
        <f t="shared" si="7"/>
        <v>Yes</v>
      </c>
    </row>
    <row r="856" ht="15.75" customHeight="1">
      <c r="A856" s="88">
        <f t="shared" si="8"/>
        <v>44320</v>
      </c>
      <c r="B856" s="72" t="str">
        <f t="shared" si="1"/>
        <v>20210504</v>
      </c>
      <c r="C856" s="72" t="str">
        <f t="shared" si="2"/>
        <v>Tuesday</v>
      </c>
      <c r="D856" s="72" t="str">
        <f t="shared" si="3"/>
        <v>May</v>
      </c>
      <c r="E856" s="72" t="str">
        <f t="shared" si="4"/>
        <v>Q2</v>
      </c>
      <c r="F856" s="72">
        <f t="shared" si="5"/>
        <v>2021</v>
      </c>
      <c r="G856" s="89">
        <f t="shared" si="6"/>
        <v>44324</v>
      </c>
      <c r="H856" s="72" t="str">
        <f t="shared" si="7"/>
        <v>Yes</v>
      </c>
    </row>
    <row r="857" ht="15.75" customHeight="1">
      <c r="A857" s="88">
        <f t="shared" si="8"/>
        <v>44321</v>
      </c>
      <c r="B857" s="72" t="str">
        <f t="shared" si="1"/>
        <v>20210505</v>
      </c>
      <c r="C857" s="72" t="str">
        <f t="shared" si="2"/>
        <v>Wednesday</v>
      </c>
      <c r="D857" s="72" t="str">
        <f t="shared" si="3"/>
        <v>May</v>
      </c>
      <c r="E857" s="72" t="str">
        <f t="shared" si="4"/>
        <v>Q2</v>
      </c>
      <c r="F857" s="72">
        <f t="shared" si="5"/>
        <v>2021</v>
      </c>
      <c r="G857" s="89">
        <f t="shared" si="6"/>
        <v>44324</v>
      </c>
      <c r="H857" s="72" t="str">
        <f t="shared" si="7"/>
        <v>Yes</v>
      </c>
    </row>
    <row r="858" ht="15.75" customHeight="1">
      <c r="A858" s="88">
        <f t="shared" si="8"/>
        <v>44322</v>
      </c>
      <c r="B858" s="72" t="str">
        <f t="shared" si="1"/>
        <v>20210506</v>
      </c>
      <c r="C858" s="72" t="str">
        <f t="shared" si="2"/>
        <v>Thursday</v>
      </c>
      <c r="D858" s="72" t="str">
        <f t="shared" si="3"/>
        <v>May</v>
      </c>
      <c r="E858" s="72" t="str">
        <f t="shared" si="4"/>
        <v>Q2</v>
      </c>
      <c r="F858" s="72">
        <f t="shared" si="5"/>
        <v>2021</v>
      </c>
      <c r="G858" s="89">
        <f t="shared" si="6"/>
        <v>44324</v>
      </c>
      <c r="H858" s="72" t="str">
        <f t="shared" si="7"/>
        <v>Yes</v>
      </c>
    </row>
    <row r="859" ht="15.75" customHeight="1">
      <c r="A859" s="88">
        <f t="shared" si="8"/>
        <v>44323</v>
      </c>
      <c r="B859" s="72" t="str">
        <f t="shared" si="1"/>
        <v>20210507</v>
      </c>
      <c r="C859" s="72" t="str">
        <f t="shared" si="2"/>
        <v>Friday</v>
      </c>
      <c r="D859" s="72" t="str">
        <f t="shared" si="3"/>
        <v>May</v>
      </c>
      <c r="E859" s="72" t="str">
        <f t="shared" si="4"/>
        <v>Q2</v>
      </c>
      <c r="F859" s="72">
        <f t="shared" si="5"/>
        <v>2021</v>
      </c>
      <c r="G859" s="89">
        <f t="shared" si="6"/>
        <v>44324</v>
      </c>
      <c r="H859" s="72" t="str">
        <f t="shared" si="7"/>
        <v>Yes</v>
      </c>
    </row>
    <row r="860" ht="15.75" customHeight="1">
      <c r="A860" s="88">
        <f t="shared" si="8"/>
        <v>44324</v>
      </c>
      <c r="B860" s="72" t="str">
        <f t="shared" si="1"/>
        <v>20210508</v>
      </c>
      <c r="C860" s="72" t="str">
        <f t="shared" si="2"/>
        <v>Saturday</v>
      </c>
      <c r="D860" s="72" t="str">
        <f t="shared" si="3"/>
        <v>May</v>
      </c>
      <c r="E860" s="72" t="str">
        <f t="shared" si="4"/>
        <v>Q2</v>
      </c>
      <c r="F860" s="72">
        <f t="shared" si="5"/>
        <v>2021</v>
      </c>
      <c r="G860" s="89">
        <f t="shared" si="6"/>
        <v>44324</v>
      </c>
      <c r="H860" s="72" t="str">
        <f t="shared" si="7"/>
        <v>No</v>
      </c>
    </row>
    <row r="861" ht="15.75" customHeight="1">
      <c r="A861" s="88">
        <f t="shared" si="8"/>
        <v>44325</v>
      </c>
      <c r="B861" s="72" t="str">
        <f t="shared" si="1"/>
        <v>20210509</v>
      </c>
      <c r="C861" s="72" t="str">
        <f t="shared" si="2"/>
        <v>Sunday</v>
      </c>
      <c r="D861" s="72" t="str">
        <f t="shared" si="3"/>
        <v>May</v>
      </c>
      <c r="E861" s="72" t="str">
        <f t="shared" si="4"/>
        <v>Q2</v>
      </c>
      <c r="F861" s="72">
        <f t="shared" si="5"/>
        <v>2021</v>
      </c>
      <c r="G861" s="89">
        <f t="shared" si="6"/>
        <v>44331</v>
      </c>
      <c r="H861" s="72" t="str">
        <f t="shared" si="7"/>
        <v>No</v>
      </c>
    </row>
    <row r="862" ht="15.75" customHeight="1">
      <c r="A862" s="88">
        <f t="shared" si="8"/>
        <v>44326</v>
      </c>
      <c r="B862" s="72" t="str">
        <f t="shared" si="1"/>
        <v>20210510</v>
      </c>
      <c r="C862" s="72" t="str">
        <f t="shared" si="2"/>
        <v>Monday</v>
      </c>
      <c r="D862" s="72" t="str">
        <f t="shared" si="3"/>
        <v>May</v>
      </c>
      <c r="E862" s="72" t="str">
        <f t="shared" si="4"/>
        <v>Q2</v>
      </c>
      <c r="F862" s="72">
        <f t="shared" si="5"/>
        <v>2021</v>
      </c>
      <c r="G862" s="89">
        <f t="shared" si="6"/>
        <v>44331</v>
      </c>
      <c r="H862" s="72" t="str">
        <f t="shared" si="7"/>
        <v>Yes</v>
      </c>
    </row>
    <row r="863" ht="15.75" customHeight="1">
      <c r="A863" s="88">
        <f t="shared" si="8"/>
        <v>44327</v>
      </c>
      <c r="B863" s="72" t="str">
        <f t="shared" si="1"/>
        <v>20210511</v>
      </c>
      <c r="C863" s="72" t="str">
        <f t="shared" si="2"/>
        <v>Tuesday</v>
      </c>
      <c r="D863" s="72" t="str">
        <f t="shared" si="3"/>
        <v>May</v>
      </c>
      <c r="E863" s="72" t="str">
        <f t="shared" si="4"/>
        <v>Q2</v>
      </c>
      <c r="F863" s="72">
        <f t="shared" si="5"/>
        <v>2021</v>
      </c>
      <c r="G863" s="89">
        <f t="shared" si="6"/>
        <v>44331</v>
      </c>
      <c r="H863" s="72" t="str">
        <f t="shared" si="7"/>
        <v>Yes</v>
      </c>
    </row>
    <row r="864" ht="15.75" customHeight="1">
      <c r="A864" s="88">
        <f t="shared" si="8"/>
        <v>44328</v>
      </c>
      <c r="B864" s="72" t="str">
        <f t="shared" si="1"/>
        <v>20210512</v>
      </c>
      <c r="C864" s="72" t="str">
        <f t="shared" si="2"/>
        <v>Wednesday</v>
      </c>
      <c r="D864" s="72" t="str">
        <f t="shared" si="3"/>
        <v>May</v>
      </c>
      <c r="E864" s="72" t="str">
        <f t="shared" si="4"/>
        <v>Q2</v>
      </c>
      <c r="F864" s="72">
        <f t="shared" si="5"/>
        <v>2021</v>
      </c>
      <c r="G864" s="89">
        <f t="shared" si="6"/>
        <v>44331</v>
      </c>
      <c r="H864" s="72" t="str">
        <f t="shared" si="7"/>
        <v>Yes</v>
      </c>
    </row>
    <row r="865" ht="15.75" customHeight="1">
      <c r="A865" s="88">
        <f t="shared" si="8"/>
        <v>44329</v>
      </c>
      <c r="B865" s="72" t="str">
        <f t="shared" si="1"/>
        <v>20210513</v>
      </c>
      <c r="C865" s="72" t="str">
        <f t="shared" si="2"/>
        <v>Thursday</v>
      </c>
      <c r="D865" s="72" t="str">
        <f t="shared" si="3"/>
        <v>May</v>
      </c>
      <c r="E865" s="72" t="str">
        <f t="shared" si="4"/>
        <v>Q2</v>
      </c>
      <c r="F865" s="72">
        <f t="shared" si="5"/>
        <v>2021</v>
      </c>
      <c r="G865" s="89">
        <f t="shared" si="6"/>
        <v>44331</v>
      </c>
      <c r="H865" s="72" t="str">
        <f t="shared" si="7"/>
        <v>Yes</v>
      </c>
    </row>
    <row r="866" ht="15.75" customHeight="1">
      <c r="A866" s="88">
        <f t="shared" si="8"/>
        <v>44330</v>
      </c>
      <c r="B866" s="72" t="str">
        <f t="shared" si="1"/>
        <v>20210514</v>
      </c>
      <c r="C866" s="72" t="str">
        <f t="shared" si="2"/>
        <v>Friday</v>
      </c>
      <c r="D866" s="72" t="str">
        <f t="shared" si="3"/>
        <v>May</v>
      </c>
      <c r="E866" s="72" t="str">
        <f t="shared" si="4"/>
        <v>Q2</v>
      </c>
      <c r="F866" s="72">
        <f t="shared" si="5"/>
        <v>2021</v>
      </c>
      <c r="G866" s="89">
        <f t="shared" si="6"/>
        <v>44331</v>
      </c>
      <c r="H866" s="72" t="str">
        <f t="shared" si="7"/>
        <v>Yes</v>
      </c>
    </row>
    <row r="867" ht="15.75" customHeight="1">
      <c r="A867" s="88">
        <f t="shared" si="8"/>
        <v>44331</v>
      </c>
      <c r="B867" s="72" t="str">
        <f t="shared" si="1"/>
        <v>20210515</v>
      </c>
      <c r="C867" s="72" t="str">
        <f t="shared" si="2"/>
        <v>Saturday</v>
      </c>
      <c r="D867" s="72" t="str">
        <f t="shared" si="3"/>
        <v>May</v>
      </c>
      <c r="E867" s="72" t="str">
        <f t="shared" si="4"/>
        <v>Q2</v>
      </c>
      <c r="F867" s="72">
        <f t="shared" si="5"/>
        <v>2021</v>
      </c>
      <c r="G867" s="89">
        <f t="shared" si="6"/>
        <v>44331</v>
      </c>
      <c r="H867" s="72" t="str">
        <f t="shared" si="7"/>
        <v>No</v>
      </c>
    </row>
    <row r="868" ht="15.75" customHeight="1">
      <c r="A868" s="88">
        <f t="shared" si="8"/>
        <v>44332</v>
      </c>
      <c r="B868" s="72" t="str">
        <f t="shared" si="1"/>
        <v>20210516</v>
      </c>
      <c r="C868" s="72" t="str">
        <f t="shared" si="2"/>
        <v>Sunday</v>
      </c>
      <c r="D868" s="72" t="str">
        <f t="shared" si="3"/>
        <v>May</v>
      </c>
      <c r="E868" s="72" t="str">
        <f t="shared" si="4"/>
        <v>Q2</v>
      </c>
      <c r="F868" s="72">
        <f t="shared" si="5"/>
        <v>2021</v>
      </c>
      <c r="G868" s="89">
        <f t="shared" si="6"/>
        <v>44338</v>
      </c>
      <c r="H868" s="72" t="str">
        <f t="shared" si="7"/>
        <v>No</v>
      </c>
    </row>
    <row r="869" ht="15.75" customHeight="1">
      <c r="A869" s="88">
        <f t="shared" si="8"/>
        <v>44333</v>
      </c>
      <c r="B869" s="72" t="str">
        <f t="shared" si="1"/>
        <v>20210517</v>
      </c>
      <c r="C869" s="72" t="str">
        <f t="shared" si="2"/>
        <v>Monday</v>
      </c>
      <c r="D869" s="72" t="str">
        <f t="shared" si="3"/>
        <v>May</v>
      </c>
      <c r="E869" s="72" t="str">
        <f t="shared" si="4"/>
        <v>Q2</v>
      </c>
      <c r="F869" s="72">
        <f t="shared" si="5"/>
        <v>2021</v>
      </c>
      <c r="G869" s="89">
        <f t="shared" si="6"/>
        <v>44338</v>
      </c>
      <c r="H869" s="72" t="str">
        <f t="shared" si="7"/>
        <v>Yes</v>
      </c>
    </row>
    <row r="870" ht="15.75" customHeight="1">
      <c r="A870" s="88">
        <f t="shared" si="8"/>
        <v>44334</v>
      </c>
      <c r="B870" s="72" t="str">
        <f t="shared" si="1"/>
        <v>20210518</v>
      </c>
      <c r="C870" s="72" t="str">
        <f t="shared" si="2"/>
        <v>Tuesday</v>
      </c>
      <c r="D870" s="72" t="str">
        <f t="shared" si="3"/>
        <v>May</v>
      </c>
      <c r="E870" s="72" t="str">
        <f t="shared" si="4"/>
        <v>Q2</v>
      </c>
      <c r="F870" s="72">
        <f t="shared" si="5"/>
        <v>2021</v>
      </c>
      <c r="G870" s="89">
        <f t="shared" si="6"/>
        <v>44338</v>
      </c>
      <c r="H870" s="72" t="str">
        <f t="shared" si="7"/>
        <v>Yes</v>
      </c>
    </row>
    <row r="871" ht="15.75" customHeight="1">
      <c r="A871" s="88">
        <f t="shared" si="8"/>
        <v>44335</v>
      </c>
      <c r="B871" s="72" t="str">
        <f t="shared" si="1"/>
        <v>20210519</v>
      </c>
      <c r="C871" s="72" t="str">
        <f t="shared" si="2"/>
        <v>Wednesday</v>
      </c>
      <c r="D871" s="72" t="str">
        <f t="shared" si="3"/>
        <v>May</v>
      </c>
      <c r="E871" s="72" t="str">
        <f t="shared" si="4"/>
        <v>Q2</v>
      </c>
      <c r="F871" s="72">
        <f t="shared" si="5"/>
        <v>2021</v>
      </c>
      <c r="G871" s="89">
        <f t="shared" si="6"/>
        <v>44338</v>
      </c>
      <c r="H871" s="72" t="str">
        <f t="shared" si="7"/>
        <v>Yes</v>
      </c>
    </row>
    <row r="872" ht="15.75" customHeight="1">
      <c r="A872" s="88">
        <f t="shared" si="8"/>
        <v>44336</v>
      </c>
      <c r="B872" s="72" t="str">
        <f t="shared" si="1"/>
        <v>20210520</v>
      </c>
      <c r="C872" s="72" t="str">
        <f t="shared" si="2"/>
        <v>Thursday</v>
      </c>
      <c r="D872" s="72" t="str">
        <f t="shared" si="3"/>
        <v>May</v>
      </c>
      <c r="E872" s="72" t="str">
        <f t="shared" si="4"/>
        <v>Q2</v>
      </c>
      <c r="F872" s="72">
        <f t="shared" si="5"/>
        <v>2021</v>
      </c>
      <c r="G872" s="89">
        <f t="shared" si="6"/>
        <v>44338</v>
      </c>
      <c r="H872" s="72" t="str">
        <f t="shared" si="7"/>
        <v>Yes</v>
      </c>
    </row>
    <row r="873" ht="15.75" customHeight="1">
      <c r="A873" s="88">
        <f t="shared" si="8"/>
        <v>44337</v>
      </c>
      <c r="B873" s="72" t="str">
        <f t="shared" si="1"/>
        <v>20210521</v>
      </c>
      <c r="C873" s="72" t="str">
        <f t="shared" si="2"/>
        <v>Friday</v>
      </c>
      <c r="D873" s="72" t="str">
        <f t="shared" si="3"/>
        <v>May</v>
      </c>
      <c r="E873" s="72" t="str">
        <f t="shared" si="4"/>
        <v>Q2</v>
      </c>
      <c r="F873" s="72">
        <f t="shared" si="5"/>
        <v>2021</v>
      </c>
      <c r="G873" s="89">
        <f t="shared" si="6"/>
        <v>44338</v>
      </c>
      <c r="H873" s="72" t="str">
        <f t="shared" si="7"/>
        <v>Yes</v>
      </c>
    </row>
    <row r="874" ht="15.75" customHeight="1">
      <c r="A874" s="88">
        <f t="shared" si="8"/>
        <v>44338</v>
      </c>
      <c r="B874" s="72" t="str">
        <f t="shared" si="1"/>
        <v>20210522</v>
      </c>
      <c r="C874" s="72" t="str">
        <f t="shared" si="2"/>
        <v>Saturday</v>
      </c>
      <c r="D874" s="72" t="str">
        <f t="shared" si="3"/>
        <v>May</v>
      </c>
      <c r="E874" s="72" t="str">
        <f t="shared" si="4"/>
        <v>Q2</v>
      </c>
      <c r="F874" s="72">
        <f t="shared" si="5"/>
        <v>2021</v>
      </c>
      <c r="G874" s="89">
        <f t="shared" si="6"/>
        <v>44338</v>
      </c>
      <c r="H874" s="72" t="str">
        <f t="shared" si="7"/>
        <v>No</v>
      </c>
    </row>
    <row r="875" ht="15.75" customHeight="1">
      <c r="A875" s="88">
        <f t="shared" si="8"/>
        <v>44339</v>
      </c>
      <c r="B875" s="72" t="str">
        <f t="shared" si="1"/>
        <v>20210523</v>
      </c>
      <c r="C875" s="72" t="str">
        <f t="shared" si="2"/>
        <v>Sunday</v>
      </c>
      <c r="D875" s="72" t="str">
        <f t="shared" si="3"/>
        <v>May</v>
      </c>
      <c r="E875" s="72" t="str">
        <f t="shared" si="4"/>
        <v>Q2</v>
      </c>
      <c r="F875" s="72">
        <f t="shared" si="5"/>
        <v>2021</v>
      </c>
      <c r="G875" s="89">
        <f t="shared" si="6"/>
        <v>44345</v>
      </c>
      <c r="H875" s="72" t="str">
        <f t="shared" si="7"/>
        <v>No</v>
      </c>
    </row>
    <row r="876" ht="15.75" customHeight="1">
      <c r="A876" s="88">
        <f t="shared" si="8"/>
        <v>44340</v>
      </c>
      <c r="B876" s="72" t="str">
        <f t="shared" si="1"/>
        <v>20210524</v>
      </c>
      <c r="C876" s="72" t="str">
        <f t="shared" si="2"/>
        <v>Monday</v>
      </c>
      <c r="D876" s="72" t="str">
        <f t="shared" si="3"/>
        <v>May</v>
      </c>
      <c r="E876" s="72" t="str">
        <f t="shared" si="4"/>
        <v>Q2</v>
      </c>
      <c r="F876" s="72">
        <f t="shared" si="5"/>
        <v>2021</v>
      </c>
      <c r="G876" s="89">
        <f t="shared" si="6"/>
        <v>44345</v>
      </c>
      <c r="H876" s="72" t="str">
        <f t="shared" si="7"/>
        <v>Yes</v>
      </c>
    </row>
    <row r="877" ht="15.75" customHeight="1">
      <c r="A877" s="88">
        <f t="shared" si="8"/>
        <v>44341</v>
      </c>
      <c r="B877" s="72" t="str">
        <f t="shared" si="1"/>
        <v>20210525</v>
      </c>
      <c r="C877" s="72" t="str">
        <f t="shared" si="2"/>
        <v>Tuesday</v>
      </c>
      <c r="D877" s="72" t="str">
        <f t="shared" si="3"/>
        <v>May</v>
      </c>
      <c r="E877" s="72" t="str">
        <f t="shared" si="4"/>
        <v>Q2</v>
      </c>
      <c r="F877" s="72">
        <f t="shared" si="5"/>
        <v>2021</v>
      </c>
      <c r="G877" s="89">
        <f t="shared" si="6"/>
        <v>44345</v>
      </c>
      <c r="H877" s="72" t="str">
        <f t="shared" si="7"/>
        <v>Yes</v>
      </c>
    </row>
    <row r="878" ht="15.75" customHeight="1">
      <c r="A878" s="88">
        <f t="shared" si="8"/>
        <v>44342</v>
      </c>
      <c r="B878" s="72" t="str">
        <f t="shared" si="1"/>
        <v>20210526</v>
      </c>
      <c r="C878" s="72" t="str">
        <f t="shared" si="2"/>
        <v>Wednesday</v>
      </c>
      <c r="D878" s="72" t="str">
        <f t="shared" si="3"/>
        <v>May</v>
      </c>
      <c r="E878" s="72" t="str">
        <f t="shared" si="4"/>
        <v>Q2</v>
      </c>
      <c r="F878" s="72">
        <f t="shared" si="5"/>
        <v>2021</v>
      </c>
      <c r="G878" s="89">
        <f t="shared" si="6"/>
        <v>44345</v>
      </c>
      <c r="H878" s="72" t="str">
        <f t="shared" si="7"/>
        <v>Yes</v>
      </c>
    </row>
    <row r="879" ht="15.75" customHeight="1">
      <c r="A879" s="88">
        <f t="shared" si="8"/>
        <v>44343</v>
      </c>
      <c r="B879" s="72" t="str">
        <f t="shared" si="1"/>
        <v>20210527</v>
      </c>
      <c r="C879" s="72" t="str">
        <f t="shared" si="2"/>
        <v>Thursday</v>
      </c>
      <c r="D879" s="72" t="str">
        <f t="shared" si="3"/>
        <v>May</v>
      </c>
      <c r="E879" s="72" t="str">
        <f t="shared" si="4"/>
        <v>Q2</v>
      </c>
      <c r="F879" s="72">
        <f t="shared" si="5"/>
        <v>2021</v>
      </c>
      <c r="G879" s="89">
        <f t="shared" si="6"/>
        <v>44345</v>
      </c>
      <c r="H879" s="72" t="str">
        <f t="shared" si="7"/>
        <v>Yes</v>
      </c>
    </row>
    <row r="880" ht="15.75" customHeight="1">
      <c r="A880" s="88">
        <f t="shared" si="8"/>
        <v>44344</v>
      </c>
      <c r="B880" s="72" t="str">
        <f t="shared" si="1"/>
        <v>20210528</v>
      </c>
      <c r="C880" s="72" t="str">
        <f t="shared" si="2"/>
        <v>Friday</v>
      </c>
      <c r="D880" s="72" t="str">
        <f t="shared" si="3"/>
        <v>May</v>
      </c>
      <c r="E880" s="72" t="str">
        <f t="shared" si="4"/>
        <v>Q2</v>
      </c>
      <c r="F880" s="72">
        <f t="shared" si="5"/>
        <v>2021</v>
      </c>
      <c r="G880" s="89">
        <f t="shared" si="6"/>
        <v>44345</v>
      </c>
      <c r="H880" s="72" t="str">
        <f t="shared" si="7"/>
        <v>Yes</v>
      </c>
    </row>
    <row r="881" ht="15.75" customHeight="1">
      <c r="A881" s="88">
        <f t="shared" si="8"/>
        <v>44345</v>
      </c>
      <c r="B881" s="72" t="str">
        <f t="shared" si="1"/>
        <v>20210529</v>
      </c>
      <c r="C881" s="72" t="str">
        <f t="shared" si="2"/>
        <v>Saturday</v>
      </c>
      <c r="D881" s="72" t="str">
        <f t="shared" si="3"/>
        <v>May</v>
      </c>
      <c r="E881" s="72" t="str">
        <f t="shared" si="4"/>
        <v>Q2</v>
      </c>
      <c r="F881" s="72">
        <f t="shared" si="5"/>
        <v>2021</v>
      </c>
      <c r="G881" s="89">
        <f t="shared" si="6"/>
        <v>44345</v>
      </c>
      <c r="H881" s="72" t="str">
        <f t="shared" si="7"/>
        <v>No</v>
      </c>
    </row>
    <row r="882" ht="15.75" customHeight="1">
      <c r="A882" s="88">
        <f t="shared" si="8"/>
        <v>44346</v>
      </c>
      <c r="B882" s="72" t="str">
        <f t="shared" si="1"/>
        <v>20210530</v>
      </c>
      <c r="C882" s="72" t="str">
        <f t="shared" si="2"/>
        <v>Sunday</v>
      </c>
      <c r="D882" s="72" t="str">
        <f t="shared" si="3"/>
        <v>May</v>
      </c>
      <c r="E882" s="72" t="str">
        <f t="shared" si="4"/>
        <v>Q2</v>
      </c>
      <c r="F882" s="72">
        <f t="shared" si="5"/>
        <v>2021</v>
      </c>
      <c r="G882" s="89">
        <f t="shared" si="6"/>
        <v>44352</v>
      </c>
      <c r="H882" s="72" t="str">
        <f t="shared" si="7"/>
        <v>No</v>
      </c>
    </row>
    <row r="883" ht="15.75" customHeight="1">
      <c r="A883" s="88">
        <f t="shared" si="8"/>
        <v>44347</v>
      </c>
      <c r="B883" s="72" t="str">
        <f t="shared" si="1"/>
        <v>20210531</v>
      </c>
      <c r="C883" s="72" t="str">
        <f t="shared" si="2"/>
        <v>Monday</v>
      </c>
      <c r="D883" s="72" t="str">
        <f t="shared" si="3"/>
        <v>May</v>
      </c>
      <c r="E883" s="72" t="str">
        <f t="shared" si="4"/>
        <v>Q2</v>
      </c>
      <c r="F883" s="72">
        <f t="shared" si="5"/>
        <v>2021</v>
      </c>
      <c r="G883" s="89">
        <f t="shared" si="6"/>
        <v>44352</v>
      </c>
      <c r="H883" s="72" t="str">
        <f t="shared" si="7"/>
        <v>Yes</v>
      </c>
    </row>
    <row r="884" ht="15.75" customHeight="1">
      <c r="A884" s="88">
        <f t="shared" si="8"/>
        <v>44348</v>
      </c>
      <c r="B884" s="72" t="str">
        <f t="shared" si="1"/>
        <v>20210601</v>
      </c>
      <c r="C884" s="72" t="str">
        <f t="shared" si="2"/>
        <v>Tuesday</v>
      </c>
      <c r="D884" s="72" t="str">
        <f t="shared" si="3"/>
        <v>June</v>
      </c>
      <c r="E884" s="72" t="str">
        <f t="shared" si="4"/>
        <v>Q2</v>
      </c>
      <c r="F884" s="72">
        <f t="shared" si="5"/>
        <v>2021</v>
      </c>
      <c r="G884" s="89">
        <f t="shared" si="6"/>
        <v>44352</v>
      </c>
      <c r="H884" s="72" t="str">
        <f t="shared" si="7"/>
        <v>Yes</v>
      </c>
    </row>
    <row r="885" ht="15.75" customHeight="1">
      <c r="A885" s="88">
        <f t="shared" si="8"/>
        <v>44349</v>
      </c>
      <c r="B885" s="72" t="str">
        <f t="shared" si="1"/>
        <v>20210602</v>
      </c>
      <c r="C885" s="72" t="str">
        <f t="shared" si="2"/>
        <v>Wednesday</v>
      </c>
      <c r="D885" s="72" t="str">
        <f t="shared" si="3"/>
        <v>June</v>
      </c>
      <c r="E885" s="72" t="str">
        <f t="shared" si="4"/>
        <v>Q2</v>
      </c>
      <c r="F885" s="72">
        <f t="shared" si="5"/>
        <v>2021</v>
      </c>
      <c r="G885" s="89">
        <f t="shared" si="6"/>
        <v>44352</v>
      </c>
      <c r="H885" s="72" t="str">
        <f t="shared" si="7"/>
        <v>Yes</v>
      </c>
    </row>
    <row r="886" ht="15.75" customHeight="1">
      <c r="A886" s="88">
        <f t="shared" si="8"/>
        <v>44350</v>
      </c>
      <c r="B886" s="72" t="str">
        <f t="shared" si="1"/>
        <v>20210603</v>
      </c>
      <c r="C886" s="72" t="str">
        <f t="shared" si="2"/>
        <v>Thursday</v>
      </c>
      <c r="D886" s="72" t="str">
        <f t="shared" si="3"/>
        <v>June</v>
      </c>
      <c r="E886" s="72" t="str">
        <f t="shared" si="4"/>
        <v>Q2</v>
      </c>
      <c r="F886" s="72">
        <f t="shared" si="5"/>
        <v>2021</v>
      </c>
      <c r="G886" s="89">
        <f t="shared" si="6"/>
        <v>44352</v>
      </c>
      <c r="H886" s="72" t="str">
        <f t="shared" si="7"/>
        <v>Yes</v>
      </c>
    </row>
    <row r="887" ht="15.75" customHeight="1">
      <c r="A887" s="88">
        <f t="shared" si="8"/>
        <v>44351</v>
      </c>
      <c r="B887" s="72" t="str">
        <f t="shared" si="1"/>
        <v>20210604</v>
      </c>
      <c r="C887" s="72" t="str">
        <f t="shared" si="2"/>
        <v>Friday</v>
      </c>
      <c r="D887" s="72" t="str">
        <f t="shared" si="3"/>
        <v>June</v>
      </c>
      <c r="E887" s="72" t="str">
        <f t="shared" si="4"/>
        <v>Q2</v>
      </c>
      <c r="F887" s="72">
        <f t="shared" si="5"/>
        <v>2021</v>
      </c>
      <c r="G887" s="89">
        <f t="shared" si="6"/>
        <v>44352</v>
      </c>
      <c r="H887" s="72" t="str">
        <f t="shared" si="7"/>
        <v>Yes</v>
      </c>
    </row>
    <row r="888" ht="15.75" customHeight="1">
      <c r="A888" s="88">
        <f t="shared" si="8"/>
        <v>44352</v>
      </c>
      <c r="B888" s="72" t="str">
        <f t="shared" si="1"/>
        <v>20210605</v>
      </c>
      <c r="C888" s="72" t="str">
        <f t="shared" si="2"/>
        <v>Saturday</v>
      </c>
      <c r="D888" s="72" t="str">
        <f t="shared" si="3"/>
        <v>June</v>
      </c>
      <c r="E888" s="72" t="str">
        <f t="shared" si="4"/>
        <v>Q2</v>
      </c>
      <c r="F888" s="72">
        <f t="shared" si="5"/>
        <v>2021</v>
      </c>
      <c r="G888" s="89">
        <f t="shared" si="6"/>
        <v>44352</v>
      </c>
      <c r="H888" s="72" t="str">
        <f t="shared" si="7"/>
        <v>No</v>
      </c>
    </row>
    <row r="889" ht="15.75" customHeight="1">
      <c r="A889" s="88">
        <f t="shared" si="8"/>
        <v>44353</v>
      </c>
      <c r="B889" s="72" t="str">
        <f t="shared" si="1"/>
        <v>20210606</v>
      </c>
      <c r="C889" s="72" t="str">
        <f t="shared" si="2"/>
        <v>Sunday</v>
      </c>
      <c r="D889" s="72" t="str">
        <f t="shared" si="3"/>
        <v>June</v>
      </c>
      <c r="E889" s="72" t="str">
        <f t="shared" si="4"/>
        <v>Q2</v>
      </c>
      <c r="F889" s="72">
        <f t="shared" si="5"/>
        <v>2021</v>
      </c>
      <c r="G889" s="89">
        <f t="shared" si="6"/>
        <v>44359</v>
      </c>
      <c r="H889" s="72" t="str">
        <f t="shared" si="7"/>
        <v>No</v>
      </c>
    </row>
    <row r="890" ht="15.75" customHeight="1">
      <c r="A890" s="88">
        <f t="shared" si="8"/>
        <v>44354</v>
      </c>
      <c r="B890" s="72" t="str">
        <f t="shared" si="1"/>
        <v>20210607</v>
      </c>
      <c r="C890" s="72" t="str">
        <f t="shared" si="2"/>
        <v>Monday</v>
      </c>
      <c r="D890" s="72" t="str">
        <f t="shared" si="3"/>
        <v>June</v>
      </c>
      <c r="E890" s="72" t="str">
        <f t="shared" si="4"/>
        <v>Q2</v>
      </c>
      <c r="F890" s="72">
        <f t="shared" si="5"/>
        <v>2021</v>
      </c>
      <c r="G890" s="89">
        <f t="shared" si="6"/>
        <v>44359</v>
      </c>
      <c r="H890" s="72" t="str">
        <f t="shared" si="7"/>
        <v>Yes</v>
      </c>
    </row>
    <row r="891" ht="15.75" customHeight="1">
      <c r="A891" s="88">
        <f t="shared" si="8"/>
        <v>44355</v>
      </c>
      <c r="B891" s="72" t="str">
        <f t="shared" si="1"/>
        <v>20210608</v>
      </c>
      <c r="C891" s="72" t="str">
        <f t="shared" si="2"/>
        <v>Tuesday</v>
      </c>
      <c r="D891" s="72" t="str">
        <f t="shared" si="3"/>
        <v>June</v>
      </c>
      <c r="E891" s="72" t="str">
        <f t="shared" si="4"/>
        <v>Q2</v>
      </c>
      <c r="F891" s="72">
        <f t="shared" si="5"/>
        <v>2021</v>
      </c>
      <c r="G891" s="89">
        <f t="shared" si="6"/>
        <v>44359</v>
      </c>
      <c r="H891" s="72" t="str">
        <f t="shared" si="7"/>
        <v>Yes</v>
      </c>
    </row>
    <row r="892" ht="15.75" customHeight="1">
      <c r="A892" s="88">
        <f t="shared" si="8"/>
        <v>44356</v>
      </c>
      <c r="B892" s="72" t="str">
        <f t="shared" si="1"/>
        <v>20210609</v>
      </c>
      <c r="C892" s="72" t="str">
        <f t="shared" si="2"/>
        <v>Wednesday</v>
      </c>
      <c r="D892" s="72" t="str">
        <f t="shared" si="3"/>
        <v>June</v>
      </c>
      <c r="E892" s="72" t="str">
        <f t="shared" si="4"/>
        <v>Q2</v>
      </c>
      <c r="F892" s="72">
        <f t="shared" si="5"/>
        <v>2021</v>
      </c>
      <c r="G892" s="89">
        <f t="shared" si="6"/>
        <v>44359</v>
      </c>
      <c r="H892" s="72" t="str">
        <f t="shared" si="7"/>
        <v>Yes</v>
      </c>
    </row>
    <row r="893" ht="15.75" customHeight="1">
      <c r="A893" s="88">
        <f t="shared" si="8"/>
        <v>44357</v>
      </c>
      <c r="B893" s="72" t="str">
        <f t="shared" si="1"/>
        <v>20210610</v>
      </c>
      <c r="C893" s="72" t="str">
        <f t="shared" si="2"/>
        <v>Thursday</v>
      </c>
      <c r="D893" s="72" t="str">
        <f t="shared" si="3"/>
        <v>June</v>
      </c>
      <c r="E893" s="72" t="str">
        <f t="shared" si="4"/>
        <v>Q2</v>
      </c>
      <c r="F893" s="72">
        <f t="shared" si="5"/>
        <v>2021</v>
      </c>
      <c r="G893" s="89">
        <f t="shared" si="6"/>
        <v>44359</v>
      </c>
      <c r="H893" s="72" t="str">
        <f t="shared" si="7"/>
        <v>Yes</v>
      </c>
    </row>
    <row r="894" ht="15.75" customHeight="1">
      <c r="A894" s="88">
        <f t="shared" si="8"/>
        <v>44358</v>
      </c>
      <c r="B894" s="72" t="str">
        <f t="shared" si="1"/>
        <v>20210611</v>
      </c>
      <c r="C894" s="72" t="str">
        <f t="shared" si="2"/>
        <v>Friday</v>
      </c>
      <c r="D894" s="72" t="str">
        <f t="shared" si="3"/>
        <v>June</v>
      </c>
      <c r="E894" s="72" t="str">
        <f t="shared" si="4"/>
        <v>Q2</v>
      </c>
      <c r="F894" s="72">
        <f t="shared" si="5"/>
        <v>2021</v>
      </c>
      <c r="G894" s="89">
        <f t="shared" si="6"/>
        <v>44359</v>
      </c>
      <c r="H894" s="72" t="str">
        <f t="shared" si="7"/>
        <v>Yes</v>
      </c>
    </row>
    <row r="895" ht="15.75" customHeight="1">
      <c r="A895" s="88">
        <f t="shared" si="8"/>
        <v>44359</v>
      </c>
      <c r="B895" s="72" t="str">
        <f t="shared" si="1"/>
        <v>20210612</v>
      </c>
      <c r="C895" s="72" t="str">
        <f t="shared" si="2"/>
        <v>Saturday</v>
      </c>
      <c r="D895" s="72" t="str">
        <f t="shared" si="3"/>
        <v>June</v>
      </c>
      <c r="E895" s="72" t="str">
        <f t="shared" si="4"/>
        <v>Q2</v>
      </c>
      <c r="F895" s="72">
        <f t="shared" si="5"/>
        <v>2021</v>
      </c>
      <c r="G895" s="89">
        <f t="shared" si="6"/>
        <v>44359</v>
      </c>
      <c r="H895" s="72" t="str">
        <f t="shared" si="7"/>
        <v>No</v>
      </c>
    </row>
    <row r="896" ht="15.75" customHeight="1">
      <c r="A896" s="88">
        <f t="shared" si="8"/>
        <v>44360</v>
      </c>
      <c r="B896" s="72" t="str">
        <f t="shared" si="1"/>
        <v>20210613</v>
      </c>
      <c r="C896" s="72" t="str">
        <f t="shared" si="2"/>
        <v>Sunday</v>
      </c>
      <c r="D896" s="72" t="str">
        <f t="shared" si="3"/>
        <v>June</v>
      </c>
      <c r="E896" s="72" t="str">
        <f t="shared" si="4"/>
        <v>Q2</v>
      </c>
      <c r="F896" s="72">
        <f t="shared" si="5"/>
        <v>2021</v>
      </c>
      <c r="G896" s="89">
        <f t="shared" si="6"/>
        <v>44366</v>
      </c>
      <c r="H896" s="72" t="str">
        <f t="shared" si="7"/>
        <v>No</v>
      </c>
    </row>
    <row r="897" ht="15.75" customHeight="1">
      <c r="A897" s="88">
        <f t="shared" si="8"/>
        <v>44361</v>
      </c>
      <c r="B897" s="72" t="str">
        <f t="shared" si="1"/>
        <v>20210614</v>
      </c>
      <c r="C897" s="72" t="str">
        <f t="shared" si="2"/>
        <v>Monday</v>
      </c>
      <c r="D897" s="72" t="str">
        <f t="shared" si="3"/>
        <v>June</v>
      </c>
      <c r="E897" s="72" t="str">
        <f t="shared" si="4"/>
        <v>Q2</v>
      </c>
      <c r="F897" s="72">
        <f t="shared" si="5"/>
        <v>2021</v>
      </c>
      <c r="G897" s="89">
        <f t="shared" si="6"/>
        <v>44366</v>
      </c>
      <c r="H897" s="72" t="str">
        <f t="shared" si="7"/>
        <v>Yes</v>
      </c>
    </row>
    <row r="898" ht="15.75" customHeight="1">
      <c r="A898" s="88">
        <f t="shared" si="8"/>
        <v>44362</v>
      </c>
      <c r="B898" s="72" t="str">
        <f t="shared" si="1"/>
        <v>20210615</v>
      </c>
      <c r="C898" s="72" t="str">
        <f t="shared" si="2"/>
        <v>Tuesday</v>
      </c>
      <c r="D898" s="72" t="str">
        <f t="shared" si="3"/>
        <v>June</v>
      </c>
      <c r="E898" s="72" t="str">
        <f t="shared" si="4"/>
        <v>Q2</v>
      </c>
      <c r="F898" s="72">
        <f t="shared" si="5"/>
        <v>2021</v>
      </c>
      <c r="G898" s="89">
        <f t="shared" si="6"/>
        <v>44366</v>
      </c>
      <c r="H898" s="72" t="str">
        <f t="shared" si="7"/>
        <v>Yes</v>
      </c>
    </row>
    <row r="899" ht="15.75" customHeight="1">
      <c r="A899" s="88">
        <f t="shared" si="8"/>
        <v>44363</v>
      </c>
      <c r="B899" s="72" t="str">
        <f t="shared" si="1"/>
        <v>20210616</v>
      </c>
      <c r="C899" s="72" t="str">
        <f t="shared" si="2"/>
        <v>Wednesday</v>
      </c>
      <c r="D899" s="72" t="str">
        <f t="shared" si="3"/>
        <v>June</v>
      </c>
      <c r="E899" s="72" t="str">
        <f t="shared" si="4"/>
        <v>Q2</v>
      </c>
      <c r="F899" s="72">
        <f t="shared" si="5"/>
        <v>2021</v>
      </c>
      <c r="G899" s="89">
        <f t="shared" si="6"/>
        <v>44366</v>
      </c>
      <c r="H899" s="72" t="str">
        <f t="shared" si="7"/>
        <v>Yes</v>
      </c>
    </row>
    <row r="900" ht="15.75" customHeight="1">
      <c r="A900" s="88">
        <f t="shared" si="8"/>
        <v>44364</v>
      </c>
      <c r="B900" s="72" t="str">
        <f t="shared" si="1"/>
        <v>20210617</v>
      </c>
      <c r="C900" s="72" t="str">
        <f t="shared" si="2"/>
        <v>Thursday</v>
      </c>
      <c r="D900" s="72" t="str">
        <f t="shared" si="3"/>
        <v>June</v>
      </c>
      <c r="E900" s="72" t="str">
        <f t="shared" si="4"/>
        <v>Q2</v>
      </c>
      <c r="F900" s="72">
        <f t="shared" si="5"/>
        <v>2021</v>
      </c>
      <c r="G900" s="89">
        <f t="shared" si="6"/>
        <v>44366</v>
      </c>
      <c r="H900" s="72" t="str">
        <f t="shared" si="7"/>
        <v>Yes</v>
      </c>
    </row>
    <row r="901" ht="15.75" customHeight="1">
      <c r="A901" s="88">
        <f t="shared" si="8"/>
        <v>44365</v>
      </c>
      <c r="B901" s="72" t="str">
        <f t="shared" si="1"/>
        <v>20210618</v>
      </c>
      <c r="C901" s="72" t="str">
        <f t="shared" si="2"/>
        <v>Friday</v>
      </c>
      <c r="D901" s="72" t="str">
        <f t="shared" si="3"/>
        <v>June</v>
      </c>
      <c r="E901" s="72" t="str">
        <f t="shared" si="4"/>
        <v>Q2</v>
      </c>
      <c r="F901" s="72">
        <f t="shared" si="5"/>
        <v>2021</v>
      </c>
      <c r="G901" s="89">
        <f t="shared" si="6"/>
        <v>44366</v>
      </c>
      <c r="H901" s="72" t="str">
        <f t="shared" si="7"/>
        <v>Yes</v>
      </c>
    </row>
    <row r="902" ht="15.75" customHeight="1">
      <c r="A902" s="88">
        <f t="shared" si="8"/>
        <v>44366</v>
      </c>
      <c r="B902" s="72" t="str">
        <f t="shared" si="1"/>
        <v>20210619</v>
      </c>
      <c r="C902" s="72" t="str">
        <f t="shared" si="2"/>
        <v>Saturday</v>
      </c>
      <c r="D902" s="72" t="str">
        <f t="shared" si="3"/>
        <v>June</v>
      </c>
      <c r="E902" s="72" t="str">
        <f t="shared" si="4"/>
        <v>Q2</v>
      </c>
      <c r="F902" s="72">
        <f t="shared" si="5"/>
        <v>2021</v>
      </c>
      <c r="G902" s="89">
        <f t="shared" si="6"/>
        <v>44366</v>
      </c>
      <c r="H902" s="72" t="str">
        <f t="shared" si="7"/>
        <v>No</v>
      </c>
    </row>
    <row r="903" ht="15.75" customHeight="1">
      <c r="A903" s="88">
        <f t="shared" si="8"/>
        <v>44367</v>
      </c>
      <c r="B903" s="72" t="str">
        <f t="shared" si="1"/>
        <v>20210620</v>
      </c>
      <c r="C903" s="72" t="str">
        <f t="shared" si="2"/>
        <v>Sunday</v>
      </c>
      <c r="D903" s="72" t="str">
        <f t="shared" si="3"/>
        <v>June</v>
      </c>
      <c r="E903" s="72" t="str">
        <f t="shared" si="4"/>
        <v>Q2</v>
      </c>
      <c r="F903" s="72">
        <f t="shared" si="5"/>
        <v>2021</v>
      </c>
      <c r="G903" s="89">
        <f t="shared" si="6"/>
        <v>44373</v>
      </c>
      <c r="H903" s="72" t="str">
        <f t="shared" si="7"/>
        <v>No</v>
      </c>
    </row>
    <row r="904" ht="15.75" customHeight="1">
      <c r="A904" s="88">
        <f t="shared" si="8"/>
        <v>44368</v>
      </c>
      <c r="B904" s="72" t="str">
        <f t="shared" si="1"/>
        <v>20210621</v>
      </c>
      <c r="C904" s="72" t="str">
        <f t="shared" si="2"/>
        <v>Monday</v>
      </c>
      <c r="D904" s="72" t="str">
        <f t="shared" si="3"/>
        <v>June</v>
      </c>
      <c r="E904" s="72" t="str">
        <f t="shared" si="4"/>
        <v>Q2</v>
      </c>
      <c r="F904" s="72">
        <f t="shared" si="5"/>
        <v>2021</v>
      </c>
      <c r="G904" s="89">
        <f t="shared" si="6"/>
        <v>44373</v>
      </c>
      <c r="H904" s="72" t="str">
        <f t="shared" si="7"/>
        <v>Yes</v>
      </c>
    </row>
    <row r="905" ht="15.75" customHeight="1">
      <c r="A905" s="88">
        <f t="shared" si="8"/>
        <v>44369</v>
      </c>
      <c r="B905" s="72" t="str">
        <f t="shared" si="1"/>
        <v>20210622</v>
      </c>
      <c r="C905" s="72" t="str">
        <f t="shared" si="2"/>
        <v>Tuesday</v>
      </c>
      <c r="D905" s="72" t="str">
        <f t="shared" si="3"/>
        <v>June</v>
      </c>
      <c r="E905" s="72" t="str">
        <f t="shared" si="4"/>
        <v>Q2</v>
      </c>
      <c r="F905" s="72">
        <f t="shared" si="5"/>
        <v>2021</v>
      </c>
      <c r="G905" s="89">
        <f t="shared" si="6"/>
        <v>44373</v>
      </c>
      <c r="H905" s="72" t="str">
        <f t="shared" si="7"/>
        <v>Yes</v>
      </c>
    </row>
    <row r="906" ht="15.75" customHeight="1">
      <c r="A906" s="88">
        <f t="shared" si="8"/>
        <v>44370</v>
      </c>
      <c r="B906" s="72" t="str">
        <f t="shared" si="1"/>
        <v>20210623</v>
      </c>
      <c r="C906" s="72" t="str">
        <f t="shared" si="2"/>
        <v>Wednesday</v>
      </c>
      <c r="D906" s="72" t="str">
        <f t="shared" si="3"/>
        <v>June</v>
      </c>
      <c r="E906" s="72" t="str">
        <f t="shared" si="4"/>
        <v>Q2</v>
      </c>
      <c r="F906" s="72">
        <f t="shared" si="5"/>
        <v>2021</v>
      </c>
      <c r="G906" s="89">
        <f t="shared" si="6"/>
        <v>44373</v>
      </c>
      <c r="H906" s="72" t="str">
        <f t="shared" si="7"/>
        <v>Yes</v>
      </c>
    </row>
    <row r="907" ht="15.75" customHeight="1">
      <c r="A907" s="88">
        <f t="shared" si="8"/>
        <v>44371</v>
      </c>
      <c r="B907" s="72" t="str">
        <f t="shared" si="1"/>
        <v>20210624</v>
      </c>
      <c r="C907" s="72" t="str">
        <f t="shared" si="2"/>
        <v>Thursday</v>
      </c>
      <c r="D907" s="72" t="str">
        <f t="shared" si="3"/>
        <v>June</v>
      </c>
      <c r="E907" s="72" t="str">
        <f t="shared" si="4"/>
        <v>Q2</v>
      </c>
      <c r="F907" s="72">
        <f t="shared" si="5"/>
        <v>2021</v>
      </c>
      <c r="G907" s="89">
        <f t="shared" si="6"/>
        <v>44373</v>
      </c>
      <c r="H907" s="72" t="str">
        <f t="shared" si="7"/>
        <v>Yes</v>
      </c>
    </row>
    <row r="908" ht="15.75" customHeight="1">
      <c r="A908" s="88">
        <f t="shared" si="8"/>
        <v>44372</v>
      </c>
      <c r="B908" s="72" t="str">
        <f t="shared" si="1"/>
        <v>20210625</v>
      </c>
      <c r="C908" s="72" t="str">
        <f t="shared" si="2"/>
        <v>Friday</v>
      </c>
      <c r="D908" s="72" t="str">
        <f t="shared" si="3"/>
        <v>June</v>
      </c>
      <c r="E908" s="72" t="str">
        <f t="shared" si="4"/>
        <v>Q2</v>
      </c>
      <c r="F908" s="72">
        <f t="shared" si="5"/>
        <v>2021</v>
      </c>
      <c r="G908" s="89">
        <f t="shared" si="6"/>
        <v>44373</v>
      </c>
      <c r="H908" s="72" t="str">
        <f t="shared" si="7"/>
        <v>Yes</v>
      </c>
    </row>
    <row r="909" ht="15.75" customHeight="1">
      <c r="A909" s="88">
        <f t="shared" si="8"/>
        <v>44373</v>
      </c>
      <c r="B909" s="72" t="str">
        <f t="shared" si="1"/>
        <v>20210626</v>
      </c>
      <c r="C909" s="72" t="str">
        <f t="shared" si="2"/>
        <v>Saturday</v>
      </c>
      <c r="D909" s="72" t="str">
        <f t="shared" si="3"/>
        <v>June</v>
      </c>
      <c r="E909" s="72" t="str">
        <f t="shared" si="4"/>
        <v>Q2</v>
      </c>
      <c r="F909" s="72">
        <f t="shared" si="5"/>
        <v>2021</v>
      </c>
      <c r="G909" s="89">
        <f t="shared" si="6"/>
        <v>44373</v>
      </c>
      <c r="H909" s="72" t="str">
        <f t="shared" si="7"/>
        <v>No</v>
      </c>
    </row>
    <row r="910" ht="15.75" customHeight="1">
      <c r="A910" s="88">
        <f t="shared" si="8"/>
        <v>44374</v>
      </c>
      <c r="B910" s="72" t="str">
        <f t="shared" si="1"/>
        <v>20210627</v>
      </c>
      <c r="C910" s="72" t="str">
        <f t="shared" si="2"/>
        <v>Sunday</v>
      </c>
      <c r="D910" s="72" t="str">
        <f t="shared" si="3"/>
        <v>June</v>
      </c>
      <c r="E910" s="72" t="str">
        <f t="shared" si="4"/>
        <v>Q2</v>
      </c>
      <c r="F910" s="72">
        <f t="shared" si="5"/>
        <v>2021</v>
      </c>
      <c r="G910" s="89">
        <f t="shared" si="6"/>
        <v>44380</v>
      </c>
      <c r="H910" s="72" t="str">
        <f t="shared" si="7"/>
        <v>No</v>
      </c>
    </row>
    <row r="911" ht="15.75" customHeight="1">
      <c r="A911" s="88">
        <f t="shared" si="8"/>
        <v>44375</v>
      </c>
      <c r="B911" s="72" t="str">
        <f t="shared" si="1"/>
        <v>20210628</v>
      </c>
      <c r="C911" s="72" t="str">
        <f t="shared" si="2"/>
        <v>Monday</v>
      </c>
      <c r="D911" s="72" t="str">
        <f t="shared" si="3"/>
        <v>June</v>
      </c>
      <c r="E911" s="72" t="str">
        <f t="shared" si="4"/>
        <v>Q2</v>
      </c>
      <c r="F911" s="72">
        <f t="shared" si="5"/>
        <v>2021</v>
      </c>
      <c r="G911" s="89">
        <f t="shared" si="6"/>
        <v>44380</v>
      </c>
      <c r="H911" s="72" t="str">
        <f t="shared" si="7"/>
        <v>Yes</v>
      </c>
    </row>
    <row r="912" ht="15.75" customHeight="1">
      <c r="A912" s="88">
        <f t="shared" si="8"/>
        <v>44376</v>
      </c>
      <c r="B912" s="72" t="str">
        <f t="shared" si="1"/>
        <v>20210629</v>
      </c>
      <c r="C912" s="72" t="str">
        <f t="shared" si="2"/>
        <v>Tuesday</v>
      </c>
      <c r="D912" s="72" t="str">
        <f t="shared" si="3"/>
        <v>June</v>
      </c>
      <c r="E912" s="72" t="str">
        <f t="shared" si="4"/>
        <v>Q2</v>
      </c>
      <c r="F912" s="72">
        <f t="shared" si="5"/>
        <v>2021</v>
      </c>
      <c r="G912" s="89">
        <f t="shared" si="6"/>
        <v>44380</v>
      </c>
      <c r="H912" s="72" t="str">
        <f t="shared" si="7"/>
        <v>Yes</v>
      </c>
    </row>
    <row r="913" ht="15.75" customHeight="1">
      <c r="A913" s="88">
        <f t="shared" si="8"/>
        <v>44377</v>
      </c>
      <c r="B913" s="72" t="str">
        <f t="shared" si="1"/>
        <v>20210630</v>
      </c>
      <c r="C913" s="72" t="str">
        <f t="shared" si="2"/>
        <v>Wednesday</v>
      </c>
      <c r="D913" s="72" t="str">
        <f t="shared" si="3"/>
        <v>June</v>
      </c>
      <c r="E913" s="72" t="str">
        <f t="shared" si="4"/>
        <v>Q2</v>
      </c>
      <c r="F913" s="72">
        <f t="shared" si="5"/>
        <v>2021</v>
      </c>
      <c r="G913" s="89">
        <f t="shared" si="6"/>
        <v>44380</v>
      </c>
      <c r="H913" s="72" t="str">
        <f t="shared" si="7"/>
        <v>Yes</v>
      </c>
    </row>
    <row r="914" ht="15.75" customHeight="1">
      <c r="A914" s="88">
        <f t="shared" si="8"/>
        <v>44378</v>
      </c>
      <c r="B914" s="72" t="str">
        <f t="shared" si="1"/>
        <v>20210701</v>
      </c>
      <c r="C914" s="72" t="str">
        <f t="shared" si="2"/>
        <v>Thursday</v>
      </c>
      <c r="D914" s="72" t="str">
        <f t="shared" si="3"/>
        <v>July</v>
      </c>
      <c r="E914" s="72" t="str">
        <f t="shared" si="4"/>
        <v>Q3</v>
      </c>
      <c r="F914" s="72">
        <f t="shared" si="5"/>
        <v>2021</v>
      </c>
      <c r="G914" s="89">
        <f t="shared" si="6"/>
        <v>44380</v>
      </c>
      <c r="H914" s="72" t="str">
        <f t="shared" si="7"/>
        <v>Yes</v>
      </c>
    </row>
    <row r="915" ht="15.75" customHeight="1">
      <c r="A915" s="88">
        <f t="shared" si="8"/>
        <v>44379</v>
      </c>
      <c r="B915" s="72" t="str">
        <f t="shared" si="1"/>
        <v>20210702</v>
      </c>
      <c r="C915" s="72" t="str">
        <f t="shared" si="2"/>
        <v>Friday</v>
      </c>
      <c r="D915" s="72" t="str">
        <f t="shared" si="3"/>
        <v>July</v>
      </c>
      <c r="E915" s="72" t="str">
        <f t="shared" si="4"/>
        <v>Q3</v>
      </c>
      <c r="F915" s="72">
        <f t="shared" si="5"/>
        <v>2021</v>
      </c>
      <c r="G915" s="89">
        <f t="shared" si="6"/>
        <v>44380</v>
      </c>
      <c r="H915" s="72" t="str">
        <f t="shared" si="7"/>
        <v>Yes</v>
      </c>
    </row>
    <row r="916" ht="15.75" customHeight="1">
      <c r="A916" s="88">
        <f t="shared" si="8"/>
        <v>44380</v>
      </c>
      <c r="B916" s="72" t="str">
        <f t="shared" si="1"/>
        <v>20210703</v>
      </c>
      <c r="C916" s="72" t="str">
        <f t="shared" si="2"/>
        <v>Saturday</v>
      </c>
      <c r="D916" s="72" t="str">
        <f t="shared" si="3"/>
        <v>July</v>
      </c>
      <c r="E916" s="72" t="str">
        <f t="shared" si="4"/>
        <v>Q3</v>
      </c>
      <c r="F916" s="72">
        <f t="shared" si="5"/>
        <v>2021</v>
      </c>
      <c r="G916" s="89">
        <f t="shared" si="6"/>
        <v>44380</v>
      </c>
      <c r="H916" s="72" t="str">
        <f t="shared" si="7"/>
        <v>No</v>
      </c>
    </row>
    <row r="917" ht="15.75" customHeight="1">
      <c r="A917" s="88">
        <f t="shared" si="8"/>
        <v>44381</v>
      </c>
      <c r="B917" s="72" t="str">
        <f t="shared" si="1"/>
        <v>20210704</v>
      </c>
      <c r="C917" s="72" t="str">
        <f t="shared" si="2"/>
        <v>Sunday</v>
      </c>
      <c r="D917" s="72" t="str">
        <f t="shared" si="3"/>
        <v>July</v>
      </c>
      <c r="E917" s="72" t="str">
        <f t="shared" si="4"/>
        <v>Q3</v>
      </c>
      <c r="F917" s="72">
        <f t="shared" si="5"/>
        <v>2021</v>
      </c>
      <c r="G917" s="89">
        <f t="shared" si="6"/>
        <v>44387</v>
      </c>
      <c r="H917" s="72" t="str">
        <f t="shared" si="7"/>
        <v>No</v>
      </c>
    </row>
    <row r="918" ht="15.75" customHeight="1">
      <c r="A918" s="88">
        <f t="shared" si="8"/>
        <v>44382</v>
      </c>
      <c r="B918" s="72" t="str">
        <f t="shared" si="1"/>
        <v>20210705</v>
      </c>
      <c r="C918" s="72" t="str">
        <f t="shared" si="2"/>
        <v>Monday</v>
      </c>
      <c r="D918" s="72" t="str">
        <f t="shared" si="3"/>
        <v>July</v>
      </c>
      <c r="E918" s="72" t="str">
        <f t="shared" si="4"/>
        <v>Q3</v>
      </c>
      <c r="F918" s="72">
        <f t="shared" si="5"/>
        <v>2021</v>
      </c>
      <c r="G918" s="89">
        <f t="shared" si="6"/>
        <v>44387</v>
      </c>
      <c r="H918" s="72" t="str">
        <f t="shared" si="7"/>
        <v>Yes</v>
      </c>
    </row>
    <row r="919" ht="15.75" customHeight="1">
      <c r="A919" s="88">
        <f t="shared" si="8"/>
        <v>44383</v>
      </c>
      <c r="B919" s="72" t="str">
        <f t="shared" si="1"/>
        <v>20210706</v>
      </c>
      <c r="C919" s="72" t="str">
        <f t="shared" si="2"/>
        <v>Tuesday</v>
      </c>
      <c r="D919" s="72" t="str">
        <f t="shared" si="3"/>
        <v>July</v>
      </c>
      <c r="E919" s="72" t="str">
        <f t="shared" si="4"/>
        <v>Q3</v>
      </c>
      <c r="F919" s="72">
        <f t="shared" si="5"/>
        <v>2021</v>
      </c>
      <c r="G919" s="89">
        <f t="shared" si="6"/>
        <v>44387</v>
      </c>
      <c r="H919" s="72" t="str">
        <f t="shared" si="7"/>
        <v>Yes</v>
      </c>
    </row>
    <row r="920" ht="15.75" customHeight="1">
      <c r="A920" s="88">
        <f t="shared" si="8"/>
        <v>44384</v>
      </c>
      <c r="B920" s="72" t="str">
        <f t="shared" si="1"/>
        <v>20210707</v>
      </c>
      <c r="C920" s="72" t="str">
        <f t="shared" si="2"/>
        <v>Wednesday</v>
      </c>
      <c r="D920" s="72" t="str">
        <f t="shared" si="3"/>
        <v>July</v>
      </c>
      <c r="E920" s="72" t="str">
        <f t="shared" si="4"/>
        <v>Q3</v>
      </c>
      <c r="F920" s="72">
        <f t="shared" si="5"/>
        <v>2021</v>
      </c>
      <c r="G920" s="89">
        <f t="shared" si="6"/>
        <v>44387</v>
      </c>
      <c r="H920" s="72" t="str">
        <f t="shared" si="7"/>
        <v>Yes</v>
      </c>
    </row>
    <row r="921" ht="15.75" customHeight="1">
      <c r="A921" s="88">
        <f t="shared" si="8"/>
        <v>44385</v>
      </c>
      <c r="B921" s="72" t="str">
        <f t="shared" si="1"/>
        <v>20210708</v>
      </c>
      <c r="C921" s="72" t="str">
        <f t="shared" si="2"/>
        <v>Thursday</v>
      </c>
      <c r="D921" s="72" t="str">
        <f t="shared" si="3"/>
        <v>July</v>
      </c>
      <c r="E921" s="72" t="str">
        <f t="shared" si="4"/>
        <v>Q3</v>
      </c>
      <c r="F921" s="72">
        <f t="shared" si="5"/>
        <v>2021</v>
      </c>
      <c r="G921" s="89">
        <f t="shared" si="6"/>
        <v>44387</v>
      </c>
      <c r="H921" s="72" t="str">
        <f t="shared" si="7"/>
        <v>Yes</v>
      </c>
    </row>
    <row r="922" ht="15.75" customHeight="1">
      <c r="A922" s="88">
        <f t="shared" si="8"/>
        <v>44386</v>
      </c>
      <c r="B922" s="72" t="str">
        <f t="shared" si="1"/>
        <v>20210709</v>
      </c>
      <c r="C922" s="72" t="str">
        <f t="shared" si="2"/>
        <v>Friday</v>
      </c>
      <c r="D922" s="72" t="str">
        <f t="shared" si="3"/>
        <v>July</v>
      </c>
      <c r="E922" s="72" t="str">
        <f t="shared" si="4"/>
        <v>Q3</v>
      </c>
      <c r="F922" s="72">
        <f t="shared" si="5"/>
        <v>2021</v>
      </c>
      <c r="G922" s="89">
        <f t="shared" si="6"/>
        <v>44387</v>
      </c>
      <c r="H922" s="72" t="str">
        <f t="shared" si="7"/>
        <v>Yes</v>
      </c>
    </row>
    <row r="923" ht="15.75" customHeight="1">
      <c r="A923" s="88">
        <f t="shared" si="8"/>
        <v>44387</v>
      </c>
      <c r="B923" s="72" t="str">
        <f t="shared" si="1"/>
        <v>20210710</v>
      </c>
      <c r="C923" s="72" t="str">
        <f t="shared" si="2"/>
        <v>Saturday</v>
      </c>
      <c r="D923" s="72" t="str">
        <f t="shared" si="3"/>
        <v>July</v>
      </c>
      <c r="E923" s="72" t="str">
        <f t="shared" si="4"/>
        <v>Q3</v>
      </c>
      <c r="F923" s="72">
        <f t="shared" si="5"/>
        <v>2021</v>
      </c>
      <c r="G923" s="89">
        <f t="shared" si="6"/>
        <v>44387</v>
      </c>
      <c r="H923" s="72" t="str">
        <f t="shared" si="7"/>
        <v>No</v>
      </c>
    </row>
    <row r="924" ht="15.75" customHeight="1">
      <c r="A924" s="88">
        <f t="shared" si="8"/>
        <v>44388</v>
      </c>
      <c r="B924" s="72" t="str">
        <f t="shared" si="1"/>
        <v>20210711</v>
      </c>
      <c r="C924" s="72" t="str">
        <f t="shared" si="2"/>
        <v>Sunday</v>
      </c>
      <c r="D924" s="72" t="str">
        <f t="shared" si="3"/>
        <v>July</v>
      </c>
      <c r="E924" s="72" t="str">
        <f t="shared" si="4"/>
        <v>Q3</v>
      </c>
      <c r="F924" s="72">
        <f t="shared" si="5"/>
        <v>2021</v>
      </c>
      <c r="G924" s="89">
        <f t="shared" si="6"/>
        <v>44394</v>
      </c>
      <c r="H924" s="72" t="str">
        <f t="shared" si="7"/>
        <v>No</v>
      </c>
    </row>
    <row r="925" ht="15.75" customHeight="1">
      <c r="A925" s="88">
        <f t="shared" si="8"/>
        <v>44389</v>
      </c>
      <c r="B925" s="72" t="str">
        <f t="shared" si="1"/>
        <v>20210712</v>
      </c>
      <c r="C925" s="72" t="str">
        <f t="shared" si="2"/>
        <v>Monday</v>
      </c>
      <c r="D925" s="72" t="str">
        <f t="shared" si="3"/>
        <v>July</v>
      </c>
      <c r="E925" s="72" t="str">
        <f t="shared" si="4"/>
        <v>Q3</v>
      </c>
      <c r="F925" s="72">
        <f t="shared" si="5"/>
        <v>2021</v>
      </c>
      <c r="G925" s="89">
        <f t="shared" si="6"/>
        <v>44394</v>
      </c>
      <c r="H925" s="72" t="str">
        <f t="shared" si="7"/>
        <v>Yes</v>
      </c>
    </row>
    <row r="926" ht="15.75" customHeight="1">
      <c r="A926" s="88">
        <f t="shared" si="8"/>
        <v>44390</v>
      </c>
      <c r="B926" s="72" t="str">
        <f t="shared" si="1"/>
        <v>20210713</v>
      </c>
      <c r="C926" s="72" t="str">
        <f t="shared" si="2"/>
        <v>Tuesday</v>
      </c>
      <c r="D926" s="72" t="str">
        <f t="shared" si="3"/>
        <v>July</v>
      </c>
      <c r="E926" s="72" t="str">
        <f t="shared" si="4"/>
        <v>Q3</v>
      </c>
      <c r="F926" s="72">
        <f t="shared" si="5"/>
        <v>2021</v>
      </c>
      <c r="G926" s="89">
        <f t="shared" si="6"/>
        <v>44394</v>
      </c>
      <c r="H926" s="72" t="str">
        <f t="shared" si="7"/>
        <v>Yes</v>
      </c>
    </row>
    <row r="927" ht="15.75" customHeight="1">
      <c r="A927" s="88">
        <f t="shared" si="8"/>
        <v>44391</v>
      </c>
      <c r="B927" s="72" t="str">
        <f t="shared" si="1"/>
        <v>20210714</v>
      </c>
      <c r="C927" s="72" t="str">
        <f t="shared" si="2"/>
        <v>Wednesday</v>
      </c>
      <c r="D927" s="72" t="str">
        <f t="shared" si="3"/>
        <v>July</v>
      </c>
      <c r="E927" s="72" t="str">
        <f t="shared" si="4"/>
        <v>Q3</v>
      </c>
      <c r="F927" s="72">
        <f t="shared" si="5"/>
        <v>2021</v>
      </c>
      <c r="G927" s="89">
        <f t="shared" si="6"/>
        <v>44394</v>
      </c>
      <c r="H927" s="72" t="str">
        <f t="shared" si="7"/>
        <v>Yes</v>
      </c>
    </row>
    <row r="928" ht="15.75" customHeight="1">
      <c r="A928" s="88">
        <f t="shared" si="8"/>
        <v>44392</v>
      </c>
      <c r="B928" s="72" t="str">
        <f t="shared" si="1"/>
        <v>20210715</v>
      </c>
      <c r="C928" s="72" t="str">
        <f t="shared" si="2"/>
        <v>Thursday</v>
      </c>
      <c r="D928" s="72" t="str">
        <f t="shared" si="3"/>
        <v>July</v>
      </c>
      <c r="E928" s="72" t="str">
        <f t="shared" si="4"/>
        <v>Q3</v>
      </c>
      <c r="F928" s="72">
        <f t="shared" si="5"/>
        <v>2021</v>
      </c>
      <c r="G928" s="89">
        <f t="shared" si="6"/>
        <v>44394</v>
      </c>
      <c r="H928" s="72" t="str">
        <f t="shared" si="7"/>
        <v>Yes</v>
      </c>
    </row>
    <row r="929" ht="15.75" customHeight="1">
      <c r="A929" s="88">
        <f t="shared" si="8"/>
        <v>44393</v>
      </c>
      <c r="B929" s="72" t="str">
        <f t="shared" si="1"/>
        <v>20210716</v>
      </c>
      <c r="C929" s="72" t="str">
        <f t="shared" si="2"/>
        <v>Friday</v>
      </c>
      <c r="D929" s="72" t="str">
        <f t="shared" si="3"/>
        <v>July</v>
      </c>
      <c r="E929" s="72" t="str">
        <f t="shared" si="4"/>
        <v>Q3</v>
      </c>
      <c r="F929" s="72">
        <f t="shared" si="5"/>
        <v>2021</v>
      </c>
      <c r="G929" s="89">
        <f t="shared" si="6"/>
        <v>44394</v>
      </c>
      <c r="H929" s="72" t="str">
        <f t="shared" si="7"/>
        <v>Yes</v>
      </c>
    </row>
    <row r="930" ht="15.75" customHeight="1">
      <c r="A930" s="88">
        <f t="shared" si="8"/>
        <v>44394</v>
      </c>
      <c r="B930" s="72" t="str">
        <f t="shared" si="1"/>
        <v>20210717</v>
      </c>
      <c r="C930" s="72" t="str">
        <f t="shared" si="2"/>
        <v>Saturday</v>
      </c>
      <c r="D930" s="72" t="str">
        <f t="shared" si="3"/>
        <v>July</v>
      </c>
      <c r="E930" s="72" t="str">
        <f t="shared" si="4"/>
        <v>Q3</v>
      </c>
      <c r="F930" s="72">
        <f t="shared" si="5"/>
        <v>2021</v>
      </c>
      <c r="G930" s="89">
        <f t="shared" si="6"/>
        <v>44394</v>
      </c>
      <c r="H930" s="72" t="str">
        <f t="shared" si="7"/>
        <v>No</v>
      </c>
    </row>
    <row r="931" ht="15.75" customHeight="1">
      <c r="A931" s="88">
        <f t="shared" si="8"/>
        <v>44395</v>
      </c>
      <c r="B931" s="72" t="str">
        <f t="shared" si="1"/>
        <v>20210718</v>
      </c>
      <c r="C931" s="72" t="str">
        <f t="shared" si="2"/>
        <v>Sunday</v>
      </c>
      <c r="D931" s="72" t="str">
        <f t="shared" si="3"/>
        <v>July</v>
      </c>
      <c r="E931" s="72" t="str">
        <f t="shared" si="4"/>
        <v>Q3</v>
      </c>
      <c r="F931" s="72">
        <f t="shared" si="5"/>
        <v>2021</v>
      </c>
      <c r="G931" s="89">
        <f t="shared" si="6"/>
        <v>44401</v>
      </c>
      <c r="H931" s="72" t="str">
        <f t="shared" si="7"/>
        <v>No</v>
      </c>
    </row>
    <row r="932" ht="15.75" customHeight="1">
      <c r="A932" s="88">
        <f t="shared" si="8"/>
        <v>44396</v>
      </c>
      <c r="B932" s="72" t="str">
        <f t="shared" si="1"/>
        <v>20210719</v>
      </c>
      <c r="C932" s="72" t="str">
        <f t="shared" si="2"/>
        <v>Monday</v>
      </c>
      <c r="D932" s="72" t="str">
        <f t="shared" si="3"/>
        <v>July</v>
      </c>
      <c r="E932" s="72" t="str">
        <f t="shared" si="4"/>
        <v>Q3</v>
      </c>
      <c r="F932" s="72">
        <f t="shared" si="5"/>
        <v>2021</v>
      </c>
      <c r="G932" s="89">
        <f t="shared" si="6"/>
        <v>44401</v>
      </c>
      <c r="H932" s="72" t="str">
        <f t="shared" si="7"/>
        <v>Yes</v>
      </c>
    </row>
    <row r="933" ht="15.75" customHeight="1">
      <c r="A933" s="88">
        <f t="shared" si="8"/>
        <v>44397</v>
      </c>
      <c r="B933" s="72" t="str">
        <f t="shared" si="1"/>
        <v>20210720</v>
      </c>
      <c r="C933" s="72" t="str">
        <f t="shared" si="2"/>
        <v>Tuesday</v>
      </c>
      <c r="D933" s="72" t="str">
        <f t="shared" si="3"/>
        <v>July</v>
      </c>
      <c r="E933" s="72" t="str">
        <f t="shared" si="4"/>
        <v>Q3</v>
      </c>
      <c r="F933" s="72">
        <f t="shared" si="5"/>
        <v>2021</v>
      </c>
      <c r="G933" s="89">
        <f t="shared" si="6"/>
        <v>44401</v>
      </c>
      <c r="H933" s="72" t="str">
        <f t="shared" si="7"/>
        <v>Yes</v>
      </c>
    </row>
    <row r="934" ht="15.75" customHeight="1">
      <c r="A934" s="88">
        <f t="shared" si="8"/>
        <v>44398</v>
      </c>
      <c r="B934" s="72" t="str">
        <f t="shared" si="1"/>
        <v>20210721</v>
      </c>
      <c r="C934" s="72" t="str">
        <f t="shared" si="2"/>
        <v>Wednesday</v>
      </c>
      <c r="D934" s="72" t="str">
        <f t="shared" si="3"/>
        <v>July</v>
      </c>
      <c r="E934" s="72" t="str">
        <f t="shared" si="4"/>
        <v>Q3</v>
      </c>
      <c r="F934" s="72">
        <f t="shared" si="5"/>
        <v>2021</v>
      </c>
      <c r="G934" s="89">
        <f t="shared" si="6"/>
        <v>44401</v>
      </c>
      <c r="H934" s="72" t="str">
        <f t="shared" si="7"/>
        <v>Yes</v>
      </c>
    </row>
    <row r="935" ht="15.75" customHeight="1">
      <c r="A935" s="88">
        <f t="shared" si="8"/>
        <v>44399</v>
      </c>
      <c r="B935" s="72" t="str">
        <f t="shared" si="1"/>
        <v>20210722</v>
      </c>
      <c r="C935" s="72" t="str">
        <f t="shared" si="2"/>
        <v>Thursday</v>
      </c>
      <c r="D935" s="72" t="str">
        <f t="shared" si="3"/>
        <v>July</v>
      </c>
      <c r="E935" s="72" t="str">
        <f t="shared" si="4"/>
        <v>Q3</v>
      </c>
      <c r="F935" s="72">
        <f t="shared" si="5"/>
        <v>2021</v>
      </c>
      <c r="G935" s="89">
        <f t="shared" si="6"/>
        <v>44401</v>
      </c>
      <c r="H935" s="72" t="str">
        <f t="shared" si="7"/>
        <v>Yes</v>
      </c>
    </row>
    <row r="936" ht="15.75" customHeight="1">
      <c r="A936" s="88">
        <f t="shared" si="8"/>
        <v>44400</v>
      </c>
      <c r="B936" s="72" t="str">
        <f t="shared" si="1"/>
        <v>20210723</v>
      </c>
      <c r="C936" s="72" t="str">
        <f t="shared" si="2"/>
        <v>Friday</v>
      </c>
      <c r="D936" s="72" t="str">
        <f t="shared" si="3"/>
        <v>July</v>
      </c>
      <c r="E936" s="72" t="str">
        <f t="shared" si="4"/>
        <v>Q3</v>
      </c>
      <c r="F936" s="72">
        <f t="shared" si="5"/>
        <v>2021</v>
      </c>
      <c r="G936" s="89">
        <f t="shared" si="6"/>
        <v>44401</v>
      </c>
      <c r="H936" s="72" t="str">
        <f t="shared" si="7"/>
        <v>Yes</v>
      </c>
    </row>
    <row r="937" ht="15.75" customHeight="1">
      <c r="A937" s="88">
        <f t="shared" si="8"/>
        <v>44401</v>
      </c>
      <c r="B937" s="72" t="str">
        <f t="shared" si="1"/>
        <v>20210724</v>
      </c>
      <c r="C937" s="72" t="str">
        <f t="shared" si="2"/>
        <v>Saturday</v>
      </c>
      <c r="D937" s="72" t="str">
        <f t="shared" si="3"/>
        <v>July</v>
      </c>
      <c r="E937" s="72" t="str">
        <f t="shared" si="4"/>
        <v>Q3</v>
      </c>
      <c r="F937" s="72">
        <f t="shared" si="5"/>
        <v>2021</v>
      </c>
      <c r="G937" s="89">
        <f t="shared" si="6"/>
        <v>44401</v>
      </c>
      <c r="H937" s="72" t="str">
        <f t="shared" si="7"/>
        <v>No</v>
      </c>
    </row>
    <row r="938" ht="15.75" customHeight="1">
      <c r="A938" s="88">
        <f t="shared" si="8"/>
        <v>44402</v>
      </c>
      <c r="B938" s="72" t="str">
        <f t="shared" si="1"/>
        <v>20210725</v>
      </c>
      <c r="C938" s="72" t="str">
        <f t="shared" si="2"/>
        <v>Sunday</v>
      </c>
      <c r="D938" s="72" t="str">
        <f t="shared" si="3"/>
        <v>July</v>
      </c>
      <c r="E938" s="72" t="str">
        <f t="shared" si="4"/>
        <v>Q3</v>
      </c>
      <c r="F938" s="72">
        <f t="shared" si="5"/>
        <v>2021</v>
      </c>
      <c r="G938" s="89">
        <f t="shared" si="6"/>
        <v>44408</v>
      </c>
      <c r="H938" s="72" t="str">
        <f t="shared" si="7"/>
        <v>No</v>
      </c>
    </row>
    <row r="939" ht="15.75" customHeight="1">
      <c r="A939" s="88">
        <f t="shared" si="8"/>
        <v>44403</v>
      </c>
      <c r="B939" s="72" t="str">
        <f t="shared" si="1"/>
        <v>20210726</v>
      </c>
      <c r="C939" s="72" t="str">
        <f t="shared" si="2"/>
        <v>Monday</v>
      </c>
      <c r="D939" s="72" t="str">
        <f t="shared" si="3"/>
        <v>July</v>
      </c>
      <c r="E939" s="72" t="str">
        <f t="shared" si="4"/>
        <v>Q3</v>
      </c>
      <c r="F939" s="72">
        <f t="shared" si="5"/>
        <v>2021</v>
      </c>
      <c r="G939" s="89">
        <f t="shared" si="6"/>
        <v>44408</v>
      </c>
      <c r="H939" s="72" t="str">
        <f t="shared" si="7"/>
        <v>Yes</v>
      </c>
    </row>
    <row r="940" ht="15.75" customHeight="1">
      <c r="A940" s="88">
        <f t="shared" si="8"/>
        <v>44404</v>
      </c>
      <c r="B940" s="72" t="str">
        <f t="shared" si="1"/>
        <v>20210727</v>
      </c>
      <c r="C940" s="72" t="str">
        <f t="shared" si="2"/>
        <v>Tuesday</v>
      </c>
      <c r="D940" s="72" t="str">
        <f t="shared" si="3"/>
        <v>July</v>
      </c>
      <c r="E940" s="72" t="str">
        <f t="shared" si="4"/>
        <v>Q3</v>
      </c>
      <c r="F940" s="72">
        <f t="shared" si="5"/>
        <v>2021</v>
      </c>
      <c r="G940" s="89">
        <f t="shared" si="6"/>
        <v>44408</v>
      </c>
      <c r="H940" s="72" t="str">
        <f t="shared" si="7"/>
        <v>Yes</v>
      </c>
    </row>
    <row r="941" ht="15.75" customHeight="1">
      <c r="A941" s="88">
        <f t="shared" si="8"/>
        <v>44405</v>
      </c>
      <c r="B941" s="72" t="str">
        <f t="shared" si="1"/>
        <v>20210728</v>
      </c>
      <c r="C941" s="72" t="str">
        <f t="shared" si="2"/>
        <v>Wednesday</v>
      </c>
      <c r="D941" s="72" t="str">
        <f t="shared" si="3"/>
        <v>July</v>
      </c>
      <c r="E941" s="72" t="str">
        <f t="shared" si="4"/>
        <v>Q3</v>
      </c>
      <c r="F941" s="72">
        <f t="shared" si="5"/>
        <v>2021</v>
      </c>
      <c r="G941" s="89">
        <f t="shared" si="6"/>
        <v>44408</v>
      </c>
      <c r="H941" s="72" t="str">
        <f t="shared" si="7"/>
        <v>Yes</v>
      </c>
    </row>
    <row r="942" ht="15.75" customHeight="1">
      <c r="A942" s="88">
        <f t="shared" si="8"/>
        <v>44406</v>
      </c>
      <c r="B942" s="72" t="str">
        <f t="shared" si="1"/>
        <v>20210729</v>
      </c>
      <c r="C942" s="72" t="str">
        <f t="shared" si="2"/>
        <v>Thursday</v>
      </c>
      <c r="D942" s="72" t="str">
        <f t="shared" si="3"/>
        <v>July</v>
      </c>
      <c r="E942" s="72" t="str">
        <f t="shared" si="4"/>
        <v>Q3</v>
      </c>
      <c r="F942" s="72">
        <f t="shared" si="5"/>
        <v>2021</v>
      </c>
      <c r="G942" s="89">
        <f t="shared" si="6"/>
        <v>44408</v>
      </c>
      <c r="H942" s="72" t="str">
        <f t="shared" si="7"/>
        <v>Yes</v>
      </c>
    </row>
    <row r="943" ht="15.75" customHeight="1">
      <c r="A943" s="88">
        <f t="shared" si="8"/>
        <v>44407</v>
      </c>
      <c r="B943" s="72" t="str">
        <f t="shared" si="1"/>
        <v>20210730</v>
      </c>
      <c r="C943" s="72" t="str">
        <f t="shared" si="2"/>
        <v>Friday</v>
      </c>
      <c r="D943" s="72" t="str">
        <f t="shared" si="3"/>
        <v>July</v>
      </c>
      <c r="E943" s="72" t="str">
        <f t="shared" si="4"/>
        <v>Q3</v>
      </c>
      <c r="F943" s="72">
        <f t="shared" si="5"/>
        <v>2021</v>
      </c>
      <c r="G943" s="89">
        <f t="shared" si="6"/>
        <v>44408</v>
      </c>
      <c r="H943" s="72" t="str">
        <f t="shared" si="7"/>
        <v>Yes</v>
      </c>
    </row>
    <row r="944" ht="15.75" customHeight="1">
      <c r="A944" s="88">
        <f t="shared" si="8"/>
        <v>44408</v>
      </c>
      <c r="B944" s="72" t="str">
        <f t="shared" si="1"/>
        <v>20210731</v>
      </c>
      <c r="C944" s="72" t="str">
        <f t="shared" si="2"/>
        <v>Saturday</v>
      </c>
      <c r="D944" s="72" t="str">
        <f t="shared" si="3"/>
        <v>July</v>
      </c>
      <c r="E944" s="72" t="str">
        <f t="shared" si="4"/>
        <v>Q3</v>
      </c>
      <c r="F944" s="72">
        <f t="shared" si="5"/>
        <v>2021</v>
      </c>
      <c r="G944" s="89">
        <f t="shared" si="6"/>
        <v>44408</v>
      </c>
      <c r="H944" s="72" t="str">
        <f t="shared" si="7"/>
        <v>No</v>
      </c>
    </row>
    <row r="945" ht="15.75" customHeight="1">
      <c r="A945" s="88">
        <f t="shared" si="8"/>
        <v>44409</v>
      </c>
      <c r="B945" s="72" t="str">
        <f t="shared" si="1"/>
        <v>20210801</v>
      </c>
      <c r="C945" s="72" t="str">
        <f t="shared" si="2"/>
        <v>Sunday</v>
      </c>
      <c r="D945" s="72" t="str">
        <f t="shared" si="3"/>
        <v>August</v>
      </c>
      <c r="E945" s="72" t="str">
        <f t="shared" si="4"/>
        <v>Q3</v>
      </c>
      <c r="F945" s="72">
        <f t="shared" si="5"/>
        <v>2021</v>
      </c>
      <c r="G945" s="89">
        <f t="shared" si="6"/>
        <v>44415</v>
      </c>
      <c r="H945" s="72" t="str">
        <f t="shared" si="7"/>
        <v>No</v>
      </c>
    </row>
    <row r="946" ht="15.75" customHeight="1">
      <c r="A946" s="88">
        <f t="shared" si="8"/>
        <v>44410</v>
      </c>
      <c r="B946" s="72" t="str">
        <f t="shared" si="1"/>
        <v>20210802</v>
      </c>
      <c r="C946" s="72" t="str">
        <f t="shared" si="2"/>
        <v>Monday</v>
      </c>
      <c r="D946" s="72" t="str">
        <f t="shared" si="3"/>
        <v>August</v>
      </c>
      <c r="E946" s="72" t="str">
        <f t="shared" si="4"/>
        <v>Q3</v>
      </c>
      <c r="F946" s="72">
        <f t="shared" si="5"/>
        <v>2021</v>
      </c>
      <c r="G946" s="89">
        <f t="shared" si="6"/>
        <v>44415</v>
      </c>
      <c r="H946" s="72" t="str">
        <f t="shared" si="7"/>
        <v>Yes</v>
      </c>
    </row>
    <row r="947" ht="15.75" customHeight="1">
      <c r="A947" s="88">
        <f t="shared" si="8"/>
        <v>44411</v>
      </c>
      <c r="B947" s="72" t="str">
        <f t="shared" si="1"/>
        <v>20210803</v>
      </c>
      <c r="C947" s="72" t="str">
        <f t="shared" si="2"/>
        <v>Tuesday</v>
      </c>
      <c r="D947" s="72" t="str">
        <f t="shared" si="3"/>
        <v>August</v>
      </c>
      <c r="E947" s="72" t="str">
        <f t="shared" si="4"/>
        <v>Q3</v>
      </c>
      <c r="F947" s="72">
        <f t="shared" si="5"/>
        <v>2021</v>
      </c>
      <c r="G947" s="89">
        <f t="shared" si="6"/>
        <v>44415</v>
      </c>
      <c r="H947" s="72" t="str">
        <f t="shared" si="7"/>
        <v>Yes</v>
      </c>
    </row>
    <row r="948" ht="15.75" customHeight="1">
      <c r="A948" s="88">
        <f t="shared" si="8"/>
        <v>44412</v>
      </c>
      <c r="B948" s="72" t="str">
        <f t="shared" si="1"/>
        <v>20210804</v>
      </c>
      <c r="C948" s="72" t="str">
        <f t="shared" si="2"/>
        <v>Wednesday</v>
      </c>
      <c r="D948" s="72" t="str">
        <f t="shared" si="3"/>
        <v>August</v>
      </c>
      <c r="E948" s="72" t="str">
        <f t="shared" si="4"/>
        <v>Q3</v>
      </c>
      <c r="F948" s="72">
        <f t="shared" si="5"/>
        <v>2021</v>
      </c>
      <c r="G948" s="89">
        <f t="shared" si="6"/>
        <v>44415</v>
      </c>
      <c r="H948" s="72" t="str">
        <f t="shared" si="7"/>
        <v>Yes</v>
      </c>
    </row>
    <row r="949" ht="15.75" customHeight="1">
      <c r="A949" s="88">
        <f t="shared" si="8"/>
        <v>44413</v>
      </c>
      <c r="B949" s="72" t="str">
        <f t="shared" si="1"/>
        <v>20210805</v>
      </c>
      <c r="C949" s="72" t="str">
        <f t="shared" si="2"/>
        <v>Thursday</v>
      </c>
      <c r="D949" s="72" t="str">
        <f t="shared" si="3"/>
        <v>August</v>
      </c>
      <c r="E949" s="72" t="str">
        <f t="shared" si="4"/>
        <v>Q3</v>
      </c>
      <c r="F949" s="72">
        <f t="shared" si="5"/>
        <v>2021</v>
      </c>
      <c r="G949" s="89">
        <f t="shared" si="6"/>
        <v>44415</v>
      </c>
      <c r="H949" s="72" t="str">
        <f t="shared" si="7"/>
        <v>Yes</v>
      </c>
    </row>
    <row r="950" ht="15.75" customHeight="1">
      <c r="A950" s="88">
        <f t="shared" si="8"/>
        <v>44414</v>
      </c>
      <c r="B950" s="72" t="str">
        <f t="shared" si="1"/>
        <v>20210806</v>
      </c>
      <c r="C950" s="72" t="str">
        <f t="shared" si="2"/>
        <v>Friday</v>
      </c>
      <c r="D950" s="72" t="str">
        <f t="shared" si="3"/>
        <v>August</v>
      </c>
      <c r="E950" s="72" t="str">
        <f t="shared" si="4"/>
        <v>Q3</v>
      </c>
      <c r="F950" s="72">
        <f t="shared" si="5"/>
        <v>2021</v>
      </c>
      <c r="G950" s="89">
        <f t="shared" si="6"/>
        <v>44415</v>
      </c>
      <c r="H950" s="72" t="str">
        <f t="shared" si="7"/>
        <v>Yes</v>
      </c>
    </row>
    <row r="951" ht="15.75" customHeight="1">
      <c r="A951" s="88">
        <f t="shared" si="8"/>
        <v>44415</v>
      </c>
      <c r="B951" s="72" t="str">
        <f t="shared" si="1"/>
        <v>20210807</v>
      </c>
      <c r="C951" s="72" t="str">
        <f t="shared" si="2"/>
        <v>Saturday</v>
      </c>
      <c r="D951" s="72" t="str">
        <f t="shared" si="3"/>
        <v>August</v>
      </c>
      <c r="E951" s="72" t="str">
        <f t="shared" si="4"/>
        <v>Q3</v>
      </c>
      <c r="F951" s="72">
        <f t="shared" si="5"/>
        <v>2021</v>
      </c>
      <c r="G951" s="89">
        <f t="shared" si="6"/>
        <v>44415</v>
      </c>
      <c r="H951" s="72" t="str">
        <f t="shared" si="7"/>
        <v>No</v>
      </c>
    </row>
    <row r="952" ht="15.75" customHeight="1">
      <c r="A952" s="88">
        <f t="shared" si="8"/>
        <v>44416</v>
      </c>
      <c r="B952" s="72" t="str">
        <f t="shared" si="1"/>
        <v>20210808</v>
      </c>
      <c r="C952" s="72" t="str">
        <f t="shared" si="2"/>
        <v>Sunday</v>
      </c>
      <c r="D952" s="72" t="str">
        <f t="shared" si="3"/>
        <v>August</v>
      </c>
      <c r="E952" s="72" t="str">
        <f t="shared" si="4"/>
        <v>Q3</v>
      </c>
      <c r="F952" s="72">
        <f t="shared" si="5"/>
        <v>2021</v>
      </c>
      <c r="G952" s="89">
        <f t="shared" si="6"/>
        <v>44422</v>
      </c>
      <c r="H952" s="72" t="str">
        <f t="shared" si="7"/>
        <v>No</v>
      </c>
    </row>
    <row r="953" ht="15.75" customHeight="1">
      <c r="A953" s="88">
        <f t="shared" si="8"/>
        <v>44417</v>
      </c>
      <c r="B953" s="72" t="str">
        <f t="shared" si="1"/>
        <v>20210809</v>
      </c>
      <c r="C953" s="72" t="str">
        <f t="shared" si="2"/>
        <v>Monday</v>
      </c>
      <c r="D953" s="72" t="str">
        <f t="shared" si="3"/>
        <v>August</v>
      </c>
      <c r="E953" s="72" t="str">
        <f t="shared" si="4"/>
        <v>Q3</v>
      </c>
      <c r="F953" s="72">
        <f t="shared" si="5"/>
        <v>2021</v>
      </c>
      <c r="G953" s="89">
        <f t="shared" si="6"/>
        <v>44422</v>
      </c>
      <c r="H953" s="72" t="str">
        <f t="shared" si="7"/>
        <v>Yes</v>
      </c>
    </row>
    <row r="954" ht="15.75" customHeight="1">
      <c r="A954" s="88">
        <f t="shared" si="8"/>
        <v>44418</v>
      </c>
      <c r="B954" s="72" t="str">
        <f t="shared" si="1"/>
        <v>20210810</v>
      </c>
      <c r="C954" s="72" t="str">
        <f t="shared" si="2"/>
        <v>Tuesday</v>
      </c>
      <c r="D954" s="72" t="str">
        <f t="shared" si="3"/>
        <v>August</v>
      </c>
      <c r="E954" s="72" t="str">
        <f t="shared" si="4"/>
        <v>Q3</v>
      </c>
      <c r="F954" s="72">
        <f t="shared" si="5"/>
        <v>2021</v>
      </c>
      <c r="G954" s="89">
        <f t="shared" si="6"/>
        <v>44422</v>
      </c>
      <c r="H954" s="72" t="str">
        <f t="shared" si="7"/>
        <v>Yes</v>
      </c>
    </row>
    <row r="955" ht="15.75" customHeight="1">
      <c r="A955" s="88">
        <f t="shared" si="8"/>
        <v>44419</v>
      </c>
      <c r="B955" s="72" t="str">
        <f t="shared" si="1"/>
        <v>20210811</v>
      </c>
      <c r="C955" s="72" t="str">
        <f t="shared" si="2"/>
        <v>Wednesday</v>
      </c>
      <c r="D955" s="72" t="str">
        <f t="shared" si="3"/>
        <v>August</v>
      </c>
      <c r="E955" s="72" t="str">
        <f t="shared" si="4"/>
        <v>Q3</v>
      </c>
      <c r="F955" s="72">
        <f t="shared" si="5"/>
        <v>2021</v>
      </c>
      <c r="G955" s="89">
        <f t="shared" si="6"/>
        <v>44422</v>
      </c>
      <c r="H955" s="72" t="str">
        <f t="shared" si="7"/>
        <v>Yes</v>
      </c>
    </row>
    <row r="956" ht="15.75" customHeight="1">
      <c r="A956" s="88">
        <f t="shared" si="8"/>
        <v>44420</v>
      </c>
      <c r="B956" s="72" t="str">
        <f t="shared" si="1"/>
        <v>20210812</v>
      </c>
      <c r="C956" s="72" t="str">
        <f t="shared" si="2"/>
        <v>Thursday</v>
      </c>
      <c r="D956" s="72" t="str">
        <f t="shared" si="3"/>
        <v>August</v>
      </c>
      <c r="E956" s="72" t="str">
        <f t="shared" si="4"/>
        <v>Q3</v>
      </c>
      <c r="F956" s="72">
        <f t="shared" si="5"/>
        <v>2021</v>
      </c>
      <c r="G956" s="89">
        <f t="shared" si="6"/>
        <v>44422</v>
      </c>
      <c r="H956" s="72" t="str">
        <f t="shared" si="7"/>
        <v>Yes</v>
      </c>
    </row>
    <row r="957" ht="15.75" customHeight="1">
      <c r="A957" s="88">
        <f t="shared" si="8"/>
        <v>44421</v>
      </c>
      <c r="B957" s="72" t="str">
        <f t="shared" si="1"/>
        <v>20210813</v>
      </c>
      <c r="C957" s="72" t="str">
        <f t="shared" si="2"/>
        <v>Friday</v>
      </c>
      <c r="D957" s="72" t="str">
        <f t="shared" si="3"/>
        <v>August</v>
      </c>
      <c r="E957" s="72" t="str">
        <f t="shared" si="4"/>
        <v>Q3</v>
      </c>
      <c r="F957" s="72">
        <f t="shared" si="5"/>
        <v>2021</v>
      </c>
      <c r="G957" s="89">
        <f t="shared" si="6"/>
        <v>44422</v>
      </c>
      <c r="H957" s="72" t="str">
        <f t="shared" si="7"/>
        <v>Yes</v>
      </c>
    </row>
    <row r="958" ht="15.75" customHeight="1">
      <c r="A958" s="88">
        <f t="shared" si="8"/>
        <v>44422</v>
      </c>
      <c r="B958" s="72" t="str">
        <f t="shared" si="1"/>
        <v>20210814</v>
      </c>
      <c r="C958" s="72" t="str">
        <f t="shared" si="2"/>
        <v>Saturday</v>
      </c>
      <c r="D958" s="72" t="str">
        <f t="shared" si="3"/>
        <v>August</v>
      </c>
      <c r="E958" s="72" t="str">
        <f t="shared" si="4"/>
        <v>Q3</v>
      </c>
      <c r="F958" s="72">
        <f t="shared" si="5"/>
        <v>2021</v>
      </c>
      <c r="G958" s="89">
        <f t="shared" si="6"/>
        <v>44422</v>
      </c>
      <c r="H958" s="72" t="str">
        <f t="shared" si="7"/>
        <v>No</v>
      </c>
    </row>
    <row r="959" ht="15.75" customHeight="1">
      <c r="A959" s="88">
        <f t="shared" si="8"/>
        <v>44423</v>
      </c>
      <c r="B959" s="72" t="str">
        <f t="shared" si="1"/>
        <v>20210815</v>
      </c>
      <c r="C959" s="72" t="str">
        <f t="shared" si="2"/>
        <v>Sunday</v>
      </c>
      <c r="D959" s="72" t="str">
        <f t="shared" si="3"/>
        <v>August</v>
      </c>
      <c r="E959" s="72" t="str">
        <f t="shared" si="4"/>
        <v>Q3</v>
      </c>
      <c r="F959" s="72">
        <f t="shared" si="5"/>
        <v>2021</v>
      </c>
      <c r="G959" s="89">
        <f t="shared" si="6"/>
        <v>44429</v>
      </c>
      <c r="H959" s="72" t="str">
        <f t="shared" si="7"/>
        <v>No</v>
      </c>
    </row>
    <row r="960" ht="15.75" customHeight="1">
      <c r="A960" s="88">
        <f t="shared" si="8"/>
        <v>44424</v>
      </c>
      <c r="B960" s="72" t="str">
        <f t="shared" si="1"/>
        <v>20210816</v>
      </c>
      <c r="C960" s="72" t="str">
        <f t="shared" si="2"/>
        <v>Monday</v>
      </c>
      <c r="D960" s="72" t="str">
        <f t="shared" si="3"/>
        <v>August</v>
      </c>
      <c r="E960" s="72" t="str">
        <f t="shared" si="4"/>
        <v>Q3</v>
      </c>
      <c r="F960" s="72">
        <f t="shared" si="5"/>
        <v>2021</v>
      </c>
      <c r="G960" s="89">
        <f t="shared" si="6"/>
        <v>44429</v>
      </c>
      <c r="H960" s="72" t="str">
        <f t="shared" si="7"/>
        <v>Yes</v>
      </c>
    </row>
    <row r="961" ht="15.75" customHeight="1">
      <c r="A961" s="88">
        <f t="shared" si="8"/>
        <v>44425</v>
      </c>
      <c r="B961" s="72" t="str">
        <f t="shared" si="1"/>
        <v>20210817</v>
      </c>
      <c r="C961" s="72" t="str">
        <f t="shared" si="2"/>
        <v>Tuesday</v>
      </c>
      <c r="D961" s="72" t="str">
        <f t="shared" si="3"/>
        <v>August</v>
      </c>
      <c r="E961" s="72" t="str">
        <f t="shared" si="4"/>
        <v>Q3</v>
      </c>
      <c r="F961" s="72">
        <f t="shared" si="5"/>
        <v>2021</v>
      </c>
      <c r="G961" s="89">
        <f t="shared" si="6"/>
        <v>44429</v>
      </c>
      <c r="H961" s="72" t="str">
        <f t="shared" si="7"/>
        <v>Yes</v>
      </c>
    </row>
    <row r="962" ht="15.75" customHeight="1">
      <c r="A962" s="88">
        <f t="shared" si="8"/>
        <v>44426</v>
      </c>
      <c r="B962" s="72" t="str">
        <f t="shared" si="1"/>
        <v>20210818</v>
      </c>
      <c r="C962" s="72" t="str">
        <f t="shared" si="2"/>
        <v>Wednesday</v>
      </c>
      <c r="D962" s="72" t="str">
        <f t="shared" si="3"/>
        <v>August</v>
      </c>
      <c r="E962" s="72" t="str">
        <f t="shared" si="4"/>
        <v>Q3</v>
      </c>
      <c r="F962" s="72">
        <f t="shared" si="5"/>
        <v>2021</v>
      </c>
      <c r="G962" s="89">
        <f t="shared" si="6"/>
        <v>44429</v>
      </c>
      <c r="H962" s="72" t="str">
        <f t="shared" si="7"/>
        <v>Yes</v>
      </c>
    </row>
    <row r="963" ht="15.75" customHeight="1">
      <c r="A963" s="88">
        <f t="shared" si="8"/>
        <v>44427</v>
      </c>
      <c r="B963" s="72" t="str">
        <f t="shared" si="1"/>
        <v>20210819</v>
      </c>
      <c r="C963" s="72" t="str">
        <f t="shared" si="2"/>
        <v>Thursday</v>
      </c>
      <c r="D963" s="72" t="str">
        <f t="shared" si="3"/>
        <v>August</v>
      </c>
      <c r="E963" s="72" t="str">
        <f t="shared" si="4"/>
        <v>Q3</v>
      </c>
      <c r="F963" s="72">
        <f t="shared" si="5"/>
        <v>2021</v>
      </c>
      <c r="G963" s="89">
        <f t="shared" si="6"/>
        <v>44429</v>
      </c>
      <c r="H963" s="72" t="str">
        <f t="shared" si="7"/>
        <v>Yes</v>
      </c>
    </row>
    <row r="964" ht="15.75" customHeight="1">
      <c r="A964" s="88">
        <f t="shared" si="8"/>
        <v>44428</v>
      </c>
      <c r="B964" s="72" t="str">
        <f t="shared" si="1"/>
        <v>20210820</v>
      </c>
      <c r="C964" s="72" t="str">
        <f t="shared" si="2"/>
        <v>Friday</v>
      </c>
      <c r="D964" s="72" t="str">
        <f t="shared" si="3"/>
        <v>August</v>
      </c>
      <c r="E964" s="72" t="str">
        <f t="shared" si="4"/>
        <v>Q3</v>
      </c>
      <c r="F964" s="72">
        <f t="shared" si="5"/>
        <v>2021</v>
      </c>
      <c r="G964" s="89">
        <f t="shared" si="6"/>
        <v>44429</v>
      </c>
      <c r="H964" s="72" t="str">
        <f t="shared" si="7"/>
        <v>Yes</v>
      </c>
    </row>
    <row r="965" ht="15.75" customHeight="1">
      <c r="A965" s="88">
        <f t="shared" si="8"/>
        <v>44429</v>
      </c>
      <c r="B965" s="72" t="str">
        <f t="shared" si="1"/>
        <v>20210821</v>
      </c>
      <c r="C965" s="72" t="str">
        <f t="shared" si="2"/>
        <v>Saturday</v>
      </c>
      <c r="D965" s="72" t="str">
        <f t="shared" si="3"/>
        <v>August</v>
      </c>
      <c r="E965" s="72" t="str">
        <f t="shared" si="4"/>
        <v>Q3</v>
      </c>
      <c r="F965" s="72">
        <f t="shared" si="5"/>
        <v>2021</v>
      </c>
      <c r="G965" s="89">
        <f t="shared" si="6"/>
        <v>44429</v>
      </c>
      <c r="H965" s="72" t="str">
        <f t="shared" si="7"/>
        <v>No</v>
      </c>
    </row>
    <row r="966" ht="15.75" customHeight="1">
      <c r="A966" s="88">
        <f t="shared" si="8"/>
        <v>44430</v>
      </c>
      <c r="B966" s="72" t="str">
        <f t="shared" si="1"/>
        <v>20210822</v>
      </c>
      <c r="C966" s="72" t="str">
        <f t="shared" si="2"/>
        <v>Sunday</v>
      </c>
      <c r="D966" s="72" t="str">
        <f t="shared" si="3"/>
        <v>August</v>
      </c>
      <c r="E966" s="72" t="str">
        <f t="shared" si="4"/>
        <v>Q3</v>
      </c>
      <c r="F966" s="72">
        <f t="shared" si="5"/>
        <v>2021</v>
      </c>
      <c r="G966" s="89">
        <f t="shared" si="6"/>
        <v>44436</v>
      </c>
      <c r="H966" s="72" t="str">
        <f t="shared" si="7"/>
        <v>No</v>
      </c>
    </row>
    <row r="967" ht="15.75" customHeight="1">
      <c r="A967" s="88">
        <f t="shared" si="8"/>
        <v>44431</v>
      </c>
      <c r="B967" s="72" t="str">
        <f t="shared" si="1"/>
        <v>20210823</v>
      </c>
      <c r="C967" s="72" t="str">
        <f t="shared" si="2"/>
        <v>Monday</v>
      </c>
      <c r="D967" s="72" t="str">
        <f t="shared" si="3"/>
        <v>August</v>
      </c>
      <c r="E967" s="72" t="str">
        <f t="shared" si="4"/>
        <v>Q3</v>
      </c>
      <c r="F967" s="72">
        <f t="shared" si="5"/>
        <v>2021</v>
      </c>
      <c r="G967" s="89">
        <f t="shared" si="6"/>
        <v>44436</v>
      </c>
      <c r="H967" s="72" t="str">
        <f t="shared" si="7"/>
        <v>Yes</v>
      </c>
    </row>
    <row r="968" ht="15.75" customHeight="1">
      <c r="A968" s="88">
        <f t="shared" si="8"/>
        <v>44432</v>
      </c>
      <c r="B968" s="72" t="str">
        <f t="shared" si="1"/>
        <v>20210824</v>
      </c>
      <c r="C968" s="72" t="str">
        <f t="shared" si="2"/>
        <v>Tuesday</v>
      </c>
      <c r="D968" s="72" t="str">
        <f t="shared" si="3"/>
        <v>August</v>
      </c>
      <c r="E968" s="72" t="str">
        <f t="shared" si="4"/>
        <v>Q3</v>
      </c>
      <c r="F968" s="72">
        <f t="shared" si="5"/>
        <v>2021</v>
      </c>
      <c r="G968" s="89">
        <f t="shared" si="6"/>
        <v>44436</v>
      </c>
      <c r="H968" s="72" t="str">
        <f t="shared" si="7"/>
        <v>Yes</v>
      </c>
    </row>
    <row r="969" ht="15.75" customHeight="1">
      <c r="A969" s="88">
        <f t="shared" si="8"/>
        <v>44433</v>
      </c>
      <c r="B969" s="72" t="str">
        <f t="shared" si="1"/>
        <v>20210825</v>
      </c>
      <c r="C969" s="72" t="str">
        <f t="shared" si="2"/>
        <v>Wednesday</v>
      </c>
      <c r="D969" s="72" t="str">
        <f t="shared" si="3"/>
        <v>August</v>
      </c>
      <c r="E969" s="72" t="str">
        <f t="shared" si="4"/>
        <v>Q3</v>
      </c>
      <c r="F969" s="72">
        <f t="shared" si="5"/>
        <v>2021</v>
      </c>
      <c r="G969" s="89">
        <f t="shared" si="6"/>
        <v>44436</v>
      </c>
      <c r="H969" s="72" t="str">
        <f t="shared" si="7"/>
        <v>Yes</v>
      </c>
    </row>
    <row r="970" ht="15.75" customHeight="1">
      <c r="A970" s="88">
        <f t="shared" si="8"/>
        <v>44434</v>
      </c>
      <c r="B970" s="72" t="str">
        <f t="shared" si="1"/>
        <v>20210826</v>
      </c>
      <c r="C970" s="72" t="str">
        <f t="shared" si="2"/>
        <v>Thursday</v>
      </c>
      <c r="D970" s="72" t="str">
        <f t="shared" si="3"/>
        <v>August</v>
      </c>
      <c r="E970" s="72" t="str">
        <f t="shared" si="4"/>
        <v>Q3</v>
      </c>
      <c r="F970" s="72">
        <f t="shared" si="5"/>
        <v>2021</v>
      </c>
      <c r="G970" s="89">
        <f t="shared" si="6"/>
        <v>44436</v>
      </c>
      <c r="H970" s="72" t="str">
        <f t="shared" si="7"/>
        <v>Yes</v>
      </c>
    </row>
    <row r="971" ht="15.75" customHeight="1">
      <c r="A971" s="88">
        <f t="shared" si="8"/>
        <v>44435</v>
      </c>
      <c r="B971" s="72" t="str">
        <f t="shared" si="1"/>
        <v>20210827</v>
      </c>
      <c r="C971" s="72" t="str">
        <f t="shared" si="2"/>
        <v>Friday</v>
      </c>
      <c r="D971" s="72" t="str">
        <f t="shared" si="3"/>
        <v>August</v>
      </c>
      <c r="E971" s="72" t="str">
        <f t="shared" si="4"/>
        <v>Q3</v>
      </c>
      <c r="F971" s="72">
        <f t="shared" si="5"/>
        <v>2021</v>
      </c>
      <c r="G971" s="89">
        <f t="shared" si="6"/>
        <v>44436</v>
      </c>
      <c r="H971" s="72" t="str">
        <f t="shared" si="7"/>
        <v>Yes</v>
      </c>
    </row>
    <row r="972" ht="15.75" customHeight="1">
      <c r="A972" s="88">
        <f t="shared" si="8"/>
        <v>44436</v>
      </c>
      <c r="B972" s="72" t="str">
        <f t="shared" si="1"/>
        <v>20210828</v>
      </c>
      <c r="C972" s="72" t="str">
        <f t="shared" si="2"/>
        <v>Saturday</v>
      </c>
      <c r="D972" s="72" t="str">
        <f t="shared" si="3"/>
        <v>August</v>
      </c>
      <c r="E972" s="72" t="str">
        <f t="shared" si="4"/>
        <v>Q3</v>
      </c>
      <c r="F972" s="72">
        <f t="shared" si="5"/>
        <v>2021</v>
      </c>
      <c r="G972" s="89">
        <f t="shared" si="6"/>
        <v>44436</v>
      </c>
      <c r="H972" s="72" t="str">
        <f t="shared" si="7"/>
        <v>No</v>
      </c>
    </row>
    <row r="973" ht="15.75" customHeight="1">
      <c r="A973" s="88">
        <f t="shared" si="8"/>
        <v>44437</v>
      </c>
      <c r="B973" s="72" t="str">
        <f t="shared" si="1"/>
        <v>20210829</v>
      </c>
      <c r="C973" s="72" t="str">
        <f t="shared" si="2"/>
        <v>Sunday</v>
      </c>
      <c r="D973" s="72" t="str">
        <f t="shared" si="3"/>
        <v>August</v>
      </c>
      <c r="E973" s="72" t="str">
        <f t="shared" si="4"/>
        <v>Q3</v>
      </c>
      <c r="F973" s="72">
        <f t="shared" si="5"/>
        <v>2021</v>
      </c>
      <c r="G973" s="89">
        <f t="shared" si="6"/>
        <v>44443</v>
      </c>
      <c r="H973" s="72" t="str">
        <f t="shared" si="7"/>
        <v>No</v>
      </c>
    </row>
    <row r="974" ht="15.75" customHeight="1">
      <c r="A974" s="88">
        <f t="shared" si="8"/>
        <v>44438</v>
      </c>
      <c r="B974" s="72" t="str">
        <f t="shared" si="1"/>
        <v>20210830</v>
      </c>
      <c r="C974" s="72" t="str">
        <f t="shared" si="2"/>
        <v>Monday</v>
      </c>
      <c r="D974" s="72" t="str">
        <f t="shared" si="3"/>
        <v>August</v>
      </c>
      <c r="E974" s="72" t="str">
        <f t="shared" si="4"/>
        <v>Q3</v>
      </c>
      <c r="F974" s="72">
        <f t="shared" si="5"/>
        <v>2021</v>
      </c>
      <c r="G974" s="89">
        <f t="shared" si="6"/>
        <v>44443</v>
      </c>
      <c r="H974" s="72" t="str">
        <f t="shared" si="7"/>
        <v>Yes</v>
      </c>
    </row>
    <row r="975" ht="15.75" customHeight="1">
      <c r="A975" s="88">
        <f t="shared" si="8"/>
        <v>44439</v>
      </c>
      <c r="B975" s="72" t="str">
        <f t="shared" si="1"/>
        <v>20210831</v>
      </c>
      <c r="C975" s="72" t="str">
        <f t="shared" si="2"/>
        <v>Tuesday</v>
      </c>
      <c r="D975" s="72" t="str">
        <f t="shared" si="3"/>
        <v>August</v>
      </c>
      <c r="E975" s="72" t="str">
        <f t="shared" si="4"/>
        <v>Q3</v>
      </c>
      <c r="F975" s="72">
        <f t="shared" si="5"/>
        <v>2021</v>
      </c>
      <c r="G975" s="89">
        <f t="shared" si="6"/>
        <v>44443</v>
      </c>
      <c r="H975" s="72" t="str">
        <f t="shared" si="7"/>
        <v>Yes</v>
      </c>
    </row>
    <row r="976" ht="15.75" customHeight="1">
      <c r="A976" s="88">
        <f t="shared" si="8"/>
        <v>44440</v>
      </c>
      <c r="B976" s="72" t="str">
        <f t="shared" si="1"/>
        <v>20210901</v>
      </c>
      <c r="C976" s="72" t="str">
        <f t="shared" si="2"/>
        <v>Wednesday</v>
      </c>
      <c r="D976" s="72" t="str">
        <f t="shared" si="3"/>
        <v>September</v>
      </c>
      <c r="E976" s="72" t="str">
        <f t="shared" si="4"/>
        <v>Q3</v>
      </c>
      <c r="F976" s="72">
        <f t="shared" si="5"/>
        <v>2021</v>
      </c>
      <c r="G976" s="89">
        <f t="shared" si="6"/>
        <v>44443</v>
      </c>
      <c r="H976" s="72" t="str">
        <f t="shared" si="7"/>
        <v>Yes</v>
      </c>
    </row>
    <row r="977" ht="15.75" customHeight="1">
      <c r="A977" s="88">
        <f t="shared" si="8"/>
        <v>44441</v>
      </c>
      <c r="B977" s="72" t="str">
        <f t="shared" si="1"/>
        <v>20210902</v>
      </c>
      <c r="C977" s="72" t="str">
        <f t="shared" si="2"/>
        <v>Thursday</v>
      </c>
      <c r="D977" s="72" t="str">
        <f t="shared" si="3"/>
        <v>September</v>
      </c>
      <c r="E977" s="72" t="str">
        <f t="shared" si="4"/>
        <v>Q3</v>
      </c>
      <c r="F977" s="72">
        <f t="shared" si="5"/>
        <v>2021</v>
      </c>
      <c r="G977" s="89">
        <f t="shared" si="6"/>
        <v>44443</v>
      </c>
      <c r="H977" s="72" t="str">
        <f t="shared" si="7"/>
        <v>Yes</v>
      </c>
    </row>
    <row r="978" ht="15.75" customHeight="1">
      <c r="A978" s="88">
        <f t="shared" si="8"/>
        <v>44442</v>
      </c>
      <c r="B978" s="72" t="str">
        <f t="shared" si="1"/>
        <v>20210903</v>
      </c>
      <c r="C978" s="72" t="str">
        <f t="shared" si="2"/>
        <v>Friday</v>
      </c>
      <c r="D978" s="72" t="str">
        <f t="shared" si="3"/>
        <v>September</v>
      </c>
      <c r="E978" s="72" t="str">
        <f t="shared" si="4"/>
        <v>Q3</v>
      </c>
      <c r="F978" s="72">
        <f t="shared" si="5"/>
        <v>2021</v>
      </c>
      <c r="G978" s="89">
        <f t="shared" si="6"/>
        <v>44443</v>
      </c>
      <c r="H978" s="72" t="str">
        <f t="shared" si="7"/>
        <v>Yes</v>
      </c>
    </row>
    <row r="979" ht="15.75" customHeight="1">
      <c r="A979" s="88">
        <f t="shared" si="8"/>
        <v>44443</v>
      </c>
      <c r="B979" s="72" t="str">
        <f t="shared" si="1"/>
        <v>20210904</v>
      </c>
      <c r="C979" s="72" t="str">
        <f t="shared" si="2"/>
        <v>Saturday</v>
      </c>
      <c r="D979" s="72" t="str">
        <f t="shared" si="3"/>
        <v>September</v>
      </c>
      <c r="E979" s="72" t="str">
        <f t="shared" si="4"/>
        <v>Q3</v>
      </c>
      <c r="F979" s="72">
        <f t="shared" si="5"/>
        <v>2021</v>
      </c>
      <c r="G979" s="89">
        <f t="shared" si="6"/>
        <v>44443</v>
      </c>
      <c r="H979" s="72" t="str">
        <f t="shared" si="7"/>
        <v>No</v>
      </c>
    </row>
    <row r="980" ht="15.75" customHeight="1">
      <c r="A980" s="88">
        <f t="shared" si="8"/>
        <v>44444</v>
      </c>
      <c r="B980" s="72" t="str">
        <f t="shared" si="1"/>
        <v>20210905</v>
      </c>
      <c r="C980" s="72" t="str">
        <f t="shared" si="2"/>
        <v>Sunday</v>
      </c>
      <c r="D980" s="72" t="str">
        <f t="shared" si="3"/>
        <v>September</v>
      </c>
      <c r="E980" s="72" t="str">
        <f t="shared" si="4"/>
        <v>Q3</v>
      </c>
      <c r="F980" s="72">
        <f t="shared" si="5"/>
        <v>2021</v>
      </c>
      <c r="G980" s="89">
        <f t="shared" si="6"/>
        <v>44450</v>
      </c>
      <c r="H980" s="72" t="str">
        <f t="shared" si="7"/>
        <v>No</v>
      </c>
    </row>
    <row r="981" ht="15.75" customHeight="1">
      <c r="A981" s="88">
        <f t="shared" si="8"/>
        <v>44445</v>
      </c>
      <c r="B981" s="72" t="str">
        <f t="shared" si="1"/>
        <v>20210906</v>
      </c>
      <c r="C981" s="72" t="str">
        <f t="shared" si="2"/>
        <v>Monday</v>
      </c>
      <c r="D981" s="72" t="str">
        <f t="shared" si="3"/>
        <v>September</v>
      </c>
      <c r="E981" s="72" t="str">
        <f t="shared" si="4"/>
        <v>Q3</v>
      </c>
      <c r="F981" s="72">
        <f t="shared" si="5"/>
        <v>2021</v>
      </c>
      <c r="G981" s="89">
        <f t="shared" si="6"/>
        <v>44450</v>
      </c>
      <c r="H981" s="72" t="str">
        <f t="shared" si="7"/>
        <v>Yes</v>
      </c>
    </row>
    <row r="982" ht="15.75" customHeight="1">
      <c r="A982" s="88">
        <f t="shared" si="8"/>
        <v>44446</v>
      </c>
      <c r="B982" s="72" t="str">
        <f t="shared" si="1"/>
        <v>20210907</v>
      </c>
      <c r="C982" s="72" t="str">
        <f t="shared" si="2"/>
        <v>Tuesday</v>
      </c>
      <c r="D982" s="72" t="str">
        <f t="shared" si="3"/>
        <v>September</v>
      </c>
      <c r="E982" s="72" t="str">
        <f t="shared" si="4"/>
        <v>Q3</v>
      </c>
      <c r="F982" s="72">
        <f t="shared" si="5"/>
        <v>2021</v>
      </c>
      <c r="G982" s="89">
        <f t="shared" si="6"/>
        <v>44450</v>
      </c>
      <c r="H982" s="72" t="str">
        <f t="shared" si="7"/>
        <v>Yes</v>
      </c>
    </row>
    <row r="983" ht="15.75" customHeight="1">
      <c r="A983" s="88">
        <f t="shared" si="8"/>
        <v>44447</v>
      </c>
      <c r="B983" s="72" t="str">
        <f t="shared" si="1"/>
        <v>20210908</v>
      </c>
      <c r="C983" s="72" t="str">
        <f t="shared" si="2"/>
        <v>Wednesday</v>
      </c>
      <c r="D983" s="72" t="str">
        <f t="shared" si="3"/>
        <v>September</v>
      </c>
      <c r="E983" s="72" t="str">
        <f t="shared" si="4"/>
        <v>Q3</v>
      </c>
      <c r="F983" s="72">
        <f t="shared" si="5"/>
        <v>2021</v>
      </c>
      <c r="G983" s="89">
        <f t="shared" si="6"/>
        <v>44450</v>
      </c>
      <c r="H983" s="72" t="str">
        <f t="shared" si="7"/>
        <v>Yes</v>
      </c>
    </row>
    <row r="984" ht="15.75" customHeight="1">
      <c r="A984" s="88">
        <f t="shared" si="8"/>
        <v>44448</v>
      </c>
      <c r="B984" s="72" t="str">
        <f t="shared" si="1"/>
        <v>20210909</v>
      </c>
      <c r="C984" s="72" t="str">
        <f t="shared" si="2"/>
        <v>Thursday</v>
      </c>
      <c r="D984" s="72" t="str">
        <f t="shared" si="3"/>
        <v>September</v>
      </c>
      <c r="E984" s="72" t="str">
        <f t="shared" si="4"/>
        <v>Q3</v>
      </c>
      <c r="F984" s="72">
        <f t="shared" si="5"/>
        <v>2021</v>
      </c>
      <c r="G984" s="89">
        <f t="shared" si="6"/>
        <v>44450</v>
      </c>
      <c r="H984" s="72" t="str">
        <f t="shared" si="7"/>
        <v>Yes</v>
      </c>
    </row>
    <row r="985" ht="15.75" customHeight="1">
      <c r="A985" s="88">
        <f t="shared" si="8"/>
        <v>44449</v>
      </c>
      <c r="B985" s="72" t="str">
        <f t="shared" si="1"/>
        <v>20210910</v>
      </c>
      <c r="C985" s="72" t="str">
        <f t="shared" si="2"/>
        <v>Friday</v>
      </c>
      <c r="D985" s="72" t="str">
        <f t="shared" si="3"/>
        <v>September</v>
      </c>
      <c r="E985" s="72" t="str">
        <f t="shared" si="4"/>
        <v>Q3</v>
      </c>
      <c r="F985" s="72">
        <f t="shared" si="5"/>
        <v>2021</v>
      </c>
      <c r="G985" s="89">
        <f t="shared" si="6"/>
        <v>44450</v>
      </c>
      <c r="H985" s="72" t="str">
        <f t="shared" si="7"/>
        <v>Yes</v>
      </c>
    </row>
    <row r="986" ht="15.75" customHeight="1">
      <c r="A986" s="88">
        <f t="shared" si="8"/>
        <v>44450</v>
      </c>
      <c r="B986" s="72" t="str">
        <f t="shared" si="1"/>
        <v>20210911</v>
      </c>
      <c r="C986" s="72" t="str">
        <f t="shared" si="2"/>
        <v>Saturday</v>
      </c>
      <c r="D986" s="72" t="str">
        <f t="shared" si="3"/>
        <v>September</v>
      </c>
      <c r="E986" s="72" t="str">
        <f t="shared" si="4"/>
        <v>Q3</v>
      </c>
      <c r="F986" s="72">
        <f t="shared" si="5"/>
        <v>2021</v>
      </c>
      <c r="G986" s="89">
        <f t="shared" si="6"/>
        <v>44450</v>
      </c>
      <c r="H986" s="72" t="str">
        <f t="shared" si="7"/>
        <v>No</v>
      </c>
    </row>
    <row r="987" ht="15.75" customHeight="1">
      <c r="A987" s="88">
        <f t="shared" si="8"/>
        <v>44451</v>
      </c>
      <c r="B987" s="72" t="str">
        <f t="shared" si="1"/>
        <v>20210912</v>
      </c>
      <c r="C987" s="72" t="str">
        <f t="shared" si="2"/>
        <v>Sunday</v>
      </c>
      <c r="D987" s="72" t="str">
        <f t="shared" si="3"/>
        <v>September</v>
      </c>
      <c r="E987" s="72" t="str">
        <f t="shared" si="4"/>
        <v>Q3</v>
      </c>
      <c r="F987" s="72">
        <f t="shared" si="5"/>
        <v>2021</v>
      </c>
      <c r="G987" s="89">
        <f t="shared" si="6"/>
        <v>44457</v>
      </c>
      <c r="H987" s="72" t="str">
        <f t="shared" si="7"/>
        <v>No</v>
      </c>
    </row>
    <row r="988" ht="15.75" customHeight="1">
      <c r="A988" s="88">
        <f t="shared" si="8"/>
        <v>44452</v>
      </c>
      <c r="B988" s="72" t="str">
        <f t="shared" si="1"/>
        <v>20210913</v>
      </c>
      <c r="C988" s="72" t="str">
        <f t="shared" si="2"/>
        <v>Monday</v>
      </c>
      <c r="D988" s="72" t="str">
        <f t="shared" si="3"/>
        <v>September</v>
      </c>
      <c r="E988" s="72" t="str">
        <f t="shared" si="4"/>
        <v>Q3</v>
      </c>
      <c r="F988" s="72">
        <f t="shared" si="5"/>
        <v>2021</v>
      </c>
      <c r="G988" s="89">
        <f t="shared" si="6"/>
        <v>44457</v>
      </c>
      <c r="H988" s="72" t="str">
        <f t="shared" si="7"/>
        <v>Yes</v>
      </c>
    </row>
    <row r="989" ht="15.75" customHeight="1">
      <c r="A989" s="88">
        <f t="shared" si="8"/>
        <v>44453</v>
      </c>
      <c r="B989" s="72" t="str">
        <f t="shared" si="1"/>
        <v>20210914</v>
      </c>
      <c r="C989" s="72" t="str">
        <f t="shared" si="2"/>
        <v>Tuesday</v>
      </c>
      <c r="D989" s="72" t="str">
        <f t="shared" si="3"/>
        <v>September</v>
      </c>
      <c r="E989" s="72" t="str">
        <f t="shared" si="4"/>
        <v>Q3</v>
      </c>
      <c r="F989" s="72">
        <f t="shared" si="5"/>
        <v>2021</v>
      </c>
      <c r="G989" s="89">
        <f t="shared" si="6"/>
        <v>44457</v>
      </c>
      <c r="H989" s="72" t="str">
        <f t="shared" si="7"/>
        <v>Yes</v>
      </c>
    </row>
    <row r="990" ht="15.75" customHeight="1">
      <c r="A990" s="88">
        <f t="shared" si="8"/>
        <v>44454</v>
      </c>
      <c r="B990" s="72" t="str">
        <f t="shared" si="1"/>
        <v>20210915</v>
      </c>
      <c r="C990" s="72" t="str">
        <f t="shared" si="2"/>
        <v>Wednesday</v>
      </c>
      <c r="D990" s="72" t="str">
        <f t="shared" si="3"/>
        <v>September</v>
      </c>
      <c r="E990" s="72" t="str">
        <f t="shared" si="4"/>
        <v>Q3</v>
      </c>
      <c r="F990" s="72">
        <f t="shared" si="5"/>
        <v>2021</v>
      </c>
      <c r="G990" s="89">
        <f t="shared" si="6"/>
        <v>44457</v>
      </c>
      <c r="H990" s="72" t="str">
        <f t="shared" si="7"/>
        <v>Yes</v>
      </c>
    </row>
    <row r="991" ht="15.75" customHeight="1">
      <c r="A991" s="88">
        <f t="shared" si="8"/>
        <v>44455</v>
      </c>
      <c r="B991" s="72" t="str">
        <f t="shared" si="1"/>
        <v>20210916</v>
      </c>
      <c r="C991" s="72" t="str">
        <f t="shared" si="2"/>
        <v>Thursday</v>
      </c>
      <c r="D991" s="72" t="str">
        <f t="shared" si="3"/>
        <v>September</v>
      </c>
      <c r="E991" s="72" t="str">
        <f t="shared" si="4"/>
        <v>Q3</v>
      </c>
      <c r="F991" s="72">
        <f t="shared" si="5"/>
        <v>2021</v>
      </c>
      <c r="G991" s="89">
        <f t="shared" si="6"/>
        <v>44457</v>
      </c>
      <c r="H991" s="72" t="str">
        <f t="shared" si="7"/>
        <v>Yes</v>
      </c>
    </row>
    <row r="992" ht="15.75" customHeight="1">
      <c r="A992" s="88">
        <f t="shared" si="8"/>
        <v>44456</v>
      </c>
      <c r="B992" s="72" t="str">
        <f t="shared" si="1"/>
        <v>20210917</v>
      </c>
      <c r="C992" s="72" t="str">
        <f t="shared" si="2"/>
        <v>Friday</v>
      </c>
      <c r="D992" s="72" t="str">
        <f t="shared" si="3"/>
        <v>September</v>
      </c>
      <c r="E992" s="72" t="str">
        <f t="shared" si="4"/>
        <v>Q3</v>
      </c>
      <c r="F992" s="72">
        <f t="shared" si="5"/>
        <v>2021</v>
      </c>
      <c r="G992" s="89">
        <f t="shared" si="6"/>
        <v>44457</v>
      </c>
      <c r="H992" s="72" t="str">
        <f t="shared" si="7"/>
        <v>Yes</v>
      </c>
    </row>
    <row r="993" ht="15.75" customHeight="1">
      <c r="A993" s="88">
        <f t="shared" si="8"/>
        <v>44457</v>
      </c>
      <c r="B993" s="72" t="str">
        <f t="shared" si="1"/>
        <v>20210918</v>
      </c>
      <c r="C993" s="72" t="str">
        <f t="shared" si="2"/>
        <v>Saturday</v>
      </c>
      <c r="D993" s="72" t="str">
        <f t="shared" si="3"/>
        <v>September</v>
      </c>
      <c r="E993" s="72" t="str">
        <f t="shared" si="4"/>
        <v>Q3</v>
      </c>
      <c r="F993" s="72">
        <f t="shared" si="5"/>
        <v>2021</v>
      </c>
      <c r="G993" s="89">
        <f t="shared" si="6"/>
        <v>44457</v>
      </c>
      <c r="H993" s="72" t="str">
        <f t="shared" si="7"/>
        <v>No</v>
      </c>
    </row>
    <row r="994" ht="15.75" customHeight="1">
      <c r="A994" s="88">
        <f t="shared" si="8"/>
        <v>44458</v>
      </c>
      <c r="B994" s="72" t="str">
        <f t="shared" si="1"/>
        <v>20210919</v>
      </c>
      <c r="C994" s="72" t="str">
        <f t="shared" si="2"/>
        <v>Sunday</v>
      </c>
      <c r="D994" s="72" t="str">
        <f t="shared" si="3"/>
        <v>September</v>
      </c>
      <c r="E994" s="72" t="str">
        <f t="shared" si="4"/>
        <v>Q3</v>
      </c>
      <c r="F994" s="72">
        <f t="shared" si="5"/>
        <v>2021</v>
      </c>
      <c r="G994" s="89">
        <f t="shared" si="6"/>
        <v>44464</v>
      </c>
      <c r="H994" s="72" t="str">
        <f t="shared" si="7"/>
        <v>No</v>
      </c>
    </row>
    <row r="995" ht="15.75" customHeight="1">
      <c r="A995" s="88">
        <f t="shared" si="8"/>
        <v>44459</v>
      </c>
      <c r="B995" s="72" t="str">
        <f t="shared" si="1"/>
        <v>20210920</v>
      </c>
      <c r="C995" s="72" t="str">
        <f t="shared" si="2"/>
        <v>Monday</v>
      </c>
      <c r="D995" s="72" t="str">
        <f t="shared" si="3"/>
        <v>September</v>
      </c>
      <c r="E995" s="72" t="str">
        <f t="shared" si="4"/>
        <v>Q3</v>
      </c>
      <c r="F995" s="72">
        <f t="shared" si="5"/>
        <v>2021</v>
      </c>
      <c r="G995" s="89">
        <f t="shared" si="6"/>
        <v>44464</v>
      </c>
      <c r="H995" s="72" t="str">
        <f t="shared" si="7"/>
        <v>Yes</v>
      </c>
    </row>
    <row r="996" ht="15.75" customHeight="1">
      <c r="A996" s="88">
        <f t="shared" si="8"/>
        <v>44460</v>
      </c>
      <c r="B996" s="72" t="str">
        <f t="shared" si="1"/>
        <v>20210921</v>
      </c>
      <c r="C996" s="72" t="str">
        <f t="shared" si="2"/>
        <v>Tuesday</v>
      </c>
      <c r="D996" s="72" t="str">
        <f t="shared" si="3"/>
        <v>September</v>
      </c>
      <c r="E996" s="72" t="str">
        <f t="shared" si="4"/>
        <v>Q3</v>
      </c>
      <c r="F996" s="72">
        <f t="shared" si="5"/>
        <v>2021</v>
      </c>
      <c r="G996" s="89">
        <f t="shared" si="6"/>
        <v>44464</v>
      </c>
      <c r="H996" s="72" t="str">
        <f t="shared" si="7"/>
        <v>Yes</v>
      </c>
    </row>
    <row r="997" ht="15.75" customHeight="1">
      <c r="A997" s="88">
        <f t="shared" si="8"/>
        <v>44461</v>
      </c>
      <c r="B997" s="72" t="str">
        <f t="shared" si="1"/>
        <v>20210922</v>
      </c>
      <c r="C997" s="72" t="str">
        <f t="shared" si="2"/>
        <v>Wednesday</v>
      </c>
      <c r="D997" s="72" t="str">
        <f t="shared" si="3"/>
        <v>September</v>
      </c>
      <c r="E997" s="72" t="str">
        <f t="shared" si="4"/>
        <v>Q3</v>
      </c>
      <c r="F997" s="72">
        <f t="shared" si="5"/>
        <v>2021</v>
      </c>
      <c r="G997" s="89">
        <f t="shared" si="6"/>
        <v>44464</v>
      </c>
      <c r="H997" s="72" t="str">
        <f t="shared" si="7"/>
        <v>Yes</v>
      </c>
    </row>
    <row r="998" ht="15.75" customHeight="1">
      <c r="A998" s="88">
        <f t="shared" si="8"/>
        <v>44462</v>
      </c>
      <c r="B998" s="72" t="str">
        <f t="shared" si="1"/>
        <v>20210923</v>
      </c>
      <c r="C998" s="72" t="str">
        <f t="shared" si="2"/>
        <v>Thursday</v>
      </c>
      <c r="D998" s="72" t="str">
        <f t="shared" si="3"/>
        <v>September</v>
      </c>
      <c r="E998" s="72" t="str">
        <f t="shared" si="4"/>
        <v>Q3</v>
      </c>
      <c r="F998" s="72">
        <f t="shared" si="5"/>
        <v>2021</v>
      </c>
      <c r="G998" s="89">
        <f t="shared" si="6"/>
        <v>44464</v>
      </c>
      <c r="H998" s="72" t="str">
        <f t="shared" si="7"/>
        <v>Yes</v>
      </c>
    </row>
    <row r="999" ht="15.75" customHeight="1">
      <c r="A999" s="88">
        <f t="shared" si="8"/>
        <v>44463</v>
      </c>
      <c r="B999" s="72" t="str">
        <f t="shared" si="1"/>
        <v>20210924</v>
      </c>
      <c r="C999" s="72" t="str">
        <f t="shared" si="2"/>
        <v>Friday</v>
      </c>
      <c r="D999" s="72" t="str">
        <f t="shared" si="3"/>
        <v>September</v>
      </c>
      <c r="E999" s="72" t="str">
        <f t="shared" si="4"/>
        <v>Q3</v>
      </c>
      <c r="F999" s="72">
        <f t="shared" si="5"/>
        <v>2021</v>
      </c>
      <c r="G999" s="89">
        <f t="shared" si="6"/>
        <v>44464</v>
      </c>
      <c r="H999" s="72" t="str">
        <f t="shared" si="7"/>
        <v>Yes</v>
      </c>
    </row>
    <row r="1000" ht="15.75" customHeight="1">
      <c r="A1000" s="88">
        <f t="shared" si="8"/>
        <v>44464</v>
      </c>
      <c r="B1000" s="72" t="str">
        <f t="shared" si="1"/>
        <v>20210925</v>
      </c>
      <c r="C1000" s="72" t="str">
        <f t="shared" si="2"/>
        <v>Saturday</v>
      </c>
      <c r="D1000" s="72" t="str">
        <f t="shared" si="3"/>
        <v>September</v>
      </c>
      <c r="E1000" s="72" t="str">
        <f t="shared" si="4"/>
        <v>Q3</v>
      </c>
      <c r="F1000" s="72">
        <f t="shared" si="5"/>
        <v>2021</v>
      </c>
      <c r="G1000" s="89">
        <f t="shared" si="6"/>
        <v>44464</v>
      </c>
      <c r="H1000" s="72" t="str">
        <f t="shared" si="7"/>
        <v>No</v>
      </c>
    </row>
    <row r="1001" ht="15.75" customHeight="1">
      <c r="A1001" s="88">
        <f t="shared" si="8"/>
        <v>44465</v>
      </c>
      <c r="B1001" s="72" t="str">
        <f t="shared" si="1"/>
        <v>20210926</v>
      </c>
      <c r="C1001" s="72" t="str">
        <f t="shared" si="2"/>
        <v>Sunday</v>
      </c>
      <c r="D1001" s="72" t="str">
        <f t="shared" si="3"/>
        <v>September</v>
      </c>
      <c r="E1001" s="72" t="str">
        <f t="shared" si="4"/>
        <v>Q3</v>
      </c>
      <c r="F1001" s="72">
        <f t="shared" si="5"/>
        <v>2021</v>
      </c>
      <c r="G1001" s="89">
        <f t="shared" si="6"/>
        <v>44471</v>
      </c>
      <c r="H1001" s="72" t="str">
        <f t="shared" si="7"/>
        <v>No</v>
      </c>
    </row>
    <row r="1002" ht="15.75" customHeight="1">
      <c r="A1002" s="88">
        <f t="shared" si="8"/>
        <v>44466</v>
      </c>
      <c r="B1002" s="72" t="str">
        <f t="shared" si="1"/>
        <v>20210927</v>
      </c>
      <c r="C1002" s="72" t="str">
        <f t="shared" si="2"/>
        <v>Monday</v>
      </c>
      <c r="D1002" s="72" t="str">
        <f t="shared" si="3"/>
        <v>September</v>
      </c>
      <c r="E1002" s="72" t="str">
        <f t="shared" si="4"/>
        <v>Q3</v>
      </c>
      <c r="F1002" s="72">
        <f t="shared" si="5"/>
        <v>2021</v>
      </c>
      <c r="G1002" s="89">
        <f t="shared" si="6"/>
        <v>44471</v>
      </c>
      <c r="H1002" s="72" t="str">
        <f t="shared" si="7"/>
        <v>Yes</v>
      </c>
    </row>
    <row r="1003" ht="15.75" customHeight="1">
      <c r="A1003" s="88">
        <f t="shared" si="8"/>
        <v>44467</v>
      </c>
      <c r="B1003" s="72" t="str">
        <f t="shared" si="1"/>
        <v>20210928</v>
      </c>
      <c r="C1003" s="72" t="str">
        <f t="shared" si="2"/>
        <v>Tuesday</v>
      </c>
      <c r="D1003" s="72" t="str">
        <f t="shared" si="3"/>
        <v>September</v>
      </c>
      <c r="E1003" s="72" t="str">
        <f t="shared" si="4"/>
        <v>Q3</v>
      </c>
      <c r="F1003" s="72">
        <f t="shared" si="5"/>
        <v>2021</v>
      </c>
      <c r="G1003" s="89">
        <f t="shared" si="6"/>
        <v>44471</v>
      </c>
      <c r="H1003" s="72" t="str">
        <f t="shared" si="7"/>
        <v>Yes</v>
      </c>
    </row>
    <row r="1004" ht="15.75" customHeight="1">
      <c r="A1004" s="88">
        <f t="shared" si="8"/>
        <v>44468</v>
      </c>
      <c r="B1004" s="72" t="str">
        <f t="shared" si="1"/>
        <v>20210929</v>
      </c>
      <c r="C1004" s="72" t="str">
        <f t="shared" si="2"/>
        <v>Wednesday</v>
      </c>
      <c r="D1004" s="72" t="str">
        <f t="shared" si="3"/>
        <v>September</v>
      </c>
      <c r="E1004" s="72" t="str">
        <f t="shared" si="4"/>
        <v>Q3</v>
      </c>
      <c r="F1004" s="72">
        <f t="shared" si="5"/>
        <v>2021</v>
      </c>
      <c r="G1004" s="89">
        <f t="shared" si="6"/>
        <v>44471</v>
      </c>
      <c r="H1004" s="72" t="str">
        <f t="shared" si="7"/>
        <v>Yes</v>
      </c>
    </row>
    <row r="1005" ht="15.75" customHeight="1">
      <c r="A1005" s="88">
        <f t="shared" si="8"/>
        <v>44469</v>
      </c>
      <c r="B1005" s="72" t="str">
        <f t="shared" si="1"/>
        <v>20210930</v>
      </c>
      <c r="C1005" s="72" t="str">
        <f t="shared" si="2"/>
        <v>Thursday</v>
      </c>
      <c r="D1005" s="72" t="str">
        <f t="shared" si="3"/>
        <v>September</v>
      </c>
      <c r="E1005" s="72" t="str">
        <f t="shared" si="4"/>
        <v>Q3</v>
      </c>
      <c r="F1005" s="72">
        <f t="shared" si="5"/>
        <v>2021</v>
      </c>
      <c r="G1005" s="89">
        <f t="shared" si="6"/>
        <v>44471</v>
      </c>
      <c r="H1005" s="72" t="str">
        <f t="shared" si="7"/>
        <v>Yes</v>
      </c>
    </row>
    <row r="1006" ht="15.75" customHeight="1">
      <c r="A1006" s="88">
        <f t="shared" si="8"/>
        <v>44470</v>
      </c>
      <c r="B1006" s="72" t="str">
        <f t="shared" si="1"/>
        <v>20211001</v>
      </c>
      <c r="C1006" s="72" t="str">
        <f t="shared" si="2"/>
        <v>Friday</v>
      </c>
      <c r="D1006" s="72" t="str">
        <f t="shared" si="3"/>
        <v>October</v>
      </c>
      <c r="E1006" s="72" t="str">
        <f t="shared" si="4"/>
        <v>Q4</v>
      </c>
      <c r="F1006" s="72">
        <f t="shared" si="5"/>
        <v>2021</v>
      </c>
      <c r="G1006" s="89">
        <f t="shared" si="6"/>
        <v>44471</v>
      </c>
      <c r="H1006" s="72" t="str">
        <f t="shared" si="7"/>
        <v>Yes</v>
      </c>
    </row>
    <row r="1007" ht="15.75" customHeight="1">
      <c r="A1007" s="88">
        <f t="shared" si="8"/>
        <v>44471</v>
      </c>
      <c r="B1007" s="72" t="str">
        <f t="shared" si="1"/>
        <v>20211002</v>
      </c>
      <c r="C1007" s="72" t="str">
        <f t="shared" si="2"/>
        <v>Saturday</v>
      </c>
      <c r="D1007" s="72" t="str">
        <f t="shared" si="3"/>
        <v>October</v>
      </c>
      <c r="E1007" s="72" t="str">
        <f t="shared" si="4"/>
        <v>Q4</v>
      </c>
      <c r="F1007" s="72">
        <f t="shared" si="5"/>
        <v>2021</v>
      </c>
      <c r="G1007" s="89">
        <f t="shared" si="6"/>
        <v>44471</v>
      </c>
      <c r="H1007" s="72" t="str">
        <f t="shared" si="7"/>
        <v>No</v>
      </c>
    </row>
    <row r="1008" ht="15.75" customHeight="1">
      <c r="A1008" s="88">
        <f t="shared" si="8"/>
        <v>44472</v>
      </c>
      <c r="B1008" s="72" t="str">
        <f t="shared" si="1"/>
        <v>20211003</v>
      </c>
      <c r="C1008" s="72" t="str">
        <f t="shared" si="2"/>
        <v>Sunday</v>
      </c>
      <c r="D1008" s="72" t="str">
        <f t="shared" si="3"/>
        <v>October</v>
      </c>
      <c r="E1008" s="72" t="str">
        <f t="shared" si="4"/>
        <v>Q4</v>
      </c>
      <c r="F1008" s="72">
        <f t="shared" si="5"/>
        <v>2021</v>
      </c>
      <c r="G1008" s="89">
        <f t="shared" si="6"/>
        <v>44478</v>
      </c>
      <c r="H1008" s="72" t="str">
        <f t="shared" si="7"/>
        <v>No</v>
      </c>
    </row>
    <row r="1009" ht="15.75" customHeight="1">
      <c r="A1009" s="88">
        <f t="shared" si="8"/>
        <v>44473</v>
      </c>
      <c r="B1009" s="72" t="str">
        <f t="shared" si="1"/>
        <v>20211004</v>
      </c>
      <c r="C1009" s="72" t="str">
        <f t="shared" si="2"/>
        <v>Monday</v>
      </c>
      <c r="D1009" s="72" t="str">
        <f t="shared" si="3"/>
        <v>October</v>
      </c>
      <c r="E1009" s="72" t="str">
        <f t="shared" si="4"/>
        <v>Q4</v>
      </c>
      <c r="F1009" s="72">
        <f t="shared" si="5"/>
        <v>2021</v>
      </c>
      <c r="G1009" s="89">
        <f t="shared" si="6"/>
        <v>44478</v>
      </c>
      <c r="H1009" s="72" t="str">
        <f t="shared" si="7"/>
        <v>Yes</v>
      </c>
    </row>
    <row r="1010" ht="15.75" customHeight="1">
      <c r="A1010" s="88">
        <f t="shared" si="8"/>
        <v>44474</v>
      </c>
      <c r="B1010" s="72" t="str">
        <f t="shared" si="1"/>
        <v>20211005</v>
      </c>
      <c r="C1010" s="72" t="str">
        <f t="shared" si="2"/>
        <v>Tuesday</v>
      </c>
      <c r="D1010" s="72" t="str">
        <f t="shared" si="3"/>
        <v>October</v>
      </c>
      <c r="E1010" s="72" t="str">
        <f t="shared" si="4"/>
        <v>Q4</v>
      </c>
      <c r="F1010" s="72">
        <f t="shared" si="5"/>
        <v>2021</v>
      </c>
      <c r="G1010" s="89">
        <f t="shared" si="6"/>
        <v>44478</v>
      </c>
      <c r="H1010" s="72" t="str">
        <f t="shared" si="7"/>
        <v>Yes</v>
      </c>
    </row>
    <row r="1011" ht="15.75" customHeight="1">
      <c r="A1011" s="88">
        <f t="shared" si="8"/>
        <v>44475</v>
      </c>
      <c r="B1011" s="72" t="str">
        <f t="shared" si="1"/>
        <v>20211006</v>
      </c>
      <c r="C1011" s="72" t="str">
        <f t="shared" si="2"/>
        <v>Wednesday</v>
      </c>
      <c r="D1011" s="72" t="str">
        <f t="shared" si="3"/>
        <v>October</v>
      </c>
      <c r="E1011" s="72" t="str">
        <f t="shared" si="4"/>
        <v>Q4</v>
      </c>
      <c r="F1011" s="72">
        <f t="shared" si="5"/>
        <v>2021</v>
      </c>
      <c r="G1011" s="89">
        <f t="shared" si="6"/>
        <v>44478</v>
      </c>
      <c r="H1011" s="72" t="str">
        <f t="shared" si="7"/>
        <v>Yes</v>
      </c>
    </row>
    <row r="1012" ht="15.75" customHeight="1">
      <c r="A1012" s="88">
        <f t="shared" si="8"/>
        <v>44476</v>
      </c>
      <c r="B1012" s="72" t="str">
        <f t="shared" si="1"/>
        <v>20211007</v>
      </c>
      <c r="C1012" s="72" t="str">
        <f t="shared" si="2"/>
        <v>Thursday</v>
      </c>
      <c r="D1012" s="72" t="str">
        <f t="shared" si="3"/>
        <v>October</v>
      </c>
      <c r="E1012" s="72" t="str">
        <f t="shared" si="4"/>
        <v>Q4</v>
      </c>
      <c r="F1012" s="72">
        <f t="shared" si="5"/>
        <v>2021</v>
      </c>
      <c r="G1012" s="89">
        <f t="shared" si="6"/>
        <v>44478</v>
      </c>
      <c r="H1012" s="72" t="str">
        <f t="shared" si="7"/>
        <v>Yes</v>
      </c>
    </row>
    <row r="1013" ht="15.75" customHeight="1">
      <c r="A1013" s="88">
        <f t="shared" si="8"/>
        <v>44477</v>
      </c>
      <c r="B1013" s="72" t="str">
        <f t="shared" si="1"/>
        <v>20211008</v>
      </c>
      <c r="C1013" s="72" t="str">
        <f t="shared" si="2"/>
        <v>Friday</v>
      </c>
      <c r="D1013" s="72" t="str">
        <f t="shared" si="3"/>
        <v>October</v>
      </c>
      <c r="E1013" s="72" t="str">
        <f t="shared" si="4"/>
        <v>Q4</v>
      </c>
      <c r="F1013" s="72">
        <f t="shared" si="5"/>
        <v>2021</v>
      </c>
      <c r="G1013" s="89">
        <f t="shared" si="6"/>
        <v>44478</v>
      </c>
      <c r="H1013" s="72" t="str">
        <f t="shared" si="7"/>
        <v>Yes</v>
      </c>
    </row>
    <row r="1014" ht="15.75" customHeight="1">
      <c r="A1014" s="88">
        <f t="shared" si="8"/>
        <v>44478</v>
      </c>
      <c r="B1014" s="72" t="str">
        <f t="shared" si="1"/>
        <v>20211009</v>
      </c>
      <c r="C1014" s="72" t="str">
        <f t="shared" si="2"/>
        <v>Saturday</v>
      </c>
      <c r="D1014" s="72" t="str">
        <f t="shared" si="3"/>
        <v>October</v>
      </c>
      <c r="E1014" s="72" t="str">
        <f t="shared" si="4"/>
        <v>Q4</v>
      </c>
      <c r="F1014" s="72">
        <f t="shared" si="5"/>
        <v>2021</v>
      </c>
      <c r="G1014" s="89">
        <f t="shared" si="6"/>
        <v>44478</v>
      </c>
      <c r="H1014" s="72" t="str">
        <f t="shared" si="7"/>
        <v>No</v>
      </c>
    </row>
    <row r="1015" ht="15.75" customHeight="1">
      <c r="A1015" s="88">
        <f t="shared" si="8"/>
        <v>44479</v>
      </c>
      <c r="B1015" s="72" t="str">
        <f t="shared" si="1"/>
        <v>20211010</v>
      </c>
      <c r="C1015" s="72" t="str">
        <f t="shared" si="2"/>
        <v>Sunday</v>
      </c>
      <c r="D1015" s="72" t="str">
        <f t="shared" si="3"/>
        <v>October</v>
      </c>
      <c r="E1015" s="72" t="str">
        <f t="shared" si="4"/>
        <v>Q4</v>
      </c>
      <c r="F1015" s="72">
        <f t="shared" si="5"/>
        <v>2021</v>
      </c>
      <c r="G1015" s="89">
        <f t="shared" si="6"/>
        <v>44485</v>
      </c>
      <c r="H1015" s="72" t="str">
        <f t="shared" si="7"/>
        <v>No</v>
      </c>
    </row>
    <row r="1016" ht="15.75" customHeight="1">
      <c r="A1016" s="88">
        <f t="shared" si="8"/>
        <v>44480</v>
      </c>
      <c r="B1016" s="72" t="str">
        <f t="shared" si="1"/>
        <v>20211011</v>
      </c>
      <c r="C1016" s="72" t="str">
        <f t="shared" si="2"/>
        <v>Monday</v>
      </c>
      <c r="D1016" s="72" t="str">
        <f t="shared" si="3"/>
        <v>October</v>
      </c>
      <c r="E1016" s="72" t="str">
        <f t="shared" si="4"/>
        <v>Q4</v>
      </c>
      <c r="F1016" s="72">
        <f t="shared" si="5"/>
        <v>2021</v>
      </c>
      <c r="G1016" s="89">
        <f t="shared" si="6"/>
        <v>44485</v>
      </c>
      <c r="H1016" s="72" t="str">
        <f t="shared" si="7"/>
        <v>Yes</v>
      </c>
    </row>
    <row r="1017" ht="15.75" customHeight="1">
      <c r="A1017" s="88">
        <f t="shared" si="8"/>
        <v>44481</v>
      </c>
      <c r="B1017" s="72" t="str">
        <f t="shared" si="1"/>
        <v>20211012</v>
      </c>
      <c r="C1017" s="72" t="str">
        <f t="shared" si="2"/>
        <v>Tuesday</v>
      </c>
      <c r="D1017" s="72" t="str">
        <f t="shared" si="3"/>
        <v>October</v>
      </c>
      <c r="E1017" s="72" t="str">
        <f t="shared" si="4"/>
        <v>Q4</v>
      </c>
      <c r="F1017" s="72">
        <f t="shared" si="5"/>
        <v>2021</v>
      </c>
      <c r="G1017" s="89">
        <f t="shared" si="6"/>
        <v>44485</v>
      </c>
      <c r="H1017" s="72" t="str">
        <f t="shared" si="7"/>
        <v>Yes</v>
      </c>
    </row>
    <row r="1018" ht="15.75" customHeight="1">
      <c r="A1018" s="88">
        <f t="shared" si="8"/>
        <v>44482</v>
      </c>
      <c r="B1018" s="72" t="str">
        <f t="shared" si="1"/>
        <v>20211013</v>
      </c>
      <c r="C1018" s="72" t="str">
        <f t="shared" si="2"/>
        <v>Wednesday</v>
      </c>
      <c r="D1018" s="72" t="str">
        <f t="shared" si="3"/>
        <v>October</v>
      </c>
      <c r="E1018" s="72" t="str">
        <f t="shared" si="4"/>
        <v>Q4</v>
      </c>
      <c r="F1018" s="72">
        <f t="shared" si="5"/>
        <v>2021</v>
      </c>
      <c r="G1018" s="89">
        <f t="shared" si="6"/>
        <v>44485</v>
      </c>
      <c r="H1018" s="72" t="str">
        <f t="shared" si="7"/>
        <v>Yes</v>
      </c>
    </row>
    <row r="1019" ht="15.75" customHeight="1">
      <c r="A1019" s="88">
        <f t="shared" si="8"/>
        <v>44483</v>
      </c>
      <c r="B1019" s="72" t="str">
        <f t="shared" si="1"/>
        <v>20211014</v>
      </c>
      <c r="C1019" s="72" t="str">
        <f t="shared" si="2"/>
        <v>Thursday</v>
      </c>
      <c r="D1019" s="72" t="str">
        <f t="shared" si="3"/>
        <v>October</v>
      </c>
      <c r="E1019" s="72" t="str">
        <f t="shared" si="4"/>
        <v>Q4</v>
      </c>
      <c r="F1019" s="72">
        <f t="shared" si="5"/>
        <v>2021</v>
      </c>
      <c r="G1019" s="89">
        <f t="shared" si="6"/>
        <v>44485</v>
      </c>
      <c r="H1019" s="72" t="str">
        <f t="shared" si="7"/>
        <v>Yes</v>
      </c>
    </row>
    <row r="1020" ht="15.75" customHeight="1">
      <c r="A1020" s="88">
        <f t="shared" si="8"/>
        <v>44484</v>
      </c>
      <c r="B1020" s="72" t="str">
        <f t="shared" si="1"/>
        <v>20211015</v>
      </c>
      <c r="C1020" s="72" t="str">
        <f t="shared" si="2"/>
        <v>Friday</v>
      </c>
      <c r="D1020" s="72" t="str">
        <f t="shared" si="3"/>
        <v>October</v>
      </c>
      <c r="E1020" s="72" t="str">
        <f t="shared" si="4"/>
        <v>Q4</v>
      </c>
      <c r="F1020" s="72">
        <f t="shared" si="5"/>
        <v>2021</v>
      </c>
      <c r="G1020" s="89">
        <f t="shared" si="6"/>
        <v>44485</v>
      </c>
      <c r="H1020" s="72" t="str">
        <f t="shared" si="7"/>
        <v>Yes</v>
      </c>
    </row>
    <row r="1021" ht="15.75" customHeight="1">
      <c r="A1021" s="88">
        <f t="shared" si="8"/>
        <v>44485</v>
      </c>
      <c r="B1021" s="72" t="str">
        <f t="shared" si="1"/>
        <v>20211016</v>
      </c>
      <c r="C1021" s="72" t="str">
        <f t="shared" si="2"/>
        <v>Saturday</v>
      </c>
      <c r="D1021" s="72" t="str">
        <f t="shared" si="3"/>
        <v>October</v>
      </c>
      <c r="E1021" s="72" t="str">
        <f t="shared" si="4"/>
        <v>Q4</v>
      </c>
      <c r="F1021" s="72">
        <f t="shared" si="5"/>
        <v>2021</v>
      </c>
      <c r="G1021" s="89">
        <f t="shared" si="6"/>
        <v>44485</v>
      </c>
      <c r="H1021" s="72" t="str">
        <f t="shared" si="7"/>
        <v>No</v>
      </c>
    </row>
    <row r="1022" ht="15.75" customHeight="1">
      <c r="A1022" s="88">
        <f t="shared" si="8"/>
        <v>44486</v>
      </c>
      <c r="B1022" s="72" t="str">
        <f t="shared" si="1"/>
        <v>20211017</v>
      </c>
      <c r="C1022" s="72" t="str">
        <f t="shared" si="2"/>
        <v>Sunday</v>
      </c>
      <c r="D1022" s="72" t="str">
        <f t="shared" si="3"/>
        <v>October</v>
      </c>
      <c r="E1022" s="72" t="str">
        <f t="shared" si="4"/>
        <v>Q4</v>
      </c>
      <c r="F1022" s="72">
        <f t="shared" si="5"/>
        <v>2021</v>
      </c>
      <c r="G1022" s="89">
        <f t="shared" si="6"/>
        <v>44492</v>
      </c>
      <c r="H1022" s="72" t="str">
        <f t="shared" si="7"/>
        <v>No</v>
      </c>
    </row>
    <row r="1023" ht="15.75" customHeight="1">
      <c r="A1023" s="88">
        <f t="shared" si="8"/>
        <v>44487</v>
      </c>
      <c r="B1023" s="72" t="str">
        <f t="shared" si="1"/>
        <v>20211018</v>
      </c>
      <c r="C1023" s="72" t="str">
        <f t="shared" si="2"/>
        <v>Monday</v>
      </c>
      <c r="D1023" s="72" t="str">
        <f t="shared" si="3"/>
        <v>October</v>
      </c>
      <c r="E1023" s="72" t="str">
        <f t="shared" si="4"/>
        <v>Q4</v>
      </c>
      <c r="F1023" s="72">
        <f t="shared" si="5"/>
        <v>2021</v>
      </c>
      <c r="G1023" s="89">
        <f t="shared" si="6"/>
        <v>44492</v>
      </c>
      <c r="H1023" s="72" t="str">
        <f t="shared" si="7"/>
        <v>Yes</v>
      </c>
    </row>
    <row r="1024" ht="15.75" customHeight="1">
      <c r="A1024" s="88">
        <f t="shared" si="8"/>
        <v>44488</v>
      </c>
      <c r="B1024" s="72" t="str">
        <f t="shared" si="1"/>
        <v>20211019</v>
      </c>
      <c r="C1024" s="72" t="str">
        <f t="shared" si="2"/>
        <v>Tuesday</v>
      </c>
      <c r="D1024" s="72" t="str">
        <f t="shared" si="3"/>
        <v>October</v>
      </c>
      <c r="E1024" s="72" t="str">
        <f t="shared" si="4"/>
        <v>Q4</v>
      </c>
      <c r="F1024" s="72">
        <f t="shared" si="5"/>
        <v>2021</v>
      </c>
      <c r="G1024" s="89">
        <f t="shared" si="6"/>
        <v>44492</v>
      </c>
      <c r="H1024" s="72" t="str">
        <f t="shared" si="7"/>
        <v>Yes</v>
      </c>
    </row>
    <row r="1025" ht="15.75" customHeight="1">
      <c r="A1025" s="88">
        <f t="shared" si="8"/>
        <v>44489</v>
      </c>
      <c r="B1025" s="72" t="str">
        <f t="shared" si="1"/>
        <v>20211020</v>
      </c>
      <c r="C1025" s="72" t="str">
        <f t="shared" si="2"/>
        <v>Wednesday</v>
      </c>
      <c r="D1025" s="72" t="str">
        <f t="shared" si="3"/>
        <v>October</v>
      </c>
      <c r="E1025" s="72" t="str">
        <f t="shared" si="4"/>
        <v>Q4</v>
      </c>
      <c r="F1025" s="72">
        <f t="shared" si="5"/>
        <v>2021</v>
      </c>
      <c r="G1025" s="89">
        <f t="shared" si="6"/>
        <v>44492</v>
      </c>
      <c r="H1025" s="72" t="str">
        <f t="shared" si="7"/>
        <v>Yes</v>
      </c>
    </row>
    <row r="1026" ht="15.75" customHeight="1">
      <c r="A1026" s="88">
        <f t="shared" si="8"/>
        <v>44490</v>
      </c>
      <c r="B1026" s="72" t="str">
        <f t="shared" si="1"/>
        <v>20211021</v>
      </c>
      <c r="C1026" s="72" t="str">
        <f t="shared" si="2"/>
        <v>Thursday</v>
      </c>
      <c r="D1026" s="72" t="str">
        <f t="shared" si="3"/>
        <v>October</v>
      </c>
      <c r="E1026" s="72" t="str">
        <f t="shared" si="4"/>
        <v>Q4</v>
      </c>
      <c r="F1026" s="72">
        <f t="shared" si="5"/>
        <v>2021</v>
      </c>
      <c r="G1026" s="89">
        <f t="shared" si="6"/>
        <v>44492</v>
      </c>
      <c r="H1026" s="72" t="str">
        <f t="shared" si="7"/>
        <v>Yes</v>
      </c>
    </row>
    <row r="1027" ht="15.75" customHeight="1">
      <c r="A1027" s="88">
        <f t="shared" si="8"/>
        <v>44491</v>
      </c>
      <c r="B1027" s="72" t="str">
        <f t="shared" si="1"/>
        <v>20211022</v>
      </c>
      <c r="C1027" s="72" t="str">
        <f t="shared" si="2"/>
        <v>Friday</v>
      </c>
      <c r="D1027" s="72" t="str">
        <f t="shared" si="3"/>
        <v>October</v>
      </c>
      <c r="E1027" s="72" t="str">
        <f t="shared" si="4"/>
        <v>Q4</v>
      </c>
      <c r="F1027" s="72">
        <f t="shared" si="5"/>
        <v>2021</v>
      </c>
      <c r="G1027" s="89">
        <f t="shared" si="6"/>
        <v>44492</v>
      </c>
      <c r="H1027" s="72" t="str">
        <f t="shared" si="7"/>
        <v>Yes</v>
      </c>
    </row>
    <row r="1028" ht="15.75" customHeight="1">
      <c r="A1028" s="88">
        <f t="shared" si="8"/>
        <v>44492</v>
      </c>
      <c r="B1028" s="72" t="str">
        <f t="shared" si="1"/>
        <v>20211023</v>
      </c>
      <c r="C1028" s="72" t="str">
        <f t="shared" si="2"/>
        <v>Saturday</v>
      </c>
      <c r="D1028" s="72" t="str">
        <f t="shared" si="3"/>
        <v>October</v>
      </c>
      <c r="E1028" s="72" t="str">
        <f t="shared" si="4"/>
        <v>Q4</v>
      </c>
      <c r="F1028" s="72">
        <f t="shared" si="5"/>
        <v>2021</v>
      </c>
      <c r="G1028" s="89">
        <f t="shared" si="6"/>
        <v>44492</v>
      </c>
      <c r="H1028" s="72" t="str">
        <f t="shared" si="7"/>
        <v>No</v>
      </c>
    </row>
    <row r="1029" ht="15.75" customHeight="1">
      <c r="A1029" s="88">
        <f t="shared" si="8"/>
        <v>44493</v>
      </c>
      <c r="B1029" s="72" t="str">
        <f t="shared" si="1"/>
        <v>20211024</v>
      </c>
      <c r="C1029" s="72" t="str">
        <f t="shared" si="2"/>
        <v>Sunday</v>
      </c>
      <c r="D1029" s="72" t="str">
        <f t="shared" si="3"/>
        <v>October</v>
      </c>
      <c r="E1029" s="72" t="str">
        <f t="shared" si="4"/>
        <v>Q4</v>
      </c>
      <c r="F1029" s="72">
        <f t="shared" si="5"/>
        <v>2021</v>
      </c>
      <c r="G1029" s="89">
        <f t="shared" si="6"/>
        <v>44499</v>
      </c>
      <c r="H1029" s="72" t="str">
        <f t="shared" si="7"/>
        <v>No</v>
      </c>
    </row>
    <row r="1030" ht="15.75" customHeight="1">
      <c r="A1030" s="88">
        <f t="shared" si="8"/>
        <v>44494</v>
      </c>
      <c r="B1030" s="72" t="str">
        <f t="shared" si="1"/>
        <v>20211025</v>
      </c>
      <c r="C1030" s="72" t="str">
        <f t="shared" si="2"/>
        <v>Monday</v>
      </c>
      <c r="D1030" s="72" t="str">
        <f t="shared" si="3"/>
        <v>October</v>
      </c>
      <c r="E1030" s="72" t="str">
        <f t="shared" si="4"/>
        <v>Q4</v>
      </c>
      <c r="F1030" s="72">
        <f t="shared" si="5"/>
        <v>2021</v>
      </c>
      <c r="G1030" s="89">
        <f t="shared" si="6"/>
        <v>44499</v>
      </c>
      <c r="H1030" s="72" t="str">
        <f t="shared" si="7"/>
        <v>Yes</v>
      </c>
    </row>
    <row r="1031" ht="15.75" customHeight="1">
      <c r="A1031" s="88">
        <f t="shared" si="8"/>
        <v>44495</v>
      </c>
      <c r="B1031" s="72" t="str">
        <f t="shared" si="1"/>
        <v>20211026</v>
      </c>
      <c r="C1031" s="72" t="str">
        <f t="shared" si="2"/>
        <v>Tuesday</v>
      </c>
      <c r="D1031" s="72" t="str">
        <f t="shared" si="3"/>
        <v>October</v>
      </c>
      <c r="E1031" s="72" t="str">
        <f t="shared" si="4"/>
        <v>Q4</v>
      </c>
      <c r="F1031" s="72">
        <f t="shared" si="5"/>
        <v>2021</v>
      </c>
      <c r="G1031" s="89">
        <f t="shared" si="6"/>
        <v>44499</v>
      </c>
      <c r="H1031" s="72" t="str">
        <f t="shared" si="7"/>
        <v>Yes</v>
      </c>
    </row>
    <row r="1032" ht="15.75" customHeight="1">
      <c r="A1032" s="88">
        <f t="shared" si="8"/>
        <v>44496</v>
      </c>
      <c r="B1032" s="72" t="str">
        <f t="shared" si="1"/>
        <v>20211027</v>
      </c>
      <c r="C1032" s="72" t="str">
        <f t="shared" si="2"/>
        <v>Wednesday</v>
      </c>
      <c r="D1032" s="72" t="str">
        <f t="shared" si="3"/>
        <v>October</v>
      </c>
      <c r="E1032" s="72" t="str">
        <f t="shared" si="4"/>
        <v>Q4</v>
      </c>
      <c r="F1032" s="72">
        <f t="shared" si="5"/>
        <v>2021</v>
      </c>
      <c r="G1032" s="89">
        <f t="shared" si="6"/>
        <v>44499</v>
      </c>
      <c r="H1032" s="72" t="str">
        <f t="shared" si="7"/>
        <v>Yes</v>
      </c>
    </row>
    <row r="1033" ht="15.75" customHeight="1">
      <c r="A1033" s="88">
        <f t="shared" si="8"/>
        <v>44497</v>
      </c>
      <c r="B1033" s="72" t="str">
        <f t="shared" si="1"/>
        <v>20211028</v>
      </c>
      <c r="C1033" s="72" t="str">
        <f t="shared" si="2"/>
        <v>Thursday</v>
      </c>
      <c r="D1033" s="72" t="str">
        <f t="shared" si="3"/>
        <v>October</v>
      </c>
      <c r="E1033" s="72" t="str">
        <f t="shared" si="4"/>
        <v>Q4</v>
      </c>
      <c r="F1033" s="72">
        <f t="shared" si="5"/>
        <v>2021</v>
      </c>
      <c r="G1033" s="89">
        <f t="shared" si="6"/>
        <v>44499</v>
      </c>
      <c r="H1033" s="72" t="str">
        <f t="shared" si="7"/>
        <v>Yes</v>
      </c>
    </row>
    <row r="1034" ht="15.75" customHeight="1">
      <c r="A1034" s="88">
        <f t="shared" si="8"/>
        <v>44498</v>
      </c>
      <c r="B1034" s="72" t="str">
        <f t="shared" si="1"/>
        <v>20211029</v>
      </c>
      <c r="C1034" s="72" t="str">
        <f t="shared" si="2"/>
        <v>Friday</v>
      </c>
      <c r="D1034" s="72" t="str">
        <f t="shared" si="3"/>
        <v>October</v>
      </c>
      <c r="E1034" s="72" t="str">
        <f t="shared" si="4"/>
        <v>Q4</v>
      </c>
      <c r="F1034" s="72">
        <f t="shared" si="5"/>
        <v>2021</v>
      </c>
      <c r="G1034" s="89">
        <f t="shared" si="6"/>
        <v>44499</v>
      </c>
      <c r="H1034" s="72" t="str">
        <f t="shared" si="7"/>
        <v>Yes</v>
      </c>
    </row>
    <row r="1035" ht="15.75" customHeight="1">
      <c r="A1035" s="88">
        <f t="shared" si="8"/>
        <v>44499</v>
      </c>
      <c r="B1035" s="72" t="str">
        <f t="shared" si="1"/>
        <v>20211030</v>
      </c>
      <c r="C1035" s="72" t="str">
        <f t="shared" si="2"/>
        <v>Saturday</v>
      </c>
      <c r="D1035" s="72" t="str">
        <f t="shared" si="3"/>
        <v>October</v>
      </c>
      <c r="E1035" s="72" t="str">
        <f t="shared" si="4"/>
        <v>Q4</v>
      </c>
      <c r="F1035" s="72">
        <f t="shared" si="5"/>
        <v>2021</v>
      </c>
      <c r="G1035" s="89">
        <f t="shared" si="6"/>
        <v>44499</v>
      </c>
      <c r="H1035" s="72" t="str">
        <f t="shared" si="7"/>
        <v>No</v>
      </c>
    </row>
    <row r="1036" ht="15.75" customHeight="1">
      <c r="A1036" s="88">
        <f t="shared" si="8"/>
        <v>44500</v>
      </c>
      <c r="B1036" s="72" t="str">
        <f t="shared" si="1"/>
        <v>20211031</v>
      </c>
      <c r="C1036" s="72" t="str">
        <f t="shared" si="2"/>
        <v>Sunday</v>
      </c>
      <c r="D1036" s="72" t="str">
        <f t="shared" si="3"/>
        <v>October</v>
      </c>
      <c r="E1036" s="72" t="str">
        <f t="shared" si="4"/>
        <v>Q4</v>
      </c>
      <c r="F1036" s="72">
        <f t="shared" si="5"/>
        <v>2021</v>
      </c>
      <c r="G1036" s="89">
        <f t="shared" si="6"/>
        <v>44506</v>
      </c>
      <c r="H1036" s="72" t="str">
        <f t="shared" si="7"/>
        <v>No</v>
      </c>
    </row>
    <row r="1037" ht="15.75" customHeight="1">
      <c r="A1037" s="88">
        <f t="shared" si="8"/>
        <v>44501</v>
      </c>
      <c r="B1037" s="72" t="str">
        <f t="shared" si="1"/>
        <v>20211101</v>
      </c>
      <c r="C1037" s="72" t="str">
        <f t="shared" si="2"/>
        <v>Monday</v>
      </c>
      <c r="D1037" s="72" t="str">
        <f t="shared" si="3"/>
        <v>November</v>
      </c>
      <c r="E1037" s="72" t="str">
        <f t="shared" si="4"/>
        <v>Q4</v>
      </c>
      <c r="F1037" s="72">
        <f t="shared" si="5"/>
        <v>2021</v>
      </c>
      <c r="G1037" s="89">
        <f t="shared" si="6"/>
        <v>44506</v>
      </c>
      <c r="H1037" s="72" t="str">
        <f t="shared" si="7"/>
        <v>Yes</v>
      </c>
    </row>
    <row r="1038" ht="15.75" customHeight="1">
      <c r="A1038" s="88">
        <f t="shared" si="8"/>
        <v>44502</v>
      </c>
      <c r="B1038" s="72" t="str">
        <f t="shared" si="1"/>
        <v>20211102</v>
      </c>
      <c r="C1038" s="72" t="str">
        <f t="shared" si="2"/>
        <v>Tuesday</v>
      </c>
      <c r="D1038" s="72" t="str">
        <f t="shared" si="3"/>
        <v>November</v>
      </c>
      <c r="E1038" s="72" t="str">
        <f t="shared" si="4"/>
        <v>Q4</v>
      </c>
      <c r="F1038" s="72">
        <f t="shared" si="5"/>
        <v>2021</v>
      </c>
      <c r="G1038" s="89">
        <f t="shared" si="6"/>
        <v>44506</v>
      </c>
      <c r="H1038" s="72" t="str">
        <f t="shared" si="7"/>
        <v>Yes</v>
      </c>
    </row>
    <row r="1039" ht="15.75" customHeight="1">
      <c r="A1039" s="88">
        <f t="shared" si="8"/>
        <v>44503</v>
      </c>
      <c r="B1039" s="72" t="str">
        <f t="shared" si="1"/>
        <v>20211103</v>
      </c>
      <c r="C1039" s="72" t="str">
        <f t="shared" si="2"/>
        <v>Wednesday</v>
      </c>
      <c r="D1039" s="72" t="str">
        <f t="shared" si="3"/>
        <v>November</v>
      </c>
      <c r="E1039" s="72" t="str">
        <f t="shared" si="4"/>
        <v>Q4</v>
      </c>
      <c r="F1039" s="72">
        <f t="shared" si="5"/>
        <v>2021</v>
      </c>
      <c r="G1039" s="89">
        <f t="shared" si="6"/>
        <v>44506</v>
      </c>
      <c r="H1039" s="72" t="str">
        <f t="shared" si="7"/>
        <v>Yes</v>
      </c>
    </row>
    <row r="1040" ht="15.75" customHeight="1">
      <c r="A1040" s="88">
        <f t="shared" si="8"/>
        <v>44504</v>
      </c>
      <c r="B1040" s="72" t="str">
        <f t="shared" si="1"/>
        <v>20211104</v>
      </c>
      <c r="C1040" s="72" t="str">
        <f t="shared" si="2"/>
        <v>Thursday</v>
      </c>
      <c r="D1040" s="72" t="str">
        <f t="shared" si="3"/>
        <v>November</v>
      </c>
      <c r="E1040" s="72" t="str">
        <f t="shared" si="4"/>
        <v>Q4</v>
      </c>
      <c r="F1040" s="72">
        <f t="shared" si="5"/>
        <v>2021</v>
      </c>
      <c r="G1040" s="89">
        <f t="shared" si="6"/>
        <v>44506</v>
      </c>
      <c r="H1040" s="72" t="str">
        <f t="shared" si="7"/>
        <v>Yes</v>
      </c>
    </row>
    <row r="1041" ht="15.75" customHeight="1">
      <c r="A1041" s="88">
        <f t="shared" si="8"/>
        <v>44505</v>
      </c>
      <c r="B1041" s="72" t="str">
        <f t="shared" si="1"/>
        <v>20211105</v>
      </c>
      <c r="C1041" s="72" t="str">
        <f t="shared" si="2"/>
        <v>Friday</v>
      </c>
      <c r="D1041" s="72" t="str">
        <f t="shared" si="3"/>
        <v>November</v>
      </c>
      <c r="E1041" s="72" t="str">
        <f t="shared" si="4"/>
        <v>Q4</v>
      </c>
      <c r="F1041" s="72">
        <f t="shared" si="5"/>
        <v>2021</v>
      </c>
      <c r="G1041" s="89">
        <f t="shared" si="6"/>
        <v>44506</v>
      </c>
      <c r="H1041" s="72" t="str">
        <f t="shared" si="7"/>
        <v>Yes</v>
      </c>
    </row>
    <row r="1042" ht="15.75" customHeight="1">
      <c r="A1042" s="88">
        <f t="shared" si="8"/>
        <v>44506</v>
      </c>
      <c r="B1042" s="72" t="str">
        <f t="shared" si="1"/>
        <v>20211106</v>
      </c>
      <c r="C1042" s="72" t="str">
        <f t="shared" si="2"/>
        <v>Saturday</v>
      </c>
      <c r="D1042" s="72" t="str">
        <f t="shared" si="3"/>
        <v>November</v>
      </c>
      <c r="E1042" s="72" t="str">
        <f t="shared" si="4"/>
        <v>Q4</v>
      </c>
      <c r="F1042" s="72">
        <f t="shared" si="5"/>
        <v>2021</v>
      </c>
      <c r="G1042" s="89">
        <f t="shared" si="6"/>
        <v>44506</v>
      </c>
      <c r="H1042" s="72" t="str">
        <f t="shared" si="7"/>
        <v>No</v>
      </c>
    </row>
    <row r="1043" ht="15.75" customHeight="1">
      <c r="A1043" s="88">
        <f t="shared" si="8"/>
        <v>44507</v>
      </c>
      <c r="B1043" s="72" t="str">
        <f t="shared" si="1"/>
        <v>20211107</v>
      </c>
      <c r="C1043" s="72" t="str">
        <f t="shared" si="2"/>
        <v>Sunday</v>
      </c>
      <c r="D1043" s="72" t="str">
        <f t="shared" si="3"/>
        <v>November</v>
      </c>
      <c r="E1043" s="72" t="str">
        <f t="shared" si="4"/>
        <v>Q4</v>
      </c>
      <c r="F1043" s="72">
        <f t="shared" si="5"/>
        <v>2021</v>
      </c>
      <c r="G1043" s="89">
        <f t="shared" si="6"/>
        <v>44513</v>
      </c>
      <c r="H1043" s="72" t="str">
        <f t="shared" si="7"/>
        <v>No</v>
      </c>
    </row>
    <row r="1044" ht="15.75" customHeight="1">
      <c r="A1044" s="88">
        <f t="shared" si="8"/>
        <v>44508</v>
      </c>
      <c r="B1044" s="72" t="str">
        <f t="shared" si="1"/>
        <v>20211108</v>
      </c>
      <c r="C1044" s="72" t="str">
        <f t="shared" si="2"/>
        <v>Monday</v>
      </c>
      <c r="D1044" s="72" t="str">
        <f t="shared" si="3"/>
        <v>November</v>
      </c>
      <c r="E1044" s="72" t="str">
        <f t="shared" si="4"/>
        <v>Q4</v>
      </c>
      <c r="F1044" s="72">
        <f t="shared" si="5"/>
        <v>2021</v>
      </c>
      <c r="G1044" s="89">
        <f t="shared" si="6"/>
        <v>44513</v>
      </c>
      <c r="H1044" s="72" t="str">
        <f t="shared" si="7"/>
        <v>Yes</v>
      </c>
    </row>
    <row r="1045" ht="15.75" customHeight="1">
      <c r="A1045" s="88">
        <f t="shared" si="8"/>
        <v>44509</v>
      </c>
      <c r="B1045" s="72" t="str">
        <f t="shared" si="1"/>
        <v>20211109</v>
      </c>
      <c r="C1045" s="72" t="str">
        <f t="shared" si="2"/>
        <v>Tuesday</v>
      </c>
      <c r="D1045" s="72" t="str">
        <f t="shared" si="3"/>
        <v>November</v>
      </c>
      <c r="E1045" s="72" t="str">
        <f t="shared" si="4"/>
        <v>Q4</v>
      </c>
      <c r="F1045" s="72">
        <f t="shared" si="5"/>
        <v>2021</v>
      </c>
      <c r="G1045" s="89">
        <f t="shared" si="6"/>
        <v>44513</v>
      </c>
      <c r="H1045" s="72" t="str">
        <f t="shared" si="7"/>
        <v>Yes</v>
      </c>
    </row>
    <row r="1046" ht="15.75" customHeight="1">
      <c r="A1046" s="88">
        <f t="shared" si="8"/>
        <v>44510</v>
      </c>
      <c r="B1046" s="72" t="str">
        <f t="shared" si="1"/>
        <v>20211110</v>
      </c>
      <c r="C1046" s="72" t="str">
        <f t="shared" si="2"/>
        <v>Wednesday</v>
      </c>
      <c r="D1046" s="72" t="str">
        <f t="shared" si="3"/>
        <v>November</v>
      </c>
      <c r="E1046" s="72" t="str">
        <f t="shared" si="4"/>
        <v>Q4</v>
      </c>
      <c r="F1046" s="72">
        <f t="shared" si="5"/>
        <v>2021</v>
      </c>
      <c r="G1046" s="89">
        <f t="shared" si="6"/>
        <v>44513</v>
      </c>
      <c r="H1046" s="72" t="str">
        <f t="shared" si="7"/>
        <v>Yes</v>
      </c>
    </row>
    <row r="1047" ht="15.75" customHeight="1">
      <c r="A1047" s="88">
        <f t="shared" si="8"/>
        <v>44511</v>
      </c>
      <c r="B1047" s="72" t="str">
        <f t="shared" si="1"/>
        <v>20211111</v>
      </c>
      <c r="C1047" s="72" t="str">
        <f t="shared" si="2"/>
        <v>Thursday</v>
      </c>
      <c r="D1047" s="72" t="str">
        <f t="shared" si="3"/>
        <v>November</v>
      </c>
      <c r="E1047" s="72" t="str">
        <f t="shared" si="4"/>
        <v>Q4</v>
      </c>
      <c r="F1047" s="72">
        <f t="shared" si="5"/>
        <v>2021</v>
      </c>
      <c r="G1047" s="89">
        <f t="shared" si="6"/>
        <v>44513</v>
      </c>
      <c r="H1047" s="72" t="str">
        <f t="shared" si="7"/>
        <v>Yes</v>
      </c>
    </row>
    <row r="1048" ht="15.75" customHeight="1">
      <c r="A1048" s="88">
        <f t="shared" si="8"/>
        <v>44512</v>
      </c>
      <c r="B1048" s="72" t="str">
        <f t="shared" si="1"/>
        <v>20211112</v>
      </c>
      <c r="C1048" s="72" t="str">
        <f t="shared" si="2"/>
        <v>Friday</v>
      </c>
      <c r="D1048" s="72" t="str">
        <f t="shared" si="3"/>
        <v>November</v>
      </c>
      <c r="E1048" s="72" t="str">
        <f t="shared" si="4"/>
        <v>Q4</v>
      </c>
      <c r="F1048" s="72">
        <f t="shared" si="5"/>
        <v>2021</v>
      </c>
      <c r="G1048" s="89">
        <f t="shared" si="6"/>
        <v>44513</v>
      </c>
      <c r="H1048" s="72" t="str">
        <f t="shared" si="7"/>
        <v>Yes</v>
      </c>
    </row>
    <row r="1049" ht="15.75" customHeight="1">
      <c r="A1049" s="88">
        <f t="shared" si="8"/>
        <v>44513</v>
      </c>
      <c r="B1049" s="72" t="str">
        <f t="shared" si="1"/>
        <v>20211113</v>
      </c>
      <c r="C1049" s="72" t="str">
        <f t="shared" si="2"/>
        <v>Saturday</v>
      </c>
      <c r="D1049" s="72" t="str">
        <f t="shared" si="3"/>
        <v>November</v>
      </c>
      <c r="E1049" s="72" t="str">
        <f t="shared" si="4"/>
        <v>Q4</v>
      </c>
      <c r="F1049" s="72">
        <f t="shared" si="5"/>
        <v>2021</v>
      </c>
      <c r="G1049" s="89">
        <f t="shared" si="6"/>
        <v>44513</v>
      </c>
      <c r="H1049" s="72" t="str">
        <f t="shared" si="7"/>
        <v>No</v>
      </c>
    </row>
    <row r="1050" ht="15.75" customHeight="1">
      <c r="A1050" s="88">
        <f t="shared" si="8"/>
        <v>44514</v>
      </c>
      <c r="B1050" s="72" t="str">
        <f t="shared" si="1"/>
        <v>20211114</v>
      </c>
      <c r="C1050" s="72" t="str">
        <f t="shared" si="2"/>
        <v>Sunday</v>
      </c>
      <c r="D1050" s="72" t="str">
        <f t="shared" si="3"/>
        <v>November</v>
      </c>
      <c r="E1050" s="72" t="str">
        <f t="shared" si="4"/>
        <v>Q4</v>
      </c>
      <c r="F1050" s="72">
        <f t="shared" si="5"/>
        <v>2021</v>
      </c>
      <c r="G1050" s="89">
        <f t="shared" si="6"/>
        <v>44520</v>
      </c>
      <c r="H1050" s="72" t="str">
        <f t="shared" si="7"/>
        <v>No</v>
      </c>
    </row>
    <row r="1051" ht="15.75" customHeight="1">
      <c r="A1051" s="88">
        <f t="shared" si="8"/>
        <v>44515</v>
      </c>
      <c r="B1051" s="72" t="str">
        <f t="shared" si="1"/>
        <v>20211115</v>
      </c>
      <c r="C1051" s="72" t="str">
        <f t="shared" si="2"/>
        <v>Monday</v>
      </c>
      <c r="D1051" s="72" t="str">
        <f t="shared" si="3"/>
        <v>November</v>
      </c>
      <c r="E1051" s="72" t="str">
        <f t="shared" si="4"/>
        <v>Q4</v>
      </c>
      <c r="F1051" s="72">
        <f t="shared" si="5"/>
        <v>2021</v>
      </c>
      <c r="G1051" s="89">
        <f t="shared" si="6"/>
        <v>44520</v>
      </c>
      <c r="H1051" s="72" t="str">
        <f t="shared" si="7"/>
        <v>Yes</v>
      </c>
    </row>
    <row r="1052" ht="15.75" customHeight="1">
      <c r="A1052" s="88">
        <f t="shared" si="8"/>
        <v>44516</v>
      </c>
      <c r="B1052" s="72" t="str">
        <f t="shared" si="1"/>
        <v>20211116</v>
      </c>
      <c r="C1052" s="72" t="str">
        <f t="shared" si="2"/>
        <v>Tuesday</v>
      </c>
      <c r="D1052" s="72" t="str">
        <f t="shared" si="3"/>
        <v>November</v>
      </c>
      <c r="E1052" s="72" t="str">
        <f t="shared" si="4"/>
        <v>Q4</v>
      </c>
      <c r="F1052" s="72">
        <f t="shared" si="5"/>
        <v>2021</v>
      </c>
      <c r="G1052" s="89">
        <f t="shared" si="6"/>
        <v>44520</v>
      </c>
      <c r="H1052" s="72" t="str">
        <f t="shared" si="7"/>
        <v>Yes</v>
      </c>
    </row>
    <row r="1053" ht="15.75" customHeight="1">
      <c r="A1053" s="88">
        <f t="shared" si="8"/>
        <v>44517</v>
      </c>
      <c r="B1053" s="72" t="str">
        <f t="shared" si="1"/>
        <v>20211117</v>
      </c>
      <c r="C1053" s="72" t="str">
        <f t="shared" si="2"/>
        <v>Wednesday</v>
      </c>
      <c r="D1053" s="72" t="str">
        <f t="shared" si="3"/>
        <v>November</v>
      </c>
      <c r="E1053" s="72" t="str">
        <f t="shared" si="4"/>
        <v>Q4</v>
      </c>
      <c r="F1053" s="72">
        <f t="shared" si="5"/>
        <v>2021</v>
      </c>
      <c r="G1053" s="89">
        <f t="shared" si="6"/>
        <v>44520</v>
      </c>
      <c r="H1053" s="72" t="str">
        <f t="shared" si="7"/>
        <v>Yes</v>
      </c>
    </row>
    <row r="1054" ht="15.75" customHeight="1">
      <c r="A1054" s="88">
        <f t="shared" si="8"/>
        <v>44518</v>
      </c>
      <c r="B1054" s="72" t="str">
        <f t="shared" si="1"/>
        <v>20211118</v>
      </c>
      <c r="C1054" s="72" t="str">
        <f t="shared" si="2"/>
        <v>Thursday</v>
      </c>
      <c r="D1054" s="72" t="str">
        <f t="shared" si="3"/>
        <v>November</v>
      </c>
      <c r="E1054" s="72" t="str">
        <f t="shared" si="4"/>
        <v>Q4</v>
      </c>
      <c r="F1054" s="72">
        <f t="shared" si="5"/>
        <v>2021</v>
      </c>
      <c r="G1054" s="89">
        <f t="shared" si="6"/>
        <v>44520</v>
      </c>
      <c r="H1054" s="72" t="str">
        <f t="shared" si="7"/>
        <v>Yes</v>
      </c>
    </row>
    <row r="1055" ht="15.75" customHeight="1">
      <c r="A1055" s="88">
        <f t="shared" si="8"/>
        <v>44519</v>
      </c>
      <c r="B1055" s="72" t="str">
        <f t="shared" si="1"/>
        <v>20211119</v>
      </c>
      <c r="C1055" s="72" t="str">
        <f t="shared" si="2"/>
        <v>Friday</v>
      </c>
      <c r="D1055" s="72" t="str">
        <f t="shared" si="3"/>
        <v>November</v>
      </c>
      <c r="E1055" s="72" t="str">
        <f t="shared" si="4"/>
        <v>Q4</v>
      </c>
      <c r="F1055" s="72">
        <f t="shared" si="5"/>
        <v>2021</v>
      </c>
      <c r="G1055" s="89">
        <f t="shared" si="6"/>
        <v>44520</v>
      </c>
      <c r="H1055" s="72" t="str">
        <f t="shared" si="7"/>
        <v>Yes</v>
      </c>
    </row>
    <row r="1056" ht="15.75" customHeight="1">
      <c r="A1056" s="88">
        <f t="shared" si="8"/>
        <v>44520</v>
      </c>
      <c r="B1056" s="72" t="str">
        <f t="shared" si="1"/>
        <v>20211120</v>
      </c>
      <c r="C1056" s="72" t="str">
        <f t="shared" si="2"/>
        <v>Saturday</v>
      </c>
      <c r="D1056" s="72" t="str">
        <f t="shared" si="3"/>
        <v>November</v>
      </c>
      <c r="E1056" s="72" t="str">
        <f t="shared" si="4"/>
        <v>Q4</v>
      </c>
      <c r="F1056" s="72">
        <f t="shared" si="5"/>
        <v>2021</v>
      </c>
      <c r="G1056" s="89">
        <f t="shared" si="6"/>
        <v>44520</v>
      </c>
      <c r="H1056" s="72" t="str">
        <f t="shared" si="7"/>
        <v>No</v>
      </c>
    </row>
    <row r="1057" ht="15.75" customHeight="1">
      <c r="A1057" s="88">
        <f t="shared" si="8"/>
        <v>44521</v>
      </c>
      <c r="B1057" s="72" t="str">
        <f t="shared" si="1"/>
        <v>20211121</v>
      </c>
      <c r="C1057" s="72" t="str">
        <f t="shared" si="2"/>
        <v>Sunday</v>
      </c>
      <c r="D1057" s="72" t="str">
        <f t="shared" si="3"/>
        <v>November</v>
      </c>
      <c r="E1057" s="72" t="str">
        <f t="shared" si="4"/>
        <v>Q4</v>
      </c>
      <c r="F1057" s="72">
        <f t="shared" si="5"/>
        <v>2021</v>
      </c>
      <c r="G1057" s="89">
        <f t="shared" si="6"/>
        <v>44527</v>
      </c>
      <c r="H1057" s="72" t="str">
        <f t="shared" si="7"/>
        <v>No</v>
      </c>
    </row>
    <row r="1058" ht="15.75" customHeight="1">
      <c r="A1058" s="88">
        <f t="shared" si="8"/>
        <v>44522</v>
      </c>
      <c r="B1058" s="72" t="str">
        <f t="shared" si="1"/>
        <v>20211122</v>
      </c>
      <c r="C1058" s="72" t="str">
        <f t="shared" si="2"/>
        <v>Monday</v>
      </c>
      <c r="D1058" s="72" t="str">
        <f t="shared" si="3"/>
        <v>November</v>
      </c>
      <c r="E1058" s="72" t="str">
        <f t="shared" si="4"/>
        <v>Q4</v>
      </c>
      <c r="F1058" s="72">
        <f t="shared" si="5"/>
        <v>2021</v>
      </c>
      <c r="G1058" s="89">
        <f t="shared" si="6"/>
        <v>44527</v>
      </c>
      <c r="H1058" s="72" t="str">
        <f t="shared" si="7"/>
        <v>Yes</v>
      </c>
    </row>
    <row r="1059" ht="15.75" customHeight="1">
      <c r="A1059" s="88">
        <f t="shared" si="8"/>
        <v>44523</v>
      </c>
      <c r="B1059" s="72" t="str">
        <f t="shared" si="1"/>
        <v>20211123</v>
      </c>
      <c r="C1059" s="72" t="str">
        <f t="shared" si="2"/>
        <v>Tuesday</v>
      </c>
      <c r="D1059" s="72" t="str">
        <f t="shared" si="3"/>
        <v>November</v>
      </c>
      <c r="E1059" s="72" t="str">
        <f t="shared" si="4"/>
        <v>Q4</v>
      </c>
      <c r="F1059" s="72">
        <f t="shared" si="5"/>
        <v>2021</v>
      </c>
      <c r="G1059" s="89">
        <f t="shared" si="6"/>
        <v>44527</v>
      </c>
      <c r="H1059" s="72" t="str">
        <f t="shared" si="7"/>
        <v>Yes</v>
      </c>
    </row>
    <row r="1060" ht="15.75" customHeight="1">
      <c r="A1060" s="88">
        <f t="shared" si="8"/>
        <v>44524</v>
      </c>
      <c r="B1060" s="72" t="str">
        <f t="shared" si="1"/>
        <v>20211124</v>
      </c>
      <c r="C1060" s="72" t="str">
        <f t="shared" si="2"/>
        <v>Wednesday</v>
      </c>
      <c r="D1060" s="72" t="str">
        <f t="shared" si="3"/>
        <v>November</v>
      </c>
      <c r="E1060" s="72" t="str">
        <f t="shared" si="4"/>
        <v>Q4</v>
      </c>
      <c r="F1060" s="72">
        <f t="shared" si="5"/>
        <v>2021</v>
      </c>
      <c r="G1060" s="89">
        <f t="shared" si="6"/>
        <v>44527</v>
      </c>
      <c r="H1060" s="72" t="str">
        <f t="shared" si="7"/>
        <v>Yes</v>
      </c>
    </row>
    <row r="1061" ht="15.75" customHeight="1">
      <c r="A1061" s="88">
        <f t="shared" si="8"/>
        <v>44525</v>
      </c>
      <c r="B1061" s="72" t="str">
        <f t="shared" si="1"/>
        <v>20211125</v>
      </c>
      <c r="C1061" s="72" t="str">
        <f t="shared" si="2"/>
        <v>Thursday</v>
      </c>
      <c r="D1061" s="72" t="str">
        <f t="shared" si="3"/>
        <v>November</v>
      </c>
      <c r="E1061" s="72" t="str">
        <f t="shared" si="4"/>
        <v>Q4</v>
      </c>
      <c r="F1061" s="72">
        <f t="shared" si="5"/>
        <v>2021</v>
      </c>
      <c r="G1061" s="89">
        <f t="shared" si="6"/>
        <v>44527</v>
      </c>
      <c r="H1061" s="72" t="str">
        <f t="shared" si="7"/>
        <v>Yes</v>
      </c>
    </row>
    <row r="1062" ht="15.75" customHeight="1">
      <c r="A1062" s="88">
        <f t="shared" si="8"/>
        <v>44526</v>
      </c>
      <c r="B1062" s="72" t="str">
        <f t="shared" si="1"/>
        <v>20211126</v>
      </c>
      <c r="C1062" s="72" t="str">
        <f t="shared" si="2"/>
        <v>Friday</v>
      </c>
      <c r="D1062" s="72" t="str">
        <f t="shared" si="3"/>
        <v>November</v>
      </c>
      <c r="E1062" s="72" t="str">
        <f t="shared" si="4"/>
        <v>Q4</v>
      </c>
      <c r="F1062" s="72">
        <f t="shared" si="5"/>
        <v>2021</v>
      </c>
      <c r="G1062" s="89">
        <f t="shared" si="6"/>
        <v>44527</v>
      </c>
      <c r="H1062" s="72" t="str">
        <f t="shared" si="7"/>
        <v>Yes</v>
      </c>
    </row>
    <row r="1063" ht="15.75" customHeight="1">
      <c r="A1063" s="88">
        <f t="shared" si="8"/>
        <v>44527</v>
      </c>
      <c r="B1063" s="72" t="str">
        <f t="shared" si="1"/>
        <v>20211127</v>
      </c>
      <c r="C1063" s="72" t="str">
        <f t="shared" si="2"/>
        <v>Saturday</v>
      </c>
      <c r="D1063" s="72" t="str">
        <f t="shared" si="3"/>
        <v>November</v>
      </c>
      <c r="E1063" s="72" t="str">
        <f t="shared" si="4"/>
        <v>Q4</v>
      </c>
      <c r="F1063" s="72">
        <f t="shared" si="5"/>
        <v>2021</v>
      </c>
      <c r="G1063" s="89">
        <f t="shared" si="6"/>
        <v>44527</v>
      </c>
      <c r="H1063" s="72" t="str">
        <f t="shared" si="7"/>
        <v>No</v>
      </c>
    </row>
    <row r="1064" ht="15.75" customHeight="1">
      <c r="A1064" s="88">
        <f t="shared" si="8"/>
        <v>44528</v>
      </c>
      <c r="B1064" s="72" t="str">
        <f t="shared" si="1"/>
        <v>20211128</v>
      </c>
      <c r="C1064" s="72" t="str">
        <f t="shared" si="2"/>
        <v>Sunday</v>
      </c>
      <c r="D1064" s="72" t="str">
        <f t="shared" si="3"/>
        <v>November</v>
      </c>
      <c r="E1064" s="72" t="str">
        <f t="shared" si="4"/>
        <v>Q4</v>
      </c>
      <c r="F1064" s="72">
        <f t="shared" si="5"/>
        <v>2021</v>
      </c>
      <c r="G1064" s="89">
        <f t="shared" si="6"/>
        <v>44534</v>
      </c>
      <c r="H1064" s="72" t="str">
        <f t="shared" si="7"/>
        <v>No</v>
      </c>
    </row>
    <row r="1065" ht="15.75" customHeight="1">
      <c r="A1065" s="88">
        <f t="shared" si="8"/>
        <v>44529</v>
      </c>
      <c r="B1065" s="72" t="str">
        <f t="shared" si="1"/>
        <v>20211129</v>
      </c>
      <c r="C1065" s="72" t="str">
        <f t="shared" si="2"/>
        <v>Monday</v>
      </c>
      <c r="D1065" s="72" t="str">
        <f t="shared" si="3"/>
        <v>November</v>
      </c>
      <c r="E1065" s="72" t="str">
        <f t="shared" si="4"/>
        <v>Q4</v>
      </c>
      <c r="F1065" s="72">
        <f t="shared" si="5"/>
        <v>2021</v>
      </c>
      <c r="G1065" s="89">
        <f t="shared" si="6"/>
        <v>44534</v>
      </c>
      <c r="H1065" s="72" t="str">
        <f t="shared" si="7"/>
        <v>Yes</v>
      </c>
    </row>
    <row r="1066" ht="15.75" customHeight="1">
      <c r="A1066" s="88">
        <f t="shared" si="8"/>
        <v>44530</v>
      </c>
      <c r="B1066" s="72" t="str">
        <f t="shared" si="1"/>
        <v>20211130</v>
      </c>
      <c r="C1066" s="72" t="str">
        <f t="shared" si="2"/>
        <v>Tuesday</v>
      </c>
      <c r="D1066" s="72" t="str">
        <f t="shared" si="3"/>
        <v>November</v>
      </c>
      <c r="E1066" s="72" t="str">
        <f t="shared" si="4"/>
        <v>Q4</v>
      </c>
      <c r="F1066" s="72">
        <f t="shared" si="5"/>
        <v>2021</v>
      </c>
      <c r="G1066" s="89">
        <f t="shared" si="6"/>
        <v>44534</v>
      </c>
      <c r="H1066" s="72" t="str">
        <f t="shared" si="7"/>
        <v>Yes</v>
      </c>
    </row>
    <row r="1067" ht="15.75" customHeight="1">
      <c r="A1067" s="88">
        <f t="shared" si="8"/>
        <v>44531</v>
      </c>
      <c r="B1067" s="72" t="str">
        <f t="shared" si="1"/>
        <v>20211201</v>
      </c>
      <c r="C1067" s="72" t="str">
        <f t="shared" si="2"/>
        <v>Wednesday</v>
      </c>
      <c r="D1067" s="72" t="str">
        <f t="shared" si="3"/>
        <v>December</v>
      </c>
      <c r="E1067" s="72" t="str">
        <f t="shared" si="4"/>
        <v>Q4</v>
      </c>
      <c r="F1067" s="72">
        <f t="shared" si="5"/>
        <v>2021</v>
      </c>
      <c r="G1067" s="89">
        <f t="shared" si="6"/>
        <v>44534</v>
      </c>
      <c r="H1067" s="72" t="str">
        <f t="shared" si="7"/>
        <v>Yes</v>
      </c>
    </row>
    <row r="1068" ht="15.75" customHeight="1">
      <c r="A1068" s="88">
        <f t="shared" si="8"/>
        <v>44532</v>
      </c>
      <c r="B1068" s="72" t="str">
        <f t="shared" si="1"/>
        <v>20211202</v>
      </c>
      <c r="C1068" s="72" t="str">
        <f t="shared" si="2"/>
        <v>Thursday</v>
      </c>
      <c r="D1068" s="72" t="str">
        <f t="shared" si="3"/>
        <v>December</v>
      </c>
      <c r="E1068" s="72" t="str">
        <f t="shared" si="4"/>
        <v>Q4</v>
      </c>
      <c r="F1068" s="72">
        <f t="shared" si="5"/>
        <v>2021</v>
      </c>
      <c r="G1068" s="89">
        <f t="shared" si="6"/>
        <v>44534</v>
      </c>
      <c r="H1068" s="72" t="str">
        <f t="shared" si="7"/>
        <v>Yes</v>
      </c>
    </row>
    <row r="1069" ht="15.75" customHeight="1">
      <c r="A1069" s="88">
        <f t="shared" si="8"/>
        <v>44533</v>
      </c>
      <c r="B1069" s="72" t="str">
        <f t="shared" si="1"/>
        <v>20211203</v>
      </c>
      <c r="C1069" s="72" t="str">
        <f t="shared" si="2"/>
        <v>Friday</v>
      </c>
      <c r="D1069" s="72" t="str">
        <f t="shared" si="3"/>
        <v>December</v>
      </c>
      <c r="E1069" s="72" t="str">
        <f t="shared" si="4"/>
        <v>Q4</v>
      </c>
      <c r="F1069" s="72">
        <f t="shared" si="5"/>
        <v>2021</v>
      </c>
      <c r="G1069" s="89">
        <f t="shared" si="6"/>
        <v>44534</v>
      </c>
      <c r="H1069" s="72" t="str">
        <f t="shared" si="7"/>
        <v>Yes</v>
      </c>
    </row>
    <row r="1070" ht="15.75" customHeight="1">
      <c r="A1070" s="88">
        <f t="shared" si="8"/>
        <v>44534</v>
      </c>
      <c r="B1070" s="72" t="str">
        <f t="shared" si="1"/>
        <v>20211204</v>
      </c>
      <c r="C1070" s="72" t="str">
        <f t="shared" si="2"/>
        <v>Saturday</v>
      </c>
      <c r="D1070" s="72" t="str">
        <f t="shared" si="3"/>
        <v>December</v>
      </c>
      <c r="E1070" s="72" t="str">
        <f t="shared" si="4"/>
        <v>Q4</v>
      </c>
      <c r="F1070" s="72">
        <f t="shared" si="5"/>
        <v>2021</v>
      </c>
      <c r="G1070" s="89">
        <f t="shared" si="6"/>
        <v>44534</v>
      </c>
      <c r="H1070" s="72" t="str">
        <f t="shared" si="7"/>
        <v>No</v>
      </c>
    </row>
    <row r="1071" ht="15.75" customHeight="1">
      <c r="A1071" s="88">
        <f t="shared" si="8"/>
        <v>44535</v>
      </c>
      <c r="B1071" s="72" t="str">
        <f t="shared" si="1"/>
        <v>20211205</v>
      </c>
      <c r="C1071" s="72" t="str">
        <f t="shared" si="2"/>
        <v>Sunday</v>
      </c>
      <c r="D1071" s="72" t="str">
        <f t="shared" si="3"/>
        <v>December</v>
      </c>
      <c r="E1071" s="72" t="str">
        <f t="shared" si="4"/>
        <v>Q4</v>
      </c>
      <c r="F1071" s="72">
        <f t="shared" si="5"/>
        <v>2021</v>
      </c>
      <c r="G1071" s="89">
        <f t="shared" si="6"/>
        <v>44541</v>
      </c>
      <c r="H1071" s="72" t="str">
        <f t="shared" si="7"/>
        <v>No</v>
      </c>
    </row>
    <row r="1072" ht="15.75" customHeight="1">
      <c r="A1072" s="88">
        <f t="shared" si="8"/>
        <v>44536</v>
      </c>
      <c r="B1072" s="72" t="str">
        <f t="shared" si="1"/>
        <v>20211206</v>
      </c>
      <c r="C1072" s="72" t="str">
        <f t="shared" si="2"/>
        <v>Monday</v>
      </c>
      <c r="D1072" s="72" t="str">
        <f t="shared" si="3"/>
        <v>December</v>
      </c>
      <c r="E1072" s="72" t="str">
        <f t="shared" si="4"/>
        <v>Q4</v>
      </c>
      <c r="F1072" s="72">
        <f t="shared" si="5"/>
        <v>2021</v>
      </c>
      <c r="G1072" s="89">
        <f t="shared" si="6"/>
        <v>44541</v>
      </c>
      <c r="H1072" s="72" t="str">
        <f t="shared" si="7"/>
        <v>Yes</v>
      </c>
    </row>
    <row r="1073" ht="15.75" customHeight="1">
      <c r="A1073" s="88">
        <f t="shared" si="8"/>
        <v>44537</v>
      </c>
      <c r="B1073" s="72" t="str">
        <f t="shared" si="1"/>
        <v>20211207</v>
      </c>
      <c r="C1073" s="72" t="str">
        <f t="shared" si="2"/>
        <v>Tuesday</v>
      </c>
      <c r="D1073" s="72" t="str">
        <f t="shared" si="3"/>
        <v>December</v>
      </c>
      <c r="E1073" s="72" t="str">
        <f t="shared" si="4"/>
        <v>Q4</v>
      </c>
      <c r="F1073" s="72">
        <f t="shared" si="5"/>
        <v>2021</v>
      </c>
      <c r="G1073" s="89">
        <f t="shared" si="6"/>
        <v>44541</v>
      </c>
      <c r="H1073" s="72" t="str">
        <f t="shared" si="7"/>
        <v>Yes</v>
      </c>
    </row>
    <row r="1074" ht="15.75" customHeight="1">
      <c r="A1074" s="88">
        <f t="shared" si="8"/>
        <v>44538</v>
      </c>
      <c r="B1074" s="72" t="str">
        <f t="shared" si="1"/>
        <v>20211208</v>
      </c>
      <c r="C1074" s="72" t="str">
        <f t="shared" si="2"/>
        <v>Wednesday</v>
      </c>
      <c r="D1074" s="72" t="str">
        <f t="shared" si="3"/>
        <v>December</v>
      </c>
      <c r="E1074" s="72" t="str">
        <f t="shared" si="4"/>
        <v>Q4</v>
      </c>
      <c r="F1074" s="72">
        <f t="shared" si="5"/>
        <v>2021</v>
      </c>
      <c r="G1074" s="89">
        <f t="shared" si="6"/>
        <v>44541</v>
      </c>
      <c r="H1074" s="72" t="str">
        <f t="shared" si="7"/>
        <v>Yes</v>
      </c>
    </row>
    <row r="1075" ht="15.75" customHeight="1">
      <c r="A1075" s="88">
        <f t="shared" si="8"/>
        <v>44539</v>
      </c>
      <c r="B1075" s="72" t="str">
        <f t="shared" si="1"/>
        <v>20211209</v>
      </c>
      <c r="C1075" s="72" t="str">
        <f t="shared" si="2"/>
        <v>Thursday</v>
      </c>
      <c r="D1075" s="72" t="str">
        <f t="shared" si="3"/>
        <v>December</v>
      </c>
      <c r="E1075" s="72" t="str">
        <f t="shared" si="4"/>
        <v>Q4</v>
      </c>
      <c r="F1075" s="72">
        <f t="shared" si="5"/>
        <v>2021</v>
      </c>
      <c r="G1075" s="89">
        <f t="shared" si="6"/>
        <v>44541</v>
      </c>
      <c r="H1075" s="72" t="str">
        <f t="shared" si="7"/>
        <v>Yes</v>
      </c>
    </row>
    <row r="1076" ht="15.75" customHeight="1">
      <c r="A1076" s="88">
        <f t="shared" si="8"/>
        <v>44540</v>
      </c>
      <c r="B1076" s="72" t="str">
        <f t="shared" si="1"/>
        <v>20211210</v>
      </c>
      <c r="C1076" s="72" t="str">
        <f t="shared" si="2"/>
        <v>Friday</v>
      </c>
      <c r="D1076" s="72" t="str">
        <f t="shared" si="3"/>
        <v>December</v>
      </c>
      <c r="E1076" s="72" t="str">
        <f t="shared" si="4"/>
        <v>Q4</v>
      </c>
      <c r="F1076" s="72">
        <f t="shared" si="5"/>
        <v>2021</v>
      </c>
      <c r="G1076" s="89">
        <f t="shared" si="6"/>
        <v>44541</v>
      </c>
      <c r="H1076" s="72" t="str">
        <f t="shared" si="7"/>
        <v>Yes</v>
      </c>
    </row>
    <row r="1077" ht="15.75" customHeight="1">
      <c r="A1077" s="88">
        <f t="shared" si="8"/>
        <v>44541</v>
      </c>
      <c r="B1077" s="72" t="str">
        <f t="shared" si="1"/>
        <v>20211211</v>
      </c>
      <c r="C1077" s="72" t="str">
        <f t="shared" si="2"/>
        <v>Saturday</v>
      </c>
      <c r="D1077" s="72" t="str">
        <f t="shared" si="3"/>
        <v>December</v>
      </c>
      <c r="E1077" s="72" t="str">
        <f t="shared" si="4"/>
        <v>Q4</v>
      </c>
      <c r="F1077" s="72">
        <f t="shared" si="5"/>
        <v>2021</v>
      </c>
      <c r="G1077" s="89">
        <f t="shared" si="6"/>
        <v>44541</v>
      </c>
      <c r="H1077" s="72" t="str">
        <f t="shared" si="7"/>
        <v>No</v>
      </c>
    </row>
    <row r="1078" ht="15.75" customHeight="1">
      <c r="A1078" s="88">
        <f t="shared" si="8"/>
        <v>44542</v>
      </c>
      <c r="B1078" s="72" t="str">
        <f t="shared" si="1"/>
        <v>20211212</v>
      </c>
      <c r="C1078" s="72" t="str">
        <f t="shared" si="2"/>
        <v>Sunday</v>
      </c>
      <c r="D1078" s="72" t="str">
        <f t="shared" si="3"/>
        <v>December</v>
      </c>
      <c r="E1078" s="72" t="str">
        <f t="shared" si="4"/>
        <v>Q4</v>
      </c>
      <c r="F1078" s="72">
        <f t="shared" si="5"/>
        <v>2021</v>
      </c>
      <c r="G1078" s="89">
        <f t="shared" si="6"/>
        <v>44548</v>
      </c>
      <c r="H1078" s="72" t="str">
        <f t="shared" si="7"/>
        <v>No</v>
      </c>
    </row>
    <row r="1079" ht="15.75" customHeight="1">
      <c r="A1079" s="88">
        <f t="shared" si="8"/>
        <v>44543</v>
      </c>
      <c r="B1079" s="72" t="str">
        <f t="shared" si="1"/>
        <v>20211213</v>
      </c>
      <c r="C1079" s="72" t="str">
        <f t="shared" si="2"/>
        <v>Monday</v>
      </c>
      <c r="D1079" s="72" t="str">
        <f t="shared" si="3"/>
        <v>December</v>
      </c>
      <c r="E1079" s="72" t="str">
        <f t="shared" si="4"/>
        <v>Q4</v>
      </c>
      <c r="F1079" s="72">
        <f t="shared" si="5"/>
        <v>2021</v>
      </c>
      <c r="G1079" s="89">
        <f t="shared" si="6"/>
        <v>44548</v>
      </c>
      <c r="H1079" s="72" t="str">
        <f t="shared" si="7"/>
        <v>Yes</v>
      </c>
    </row>
    <row r="1080" ht="15.75" customHeight="1">
      <c r="A1080" s="88">
        <f t="shared" si="8"/>
        <v>44544</v>
      </c>
      <c r="B1080" s="72" t="str">
        <f t="shared" si="1"/>
        <v>20211214</v>
      </c>
      <c r="C1080" s="72" t="str">
        <f t="shared" si="2"/>
        <v>Tuesday</v>
      </c>
      <c r="D1080" s="72" t="str">
        <f t="shared" si="3"/>
        <v>December</v>
      </c>
      <c r="E1080" s="72" t="str">
        <f t="shared" si="4"/>
        <v>Q4</v>
      </c>
      <c r="F1080" s="72">
        <f t="shared" si="5"/>
        <v>2021</v>
      </c>
      <c r="G1080" s="89">
        <f t="shared" si="6"/>
        <v>44548</v>
      </c>
      <c r="H1080" s="72" t="str">
        <f t="shared" si="7"/>
        <v>Yes</v>
      </c>
    </row>
    <row r="1081" ht="15.75" customHeight="1">
      <c r="A1081" s="88">
        <f t="shared" si="8"/>
        <v>44545</v>
      </c>
      <c r="B1081" s="72" t="str">
        <f t="shared" si="1"/>
        <v>20211215</v>
      </c>
      <c r="C1081" s="72" t="str">
        <f t="shared" si="2"/>
        <v>Wednesday</v>
      </c>
      <c r="D1081" s="72" t="str">
        <f t="shared" si="3"/>
        <v>December</v>
      </c>
      <c r="E1081" s="72" t="str">
        <f t="shared" si="4"/>
        <v>Q4</v>
      </c>
      <c r="F1081" s="72">
        <f t="shared" si="5"/>
        <v>2021</v>
      </c>
      <c r="G1081" s="89">
        <f t="shared" si="6"/>
        <v>44548</v>
      </c>
      <c r="H1081" s="72" t="str">
        <f t="shared" si="7"/>
        <v>Yes</v>
      </c>
    </row>
    <row r="1082" ht="15.75" customHeight="1">
      <c r="A1082" s="88">
        <f t="shared" si="8"/>
        <v>44546</v>
      </c>
      <c r="B1082" s="72" t="str">
        <f t="shared" si="1"/>
        <v>20211216</v>
      </c>
      <c r="C1082" s="72" t="str">
        <f t="shared" si="2"/>
        <v>Thursday</v>
      </c>
      <c r="D1082" s="72" t="str">
        <f t="shared" si="3"/>
        <v>December</v>
      </c>
      <c r="E1082" s="72" t="str">
        <f t="shared" si="4"/>
        <v>Q4</v>
      </c>
      <c r="F1082" s="72">
        <f t="shared" si="5"/>
        <v>2021</v>
      </c>
      <c r="G1082" s="89">
        <f t="shared" si="6"/>
        <v>44548</v>
      </c>
      <c r="H1082" s="72" t="str">
        <f t="shared" si="7"/>
        <v>Yes</v>
      </c>
    </row>
    <row r="1083" ht="15.75" customHeight="1">
      <c r="A1083" s="88">
        <f t="shared" si="8"/>
        <v>44547</v>
      </c>
      <c r="B1083" s="72" t="str">
        <f t="shared" si="1"/>
        <v>20211217</v>
      </c>
      <c r="C1083" s="72" t="str">
        <f t="shared" si="2"/>
        <v>Friday</v>
      </c>
      <c r="D1083" s="72" t="str">
        <f t="shared" si="3"/>
        <v>December</v>
      </c>
      <c r="E1083" s="72" t="str">
        <f t="shared" si="4"/>
        <v>Q4</v>
      </c>
      <c r="F1083" s="72">
        <f t="shared" si="5"/>
        <v>2021</v>
      </c>
      <c r="G1083" s="89">
        <f t="shared" si="6"/>
        <v>44548</v>
      </c>
      <c r="H1083" s="72" t="str">
        <f t="shared" si="7"/>
        <v>Yes</v>
      </c>
    </row>
    <row r="1084" ht="15.75" customHeight="1">
      <c r="A1084" s="88">
        <f t="shared" si="8"/>
        <v>44548</v>
      </c>
      <c r="B1084" s="72" t="str">
        <f t="shared" si="1"/>
        <v>20211218</v>
      </c>
      <c r="C1084" s="72" t="str">
        <f t="shared" si="2"/>
        <v>Saturday</v>
      </c>
      <c r="D1084" s="72" t="str">
        <f t="shared" si="3"/>
        <v>December</v>
      </c>
      <c r="E1084" s="72" t="str">
        <f t="shared" si="4"/>
        <v>Q4</v>
      </c>
      <c r="F1084" s="72">
        <f t="shared" si="5"/>
        <v>2021</v>
      </c>
      <c r="G1084" s="89">
        <f t="shared" si="6"/>
        <v>44548</v>
      </c>
      <c r="H1084" s="72" t="str">
        <f t="shared" si="7"/>
        <v>No</v>
      </c>
    </row>
    <row r="1085" ht="15.75" customHeight="1">
      <c r="A1085" s="88">
        <f t="shared" si="8"/>
        <v>44549</v>
      </c>
      <c r="B1085" s="72" t="str">
        <f t="shared" si="1"/>
        <v>20211219</v>
      </c>
      <c r="C1085" s="72" t="str">
        <f t="shared" si="2"/>
        <v>Sunday</v>
      </c>
      <c r="D1085" s="72" t="str">
        <f t="shared" si="3"/>
        <v>December</v>
      </c>
      <c r="E1085" s="72" t="str">
        <f t="shared" si="4"/>
        <v>Q4</v>
      </c>
      <c r="F1085" s="72">
        <f t="shared" si="5"/>
        <v>2021</v>
      </c>
      <c r="G1085" s="89">
        <f t="shared" si="6"/>
        <v>44555</v>
      </c>
      <c r="H1085" s="72" t="str">
        <f t="shared" si="7"/>
        <v>No</v>
      </c>
    </row>
    <row r="1086" ht="15.75" customHeight="1">
      <c r="A1086" s="88">
        <f t="shared" si="8"/>
        <v>44550</v>
      </c>
      <c r="B1086" s="72" t="str">
        <f t="shared" si="1"/>
        <v>20211220</v>
      </c>
      <c r="C1086" s="72" t="str">
        <f t="shared" si="2"/>
        <v>Monday</v>
      </c>
      <c r="D1086" s="72" t="str">
        <f t="shared" si="3"/>
        <v>December</v>
      </c>
      <c r="E1086" s="72" t="str">
        <f t="shared" si="4"/>
        <v>Q4</v>
      </c>
      <c r="F1086" s="72">
        <f t="shared" si="5"/>
        <v>2021</v>
      </c>
      <c r="G1086" s="89">
        <f t="shared" si="6"/>
        <v>44555</v>
      </c>
      <c r="H1086" s="72" t="str">
        <f t="shared" si="7"/>
        <v>Yes</v>
      </c>
    </row>
    <row r="1087" ht="15.75" customHeight="1">
      <c r="A1087" s="88">
        <f t="shared" si="8"/>
        <v>44551</v>
      </c>
      <c r="B1087" s="72" t="str">
        <f t="shared" si="1"/>
        <v>20211221</v>
      </c>
      <c r="C1087" s="72" t="str">
        <f t="shared" si="2"/>
        <v>Tuesday</v>
      </c>
      <c r="D1087" s="72" t="str">
        <f t="shared" si="3"/>
        <v>December</v>
      </c>
      <c r="E1087" s="72" t="str">
        <f t="shared" si="4"/>
        <v>Q4</v>
      </c>
      <c r="F1087" s="72">
        <f t="shared" si="5"/>
        <v>2021</v>
      </c>
      <c r="G1087" s="89">
        <f t="shared" si="6"/>
        <v>44555</v>
      </c>
      <c r="H1087" s="72" t="str">
        <f t="shared" si="7"/>
        <v>Yes</v>
      </c>
    </row>
    <row r="1088" ht="15.75" customHeight="1">
      <c r="A1088" s="88">
        <f t="shared" si="8"/>
        <v>44552</v>
      </c>
      <c r="B1088" s="72" t="str">
        <f t="shared" si="1"/>
        <v>20211222</v>
      </c>
      <c r="C1088" s="72" t="str">
        <f t="shared" si="2"/>
        <v>Wednesday</v>
      </c>
      <c r="D1088" s="72" t="str">
        <f t="shared" si="3"/>
        <v>December</v>
      </c>
      <c r="E1088" s="72" t="str">
        <f t="shared" si="4"/>
        <v>Q4</v>
      </c>
      <c r="F1088" s="72">
        <f t="shared" si="5"/>
        <v>2021</v>
      </c>
      <c r="G1088" s="89">
        <f t="shared" si="6"/>
        <v>44555</v>
      </c>
      <c r="H1088" s="72" t="str">
        <f t="shared" si="7"/>
        <v>Yes</v>
      </c>
    </row>
    <row r="1089" ht="15.75" customHeight="1">
      <c r="A1089" s="88">
        <f t="shared" si="8"/>
        <v>44553</v>
      </c>
      <c r="B1089" s="72" t="str">
        <f t="shared" si="1"/>
        <v>20211223</v>
      </c>
      <c r="C1089" s="72" t="str">
        <f t="shared" si="2"/>
        <v>Thursday</v>
      </c>
      <c r="D1089" s="72" t="str">
        <f t="shared" si="3"/>
        <v>December</v>
      </c>
      <c r="E1089" s="72" t="str">
        <f t="shared" si="4"/>
        <v>Q4</v>
      </c>
      <c r="F1089" s="72">
        <f t="shared" si="5"/>
        <v>2021</v>
      </c>
      <c r="G1089" s="89">
        <f t="shared" si="6"/>
        <v>44555</v>
      </c>
      <c r="H1089" s="72" t="str">
        <f t="shared" si="7"/>
        <v>Yes</v>
      </c>
    </row>
    <row r="1090" ht="15.75" customHeight="1">
      <c r="A1090" s="88">
        <f t="shared" si="8"/>
        <v>44554</v>
      </c>
      <c r="B1090" s="72" t="str">
        <f t="shared" si="1"/>
        <v>20211224</v>
      </c>
      <c r="C1090" s="72" t="str">
        <f t="shared" si="2"/>
        <v>Friday</v>
      </c>
      <c r="D1090" s="72" t="str">
        <f t="shared" si="3"/>
        <v>December</v>
      </c>
      <c r="E1090" s="72" t="str">
        <f t="shared" si="4"/>
        <v>Q4</v>
      </c>
      <c r="F1090" s="72">
        <f t="shared" si="5"/>
        <v>2021</v>
      </c>
      <c r="G1090" s="89">
        <f t="shared" si="6"/>
        <v>44555</v>
      </c>
      <c r="H1090" s="72" t="str">
        <f t="shared" si="7"/>
        <v>Yes</v>
      </c>
    </row>
    <row r="1091" ht="15.75" customHeight="1">
      <c r="A1091" s="88">
        <f t="shared" si="8"/>
        <v>44555</v>
      </c>
      <c r="B1091" s="72" t="str">
        <f t="shared" si="1"/>
        <v>20211225</v>
      </c>
      <c r="C1091" s="72" t="str">
        <f t="shared" si="2"/>
        <v>Saturday</v>
      </c>
      <c r="D1091" s="72" t="str">
        <f t="shared" si="3"/>
        <v>December</v>
      </c>
      <c r="E1091" s="72" t="str">
        <f t="shared" si="4"/>
        <v>Q4</v>
      </c>
      <c r="F1091" s="72">
        <f t="shared" si="5"/>
        <v>2021</v>
      </c>
      <c r="G1091" s="89">
        <f t="shared" si="6"/>
        <v>44555</v>
      </c>
      <c r="H1091" s="72" t="str">
        <f t="shared" si="7"/>
        <v>No</v>
      </c>
    </row>
    <row r="1092" ht="15.75" customHeight="1">
      <c r="A1092" s="88">
        <f t="shared" si="8"/>
        <v>44556</v>
      </c>
      <c r="B1092" s="72" t="str">
        <f t="shared" si="1"/>
        <v>20211226</v>
      </c>
      <c r="C1092" s="72" t="str">
        <f t="shared" si="2"/>
        <v>Sunday</v>
      </c>
      <c r="D1092" s="72" t="str">
        <f t="shared" si="3"/>
        <v>December</v>
      </c>
      <c r="E1092" s="72" t="str">
        <f t="shared" si="4"/>
        <v>Q4</v>
      </c>
      <c r="F1092" s="72">
        <f t="shared" si="5"/>
        <v>2021</v>
      </c>
      <c r="G1092" s="89">
        <f t="shared" si="6"/>
        <v>44562</v>
      </c>
      <c r="H1092" s="72" t="str">
        <f t="shared" si="7"/>
        <v>No</v>
      </c>
    </row>
    <row r="1093" ht="15.75" customHeight="1">
      <c r="A1093" s="88">
        <f t="shared" si="8"/>
        <v>44557</v>
      </c>
      <c r="B1093" s="72" t="str">
        <f t="shared" si="1"/>
        <v>20211227</v>
      </c>
      <c r="C1093" s="72" t="str">
        <f t="shared" si="2"/>
        <v>Monday</v>
      </c>
      <c r="D1093" s="72" t="str">
        <f t="shared" si="3"/>
        <v>December</v>
      </c>
      <c r="E1093" s="72" t="str">
        <f t="shared" si="4"/>
        <v>Q4</v>
      </c>
      <c r="F1093" s="72">
        <f t="shared" si="5"/>
        <v>2021</v>
      </c>
      <c r="G1093" s="89">
        <f t="shared" si="6"/>
        <v>44562</v>
      </c>
      <c r="H1093" s="72" t="str">
        <f t="shared" si="7"/>
        <v>Yes</v>
      </c>
    </row>
    <row r="1094" ht="15.75" customHeight="1">
      <c r="A1094" s="88">
        <f t="shared" si="8"/>
        <v>44558</v>
      </c>
      <c r="B1094" s="72" t="str">
        <f t="shared" si="1"/>
        <v>20211228</v>
      </c>
      <c r="C1094" s="72" t="str">
        <f t="shared" si="2"/>
        <v>Tuesday</v>
      </c>
      <c r="D1094" s="72" t="str">
        <f t="shared" si="3"/>
        <v>December</v>
      </c>
      <c r="E1094" s="72" t="str">
        <f t="shared" si="4"/>
        <v>Q4</v>
      </c>
      <c r="F1094" s="72">
        <f t="shared" si="5"/>
        <v>2021</v>
      </c>
      <c r="G1094" s="89">
        <f t="shared" si="6"/>
        <v>44562</v>
      </c>
      <c r="H1094" s="72" t="str">
        <f t="shared" si="7"/>
        <v>Yes</v>
      </c>
    </row>
    <row r="1095" ht="15.75" customHeight="1">
      <c r="A1095" s="88">
        <f t="shared" si="8"/>
        <v>44559</v>
      </c>
      <c r="B1095" s="72" t="str">
        <f t="shared" si="1"/>
        <v>20211229</v>
      </c>
      <c r="C1095" s="72" t="str">
        <f t="shared" si="2"/>
        <v>Wednesday</v>
      </c>
      <c r="D1095" s="72" t="str">
        <f t="shared" si="3"/>
        <v>December</v>
      </c>
      <c r="E1095" s="72" t="str">
        <f t="shared" si="4"/>
        <v>Q4</v>
      </c>
      <c r="F1095" s="72">
        <f t="shared" si="5"/>
        <v>2021</v>
      </c>
      <c r="G1095" s="89">
        <f t="shared" si="6"/>
        <v>44562</v>
      </c>
      <c r="H1095" s="72" t="str">
        <f t="shared" si="7"/>
        <v>Yes</v>
      </c>
    </row>
    <row r="1096" ht="15.75" customHeight="1">
      <c r="A1096" s="88">
        <f t="shared" si="8"/>
        <v>44560</v>
      </c>
      <c r="B1096" s="72" t="str">
        <f t="shared" si="1"/>
        <v>20211230</v>
      </c>
      <c r="C1096" s="72" t="str">
        <f t="shared" si="2"/>
        <v>Thursday</v>
      </c>
      <c r="D1096" s="72" t="str">
        <f t="shared" si="3"/>
        <v>December</v>
      </c>
      <c r="E1096" s="72" t="str">
        <f t="shared" si="4"/>
        <v>Q4</v>
      </c>
      <c r="F1096" s="72">
        <f t="shared" si="5"/>
        <v>2021</v>
      </c>
      <c r="G1096" s="89">
        <f t="shared" si="6"/>
        <v>44562</v>
      </c>
      <c r="H1096" s="72" t="str">
        <f t="shared" si="7"/>
        <v>Yes</v>
      </c>
    </row>
    <row r="1097" ht="15.75" customHeight="1">
      <c r="A1097" s="88">
        <f t="shared" si="8"/>
        <v>44561</v>
      </c>
      <c r="B1097" s="72" t="str">
        <f t="shared" si="1"/>
        <v>20211231</v>
      </c>
      <c r="C1097" s="72" t="str">
        <f t="shared" si="2"/>
        <v>Friday</v>
      </c>
      <c r="D1097" s="72" t="str">
        <f t="shared" si="3"/>
        <v>December</v>
      </c>
      <c r="E1097" s="72" t="str">
        <f t="shared" si="4"/>
        <v>Q4</v>
      </c>
      <c r="F1097" s="72">
        <f t="shared" si="5"/>
        <v>2021</v>
      </c>
      <c r="G1097" s="89">
        <f t="shared" si="6"/>
        <v>44562</v>
      </c>
      <c r="H1097" s="72" t="str">
        <f t="shared" si="7"/>
        <v>Yes</v>
      </c>
    </row>
    <row r="1098" ht="15.75" customHeight="1">
      <c r="A1098" s="88">
        <f t="shared" si="8"/>
        <v>44562</v>
      </c>
      <c r="B1098" s="72" t="str">
        <f t="shared" si="1"/>
        <v>20220101</v>
      </c>
      <c r="C1098" s="72" t="str">
        <f t="shared" si="2"/>
        <v>Saturday</v>
      </c>
      <c r="D1098" s="72" t="str">
        <f t="shared" si="3"/>
        <v>January</v>
      </c>
      <c r="E1098" s="72" t="str">
        <f t="shared" si="4"/>
        <v>Q1</v>
      </c>
      <c r="F1098" s="72">
        <f t="shared" si="5"/>
        <v>2022</v>
      </c>
      <c r="G1098" s="89">
        <f t="shared" si="6"/>
        <v>44562</v>
      </c>
      <c r="H1098" s="72" t="str">
        <f t="shared" si="7"/>
        <v>No</v>
      </c>
    </row>
    <row r="1099" ht="15.75" customHeight="1">
      <c r="A1099" s="88">
        <f t="shared" si="8"/>
        <v>44563</v>
      </c>
      <c r="B1099" s="72" t="str">
        <f t="shared" si="1"/>
        <v>20220102</v>
      </c>
      <c r="C1099" s="72" t="str">
        <f t="shared" si="2"/>
        <v>Sunday</v>
      </c>
      <c r="D1099" s="72" t="str">
        <f t="shared" si="3"/>
        <v>January</v>
      </c>
      <c r="E1099" s="72" t="str">
        <f t="shared" si="4"/>
        <v>Q1</v>
      </c>
      <c r="F1099" s="72">
        <f t="shared" si="5"/>
        <v>2022</v>
      </c>
      <c r="G1099" s="89">
        <f t="shared" si="6"/>
        <v>44569</v>
      </c>
      <c r="H1099" s="72" t="str">
        <f t="shared" si="7"/>
        <v>No</v>
      </c>
    </row>
    <row r="1100" ht="15.75" customHeight="1">
      <c r="A1100" s="88">
        <f t="shared" si="8"/>
        <v>44564</v>
      </c>
      <c r="B1100" s="72" t="str">
        <f t="shared" si="1"/>
        <v>20220103</v>
      </c>
      <c r="C1100" s="72" t="str">
        <f t="shared" si="2"/>
        <v>Monday</v>
      </c>
      <c r="D1100" s="72" t="str">
        <f t="shared" si="3"/>
        <v>January</v>
      </c>
      <c r="E1100" s="72" t="str">
        <f t="shared" si="4"/>
        <v>Q1</v>
      </c>
      <c r="F1100" s="72">
        <f t="shared" si="5"/>
        <v>2022</v>
      </c>
      <c r="G1100" s="89">
        <f t="shared" si="6"/>
        <v>44569</v>
      </c>
      <c r="H1100" s="72" t="str">
        <f t="shared" si="7"/>
        <v>Yes</v>
      </c>
    </row>
    <row r="1101" ht="15.75" customHeight="1">
      <c r="A1101" s="88">
        <f t="shared" si="8"/>
        <v>44565</v>
      </c>
      <c r="B1101" s="72" t="str">
        <f t="shared" si="1"/>
        <v>20220104</v>
      </c>
      <c r="C1101" s="72" t="str">
        <f t="shared" si="2"/>
        <v>Tuesday</v>
      </c>
      <c r="D1101" s="72" t="str">
        <f t="shared" si="3"/>
        <v>January</v>
      </c>
      <c r="E1101" s="72" t="str">
        <f t="shared" si="4"/>
        <v>Q1</v>
      </c>
      <c r="F1101" s="72">
        <f t="shared" si="5"/>
        <v>2022</v>
      </c>
      <c r="G1101" s="89">
        <f t="shared" si="6"/>
        <v>44569</v>
      </c>
      <c r="H1101" s="72" t="str">
        <f t="shared" si="7"/>
        <v>Yes</v>
      </c>
    </row>
    <row r="1102" ht="15.75" customHeight="1">
      <c r="A1102" s="88">
        <f t="shared" si="8"/>
        <v>44566</v>
      </c>
      <c r="B1102" s="72" t="str">
        <f t="shared" si="1"/>
        <v>20220105</v>
      </c>
      <c r="C1102" s="72" t="str">
        <f t="shared" si="2"/>
        <v>Wednesday</v>
      </c>
      <c r="D1102" s="72" t="str">
        <f t="shared" si="3"/>
        <v>January</v>
      </c>
      <c r="E1102" s="72" t="str">
        <f t="shared" si="4"/>
        <v>Q1</v>
      </c>
      <c r="F1102" s="72">
        <f t="shared" si="5"/>
        <v>2022</v>
      </c>
      <c r="G1102" s="89">
        <f t="shared" si="6"/>
        <v>44569</v>
      </c>
      <c r="H1102" s="72" t="str">
        <f t="shared" si="7"/>
        <v>Yes</v>
      </c>
    </row>
    <row r="1103" ht="15.75" customHeight="1">
      <c r="A1103" s="88">
        <f t="shared" si="8"/>
        <v>44567</v>
      </c>
      <c r="B1103" s="72" t="str">
        <f t="shared" si="1"/>
        <v>20220106</v>
      </c>
      <c r="C1103" s="72" t="str">
        <f t="shared" si="2"/>
        <v>Thursday</v>
      </c>
      <c r="D1103" s="72" t="str">
        <f t="shared" si="3"/>
        <v>January</v>
      </c>
      <c r="E1103" s="72" t="str">
        <f t="shared" si="4"/>
        <v>Q1</v>
      </c>
      <c r="F1103" s="72">
        <f t="shared" si="5"/>
        <v>2022</v>
      </c>
      <c r="G1103" s="89">
        <f t="shared" si="6"/>
        <v>44569</v>
      </c>
      <c r="H1103" s="72" t="str">
        <f t="shared" si="7"/>
        <v>Yes</v>
      </c>
    </row>
    <row r="1104" ht="15.75" customHeight="1">
      <c r="A1104" s="88">
        <f t="shared" si="8"/>
        <v>44568</v>
      </c>
      <c r="B1104" s="72" t="str">
        <f t="shared" si="1"/>
        <v>20220107</v>
      </c>
      <c r="C1104" s="72" t="str">
        <f t="shared" si="2"/>
        <v>Friday</v>
      </c>
      <c r="D1104" s="72" t="str">
        <f t="shared" si="3"/>
        <v>January</v>
      </c>
      <c r="E1104" s="72" t="str">
        <f t="shared" si="4"/>
        <v>Q1</v>
      </c>
      <c r="F1104" s="72">
        <f t="shared" si="5"/>
        <v>2022</v>
      </c>
      <c r="G1104" s="89">
        <f t="shared" si="6"/>
        <v>44569</v>
      </c>
      <c r="H1104" s="72" t="str">
        <f t="shared" si="7"/>
        <v>Yes</v>
      </c>
    </row>
    <row r="1105" ht="15.75" customHeight="1">
      <c r="A1105" s="88">
        <f t="shared" si="8"/>
        <v>44569</v>
      </c>
      <c r="B1105" s="72" t="str">
        <f t="shared" si="1"/>
        <v>20220108</v>
      </c>
      <c r="C1105" s="72" t="str">
        <f t="shared" si="2"/>
        <v>Saturday</v>
      </c>
      <c r="D1105" s="72" t="str">
        <f t="shared" si="3"/>
        <v>January</v>
      </c>
      <c r="E1105" s="72" t="str">
        <f t="shared" si="4"/>
        <v>Q1</v>
      </c>
      <c r="F1105" s="72">
        <f t="shared" si="5"/>
        <v>2022</v>
      </c>
      <c r="G1105" s="89">
        <f t="shared" si="6"/>
        <v>44569</v>
      </c>
      <c r="H1105" s="72" t="str">
        <f t="shared" si="7"/>
        <v>No</v>
      </c>
    </row>
    <row r="1106" ht="15.75" customHeight="1">
      <c r="A1106" s="88">
        <f t="shared" si="8"/>
        <v>44570</v>
      </c>
      <c r="B1106" s="72" t="str">
        <f t="shared" si="1"/>
        <v>20220109</v>
      </c>
      <c r="C1106" s="72" t="str">
        <f t="shared" si="2"/>
        <v>Sunday</v>
      </c>
      <c r="D1106" s="72" t="str">
        <f t="shared" si="3"/>
        <v>January</v>
      </c>
      <c r="E1106" s="72" t="str">
        <f t="shared" si="4"/>
        <v>Q1</v>
      </c>
      <c r="F1106" s="72">
        <f t="shared" si="5"/>
        <v>2022</v>
      </c>
      <c r="G1106" s="89">
        <f t="shared" si="6"/>
        <v>44576</v>
      </c>
      <c r="H1106" s="72" t="str">
        <f t="shared" si="7"/>
        <v>No</v>
      </c>
    </row>
    <row r="1107" ht="15.75" customHeight="1">
      <c r="A1107" s="88">
        <f t="shared" si="8"/>
        <v>44571</v>
      </c>
      <c r="B1107" s="72" t="str">
        <f t="shared" si="1"/>
        <v>20220110</v>
      </c>
      <c r="C1107" s="72" t="str">
        <f t="shared" si="2"/>
        <v>Monday</v>
      </c>
      <c r="D1107" s="72" t="str">
        <f t="shared" si="3"/>
        <v>January</v>
      </c>
      <c r="E1107" s="72" t="str">
        <f t="shared" si="4"/>
        <v>Q1</v>
      </c>
      <c r="F1107" s="72">
        <f t="shared" si="5"/>
        <v>2022</v>
      </c>
      <c r="G1107" s="89">
        <f t="shared" si="6"/>
        <v>44576</v>
      </c>
      <c r="H1107" s="72" t="str">
        <f t="shared" si="7"/>
        <v>Yes</v>
      </c>
    </row>
    <row r="1108" ht="15.75" customHeight="1">
      <c r="A1108" s="88">
        <f t="shared" si="8"/>
        <v>44572</v>
      </c>
      <c r="B1108" s="72" t="str">
        <f t="shared" si="1"/>
        <v>20220111</v>
      </c>
      <c r="C1108" s="72" t="str">
        <f t="shared" si="2"/>
        <v>Tuesday</v>
      </c>
      <c r="D1108" s="72" t="str">
        <f t="shared" si="3"/>
        <v>January</v>
      </c>
      <c r="E1108" s="72" t="str">
        <f t="shared" si="4"/>
        <v>Q1</v>
      </c>
      <c r="F1108" s="72">
        <f t="shared" si="5"/>
        <v>2022</v>
      </c>
      <c r="G1108" s="89">
        <f t="shared" si="6"/>
        <v>44576</v>
      </c>
      <c r="H1108" s="72" t="str">
        <f t="shared" si="7"/>
        <v>Yes</v>
      </c>
    </row>
    <row r="1109" ht="15.75" customHeight="1">
      <c r="A1109" s="88">
        <f t="shared" si="8"/>
        <v>44573</v>
      </c>
      <c r="B1109" s="72" t="str">
        <f t="shared" si="1"/>
        <v>20220112</v>
      </c>
      <c r="C1109" s="72" t="str">
        <f t="shared" si="2"/>
        <v>Wednesday</v>
      </c>
      <c r="D1109" s="72" t="str">
        <f t="shared" si="3"/>
        <v>January</v>
      </c>
      <c r="E1109" s="72" t="str">
        <f t="shared" si="4"/>
        <v>Q1</v>
      </c>
      <c r="F1109" s="72">
        <f t="shared" si="5"/>
        <v>2022</v>
      </c>
      <c r="G1109" s="89">
        <f t="shared" si="6"/>
        <v>44576</v>
      </c>
      <c r="H1109" s="72" t="str">
        <f t="shared" si="7"/>
        <v>Yes</v>
      </c>
    </row>
    <row r="1110" ht="15.75" customHeight="1">
      <c r="A1110" s="88">
        <f t="shared" si="8"/>
        <v>44574</v>
      </c>
      <c r="B1110" s="72" t="str">
        <f t="shared" si="1"/>
        <v>20220113</v>
      </c>
      <c r="C1110" s="72" t="str">
        <f t="shared" si="2"/>
        <v>Thursday</v>
      </c>
      <c r="D1110" s="72" t="str">
        <f t="shared" si="3"/>
        <v>January</v>
      </c>
      <c r="E1110" s="72" t="str">
        <f t="shared" si="4"/>
        <v>Q1</v>
      </c>
      <c r="F1110" s="72">
        <f t="shared" si="5"/>
        <v>2022</v>
      </c>
      <c r="G1110" s="89">
        <f t="shared" si="6"/>
        <v>44576</v>
      </c>
      <c r="H1110" s="72" t="str">
        <f t="shared" si="7"/>
        <v>Yes</v>
      </c>
    </row>
    <row r="1111" ht="15.75" customHeight="1">
      <c r="A1111" s="88">
        <f t="shared" si="8"/>
        <v>44575</v>
      </c>
      <c r="B1111" s="72" t="str">
        <f t="shared" si="1"/>
        <v>20220114</v>
      </c>
      <c r="C1111" s="72" t="str">
        <f t="shared" si="2"/>
        <v>Friday</v>
      </c>
      <c r="D1111" s="72" t="str">
        <f t="shared" si="3"/>
        <v>January</v>
      </c>
      <c r="E1111" s="72" t="str">
        <f t="shared" si="4"/>
        <v>Q1</v>
      </c>
      <c r="F1111" s="72">
        <f t="shared" si="5"/>
        <v>2022</v>
      </c>
      <c r="G1111" s="89">
        <f t="shared" si="6"/>
        <v>44576</v>
      </c>
      <c r="H1111" s="72" t="str">
        <f t="shared" si="7"/>
        <v>Yes</v>
      </c>
    </row>
    <row r="1112" ht="15.75" customHeight="1">
      <c r="A1112" s="88">
        <f t="shared" si="8"/>
        <v>44576</v>
      </c>
      <c r="B1112" s="72" t="str">
        <f t="shared" si="1"/>
        <v>20220115</v>
      </c>
      <c r="C1112" s="72" t="str">
        <f t="shared" si="2"/>
        <v>Saturday</v>
      </c>
      <c r="D1112" s="72" t="str">
        <f t="shared" si="3"/>
        <v>January</v>
      </c>
      <c r="E1112" s="72" t="str">
        <f t="shared" si="4"/>
        <v>Q1</v>
      </c>
      <c r="F1112" s="72">
        <f t="shared" si="5"/>
        <v>2022</v>
      </c>
      <c r="G1112" s="89">
        <f t="shared" si="6"/>
        <v>44576</v>
      </c>
      <c r="H1112" s="72" t="str">
        <f t="shared" si="7"/>
        <v>No</v>
      </c>
    </row>
    <row r="1113" ht="15.75" customHeight="1">
      <c r="A1113" s="88">
        <f t="shared" si="8"/>
        <v>44577</v>
      </c>
      <c r="B1113" s="72" t="str">
        <f t="shared" si="1"/>
        <v>20220116</v>
      </c>
      <c r="C1113" s="72" t="str">
        <f t="shared" si="2"/>
        <v>Sunday</v>
      </c>
      <c r="D1113" s="72" t="str">
        <f t="shared" si="3"/>
        <v>January</v>
      </c>
      <c r="E1113" s="72" t="str">
        <f t="shared" si="4"/>
        <v>Q1</v>
      </c>
      <c r="F1113" s="72">
        <f t="shared" si="5"/>
        <v>2022</v>
      </c>
      <c r="G1113" s="89">
        <f t="shared" si="6"/>
        <v>44583</v>
      </c>
      <c r="H1113" s="72" t="str">
        <f t="shared" si="7"/>
        <v>No</v>
      </c>
    </row>
    <row r="1114" ht="15.75" customHeight="1">
      <c r="A1114" s="88">
        <f t="shared" si="8"/>
        <v>44578</v>
      </c>
      <c r="B1114" s="72" t="str">
        <f t="shared" si="1"/>
        <v>20220117</v>
      </c>
      <c r="C1114" s="72" t="str">
        <f t="shared" si="2"/>
        <v>Monday</v>
      </c>
      <c r="D1114" s="72" t="str">
        <f t="shared" si="3"/>
        <v>January</v>
      </c>
      <c r="E1114" s="72" t="str">
        <f t="shared" si="4"/>
        <v>Q1</v>
      </c>
      <c r="F1114" s="72">
        <f t="shared" si="5"/>
        <v>2022</v>
      </c>
      <c r="G1114" s="89">
        <f t="shared" si="6"/>
        <v>44583</v>
      </c>
      <c r="H1114" s="72" t="str">
        <f t="shared" si="7"/>
        <v>Yes</v>
      </c>
    </row>
    <row r="1115" ht="15.75" customHeight="1">
      <c r="A1115" s="88">
        <f t="shared" si="8"/>
        <v>44579</v>
      </c>
      <c r="B1115" s="72" t="str">
        <f t="shared" si="1"/>
        <v>20220118</v>
      </c>
      <c r="C1115" s="72" t="str">
        <f t="shared" si="2"/>
        <v>Tuesday</v>
      </c>
      <c r="D1115" s="72" t="str">
        <f t="shared" si="3"/>
        <v>January</v>
      </c>
      <c r="E1115" s="72" t="str">
        <f t="shared" si="4"/>
        <v>Q1</v>
      </c>
      <c r="F1115" s="72">
        <f t="shared" si="5"/>
        <v>2022</v>
      </c>
      <c r="G1115" s="89">
        <f t="shared" si="6"/>
        <v>44583</v>
      </c>
      <c r="H1115" s="72" t="str">
        <f t="shared" si="7"/>
        <v>Yes</v>
      </c>
    </row>
    <row r="1116" ht="15.75" customHeight="1">
      <c r="A1116" s="88">
        <f t="shared" si="8"/>
        <v>44580</v>
      </c>
      <c r="B1116" s="72" t="str">
        <f t="shared" si="1"/>
        <v>20220119</v>
      </c>
      <c r="C1116" s="72" t="str">
        <f t="shared" si="2"/>
        <v>Wednesday</v>
      </c>
      <c r="D1116" s="72" t="str">
        <f t="shared" si="3"/>
        <v>January</v>
      </c>
      <c r="E1116" s="72" t="str">
        <f t="shared" si="4"/>
        <v>Q1</v>
      </c>
      <c r="F1116" s="72">
        <f t="shared" si="5"/>
        <v>2022</v>
      </c>
      <c r="G1116" s="89">
        <f t="shared" si="6"/>
        <v>44583</v>
      </c>
      <c r="H1116" s="72" t="str">
        <f t="shared" si="7"/>
        <v>Yes</v>
      </c>
    </row>
    <row r="1117" ht="15.75" customHeight="1">
      <c r="A1117" s="88">
        <f t="shared" si="8"/>
        <v>44581</v>
      </c>
      <c r="B1117" s="72" t="str">
        <f t="shared" si="1"/>
        <v>20220120</v>
      </c>
      <c r="C1117" s="72" t="str">
        <f t="shared" si="2"/>
        <v>Thursday</v>
      </c>
      <c r="D1117" s="72" t="str">
        <f t="shared" si="3"/>
        <v>January</v>
      </c>
      <c r="E1117" s="72" t="str">
        <f t="shared" si="4"/>
        <v>Q1</v>
      </c>
      <c r="F1117" s="72">
        <f t="shared" si="5"/>
        <v>2022</v>
      </c>
      <c r="G1117" s="89">
        <f t="shared" si="6"/>
        <v>44583</v>
      </c>
      <c r="H1117" s="72" t="str">
        <f t="shared" si="7"/>
        <v>Yes</v>
      </c>
    </row>
    <row r="1118" ht="15.75" customHeight="1">
      <c r="A1118" s="88">
        <f t="shared" si="8"/>
        <v>44582</v>
      </c>
      <c r="B1118" s="72" t="str">
        <f t="shared" si="1"/>
        <v>20220121</v>
      </c>
      <c r="C1118" s="72" t="str">
        <f t="shared" si="2"/>
        <v>Friday</v>
      </c>
      <c r="D1118" s="72" t="str">
        <f t="shared" si="3"/>
        <v>January</v>
      </c>
      <c r="E1118" s="72" t="str">
        <f t="shared" si="4"/>
        <v>Q1</v>
      </c>
      <c r="F1118" s="72">
        <f t="shared" si="5"/>
        <v>2022</v>
      </c>
      <c r="G1118" s="89">
        <f t="shared" si="6"/>
        <v>44583</v>
      </c>
      <c r="H1118" s="72" t="str">
        <f t="shared" si="7"/>
        <v>Yes</v>
      </c>
    </row>
    <row r="1119" ht="15.75" customHeight="1">
      <c r="A1119" s="88">
        <f t="shared" si="8"/>
        <v>44583</v>
      </c>
      <c r="B1119" s="72" t="str">
        <f t="shared" si="1"/>
        <v>20220122</v>
      </c>
      <c r="C1119" s="72" t="str">
        <f t="shared" si="2"/>
        <v>Saturday</v>
      </c>
      <c r="D1119" s="72" t="str">
        <f t="shared" si="3"/>
        <v>January</v>
      </c>
      <c r="E1119" s="72" t="str">
        <f t="shared" si="4"/>
        <v>Q1</v>
      </c>
      <c r="F1119" s="72">
        <f t="shared" si="5"/>
        <v>2022</v>
      </c>
      <c r="G1119" s="89">
        <f t="shared" si="6"/>
        <v>44583</v>
      </c>
      <c r="H1119" s="72" t="str">
        <f t="shared" si="7"/>
        <v>No</v>
      </c>
    </row>
    <row r="1120" ht="15.75" customHeight="1">
      <c r="A1120" s="88">
        <f t="shared" si="8"/>
        <v>44584</v>
      </c>
      <c r="B1120" s="72" t="str">
        <f t="shared" si="1"/>
        <v>20220123</v>
      </c>
      <c r="C1120" s="72" t="str">
        <f t="shared" si="2"/>
        <v>Sunday</v>
      </c>
      <c r="D1120" s="72" t="str">
        <f t="shared" si="3"/>
        <v>January</v>
      </c>
      <c r="E1120" s="72" t="str">
        <f t="shared" si="4"/>
        <v>Q1</v>
      </c>
      <c r="F1120" s="72">
        <f t="shared" si="5"/>
        <v>2022</v>
      </c>
      <c r="G1120" s="89">
        <f t="shared" si="6"/>
        <v>44590</v>
      </c>
      <c r="H1120" s="72" t="str">
        <f t="shared" si="7"/>
        <v>No</v>
      </c>
    </row>
    <row r="1121" ht="15.75" customHeight="1">
      <c r="A1121" s="88">
        <f t="shared" si="8"/>
        <v>44585</v>
      </c>
      <c r="B1121" s="72" t="str">
        <f t="shared" si="1"/>
        <v>20220124</v>
      </c>
      <c r="C1121" s="72" t="str">
        <f t="shared" si="2"/>
        <v>Monday</v>
      </c>
      <c r="D1121" s="72" t="str">
        <f t="shared" si="3"/>
        <v>January</v>
      </c>
      <c r="E1121" s="72" t="str">
        <f t="shared" si="4"/>
        <v>Q1</v>
      </c>
      <c r="F1121" s="72">
        <f t="shared" si="5"/>
        <v>2022</v>
      </c>
      <c r="G1121" s="89">
        <f t="shared" si="6"/>
        <v>44590</v>
      </c>
      <c r="H1121" s="72" t="str">
        <f t="shared" si="7"/>
        <v>Yes</v>
      </c>
    </row>
    <row r="1122" ht="15.75" customHeight="1">
      <c r="A1122" s="88">
        <f t="shared" si="8"/>
        <v>44586</v>
      </c>
      <c r="B1122" s="72" t="str">
        <f t="shared" si="1"/>
        <v>20220125</v>
      </c>
      <c r="C1122" s="72" t="str">
        <f t="shared" si="2"/>
        <v>Tuesday</v>
      </c>
      <c r="D1122" s="72" t="str">
        <f t="shared" si="3"/>
        <v>January</v>
      </c>
      <c r="E1122" s="72" t="str">
        <f t="shared" si="4"/>
        <v>Q1</v>
      </c>
      <c r="F1122" s="72">
        <f t="shared" si="5"/>
        <v>2022</v>
      </c>
      <c r="G1122" s="89">
        <f t="shared" si="6"/>
        <v>44590</v>
      </c>
      <c r="H1122" s="72" t="str">
        <f t="shared" si="7"/>
        <v>Yes</v>
      </c>
    </row>
    <row r="1123" ht="15.75" customHeight="1">
      <c r="A1123" s="88">
        <f t="shared" si="8"/>
        <v>44587</v>
      </c>
      <c r="B1123" s="72" t="str">
        <f t="shared" si="1"/>
        <v>20220126</v>
      </c>
      <c r="C1123" s="72" t="str">
        <f t="shared" si="2"/>
        <v>Wednesday</v>
      </c>
      <c r="D1123" s="72" t="str">
        <f t="shared" si="3"/>
        <v>January</v>
      </c>
      <c r="E1123" s="72" t="str">
        <f t="shared" si="4"/>
        <v>Q1</v>
      </c>
      <c r="F1123" s="72">
        <f t="shared" si="5"/>
        <v>2022</v>
      </c>
      <c r="G1123" s="89">
        <f t="shared" si="6"/>
        <v>44590</v>
      </c>
      <c r="H1123" s="72" t="str">
        <f t="shared" si="7"/>
        <v>Yes</v>
      </c>
    </row>
    <row r="1124" ht="15.75" customHeight="1">
      <c r="A1124" s="88">
        <f t="shared" si="8"/>
        <v>44588</v>
      </c>
      <c r="B1124" s="72" t="str">
        <f t="shared" si="1"/>
        <v>20220127</v>
      </c>
      <c r="C1124" s="72" t="str">
        <f t="shared" si="2"/>
        <v>Thursday</v>
      </c>
      <c r="D1124" s="72" t="str">
        <f t="shared" si="3"/>
        <v>January</v>
      </c>
      <c r="E1124" s="72" t="str">
        <f t="shared" si="4"/>
        <v>Q1</v>
      </c>
      <c r="F1124" s="72">
        <f t="shared" si="5"/>
        <v>2022</v>
      </c>
      <c r="G1124" s="89">
        <f t="shared" si="6"/>
        <v>44590</v>
      </c>
      <c r="H1124" s="72" t="str">
        <f t="shared" si="7"/>
        <v>Yes</v>
      </c>
    </row>
    <row r="1125" ht="15.75" customHeight="1">
      <c r="A1125" s="88">
        <f t="shared" si="8"/>
        <v>44589</v>
      </c>
      <c r="B1125" s="72" t="str">
        <f t="shared" si="1"/>
        <v>20220128</v>
      </c>
      <c r="C1125" s="72" t="str">
        <f t="shared" si="2"/>
        <v>Friday</v>
      </c>
      <c r="D1125" s="72" t="str">
        <f t="shared" si="3"/>
        <v>January</v>
      </c>
      <c r="E1125" s="72" t="str">
        <f t="shared" si="4"/>
        <v>Q1</v>
      </c>
      <c r="F1125" s="72">
        <f t="shared" si="5"/>
        <v>2022</v>
      </c>
      <c r="G1125" s="89">
        <f t="shared" si="6"/>
        <v>44590</v>
      </c>
      <c r="H1125" s="72" t="str">
        <f t="shared" si="7"/>
        <v>Yes</v>
      </c>
    </row>
    <row r="1126" ht="15.75" customHeight="1">
      <c r="A1126" s="88">
        <f t="shared" si="8"/>
        <v>44590</v>
      </c>
      <c r="B1126" s="72" t="str">
        <f t="shared" si="1"/>
        <v>20220129</v>
      </c>
      <c r="C1126" s="72" t="str">
        <f t="shared" si="2"/>
        <v>Saturday</v>
      </c>
      <c r="D1126" s="72" t="str">
        <f t="shared" si="3"/>
        <v>January</v>
      </c>
      <c r="E1126" s="72" t="str">
        <f t="shared" si="4"/>
        <v>Q1</v>
      </c>
      <c r="F1126" s="72">
        <f t="shared" si="5"/>
        <v>2022</v>
      </c>
      <c r="G1126" s="89">
        <f t="shared" si="6"/>
        <v>44590</v>
      </c>
      <c r="H1126" s="72" t="str">
        <f t="shared" si="7"/>
        <v>No</v>
      </c>
    </row>
    <row r="1127" ht="15.75" customHeight="1">
      <c r="A1127" s="88">
        <f t="shared" si="8"/>
        <v>44591</v>
      </c>
      <c r="B1127" s="72" t="str">
        <f t="shared" si="1"/>
        <v>20220130</v>
      </c>
      <c r="C1127" s="72" t="str">
        <f t="shared" si="2"/>
        <v>Sunday</v>
      </c>
      <c r="D1127" s="72" t="str">
        <f t="shared" si="3"/>
        <v>January</v>
      </c>
      <c r="E1127" s="72" t="str">
        <f t="shared" si="4"/>
        <v>Q1</v>
      </c>
      <c r="F1127" s="72">
        <f t="shared" si="5"/>
        <v>2022</v>
      </c>
      <c r="G1127" s="89">
        <f t="shared" si="6"/>
        <v>44597</v>
      </c>
      <c r="H1127" s="72" t="str">
        <f t="shared" si="7"/>
        <v>No</v>
      </c>
    </row>
    <row r="1128" ht="15.75" customHeight="1">
      <c r="A1128" s="88">
        <f t="shared" si="8"/>
        <v>44592</v>
      </c>
      <c r="B1128" s="72" t="str">
        <f t="shared" si="1"/>
        <v>20220131</v>
      </c>
      <c r="C1128" s="72" t="str">
        <f t="shared" si="2"/>
        <v>Monday</v>
      </c>
      <c r="D1128" s="72" t="str">
        <f t="shared" si="3"/>
        <v>January</v>
      </c>
      <c r="E1128" s="72" t="str">
        <f t="shared" si="4"/>
        <v>Q1</v>
      </c>
      <c r="F1128" s="72">
        <f t="shared" si="5"/>
        <v>2022</v>
      </c>
      <c r="G1128" s="89">
        <f t="shared" si="6"/>
        <v>44597</v>
      </c>
      <c r="H1128" s="72" t="str">
        <f t="shared" si="7"/>
        <v>Yes</v>
      </c>
    </row>
    <row r="1129" ht="15.75" customHeight="1">
      <c r="A1129" s="88">
        <f t="shared" si="8"/>
        <v>44593</v>
      </c>
      <c r="B1129" s="72" t="str">
        <f t="shared" si="1"/>
        <v>20220201</v>
      </c>
      <c r="C1129" s="72" t="str">
        <f t="shared" si="2"/>
        <v>Tuesday</v>
      </c>
      <c r="D1129" s="72" t="str">
        <f t="shared" si="3"/>
        <v>February</v>
      </c>
      <c r="E1129" s="72" t="str">
        <f t="shared" si="4"/>
        <v>Q1</v>
      </c>
      <c r="F1129" s="72">
        <f t="shared" si="5"/>
        <v>2022</v>
      </c>
      <c r="G1129" s="89">
        <f t="shared" si="6"/>
        <v>44597</v>
      </c>
      <c r="H1129" s="72" t="str">
        <f t="shared" si="7"/>
        <v>Yes</v>
      </c>
    </row>
    <row r="1130" ht="15.75" customHeight="1">
      <c r="A1130" s="88">
        <f t="shared" si="8"/>
        <v>44594</v>
      </c>
      <c r="B1130" s="72" t="str">
        <f t="shared" si="1"/>
        <v>20220202</v>
      </c>
      <c r="C1130" s="72" t="str">
        <f t="shared" si="2"/>
        <v>Wednesday</v>
      </c>
      <c r="D1130" s="72" t="str">
        <f t="shared" si="3"/>
        <v>February</v>
      </c>
      <c r="E1130" s="72" t="str">
        <f t="shared" si="4"/>
        <v>Q1</v>
      </c>
      <c r="F1130" s="72">
        <f t="shared" si="5"/>
        <v>2022</v>
      </c>
      <c r="G1130" s="89">
        <f t="shared" si="6"/>
        <v>44597</v>
      </c>
      <c r="H1130" s="72" t="str">
        <f t="shared" si="7"/>
        <v>Yes</v>
      </c>
    </row>
    <row r="1131" ht="15.75" customHeight="1">
      <c r="A1131" s="88">
        <f t="shared" si="8"/>
        <v>44595</v>
      </c>
      <c r="B1131" s="72" t="str">
        <f t="shared" si="1"/>
        <v>20220203</v>
      </c>
      <c r="C1131" s="72" t="str">
        <f t="shared" si="2"/>
        <v>Thursday</v>
      </c>
      <c r="D1131" s="72" t="str">
        <f t="shared" si="3"/>
        <v>February</v>
      </c>
      <c r="E1131" s="72" t="str">
        <f t="shared" si="4"/>
        <v>Q1</v>
      </c>
      <c r="F1131" s="72">
        <f t="shared" si="5"/>
        <v>2022</v>
      </c>
      <c r="G1131" s="89">
        <f t="shared" si="6"/>
        <v>44597</v>
      </c>
      <c r="H1131" s="72" t="str">
        <f t="shared" si="7"/>
        <v>Yes</v>
      </c>
    </row>
    <row r="1132" ht="15.75" customHeight="1">
      <c r="A1132" s="88">
        <f t="shared" si="8"/>
        <v>44596</v>
      </c>
      <c r="B1132" s="72" t="str">
        <f t="shared" si="1"/>
        <v>20220204</v>
      </c>
      <c r="C1132" s="72" t="str">
        <f t="shared" si="2"/>
        <v>Friday</v>
      </c>
      <c r="D1132" s="72" t="str">
        <f t="shared" si="3"/>
        <v>February</v>
      </c>
      <c r="E1132" s="72" t="str">
        <f t="shared" si="4"/>
        <v>Q1</v>
      </c>
      <c r="F1132" s="72">
        <f t="shared" si="5"/>
        <v>2022</v>
      </c>
      <c r="G1132" s="89">
        <f t="shared" si="6"/>
        <v>44597</v>
      </c>
      <c r="H1132" s="72" t="str">
        <f t="shared" si="7"/>
        <v>Yes</v>
      </c>
    </row>
    <row r="1133" ht="15.75" customHeight="1">
      <c r="A1133" s="88">
        <f t="shared" si="8"/>
        <v>44597</v>
      </c>
      <c r="B1133" s="72" t="str">
        <f t="shared" si="1"/>
        <v>20220205</v>
      </c>
      <c r="C1133" s="72" t="str">
        <f t="shared" si="2"/>
        <v>Saturday</v>
      </c>
      <c r="D1133" s="72" t="str">
        <f t="shared" si="3"/>
        <v>February</v>
      </c>
      <c r="E1133" s="72" t="str">
        <f t="shared" si="4"/>
        <v>Q1</v>
      </c>
      <c r="F1133" s="72">
        <f t="shared" si="5"/>
        <v>2022</v>
      </c>
      <c r="G1133" s="89">
        <f t="shared" si="6"/>
        <v>44597</v>
      </c>
      <c r="H1133" s="72" t="str">
        <f t="shared" si="7"/>
        <v>No</v>
      </c>
    </row>
    <row r="1134" ht="15.75" customHeight="1">
      <c r="A1134" s="88">
        <f t="shared" si="8"/>
        <v>44598</v>
      </c>
      <c r="B1134" s="72" t="str">
        <f t="shared" si="1"/>
        <v>20220206</v>
      </c>
      <c r="C1134" s="72" t="str">
        <f t="shared" si="2"/>
        <v>Sunday</v>
      </c>
      <c r="D1134" s="72" t="str">
        <f t="shared" si="3"/>
        <v>February</v>
      </c>
      <c r="E1134" s="72" t="str">
        <f t="shared" si="4"/>
        <v>Q1</v>
      </c>
      <c r="F1134" s="72">
        <f t="shared" si="5"/>
        <v>2022</v>
      </c>
      <c r="G1134" s="89">
        <f t="shared" si="6"/>
        <v>44604</v>
      </c>
      <c r="H1134" s="72" t="str">
        <f t="shared" si="7"/>
        <v>No</v>
      </c>
    </row>
    <row r="1135" ht="15.75" customHeight="1">
      <c r="A1135" s="88">
        <f t="shared" si="8"/>
        <v>44599</v>
      </c>
      <c r="B1135" s="72" t="str">
        <f t="shared" si="1"/>
        <v>20220207</v>
      </c>
      <c r="C1135" s="72" t="str">
        <f t="shared" si="2"/>
        <v>Monday</v>
      </c>
      <c r="D1135" s="72" t="str">
        <f t="shared" si="3"/>
        <v>February</v>
      </c>
      <c r="E1135" s="72" t="str">
        <f t="shared" si="4"/>
        <v>Q1</v>
      </c>
      <c r="F1135" s="72">
        <f t="shared" si="5"/>
        <v>2022</v>
      </c>
      <c r="G1135" s="89">
        <f t="shared" si="6"/>
        <v>44604</v>
      </c>
      <c r="H1135" s="72" t="str">
        <f t="shared" si="7"/>
        <v>Yes</v>
      </c>
    </row>
    <row r="1136" ht="15.75" customHeight="1">
      <c r="A1136" s="88">
        <f t="shared" si="8"/>
        <v>44600</v>
      </c>
      <c r="B1136" s="72" t="str">
        <f t="shared" si="1"/>
        <v>20220208</v>
      </c>
      <c r="C1136" s="72" t="str">
        <f t="shared" si="2"/>
        <v>Tuesday</v>
      </c>
      <c r="D1136" s="72" t="str">
        <f t="shared" si="3"/>
        <v>February</v>
      </c>
      <c r="E1136" s="72" t="str">
        <f t="shared" si="4"/>
        <v>Q1</v>
      </c>
      <c r="F1136" s="72">
        <f t="shared" si="5"/>
        <v>2022</v>
      </c>
      <c r="G1136" s="89">
        <f t="shared" si="6"/>
        <v>44604</v>
      </c>
      <c r="H1136" s="72" t="str">
        <f t="shared" si="7"/>
        <v>Yes</v>
      </c>
    </row>
    <row r="1137" ht="15.75" customHeight="1">
      <c r="A1137" s="88">
        <f t="shared" si="8"/>
        <v>44601</v>
      </c>
      <c r="B1137" s="72" t="str">
        <f t="shared" si="1"/>
        <v>20220209</v>
      </c>
      <c r="C1137" s="72" t="str">
        <f t="shared" si="2"/>
        <v>Wednesday</v>
      </c>
      <c r="D1137" s="72" t="str">
        <f t="shared" si="3"/>
        <v>February</v>
      </c>
      <c r="E1137" s="72" t="str">
        <f t="shared" si="4"/>
        <v>Q1</v>
      </c>
      <c r="F1137" s="72">
        <f t="shared" si="5"/>
        <v>2022</v>
      </c>
      <c r="G1137" s="89">
        <f t="shared" si="6"/>
        <v>44604</v>
      </c>
      <c r="H1137" s="72" t="str">
        <f t="shared" si="7"/>
        <v>Yes</v>
      </c>
    </row>
    <row r="1138" ht="15.75" customHeight="1">
      <c r="A1138" s="88">
        <f t="shared" si="8"/>
        <v>44602</v>
      </c>
      <c r="B1138" s="72" t="str">
        <f t="shared" si="1"/>
        <v>20220210</v>
      </c>
      <c r="C1138" s="72" t="str">
        <f t="shared" si="2"/>
        <v>Thursday</v>
      </c>
      <c r="D1138" s="72" t="str">
        <f t="shared" si="3"/>
        <v>February</v>
      </c>
      <c r="E1138" s="72" t="str">
        <f t="shared" si="4"/>
        <v>Q1</v>
      </c>
      <c r="F1138" s="72">
        <f t="shared" si="5"/>
        <v>2022</v>
      </c>
      <c r="G1138" s="89">
        <f t="shared" si="6"/>
        <v>44604</v>
      </c>
      <c r="H1138" s="72" t="str">
        <f t="shared" si="7"/>
        <v>Yes</v>
      </c>
    </row>
    <row r="1139" ht="15.75" customHeight="1">
      <c r="A1139" s="88">
        <f t="shared" si="8"/>
        <v>44603</v>
      </c>
      <c r="B1139" s="72" t="str">
        <f t="shared" si="1"/>
        <v>20220211</v>
      </c>
      <c r="C1139" s="72" t="str">
        <f t="shared" si="2"/>
        <v>Friday</v>
      </c>
      <c r="D1139" s="72" t="str">
        <f t="shared" si="3"/>
        <v>February</v>
      </c>
      <c r="E1139" s="72" t="str">
        <f t="shared" si="4"/>
        <v>Q1</v>
      </c>
      <c r="F1139" s="72">
        <f t="shared" si="5"/>
        <v>2022</v>
      </c>
      <c r="G1139" s="89">
        <f t="shared" si="6"/>
        <v>44604</v>
      </c>
      <c r="H1139" s="72" t="str">
        <f t="shared" si="7"/>
        <v>Yes</v>
      </c>
    </row>
    <row r="1140" ht="15.75" customHeight="1">
      <c r="A1140" s="88">
        <f t="shared" si="8"/>
        <v>44604</v>
      </c>
      <c r="B1140" s="72" t="str">
        <f t="shared" si="1"/>
        <v>20220212</v>
      </c>
      <c r="C1140" s="72" t="str">
        <f t="shared" si="2"/>
        <v>Saturday</v>
      </c>
      <c r="D1140" s="72" t="str">
        <f t="shared" si="3"/>
        <v>February</v>
      </c>
      <c r="E1140" s="72" t="str">
        <f t="shared" si="4"/>
        <v>Q1</v>
      </c>
      <c r="F1140" s="72">
        <f t="shared" si="5"/>
        <v>2022</v>
      </c>
      <c r="G1140" s="89">
        <f t="shared" si="6"/>
        <v>44604</v>
      </c>
      <c r="H1140" s="72" t="str">
        <f t="shared" si="7"/>
        <v>No</v>
      </c>
    </row>
    <row r="1141" ht="15.75" customHeight="1">
      <c r="A1141" s="88">
        <f t="shared" si="8"/>
        <v>44605</v>
      </c>
      <c r="B1141" s="72" t="str">
        <f t="shared" si="1"/>
        <v>20220213</v>
      </c>
      <c r="C1141" s="72" t="str">
        <f t="shared" si="2"/>
        <v>Sunday</v>
      </c>
      <c r="D1141" s="72" t="str">
        <f t="shared" si="3"/>
        <v>February</v>
      </c>
      <c r="E1141" s="72" t="str">
        <f t="shared" si="4"/>
        <v>Q1</v>
      </c>
      <c r="F1141" s="72">
        <f t="shared" si="5"/>
        <v>2022</v>
      </c>
      <c r="G1141" s="89">
        <f t="shared" si="6"/>
        <v>44611</v>
      </c>
      <c r="H1141" s="72" t="str">
        <f t="shared" si="7"/>
        <v>No</v>
      </c>
    </row>
    <row r="1142" ht="15.75" customHeight="1">
      <c r="A1142" s="88">
        <f t="shared" si="8"/>
        <v>44606</v>
      </c>
      <c r="B1142" s="72" t="str">
        <f t="shared" si="1"/>
        <v>20220214</v>
      </c>
      <c r="C1142" s="72" t="str">
        <f t="shared" si="2"/>
        <v>Monday</v>
      </c>
      <c r="D1142" s="72" t="str">
        <f t="shared" si="3"/>
        <v>February</v>
      </c>
      <c r="E1142" s="72" t="str">
        <f t="shared" si="4"/>
        <v>Q1</v>
      </c>
      <c r="F1142" s="72">
        <f t="shared" si="5"/>
        <v>2022</v>
      </c>
      <c r="G1142" s="89">
        <f t="shared" si="6"/>
        <v>44611</v>
      </c>
      <c r="H1142" s="72" t="str">
        <f t="shared" si="7"/>
        <v>Yes</v>
      </c>
    </row>
    <row r="1143" ht="15.75" customHeight="1">
      <c r="A1143" s="88">
        <f t="shared" si="8"/>
        <v>44607</v>
      </c>
      <c r="B1143" s="72" t="str">
        <f t="shared" si="1"/>
        <v>20220215</v>
      </c>
      <c r="C1143" s="72" t="str">
        <f t="shared" si="2"/>
        <v>Tuesday</v>
      </c>
      <c r="D1143" s="72" t="str">
        <f t="shared" si="3"/>
        <v>February</v>
      </c>
      <c r="E1143" s="72" t="str">
        <f t="shared" si="4"/>
        <v>Q1</v>
      </c>
      <c r="F1143" s="72">
        <f t="shared" si="5"/>
        <v>2022</v>
      </c>
      <c r="G1143" s="89">
        <f t="shared" si="6"/>
        <v>44611</v>
      </c>
      <c r="H1143" s="72" t="str">
        <f t="shared" si="7"/>
        <v>Yes</v>
      </c>
    </row>
    <row r="1144" ht="15.75" customHeight="1">
      <c r="A1144" s="88">
        <f t="shared" si="8"/>
        <v>44608</v>
      </c>
      <c r="B1144" s="72" t="str">
        <f t="shared" si="1"/>
        <v>20220216</v>
      </c>
      <c r="C1144" s="72" t="str">
        <f t="shared" si="2"/>
        <v>Wednesday</v>
      </c>
      <c r="D1144" s="72" t="str">
        <f t="shared" si="3"/>
        <v>February</v>
      </c>
      <c r="E1144" s="72" t="str">
        <f t="shared" si="4"/>
        <v>Q1</v>
      </c>
      <c r="F1144" s="72">
        <f t="shared" si="5"/>
        <v>2022</v>
      </c>
      <c r="G1144" s="89">
        <f t="shared" si="6"/>
        <v>44611</v>
      </c>
      <c r="H1144" s="72" t="str">
        <f t="shared" si="7"/>
        <v>Yes</v>
      </c>
    </row>
    <row r="1145" ht="15.75" customHeight="1">
      <c r="A1145" s="88">
        <f t="shared" si="8"/>
        <v>44609</v>
      </c>
      <c r="B1145" s="72" t="str">
        <f t="shared" si="1"/>
        <v>20220217</v>
      </c>
      <c r="C1145" s="72" t="str">
        <f t="shared" si="2"/>
        <v>Thursday</v>
      </c>
      <c r="D1145" s="72" t="str">
        <f t="shared" si="3"/>
        <v>February</v>
      </c>
      <c r="E1145" s="72" t="str">
        <f t="shared" si="4"/>
        <v>Q1</v>
      </c>
      <c r="F1145" s="72">
        <f t="shared" si="5"/>
        <v>2022</v>
      </c>
      <c r="G1145" s="89">
        <f t="shared" si="6"/>
        <v>44611</v>
      </c>
      <c r="H1145" s="72" t="str">
        <f t="shared" si="7"/>
        <v>Yes</v>
      </c>
    </row>
    <row r="1146" ht="15.75" customHeight="1">
      <c r="A1146" s="88">
        <f t="shared" si="8"/>
        <v>44610</v>
      </c>
      <c r="B1146" s="72" t="str">
        <f t="shared" si="1"/>
        <v>20220218</v>
      </c>
      <c r="C1146" s="72" t="str">
        <f t="shared" si="2"/>
        <v>Friday</v>
      </c>
      <c r="D1146" s="72" t="str">
        <f t="shared" si="3"/>
        <v>February</v>
      </c>
      <c r="E1146" s="72" t="str">
        <f t="shared" si="4"/>
        <v>Q1</v>
      </c>
      <c r="F1146" s="72">
        <f t="shared" si="5"/>
        <v>2022</v>
      </c>
      <c r="G1146" s="89">
        <f t="shared" si="6"/>
        <v>44611</v>
      </c>
      <c r="H1146" s="72" t="str">
        <f t="shared" si="7"/>
        <v>Yes</v>
      </c>
    </row>
    <row r="1147" ht="15.75" customHeight="1">
      <c r="A1147" s="88">
        <f t="shared" si="8"/>
        <v>44611</v>
      </c>
      <c r="B1147" s="72" t="str">
        <f t="shared" si="1"/>
        <v>20220219</v>
      </c>
      <c r="C1147" s="72" t="str">
        <f t="shared" si="2"/>
        <v>Saturday</v>
      </c>
      <c r="D1147" s="72" t="str">
        <f t="shared" si="3"/>
        <v>February</v>
      </c>
      <c r="E1147" s="72" t="str">
        <f t="shared" si="4"/>
        <v>Q1</v>
      </c>
      <c r="F1147" s="72">
        <f t="shared" si="5"/>
        <v>2022</v>
      </c>
      <c r="G1147" s="89">
        <f t="shared" si="6"/>
        <v>44611</v>
      </c>
      <c r="H1147" s="72" t="str">
        <f t="shared" si="7"/>
        <v>No</v>
      </c>
    </row>
    <row r="1148" ht="15.75" customHeight="1">
      <c r="A1148" s="88">
        <f t="shared" si="8"/>
        <v>44612</v>
      </c>
      <c r="B1148" s="72" t="str">
        <f t="shared" si="1"/>
        <v>20220220</v>
      </c>
      <c r="C1148" s="72" t="str">
        <f t="shared" si="2"/>
        <v>Sunday</v>
      </c>
      <c r="D1148" s="72" t="str">
        <f t="shared" si="3"/>
        <v>February</v>
      </c>
      <c r="E1148" s="72" t="str">
        <f t="shared" si="4"/>
        <v>Q1</v>
      </c>
      <c r="F1148" s="72">
        <f t="shared" si="5"/>
        <v>2022</v>
      </c>
      <c r="G1148" s="89">
        <f t="shared" si="6"/>
        <v>44618</v>
      </c>
      <c r="H1148" s="72" t="str">
        <f t="shared" si="7"/>
        <v>No</v>
      </c>
    </row>
    <row r="1149" ht="15.75" customHeight="1">
      <c r="A1149" s="88">
        <f t="shared" si="8"/>
        <v>44613</v>
      </c>
      <c r="B1149" s="72" t="str">
        <f t="shared" si="1"/>
        <v>20220221</v>
      </c>
      <c r="C1149" s="72" t="str">
        <f t="shared" si="2"/>
        <v>Monday</v>
      </c>
      <c r="D1149" s="72" t="str">
        <f t="shared" si="3"/>
        <v>February</v>
      </c>
      <c r="E1149" s="72" t="str">
        <f t="shared" si="4"/>
        <v>Q1</v>
      </c>
      <c r="F1149" s="72">
        <f t="shared" si="5"/>
        <v>2022</v>
      </c>
      <c r="G1149" s="89">
        <f t="shared" si="6"/>
        <v>44618</v>
      </c>
      <c r="H1149" s="72" t="str">
        <f t="shared" si="7"/>
        <v>Yes</v>
      </c>
    </row>
    <row r="1150" ht="15.75" customHeight="1">
      <c r="A1150" s="88">
        <f t="shared" si="8"/>
        <v>44614</v>
      </c>
      <c r="B1150" s="72" t="str">
        <f t="shared" si="1"/>
        <v>20220222</v>
      </c>
      <c r="C1150" s="72" t="str">
        <f t="shared" si="2"/>
        <v>Tuesday</v>
      </c>
      <c r="D1150" s="72" t="str">
        <f t="shared" si="3"/>
        <v>February</v>
      </c>
      <c r="E1150" s="72" t="str">
        <f t="shared" si="4"/>
        <v>Q1</v>
      </c>
      <c r="F1150" s="72">
        <f t="shared" si="5"/>
        <v>2022</v>
      </c>
      <c r="G1150" s="89">
        <f t="shared" si="6"/>
        <v>44618</v>
      </c>
      <c r="H1150" s="72" t="str">
        <f t="shared" si="7"/>
        <v>Yes</v>
      </c>
    </row>
    <row r="1151" ht="15.75" customHeight="1">
      <c r="A1151" s="88">
        <f t="shared" si="8"/>
        <v>44615</v>
      </c>
      <c r="B1151" s="72" t="str">
        <f t="shared" si="1"/>
        <v>20220223</v>
      </c>
      <c r="C1151" s="72" t="str">
        <f t="shared" si="2"/>
        <v>Wednesday</v>
      </c>
      <c r="D1151" s="72" t="str">
        <f t="shared" si="3"/>
        <v>February</v>
      </c>
      <c r="E1151" s="72" t="str">
        <f t="shared" si="4"/>
        <v>Q1</v>
      </c>
      <c r="F1151" s="72">
        <f t="shared" si="5"/>
        <v>2022</v>
      </c>
      <c r="G1151" s="89">
        <f t="shared" si="6"/>
        <v>44618</v>
      </c>
      <c r="H1151" s="72" t="str">
        <f t="shared" si="7"/>
        <v>Yes</v>
      </c>
    </row>
    <row r="1152" ht="15.75" customHeight="1">
      <c r="A1152" s="88">
        <f t="shared" si="8"/>
        <v>44616</v>
      </c>
      <c r="B1152" s="72" t="str">
        <f t="shared" si="1"/>
        <v>20220224</v>
      </c>
      <c r="C1152" s="72" t="str">
        <f t="shared" si="2"/>
        <v>Thursday</v>
      </c>
      <c r="D1152" s="72" t="str">
        <f t="shared" si="3"/>
        <v>February</v>
      </c>
      <c r="E1152" s="72" t="str">
        <f t="shared" si="4"/>
        <v>Q1</v>
      </c>
      <c r="F1152" s="72">
        <f t="shared" si="5"/>
        <v>2022</v>
      </c>
      <c r="G1152" s="89">
        <f t="shared" si="6"/>
        <v>44618</v>
      </c>
      <c r="H1152" s="72" t="str">
        <f t="shared" si="7"/>
        <v>Yes</v>
      </c>
    </row>
    <row r="1153" ht="15.75" customHeight="1">
      <c r="A1153" s="88">
        <f t="shared" si="8"/>
        <v>44617</v>
      </c>
      <c r="B1153" s="72" t="str">
        <f t="shared" si="1"/>
        <v>20220225</v>
      </c>
      <c r="C1153" s="72" t="str">
        <f t="shared" si="2"/>
        <v>Friday</v>
      </c>
      <c r="D1153" s="72" t="str">
        <f t="shared" si="3"/>
        <v>February</v>
      </c>
      <c r="E1153" s="72" t="str">
        <f t="shared" si="4"/>
        <v>Q1</v>
      </c>
      <c r="F1153" s="72">
        <f t="shared" si="5"/>
        <v>2022</v>
      </c>
      <c r="G1153" s="89">
        <f t="shared" si="6"/>
        <v>44618</v>
      </c>
      <c r="H1153" s="72" t="str">
        <f t="shared" si="7"/>
        <v>Yes</v>
      </c>
    </row>
    <row r="1154" ht="15.75" customHeight="1">
      <c r="A1154" s="88">
        <f t="shared" si="8"/>
        <v>44618</v>
      </c>
      <c r="B1154" s="72" t="str">
        <f t="shared" si="1"/>
        <v>20220226</v>
      </c>
      <c r="C1154" s="72" t="str">
        <f t="shared" si="2"/>
        <v>Saturday</v>
      </c>
      <c r="D1154" s="72" t="str">
        <f t="shared" si="3"/>
        <v>February</v>
      </c>
      <c r="E1154" s="72" t="str">
        <f t="shared" si="4"/>
        <v>Q1</v>
      </c>
      <c r="F1154" s="72">
        <f t="shared" si="5"/>
        <v>2022</v>
      </c>
      <c r="G1154" s="89">
        <f t="shared" si="6"/>
        <v>44618</v>
      </c>
      <c r="H1154" s="72" t="str">
        <f t="shared" si="7"/>
        <v>No</v>
      </c>
    </row>
    <row r="1155" ht="15.75" customHeight="1">
      <c r="A1155" s="88">
        <f t="shared" si="8"/>
        <v>44619</v>
      </c>
      <c r="B1155" s="72" t="str">
        <f t="shared" si="1"/>
        <v>20220227</v>
      </c>
      <c r="C1155" s="72" t="str">
        <f t="shared" si="2"/>
        <v>Sunday</v>
      </c>
      <c r="D1155" s="72" t="str">
        <f t="shared" si="3"/>
        <v>February</v>
      </c>
      <c r="E1155" s="72" t="str">
        <f t="shared" si="4"/>
        <v>Q1</v>
      </c>
      <c r="F1155" s="72">
        <f t="shared" si="5"/>
        <v>2022</v>
      </c>
      <c r="G1155" s="89">
        <f t="shared" si="6"/>
        <v>44625</v>
      </c>
      <c r="H1155" s="72" t="str">
        <f t="shared" si="7"/>
        <v>No</v>
      </c>
    </row>
    <row r="1156" ht="15.75" customHeight="1">
      <c r="A1156" s="88">
        <f t="shared" si="8"/>
        <v>44620</v>
      </c>
      <c r="B1156" s="72" t="str">
        <f t="shared" si="1"/>
        <v>20220228</v>
      </c>
      <c r="C1156" s="72" t="str">
        <f t="shared" si="2"/>
        <v>Monday</v>
      </c>
      <c r="D1156" s="72" t="str">
        <f t="shared" si="3"/>
        <v>February</v>
      </c>
      <c r="E1156" s="72" t="str">
        <f t="shared" si="4"/>
        <v>Q1</v>
      </c>
      <c r="F1156" s="72">
        <f t="shared" si="5"/>
        <v>2022</v>
      </c>
      <c r="G1156" s="89">
        <f t="shared" si="6"/>
        <v>44625</v>
      </c>
      <c r="H1156" s="72" t="str">
        <f t="shared" si="7"/>
        <v>Yes</v>
      </c>
    </row>
    <row r="1157" ht="15.75" customHeight="1">
      <c r="A1157" s="88">
        <f t="shared" si="8"/>
        <v>44621</v>
      </c>
      <c r="B1157" s="72" t="str">
        <f t="shared" si="1"/>
        <v>20220301</v>
      </c>
      <c r="C1157" s="72" t="str">
        <f t="shared" si="2"/>
        <v>Tuesday</v>
      </c>
      <c r="D1157" s="72" t="str">
        <f t="shared" si="3"/>
        <v>March</v>
      </c>
      <c r="E1157" s="72" t="str">
        <f t="shared" si="4"/>
        <v>Q1</v>
      </c>
      <c r="F1157" s="72">
        <f t="shared" si="5"/>
        <v>2022</v>
      </c>
      <c r="G1157" s="89">
        <f t="shared" si="6"/>
        <v>44625</v>
      </c>
      <c r="H1157" s="72" t="str">
        <f t="shared" si="7"/>
        <v>Yes</v>
      </c>
    </row>
    <row r="1158" ht="15.75" customHeight="1">
      <c r="A1158" s="88">
        <f t="shared" si="8"/>
        <v>44622</v>
      </c>
      <c r="B1158" s="72" t="str">
        <f t="shared" si="1"/>
        <v>20220302</v>
      </c>
      <c r="C1158" s="72" t="str">
        <f t="shared" si="2"/>
        <v>Wednesday</v>
      </c>
      <c r="D1158" s="72" t="str">
        <f t="shared" si="3"/>
        <v>March</v>
      </c>
      <c r="E1158" s="72" t="str">
        <f t="shared" si="4"/>
        <v>Q1</v>
      </c>
      <c r="F1158" s="72">
        <f t="shared" si="5"/>
        <v>2022</v>
      </c>
      <c r="G1158" s="89">
        <f t="shared" si="6"/>
        <v>44625</v>
      </c>
      <c r="H1158" s="72" t="str">
        <f t="shared" si="7"/>
        <v>Yes</v>
      </c>
    </row>
    <row r="1159" ht="15.75" customHeight="1">
      <c r="A1159" s="88">
        <f t="shared" si="8"/>
        <v>44623</v>
      </c>
      <c r="B1159" s="72" t="str">
        <f t="shared" si="1"/>
        <v>20220303</v>
      </c>
      <c r="C1159" s="72" t="str">
        <f t="shared" si="2"/>
        <v>Thursday</v>
      </c>
      <c r="D1159" s="72" t="str">
        <f t="shared" si="3"/>
        <v>March</v>
      </c>
      <c r="E1159" s="72" t="str">
        <f t="shared" si="4"/>
        <v>Q1</v>
      </c>
      <c r="F1159" s="72">
        <f t="shared" si="5"/>
        <v>2022</v>
      </c>
      <c r="G1159" s="89">
        <f t="shared" si="6"/>
        <v>44625</v>
      </c>
      <c r="H1159" s="72" t="str">
        <f t="shared" si="7"/>
        <v>Yes</v>
      </c>
    </row>
    <row r="1160" ht="15.75" customHeight="1">
      <c r="A1160" s="88">
        <f t="shared" si="8"/>
        <v>44624</v>
      </c>
      <c r="B1160" s="72" t="str">
        <f t="shared" si="1"/>
        <v>20220304</v>
      </c>
      <c r="C1160" s="72" t="str">
        <f t="shared" si="2"/>
        <v>Friday</v>
      </c>
      <c r="D1160" s="72" t="str">
        <f t="shared" si="3"/>
        <v>March</v>
      </c>
      <c r="E1160" s="72" t="str">
        <f t="shared" si="4"/>
        <v>Q1</v>
      </c>
      <c r="F1160" s="72">
        <f t="shared" si="5"/>
        <v>2022</v>
      </c>
      <c r="G1160" s="89">
        <f t="shared" si="6"/>
        <v>44625</v>
      </c>
      <c r="H1160" s="72" t="str">
        <f t="shared" si="7"/>
        <v>Yes</v>
      </c>
    </row>
    <row r="1161" ht="15.75" customHeight="1">
      <c r="A1161" s="88">
        <f t="shared" si="8"/>
        <v>44625</v>
      </c>
      <c r="B1161" s="72" t="str">
        <f t="shared" si="1"/>
        <v>20220305</v>
      </c>
      <c r="C1161" s="72" t="str">
        <f t="shared" si="2"/>
        <v>Saturday</v>
      </c>
      <c r="D1161" s="72" t="str">
        <f t="shared" si="3"/>
        <v>March</v>
      </c>
      <c r="E1161" s="72" t="str">
        <f t="shared" si="4"/>
        <v>Q1</v>
      </c>
      <c r="F1161" s="72">
        <f t="shared" si="5"/>
        <v>2022</v>
      </c>
      <c r="G1161" s="89">
        <f t="shared" si="6"/>
        <v>44625</v>
      </c>
      <c r="H1161" s="72" t="str">
        <f t="shared" si="7"/>
        <v>No</v>
      </c>
    </row>
    <row r="1162" ht="15.75" customHeight="1">
      <c r="A1162" s="88">
        <f t="shared" si="8"/>
        <v>44626</v>
      </c>
      <c r="B1162" s="72" t="str">
        <f t="shared" si="1"/>
        <v>20220306</v>
      </c>
      <c r="C1162" s="72" t="str">
        <f t="shared" si="2"/>
        <v>Sunday</v>
      </c>
      <c r="D1162" s="72" t="str">
        <f t="shared" si="3"/>
        <v>March</v>
      </c>
      <c r="E1162" s="72" t="str">
        <f t="shared" si="4"/>
        <v>Q1</v>
      </c>
      <c r="F1162" s="72">
        <f t="shared" si="5"/>
        <v>2022</v>
      </c>
      <c r="G1162" s="89">
        <f t="shared" si="6"/>
        <v>44632</v>
      </c>
      <c r="H1162" s="72" t="str">
        <f t="shared" si="7"/>
        <v>No</v>
      </c>
    </row>
    <row r="1163" ht="15.75" customHeight="1">
      <c r="A1163" s="88">
        <f t="shared" si="8"/>
        <v>44627</v>
      </c>
      <c r="B1163" s="72" t="str">
        <f t="shared" si="1"/>
        <v>20220307</v>
      </c>
      <c r="C1163" s="72" t="str">
        <f t="shared" si="2"/>
        <v>Monday</v>
      </c>
      <c r="D1163" s="72" t="str">
        <f t="shared" si="3"/>
        <v>March</v>
      </c>
      <c r="E1163" s="72" t="str">
        <f t="shared" si="4"/>
        <v>Q1</v>
      </c>
      <c r="F1163" s="72">
        <f t="shared" si="5"/>
        <v>2022</v>
      </c>
      <c r="G1163" s="89">
        <f t="shared" si="6"/>
        <v>44632</v>
      </c>
      <c r="H1163" s="72" t="str">
        <f t="shared" si="7"/>
        <v>Yes</v>
      </c>
    </row>
    <row r="1164" ht="15.75" customHeight="1">
      <c r="A1164" s="88">
        <f t="shared" si="8"/>
        <v>44628</v>
      </c>
      <c r="B1164" s="72" t="str">
        <f t="shared" si="1"/>
        <v>20220308</v>
      </c>
      <c r="C1164" s="72" t="str">
        <f t="shared" si="2"/>
        <v>Tuesday</v>
      </c>
      <c r="D1164" s="72" t="str">
        <f t="shared" si="3"/>
        <v>March</v>
      </c>
      <c r="E1164" s="72" t="str">
        <f t="shared" si="4"/>
        <v>Q1</v>
      </c>
      <c r="F1164" s="72">
        <f t="shared" si="5"/>
        <v>2022</v>
      </c>
      <c r="G1164" s="89">
        <f t="shared" si="6"/>
        <v>44632</v>
      </c>
      <c r="H1164" s="72" t="str">
        <f t="shared" si="7"/>
        <v>Yes</v>
      </c>
    </row>
    <row r="1165" ht="15.75" customHeight="1">
      <c r="A1165" s="88">
        <f t="shared" si="8"/>
        <v>44629</v>
      </c>
      <c r="B1165" s="72" t="str">
        <f t="shared" si="1"/>
        <v>20220309</v>
      </c>
      <c r="C1165" s="72" t="str">
        <f t="shared" si="2"/>
        <v>Wednesday</v>
      </c>
      <c r="D1165" s="72" t="str">
        <f t="shared" si="3"/>
        <v>March</v>
      </c>
      <c r="E1165" s="72" t="str">
        <f t="shared" si="4"/>
        <v>Q1</v>
      </c>
      <c r="F1165" s="72">
        <f t="shared" si="5"/>
        <v>2022</v>
      </c>
      <c r="G1165" s="89">
        <f t="shared" si="6"/>
        <v>44632</v>
      </c>
      <c r="H1165" s="72" t="str">
        <f t="shared" si="7"/>
        <v>Yes</v>
      </c>
    </row>
    <row r="1166" ht="15.75" customHeight="1">
      <c r="A1166" s="88">
        <f t="shared" si="8"/>
        <v>44630</v>
      </c>
      <c r="B1166" s="72" t="str">
        <f t="shared" si="1"/>
        <v>20220310</v>
      </c>
      <c r="C1166" s="72" t="str">
        <f t="shared" si="2"/>
        <v>Thursday</v>
      </c>
      <c r="D1166" s="72" t="str">
        <f t="shared" si="3"/>
        <v>March</v>
      </c>
      <c r="E1166" s="72" t="str">
        <f t="shared" si="4"/>
        <v>Q1</v>
      </c>
      <c r="F1166" s="72">
        <f t="shared" si="5"/>
        <v>2022</v>
      </c>
      <c r="G1166" s="89">
        <f t="shared" si="6"/>
        <v>44632</v>
      </c>
      <c r="H1166" s="72" t="str">
        <f t="shared" si="7"/>
        <v>Yes</v>
      </c>
    </row>
    <row r="1167" ht="15.75" customHeight="1">
      <c r="A1167" s="88">
        <f t="shared" si="8"/>
        <v>44631</v>
      </c>
      <c r="B1167" s="72" t="str">
        <f t="shared" si="1"/>
        <v>20220311</v>
      </c>
      <c r="C1167" s="72" t="str">
        <f t="shared" si="2"/>
        <v>Friday</v>
      </c>
      <c r="D1167" s="72" t="str">
        <f t="shared" si="3"/>
        <v>March</v>
      </c>
      <c r="E1167" s="72" t="str">
        <f t="shared" si="4"/>
        <v>Q1</v>
      </c>
      <c r="F1167" s="72">
        <f t="shared" si="5"/>
        <v>2022</v>
      </c>
      <c r="G1167" s="89">
        <f t="shared" si="6"/>
        <v>44632</v>
      </c>
      <c r="H1167" s="72" t="str">
        <f t="shared" si="7"/>
        <v>Yes</v>
      </c>
    </row>
    <row r="1168" ht="15.75" customHeight="1">
      <c r="A1168" s="88">
        <f t="shared" si="8"/>
        <v>44632</v>
      </c>
      <c r="B1168" s="72" t="str">
        <f t="shared" si="1"/>
        <v>20220312</v>
      </c>
      <c r="C1168" s="72" t="str">
        <f t="shared" si="2"/>
        <v>Saturday</v>
      </c>
      <c r="D1168" s="72" t="str">
        <f t="shared" si="3"/>
        <v>March</v>
      </c>
      <c r="E1168" s="72" t="str">
        <f t="shared" si="4"/>
        <v>Q1</v>
      </c>
      <c r="F1168" s="72">
        <f t="shared" si="5"/>
        <v>2022</v>
      </c>
      <c r="G1168" s="89">
        <f t="shared" si="6"/>
        <v>44632</v>
      </c>
      <c r="H1168" s="72" t="str">
        <f t="shared" si="7"/>
        <v>No</v>
      </c>
    </row>
    <row r="1169" ht="15.75" customHeight="1">
      <c r="A1169" s="88">
        <f t="shared" si="8"/>
        <v>44633</v>
      </c>
      <c r="B1169" s="72" t="str">
        <f t="shared" si="1"/>
        <v>20220313</v>
      </c>
      <c r="C1169" s="72" t="str">
        <f t="shared" si="2"/>
        <v>Sunday</v>
      </c>
      <c r="D1169" s="72" t="str">
        <f t="shared" si="3"/>
        <v>March</v>
      </c>
      <c r="E1169" s="72" t="str">
        <f t="shared" si="4"/>
        <v>Q1</v>
      </c>
      <c r="F1169" s="72">
        <f t="shared" si="5"/>
        <v>2022</v>
      </c>
      <c r="G1169" s="89">
        <f t="shared" si="6"/>
        <v>44639</v>
      </c>
      <c r="H1169" s="72" t="str">
        <f t="shared" si="7"/>
        <v>No</v>
      </c>
    </row>
    <row r="1170" ht="15.75" customHeight="1">
      <c r="A1170" s="88">
        <f t="shared" si="8"/>
        <v>44634</v>
      </c>
      <c r="B1170" s="72" t="str">
        <f t="shared" si="1"/>
        <v>20220314</v>
      </c>
      <c r="C1170" s="72" t="str">
        <f t="shared" si="2"/>
        <v>Monday</v>
      </c>
      <c r="D1170" s="72" t="str">
        <f t="shared" si="3"/>
        <v>March</v>
      </c>
      <c r="E1170" s="72" t="str">
        <f t="shared" si="4"/>
        <v>Q1</v>
      </c>
      <c r="F1170" s="72">
        <f t="shared" si="5"/>
        <v>2022</v>
      </c>
      <c r="G1170" s="89">
        <f t="shared" si="6"/>
        <v>44639</v>
      </c>
      <c r="H1170" s="72" t="str">
        <f t="shared" si="7"/>
        <v>Yes</v>
      </c>
    </row>
    <row r="1171" ht="15.75" customHeight="1">
      <c r="A1171" s="88">
        <f t="shared" si="8"/>
        <v>44635</v>
      </c>
      <c r="B1171" s="72" t="str">
        <f t="shared" si="1"/>
        <v>20220315</v>
      </c>
      <c r="C1171" s="72" t="str">
        <f t="shared" si="2"/>
        <v>Tuesday</v>
      </c>
      <c r="D1171" s="72" t="str">
        <f t="shared" si="3"/>
        <v>March</v>
      </c>
      <c r="E1171" s="72" t="str">
        <f t="shared" si="4"/>
        <v>Q1</v>
      </c>
      <c r="F1171" s="72">
        <f t="shared" si="5"/>
        <v>2022</v>
      </c>
      <c r="G1171" s="89">
        <f t="shared" si="6"/>
        <v>44639</v>
      </c>
      <c r="H1171" s="72" t="str">
        <f t="shared" si="7"/>
        <v>Yes</v>
      </c>
    </row>
    <row r="1172" ht="15.75" customHeight="1">
      <c r="A1172" s="88">
        <f t="shared" si="8"/>
        <v>44636</v>
      </c>
      <c r="B1172" s="72" t="str">
        <f t="shared" si="1"/>
        <v>20220316</v>
      </c>
      <c r="C1172" s="72" t="str">
        <f t="shared" si="2"/>
        <v>Wednesday</v>
      </c>
      <c r="D1172" s="72" t="str">
        <f t="shared" si="3"/>
        <v>March</v>
      </c>
      <c r="E1172" s="72" t="str">
        <f t="shared" si="4"/>
        <v>Q1</v>
      </c>
      <c r="F1172" s="72">
        <f t="shared" si="5"/>
        <v>2022</v>
      </c>
      <c r="G1172" s="89">
        <f t="shared" si="6"/>
        <v>44639</v>
      </c>
      <c r="H1172" s="72" t="str">
        <f t="shared" si="7"/>
        <v>Yes</v>
      </c>
    </row>
    <row r="1173" ht="15.75" customHeight="1">
      <c r="A1173" s="88">
        <f t="shared" si="8"/>
        <v>44637</v>
      </c>
      <c r="B1173" s="72" t="str">
        <f t="shared" si="1"/>
        <v>20220317</v>
      </c>
      <c r="C1173" s="72" t="str">
        <f t="shared" si="2"/>
        <v>Thursday</v>
      </c>
      <c r="D1173" s="72" t="str">
        <f t="shared" si="3"/>
        <v>March</v>
      </c>
      <c r="E1173" s="72" t="str">
        <f t="shared" si="4"/>
        <v>Q1</v>
      </c>
      <c r="F1173" s="72">
        <f t="shared" si="5"/>
        <v>2022</v>
      </c>
      <c r="G1173" s="89">
        <f t="shared" si="6"/>
        <v>44639</v>
      </c>
      <c r="H1173" s="72" t="str">
        <f t="shared" si="7"/>
        <v>Yes</v>
      </c>
    </row>
    <row r="1174" ht="15.75" customHeight="1">
      <c r="A1174" s="88">
        <f t="shared" si="8"/>
        <v>44638</v>
      </c>
      <c r="B1174" s="72" t="str">
        <f t="shared" si="1"/>
        <v>20220318</v>
      </c>
      <c r="C1174" s="72" t="str">
        <f t="shared" si="2"/>
        <v>Friday</v>
      </c>
      <c r="D1174" s="72" t="str">
        <f t="shared" si="3"/>
        <v>March</v>
      </c>
      <c r="E1174" s="72" t="str">
        <f t="shared" si="4"/>
        <v>Q1</v>
      </c>
      <c r="F1174" s="72">
        <f t="shared" si="5"/>
        <v>2022</v>
      </c>
      <c r="G1174" s="89">
        <f t="shared" si="6"/>
        <v>44639</v>
      </c>
      <c r="H1174" s="72" t="str">
        <f t="shared" si="7"/>
        <v>Yes</v>
      </c>
    </row>
    <row r="1175" ht="15.75" customHeight="1">
      <c r="A1175" s="88">
        <f t="shared" si="8"/>
        <v>44639</v>
      </c>
      <c r="B1175" s="72" t="str">
        <f t="shared" si="1"/>
        <v>20220319</v>
      </c>
      <c r="C1175" s="72" t="str">
        <f t="shared" si="2"/>
        <v>Saturday</v>
      </c>
      <c r="D1175" s="72" t="str">
        <f t="shared" si="3"/>
        <v>March</v>
      </c>
      <c r="E1175" s="72" t="str">
        <f t="shared" si="4"/>
        <v>Q1</v>
      </c>
      <c r="F1175" s="72">
        <f t="shared" si="5"/>
        <v>2022</v>
      </c>
      <c r="G1175" s="89">
        <f t="shared" si="6"/>
        <v>44639</v>
      </c>
      <c r="H1175" s="72" t="str">
        <f t="shared" si="7"/>
        <v>No</v>
      </c>
    </row>
    <row r="1176" ht="15.75" customHeight="1">
      <c r="A1176" s="88">
        <f t="shared" si="8"/>
        <v>44640</v>
      </c>
      <c r="B1176" s="72" t="str">
        <f t="shared" si="1"/>
        <v>20220320</v>
      </c>
      <c r="C1176" s="72" t="str">
        <f t="shared" si="2"/>
        <v>Sunday</v>
      </c>
      <c r="D1176" s="72" t="str">
        <f t="shared" si="3"/>
        <v>March</v>
      </c>
      <c r="E1176" s="72" t="str">
        <f t="shared" si="4"/>
        <v>Q1</v>
      </c>
      <c r="F1176" s="72">
        <f t="shared" si="5"/>
        <v>2022</v>
      </c>
      <c r="G1176" s="89">
        <f t="shared" si="6"/>
        <v>44646</v>
      </c>
      <c r="H1176" s="72" t="str">
        <f t="shared" si="7"/>
        <v>No</v>
      </c>
    </row>
    <row r="1177" ht="15.75" customHeight="1">
      <c r="A1177" s="88">
        <f t="shared" si="8"/>
        <v>44641</v>
      </c>
      <c r="B1177" s="72" t="str">
        <f t="shared" si="1"/>
        <v>20220321</v>
      </c>
      <c r="C1177" s="72" t="str">
        <f t="shared" si="2"/>
        <v>Monday</v>
      </c>
      <c r="D1177" s="72" t="str">
        <f t="shared" si="3"/>
        <v>March</v>
      </c>
      <c r="E1177" s="72" t="str">
        <f t="shared" si="4"/>
        <v>Q1</v>
      </c>
      <c r="F1177" s="72">
        <f t="shared" si="5"/>
        <v>2022</v>
      </c>
      <c r="G1177" s="89">
        <f t="shared" si="6"/>
        <v>44646</v>
      </c>
      <c r="H1177" s="72" t="str">
        <f t="shared" si="7"/>
        <v>Yes</v>
      </c>
    </row>
    <row r="1178" ht="15.75" customHeight="1">
      <c r="A1178" s="88">
        <f t="shared" si="8"/>
        <v>44642</v>
      </c>
      <c r="B1178" s="72" t="str">
        <f t="shared" si="1"/>
        <v>20220322</v>
      </c>
      <c r="C1178" s="72" t="str">
        <f t="shared" si="2"/>
        <v>Tuesday</v>
      </c>
      <c r="D1178" s="72" t="str">
        <f t="shared" si="3"/>
        <v>March</v>
      </c>
      <c r="E1178" s="72" t="str">
        <f t="shared" si="4"/>
        <v>Q1</v>
      </c>
      <c r="F1178" s="72">
        <f t="shared" si="5"/>
        <v>2022</v>
      </c>
      <c r="G1178" s="89">
        <f t="shared" si="6"/>
        <v>44646</v>
      </c>
      <c r="H1178" s="72" t="str">
        <f t="shared" si="7"/>
        <v>Yes</v>
      </c>
    </row>
    <row r="1179" ht="15.75" customHeight="1">
      <c r="A1179" s="88">
        <f t="shared" si="8"/>
        <v>44643</v>
      </c>
      <c r="B1179" s="72" t="str">
        <f t="shared" si="1"/>
        <v>20220323</v>
      </c>
      <c r="C1179" s="72" t="str">
        <f t="shared" si="2"/>
        <v>Wednesday</v>
      </c>
      <c r="D1179" s="72" t="str">
        <f t="shared" si="3"/>
        <v>March</v>
      </c>
      <c r="E1179" s="72" t="str">
        <f t="shared" si="4"/>
        <v>Q1</v>
      </c>
      <c r="F1179" s="72">
        <f t="shared" si="5"/>
        <v>2022</v>
      </c>
      <c r="G1179" s="89">
        <f t="shared" si="6"/>
        <v>44646</v>
      </c>
      <c r="H1179" s="72" t="str">
        <f t="shared" si="7"/>
        <v>Yes</v>
      </c>
    </row>
    <row r="1180" ht="15.75" customHeight="1">
      <c r="A1180" s="88">
        <f t="shared" si="8"/>
        <v>44644</v>
      </c>
      <c r="B1180" s="72" t="str">
        <f t="shared" si="1"/>
        <v>20220324</v>
      </c>
      <c r="C1180" s="72" t="str">
        <f t="shared" si="2"/>
        <v>Thursday</v>
      </c>
      <c r="D1180" s="72" t="str">
        <f t="shared" si="3"/>
        <v>March</v>
      </c>
      <c r="E1180" s="72" t="str">
        <f t="shared" si="4"/>
        <v>Q1</v>
      </c>
      <c r="F1180" s="72">
        <f t="shared" si="5"/>
        <v>2022</v>
      </c>
      <c r="G1180" s="89">
        <f t="shared" si="6"/>
        <v>44646</v>
      </c>
      <c r="H1180" s="72" t="str">
        <f t="shared" si="7"/>
        <v>Yes</v>
      </c>
    </row>
    <row r="1181" ht="15.75" customHeight="1">
      <c r="A1181" s="88">
        <f t="shared" si="8"/>
        <v>44645</v>
      </c>
      <c r="B1181" s="72" t="str">
        <f t="shared" si="1"/>
        <v>20220325</v>
      </c>
      <c r="C1181" s="72" t="str">
        <f t="shared" si="2"/>
        <v>Friday</v>
      </c>
      <c r="D1181" s="72" t="str">
        <f t="shared" si="3"/>
        <v>March</v>
      </c>
      <c r="E1181" s="72" t="str">
        <f t="shared" si="4"/>
        <v>Q1</v>
      </c>
      <c r="F1181" s="72">
        <f t="shared" si="5"/>
        <v>2022</v>
      </c>
      <c r="G1181" s="89">
        <f t="shared" si="6"/>
        <v>44646</v>
      </c>
      <c r="H1181" s="72" t="str">
        <f t="shared" si="7"/>
        <v>Yes</v>
      </c>
    </row>
    <row r="1182" ht="15.75" customHeight="1">
      <c r="A1182" s="88">
        <f t="shared" si="8"/>
        <v>44646</v>
      </c>
      <c r="B1182" s="72" t="str">
        <f t="shared" si="1"/>
        <v>20220326</v>
      </c>
      <c r="C1182" s="72" t="str">
        <f t="shared" si="2"/>
        <v>Saturday</v>
      </c>
      <c r="D1182" s="72" t="str">
        <f t="shared" si="3"/>
        <v>March</v>
      </c>
      <c r="E1182" s="72" t="str">
        <f t="shared" si="4"/>
        <v>Q1</v>
      </c>
      <c r="F1182" s="72">
        <f t="shared" si="5"/>
        <v>2022</v>
      </c>
      <c r="G1182" s="89">
        <f t="shared" si="6"/>
        <v>44646</v>
      </c>
      <c r="H1182" s="72" t="str">
        <f t="shared" si="7"/>
        <v>No</v>
      </c>
    </row>
    <row r="1183" ht="15.75" customHeight="1">
      <c r="A1183" s="88">
        <f t="shared" si="8"/>
        <v>44647</v>
      </c>
      <c r="B1183" s="72" t="str">
        <f t="shared" si="1"/>
        <v>20220327</v>
      </c>
      <c r="C1183" s="72" t="str">
        <f t="shared" si="2"/>
        <v>Sunday</v>
      </c>
      <c r="D1183" s="72" t="str">
        <f t="shared" si="3"/>
        <v>March</v>
      </c>
      <c r="E1183" s="72" t="str">
        <f t="shared" si="4"/>
        <v>Q1</v>
      </c>
      <c r="F1183" s="72">
        <f t="shared" si="5"/>
        <v>2022</v>
      </c>
      <c r="G1183" s="89">
        <f t="shared" si="6"/>
        <v>44653</v>
      </c>
      <c r="H1183" s="72" t="str">
        <f t="shared" si="7"/>
        <v>No</v>
      </c>
    </row>
    <row r="1184" ht="15.75" customHeight="1">
      <c r="A1184" s="88">
        <f t="shared" si="8"/>
        <v>44648</v>
      </c>
      <c r="B1184" s="72" t="str">
        <f t="shared" si="1"/>
        <v>20220328</v>
      </c>
      <c r="C1184" s="72" t="str">
        <f t="shared" si="2"/>
        <v>Monday</v>
      </c>
      <c r="D1184" s="72" t="str">
        <f t="shared" si="3"/>
        <v>March</v>
      </c>
      <c r="E1184" s="72" t="str">
        <f t="shared" si="4"/>
        <v>Q1</v>
      </c>
      <c r="F1184" s="72">
        <f t="shared" si="5"/>
        <v>2022</v>
      </c>
      <c r="G1184" s="89">
        <f t="shared" si="6"/>
        <v>44653</v>
      </c>
      <c r="H1184" s="72" t="str">
        <f t="shared" si="7"/>
        <v>Yes</v>
      </c>
    </row>
    <row r="1185" ht="15.75" customHeight="1">
      <c r="A1185" s="88">
        <f t="shared" si="8"/>
        <v>44649</v>
      </c>
      <c r="B1185" s="72" t="str">
        <f t="shared" si="1"/>
        <v>20220329</v>
      </c>
      <c r="C1185" s="72" t="str">
        <f t="shared" si="2"/>
        <v>Tuesday</v>
      </c>
      <c r="D1185" s="72" t="str">
        <f t="shared" si="3"/>
        <v>March</v>
      </c>
      <c r="E1185" s="72" t="str">
        <f t="shared" si="4"/>
        <v>Q1</v>
      </c>
      <c r="F1185" s="72">
        <f t="shared" si="5"/>
        <v>2022</v>
      </c>
      <c r="G1185" s="89">
        <f t="shared" si="6"/>
        <v>44653</v>
      </c>
      <c r="H1185" s="72" t="str">
        <f t="shared" si="7"/>
        <v>Yes</v>
      </c>
    </row>
    <row r="1186" ht="15.75" customHeight="1">
      <c r="A1186" s="88">
        <f t="shared" si="8"/>
        <v>44650</v>
      </c>
      <c r="B1186" s="72" t="str">
        <f t="shared" si="1"/>
        <v>20220330</v>
      </c>
      <c r="C1186" s="72" t="str">
        <f t="shared" si="2"/>
        <v>Wednesday</v>
      </c>
      <c r="D1186" s="72" t="str">
        <f t="shared" si="3"/>
        <v>March</v>
      </c>
      <c r="E1186" s="72" t="str">
        <f t="shared" si="4"/>
        <v>Q1</v>
      </c>
      <c r="F1186" s="72">
        <f t="shared" si="5"/>
        <v>2022</v>
      </c>
      <c r="G1186" s="89">
        <f t="shared" si="6"/>
        <v>44653</v>
      </c>
      <c r="H1186" s="72" t="str">
        <f t="shared" si="7"/>
        <v>Yes</v>
      </c>
    </row>
    <row r="1187" ht="15.75" customHeight="1">
      <c r="A1187" s="88">
        <f t="shared" si="8"/>
        <v>44651</v>
      </c>
      <c r="B1187" s="72" t="str">
        <f t="shared" si="1"/>
        <v>20220331</v>
      </c>
      <c r="C1187" s="72" t="str">
        <f t="shared" si="2"/>
        <v>Thursday</v>
      </c>
      <c r="D1187" s="72" t="str">
        <f t="shared" si="3"/>
        <v>March</v>
      </c>
      <c r="E1187" s="72" t="str">
        <f t="shared" si="4"/>
        <v>Q1</v>
      </c>
      <c r="F1187" s="72">
        <f t="shared" si="5"/>
        <v>2022</v>
      </c>
      <c r="G1187" s="89">
        <f t="shared" si="6"/>
        <v>44653</v>
      </c>
      <c r="H1187" s="72" t="str">
        <f t="shared" si="7"/>
        <v>Yes</v>
      </c>
    </row>
    <row r="1188" ht="15.75" customHeight="1">
      <c r="A1188" s="88">
        <f t="shared" si="8"/>
        <v>44652</v>
      </c>
      <c r="B1188" s="72" t="str">
        <f t="shared" si="1"/>
        <v>20220401</v>
      </c>
      <c r="C1188" s="72" t="str">
        <f t="shared" si="2"/>
        <v>Friday</v>
      </c>
      <c r="D1188" s="72" t="str">
        <f t="shared" si="3"/>
        <v>April</v>
      </c>
      <c r="E1188" s="72" t="str">
        <f t="shared" si="4"/>
        <v>Q2</v>
      </c>
      <c r="F1188" s="72">
        <f t="shared" si="5"/>
        <v>2022</v>
      </c>
      <c r="G1188" s="89">
        <f t="shared" si="6"/>
        <v>44653</v>
      </c>
      <c r="H1188" s="72" t="str">
        <f t="shared" si="7"/>
        <v>Yes</v>
      </c>
    </row>
    <row r="1189" ht="15.75" customHeight="1">
      <c r="A1189" s="88">
        <f t="shared" si="8"/>
        <v>44653</v>
      </c>
      <c r="B1189" s="72" t="str">
        <f t="shared" si="1"/>
        <v>20220402</v>
      </c>
      <c r="C1189" s="72" t="str">
        <f t="shared" si="2"/>
        <v>Saturday</v>
      </c>
      <c r="D1189" s="72" t="str">
        <f t="shared" si="3"/>
        <v>April</v>
      </c>
      <c r="E1189" s="72" t="str">
        <f t="shared" si="4"/>
        <v>Q2</v>
      </c>
      <c r="F1189" s="72">
        <f t="shared" si="5"/>
        <v>2022</v>
      </c>
      <c r="G1189" s="89">
        <f t="shared" si="6"/>
        <v>44653</v>
      </c>
      <c r="H1189" s="72" t="str">
        <f t="shared" si="7"/>
        <v>No</v>
      </c>
    </row>
    <row r="1190" ht="15.75" customHeight="1">
      <c r="A1190" s="88">
        <f t="shared" si="8"/>
        <v>44654</v>
      </c>
      <c r="B1190" s="72" t="str">
        <f t="shared" si="1"/>
        <v>20220403</v>
      </c>
      <c r="C1190" s="72" t="str">
        <f t="shared" si="2"/>
        <v>Sunday</v>
      </c>
      <c r="D1190" s="72" t="str">
        <f t="shared" si="3"/>
        <v>April</v>
      </c>
      <c r="E1190" s="72" t="str">
        <f t="shared" si="4"/>
        <v>Q2</v>
      </c>
      <c r="F1190" s="72">
        <f t="shared" si="5"/>
        <v>2022</v>
      </c>
      <c r="G1190" s="89">
        <f t="shared" si="6"/>
        <v>44660</v>
      </c>
      <c r="H1190" s="72" t="str">
        <f t="shared" si="7"/>
        <v>No</v>
      </c>
    </row>
    <row r="1191" ht="15.75" customHeight="1">
      <c r="A1191" s="88">
        <f t="shared" si="8"/>
        <v>44655</v>
      </c>
      <c r="B1191" s="72" t="str">
        <f t="shared" si="1"/>
        <v>20220404</v>
      </c>
      <c r="C1191" s="72" t="str">
        <f t="shared" si="2"/>
        <v>Monday</v>
      </c>
      <c r="D1191" s="72" t="str">
        <f t="shared" si="3"/>
        <v>April</v>
      </c>
      <c r="E1191" s="72" t="str">
        <f t="shared" si="4"/>
        <v>Q2</v>
      </c>
      <c r="F1191" s="72">
        <f t="shared" si="5"/>
        <v>2022</v>
      </c>
      <c r="G1191" s="89">
        <f t="shared" si="6"/>
        <v>44660</v>
      </c>
      <c r="H1191" s="72" t="str">
        <f t="shared" si="7"/>
        <v>Yes</v>
      </c>
    </row>
    <row r="1192" ht="15.75" customHeight="1">
      <c r="A1192" s="88">
        <f t="shared" si="8"/>
        <v>44656</v>
      </c>
      <c r="B1192" s="72" t="str">
        <f t="shared" si="1"/>
        <v>20220405</v>
      </c>
      <c r="C1192" s="72" t="str">
        <f t="shared" si="2"/>
        <v>Tuesday</v>
      </c>
      <c r="D1192" s="72" t="str">
        <f t="shared" si="3"/>
        <v>April</v>
      </c>
      <c r="E1192" s="72" t="str">
        <f t="shared" si="4"/>
        <v>Q2</v>
      </c>
      <c r="F1192" s="72">
        <f t="shared" si="5"/>
        <v>2022</v>
      </c>
      <c r="G1192" s="89">
        <f t="shared" si="6"/>
        <v>44660</v>
      </c>
      <c r="H1192" s="72" t="str">
        <f t="shared" si="7"/>
        <v>Yes</v>
      </c>
    </row>
    <row r="1193" ht="15.75" customHeight="1">
      <c r="A1193" s="88">
        <f t="shared" si="8"/>
        <v>44657</v>
      </c>
      <c r="B1193" s="72" t="str">
        <f t="shared" si="1"/>
        <v>20220406</v>
      </c>
      <c r="C1193" s="72" t="str">
        <f t="shared" si="2"/>
        <v>Wednesday</v>
      </c>
      <c r="D1193" s="72" t="str">
        <f t="shared" si="3"/>
        <v>April</v>
      </c>
      <c r="E1193" s="72" t="str">
        <f t="shared" si="4"/>
        <v>Q2</v>
      </c>
      <c r="F1193" s="72">
        <f t="shared" si="5"/>
        <v>2022</v>
      </c>
      <c r="G1193" s="89">
        <f t="shared" si="6"/>
        <v>44660</v>
      </c>
      <c r="H1193" s="72" t="str">
        <f t="shared" si="7"/>
        <v>Yes</v>
      </c>
    </row>
    <row r="1194" ht="15.75" customHeight="1">
      <c r="A1194" s="88">
        <f t="shared" si="8"/>
        <v>44658</v>
      </c>
      <c r="B1194" s="72" t="str">
        <f t="shared" si="1"/>
        <v>20220407</v>
      </c>
      <c r="C1194" s="72" t="str">
        <f t="shared" si="2"/>
        <v>Thursday</v>
      </c>
      <c r="D1194" s="72" t="str">
        <f t="shared" si="3"/>
        <v>April</v>
      </c>
      <c r="E1194" s="72" t="str">
        <f t="shared" si="4"/>
        <v>Q2</v>
      </c>
      <c r="F1194" s="72">
        <f t="shared" si="5"/>
        <v>2022</v>
      </c>
      <c r="G1194" s="89">
        <f t="shared" si="6"/>
        <v>44660</v>
      </c>
      <c r="H1194" s="72" t="str">
        <f t="shared" si="7"/>
        <v>Yes</v>
      </c>
    </row>
    <row r="1195" ht="15.75" customHeight="1">
      <c r="A1195" s="88">
        <f t="shared" si="8"/>
        <v>44659</v>
      </c>
      <c r="B1195" s="72" t="str">
        <f t="shared" si="1"/>
        <v>20220408</v>
      </c>
      <c r="C1195" s="72" t="str">
        <f t="shared" si="2"/>
        <v>Friday</v>
      </c>
      <c r="D1195" s="72" t="str">
        <f t="shared" si="3"/>
        <v>April</v>
      </c>
      <c r="E1195" s="72" t="str">
        <f t="shared" si="4"/>
        <v>Q2</v>
      </c>
      <c r="F1195" s="72">
        <f t="shared" si="5"/>
        <v>2022</v>
      </c>
      <c r="G1195" s="89">
        <f t="shared" si="6"/>
        <v>44660</v>
      </c>
      <c r="H1195" s="72" t="str">
        <f t="shared" si="7"/>
        <v>Yes</v>
      </c>
    </row>
    <row r="1196" ht="15.75" customHeight="1">
      <c r="A1196" s="88">
        <f t="shared" si="8"/>
        <v>44660</v>
      </c>
      <c r="B1196" s="72" t="str">
        <f t="shared" si="1"/>
        <v>20220409</v>
      </c>
      <c r="C1196" s="72" t="str">
        <f t="shared" si="2"/>
        <v>Saturday</v>
      </c>
      <c r="D1196" s="72" t="str">
        <f t="shared" si="3"/>
        <v>April</v>
      </c>
      <c r="E1196" s="72" t="str">
        <f t="shared" si="4"/>
        <v>Q2</v>
      </c>
      <c r="F1196" s="72">
        <f t="shared" si="5"/>
        <v>2022</v>
      </c>
      <c r="G1196" s="89">
        <f t="shared" si="6"/>
        <v>44660</v>
      </c>
      <c r="H1196" s="72" t="str">
        <f t="shared" si="7"/>
        <v>No</v>
      </c>
    </row>
    <row r="1197" ht="15.75" customHeight="1">
      <c r="A1197" s="88">
        <f t="shared" si="8"/>
        <v>44661</v>
      </c>
      <c r="B1197" s="72" t="str">
        <f t="shared" si="1"/>
        <v>20220410</v>
      </c>
      <c r="C1197" s="72" t="str">
        <f t="shared" si="2"/>
        <v>Sunday</v>
      </c>
      <c r="D1197" s="72" t="str">
        <f t="shared" si="3"/>
        <v>April</v>
      </c>
      <c r="E1197" s="72" t="str">
        <f t="shared" si="4"/>
        <v>Q2</v>
      </c>
      <c r="F1197" s="72">
        <f t="shared" si="5"/>
        <v>2022</v>
      </c>
      <c r="G1197" s="89">
        <f t="shared" si="6"/>
        <v>44667</v>
      </c>
      <c r="H1197" s="72" t="str">
        <f t="shared" si="7"/>
        <v>No</v>
      </c>
    </row>
    <row r="1198" ht="15.75" customHeight="1">
      <c r="A1198" s="88">
        <f t="shared" si="8"/>
        <v>44662</v>
      </c>
      <c r="B1198" s="72" t="str">
        <f t="shared" si="1"/>
        <v>20220411</v>
      </c>
      <c r="C1198" s="72" t="str">
        <f t="shared" si="2"/>
        <v>Monday</v>
      </c>
      <c r="D1198" s="72" t="str">
        <f t="shared" si="3"/>
        <v>April</v>
      </c>
      <c r="E1198" s="72" t="str">
        <f t="shared" si="4"/>
        <v>Q2</v>
      </c>
      <c r="F1198" s="72">
        <f t="shared" si="5"/>
        <v>2022</v>
      </c>
      <c r="G1198" s="89">
        <f t="shared" si="6"/>
        <v>44667</v>
      </c>
      <c r="H1198" s="72" t="str">
        <f t="shared" si="7"/>
        <v>Yes</v>
      </c>
    </row>
    <row r="1199" ht="15.75" customHeight="1">
      <c r="A1199" s="88">
        <f t="shared" si="8"/>
        <v>44663</v>
      </c>
      <c r="B1199" s="72" t="str">
        <f t="shared" si="1"/>
        <v>20220412</v>
      </c>
      <c r="C1199" s="72" t="str">
        <f t="shared" si="2"/>
        <v>Tuesday</v>
      </c>
      <c r="D1199" s="72" t="str">
        <f t="shared" si="3"/>
        <v>April</v>
      </c>
      <c r="E1199" s="72" t="str">
        <f t="shared" si="4"/>
        <v>Q2</v>
      </c>
      <c r="F1199" s="72">
        <f t="shared" si="5"/>
        <v>2022</v>
      </c>
      <c r="G1199" s="89">
        <f t="shared" si="6"/>
        <v>44667</v>
      </c>
      <c r="H1199" s="72" t="str">
        <f t="shared" si="7"/>
        <v>Yes</v>
      </c>
    </row>
    <row r="1200" ht="15.75" customHeight="1">
      <c r="A1200" s="88">
        <f t="shared" si="8"/>
        <v>44664</v>
      </c>
      <c r="B1200" s="72" t="str">
        <f t="shared" si="1"/>
        <v>20220413</v>
      </c>
      <c r="C1200" s="72" t="str">
        <f t="shared" si="2"/>
        <v>Wednesday</v>
      </c>
      <c r="D1200" s="72" t="str">
        <f t="shared" si="3"/>
        <v>April</v>
      </c>
      <c r="E1200" s="72" t="str">
        <f t="shared" si="4"/>
        <v>Q2</v>
      </c>
      <c r="F1200" s="72">
        <f t="shared" si="5"/>
        <v>2022</v>
      </c>
      <c r="G1200" s="89">
        <f t="shared" si="6"/>
        <v>44667</v>
      </c>
      <c r="H1200" s="72" t="str">
        <f t="shared" si="7"/>
        <v>Yes</v>
      </c>
    </row>
    <row r="1201" ht="15.75" customHeight="1">
      <c r="A1201" s="88">
        <f t="shared" si="8"/>
        <v>44665</v>
      </c>
      <c r="B1201" s="72" t="str">
        <f t="shared" si="1"/>
        <v>20220414</v>
      </c>
      <c r="C1201" s="72" t="str">
        <f t="shared" si="2"/>
        <v>Thursday</v>
      </c>
      <c r="D1201" s="72" t="str">
        <f t="shared" si="3"/>
        <v>April</v>
      </c>
      <c r="E1201" s="72" t="str">
        <f t="shared" si="4"/>
        <v>Q2</v>
      </c>
      <c r="F1201" s="72">
        <f t="shared" si="5"/>
        <v>2022</v>
      </c>
      <c r="G1201" s="89">
        <f t="shared" si="6"/>
        <v>44667</v>
      </c>
      <c r="H1201" s="72" t="str">
        <f t="shared" si="7"/>
        <v>Yes</v>
      </c>
    </row>
    <row r="1202" ht="15.75" customHeight="1">
      <c r="A1202" s="88">
        <f t="shared" si="8"/>
        <v>44666</v>
      </c>
      <c r="B1202" s="72" t="str">
        <f t="shared" si="1"/>
        <v>20220415</v>
      </c>
      <c r="C1202" s="72" t="str">
        <f t="shared" si="2"/>
        <v>Friday</v>
      </c>
      <c r="D1202" s="72" t="str">
        <f t="shared" si="3"/>
        <v>April</v>
      </c>
      <c r="E1202" s="72" t="str">
        <f t="shared" si="4"/>
        <v>Q2</v>
      </c>
      <c r="F1202" s="72">
        <f t="shared" si="5"/>
        <v>2022</v>
      </c>
      <c r="G1202" s="89">
        <f t="shared" si="6"/>
        <v>44667</v>
      </c>
      <c r="H1202" s="72" t="str">
        <f t="shared" si="7"/>
        <v>Yes</v>
      </c>
    </row>
    <row r="1203" ht="15.75" customHeight="1">
      <c r="A1203" s="88">
        <f t="shared" si="8"/>
        <v>44667</v>
      </c>
      <c r="B1203" s="72" t="str">
        <f t="shared" si="1"/>
        <v>20220416</v>
      </c>
      <c r="C1203" s="72" t="str">
        <f t="shared" si="2"/>
        <v>Saturday</v>
      </c>
      <c r="D1203" s="72" t="str">
        <f t="shared" si="3"/>
        <v>April</v>
      </c>
      <c r="E1203" s="72" t="str">
        <f t="shared" si="4"/>
        <v>Q2</v>
      </c>
      <c r="F1203" s="72">
        <f t="shared" si="5"/>
        <v>2022</v>
      </c>
      <c r="G1203" s="89">
        <f t="shared" si="6"/>
        <v>44667</v>
      </c>
      <c r="H1203" s="72" t="str">
        <f t="shared" si="7"/>
        <v>No</v>
      </c>
    </row>
    <row r="1204" ht="15.75" customHeight="1">
      <c r="A1204" s="88">
        <f t="shared" si="8"/>
        <v>44668</v>
      </c>
      <c r="B1204" s="72" t="str">
        <f t="shared" si="1"/>
        <v>20220417</v>
      </c>
      <c r="C1204" s="72" t="str">
        <f t="shared" si="2"/>
        <v>Sunday</v>
      </c>
      <c r="D1204" s="72" t="str">
        <f t="shared" si="3"/>
        <v>April</v>
      </c>
      <c r="E1204" s="72" t="str">
        <f t="shared" si="4"/>
        <v>Q2</v>
      </c>
      <c r="F1204" s="72">
        <f t="shared" si="5"/>
        <v>2022</v>
      </c>
      <c r="G1204" s="89">
        <f t="shared" si="6"/>
        <v>44674</v>
      </c>
      <c r="H1204" s="72" t="str">
        <f t="shared" si="7"/>
        <v>No</v>
      </c>
    </row>
    <row r="1205" ht="15.75" customHeight="1">
      <c r="A1205" s="88">
        <f t="shared" si="8"/>
        <v>44669</v>
      </c>
      <c r="B1205" s="72" t="str">
        <f t="shared" si="1"/>
        <v>20220418</v>
      </c>
      <c r="C1205" s="72" t="str">
        <f t="shared" si="2"/>
        <v>Monday</v>
      </c>
      <c r="D1205" s="72" t="str">
        <f t="shared" si="3"/>
        <v>April</v>
      </c>
      <c r="E1205" s="72" t="str">
        <f t="shared" si="4"/>
        <v>Q2</v>
      </c>
      <c r="F1205" s="72">
        <f t="shared" si="5"/>
        <v>2022</v>
      </c>
      <c r="G1205" s="89">
        <f t="shared" si="6"/>
        <v>44674</v>
      </c>
      <c r="H1205" s="72" t="str">
        <f t="shared" si="7"/>
        <v>Yes</v>
      </c>
    </row>
    <row r="1206" ht="15.75" customHeight="1">
      <c r="A1206" s="88">
        <f t="shared" si="8"/>
        <v>44670</v>
      </c>
      <c r="B1206" s="72" t="str">
        <f t="shared" si="1"/>
        <v>20220419</v>
      </c>
      <c r="C1206" s="72" t="str">
        <f t="shared" si="2"/>
        <v>Tuesday</v>
      </c>
      <c r="D1206" s="72" t="str">
        <f t="shared" si="3"/>
        <v>April</v>
      </c>
      <c r="E1206" s="72" t="str">
        <f t="shared" si="4"/>
        <v>Q2</v>
      </c>
      <c r="F1206" s="72">
        <f t="shared" si="5"/>
        <v>2022</v>
      </c>
      <c r="G1206" s="89">
        <f t="shared" si="6"/>
        <v>44674</v>
      </c>
      <c r="H1206" s="72" t="str">
        <f t="shared" si="7"/>
        <v>Yes</v>
      </c>
    </row>
    <row r="1207" ht="15.75" customHeight="1">
      <c r="A1207" s="88">
        <f t="shared" si="8"/>
        <v>44671</v>
      </c>
      <c r="B1207" s="72" t="str">
        <f t="shared" si="1"/>
        <v>20220420</v>
      </c>
      <c r="C1207" s="72" t="str">
        <f t="shared" si="2"/>
        <v>Wednesday</v>
      </c>
      <c r="D1207" s="72" t="str">
        <f t="shared" si="3"/>
        <v>April</v>
      </c>
      <c r="E1207" s="72" t="str">
        <f t="shared" si="4"/>
        <v>Q2</v>
      </c>
      <c r="F1207" s="72">
        <f t="shared" si="5"/>
        <v>2022</v>
      </c>
      <c r="G1207" s="89">
        <f t="shared" si="6"/>
        <v>44674</v>
      </c>
      <c r="H1207" s="72" t="str">
        <f t="shared" si="7"/>
        <v>Yes</v>
      </c>
    </row>
    <row r="1208" ht="15.75" customHeight="1">
      <c r="A1208" s="88">
        <f t="shared" si="8"/>
        <v>44672</v>
      </c>
      <c r="B1208" s="72" t="str">
        <f t="shared" si="1"/>
        <v>20220421</v>
      </c>
      <c r="C1208" s="72" t="str">
        <f t="shared" si="2"/>
        <v>Thursday</v>
      </c>
      <c r="D1208" s="72" t="str">
        <f t="shared" si="3"/>
        <v>April</v>
      </c>
      <c r="E1208" s="72" t="str">
        <f t="shared" si="4"/>
        <v>Q2</v>
      </c>
      <c r="F1208" s="72">
        <f t="shared" si="5"/>
        <v>2022</v>
      </c>
      <c r="G1208" s="89">
        <f t="shared" si="6"/>
        <v>44674</v>
      </c>
      <c r="H1208" s="72" t="str">
        <f t="shared" si="7"/>
        <v>Yes</v>
      </c>
    </row>
    <row r="1209" ht="15.75" customHeight="1">
      <c r="A1209" s="88">
        <f t="shared" si="8"/>
        <v>44673</v>
      </c>
      <c r="B1209" s="72" t="str">
        <f t="shared" si="1"/>
        <v>20220422</v>
      </c>
      <c r="C1209" s="72" t="str">
        <f t="shared" si="2"/>
        <v>Friday</v>
      </c>
      <c r="D1209" s="72" t="str">
        <f t="shared" si="3"/>
        <v>April</v>
      </c>
      <c r="E1209" s="72" t="str">
        <f t="shared" si="4"/>
        <v>Q2</v>
      </c>
      <c r="F1209" s="72">
        <f t="shared" si="5"/>
        <v>2022</v>
      </c>
      <c r="G1209" s="89">
        <f t="shared" si="6"/>
        <v>44674</v>
      </c>
      <c r="H1209" s="72" t="str">
        <f t="shared" si="7"/>
        <v>Yes</v>
      </c>
    </row>
    <row r="1210" ht="15.75" customHeight="1">
      <c r="A1210" s="88">
        <f t="shared" si="8"/>
        <v>44674</v>
      </c>
      <c r="B1210" s="72" t="str">
        <f t="shared" si="1"/>
        <v>20220423</v>
      </c>
      <c r="C1210" s="72" t="str">
        <f t="shared" si="2"/>
        <v>Saturday</v>
      </c>
      <c r="D1210" s="72" t="str">
        <f t="shared" si="3"/>
        <v>April</v>
      </c>
      <c r="E1210" s="72" t="str">
        <f t="shared" si="4"/>
        <v>Q2</v>
      </c>
      <c r="F1210" s="72">
        <f t="shared" si="5"/>
        <v>2022</v>
      </c>
      <c r="G1210" s="89">
        <f t="shared" si="6"/>
        <v>44674</v>
      </c>
      <c r="H1210" s="72" t="str">
        <f t="shared" si="7"/>
        <v>No</v>
      </c>
    </row>
    <row r="1211" ht="15.75" customHeight="1">
      <c r="A1211" s="88">
        <f t="shared" si="8"/>
        <v>44675</v>
      </c>
      <c r="B1211" s="72" t="str">
        <f t="shared" si="1"/>
        <v>20220424</v>
      </c>
      <c r="C1211" s="72" t="str">
        <f t="shared" si="2"/>
        <v>Sunday</v>
      </c>
      <c r="D1211" s="72" t="str">
        <f t="shared" si="3"/>
        <v>April</v>
      </c>
      <c r="E1211" s="72" t="str">
        <f t="shared" si="4"/>
        <v>Q2</v>
      </c>
      <c r="F1211" s="72">
        <f t="shared" si="5"/>
        <v>2022</v>
      </c>
      <c r="G1211" s="89">
        <f t="shared" si="6"/>
        <v>44681</v>
      </c>
      <c r="H1211" s="72" t="str">
        <f t="shared" si="7"/>
        <v>No</v>
      </c>
    </row>
    <row r="1212" ht="15.75" customHeight="1">
      <c r="A1212" s="88">
        <f t="shared" si="8"/>
        <v>44676</v>
      </c>
      <c r="B1212" s="72" t="str">
        <f t="shared" si="1"/>
        <v>20220425</v>
      </c>
      <c r="C1212" s="72" t="str">
        <f t="shared" si="2"/>
        <v>Monday</v>
      </c>
      <c r="D1212" s="72" t="str">
        <f t="shared" si="3"/>
        <v>April</v>
      </c>
      <c r="E1212" s="72" t="str">
        <f t="shared" si="4"/>
        <v>Q2</v>
      </c>
      <c r="F1212" s="72">
        <f t="shared" si="5"/>
        <v>2022</v>
      </c>
      <c r="G1212" s="89">
        <f t="shared" si="6"/>
        <v>44681</v>
      </c>
      <c r="H1212" s="72" t="str">
        <f t="shared" si="7"/>
        <v>Yes</v>
      </c>
    </row>
    <row r="1213" ht="15.75" customHeight="1">
      <c r="A1213" s="88">
        <f t="shared" si="8"/>
        <v>44677</v>
      </c>
      <c r="B1213" s="72" t="str">
        <f t="shared" si="1"/>
        <v>20220426</v>
      </c>
      <c r="C1213" s="72" t="str">
        <f t="shared" si="2"/>
        <v>Tuesday</v>
      </c>
      <c r="D1213" s="72" t="str">
        <f t="shared" si="3"/>
        <v>April</v>
      </c>
      <c r="E1213" s="72" t="str">
        <f t="shared" si="4"/>
        <v>Q2</v>
      </c>
      <c r="F1213" s="72">
        <f t="shared" si="5"/>
        <v>2022</v>
      </c>
      <c r="G1213" s="89">
        <f t="shared" si="6"/>
        <v>44681</v>
      </c>
      <c r="H1213" s="72" t="str">
        <f t="shared" si="7"/>
        <v>Yes</v>
      </c>
    </row>
    <row r="1214" ht="15.75" customHeight="1">
      <c r="A1214" s="88">
        <f t="shared" si="8"/>
        <v>44678</v>
      </c>
      <c r="B1214" s="72" t="str">
        <f t="shared" si="1"/>
        <v>20220427</v>
      </c>
      <c r="C1214" s="72" t="str">
        <f t="shared" si="2"/>
        <v>Wednesday</v>
      </c>
      <c r="D1214" s="72" t="str">
        <f t="shared" si="3"/>
        <v>April</v>
      </c>
      <c r="E1214" s="72" t="str">
        <f t="shared" si="4"/>
        <v>Q2</v>
      </c>
      <c r="F1214" s="72">
        <f t="shared" si="5"/>
        <v>2022</v>
      </c>
      <c r="G1214" s="89">
        <f t="shared" si="6"/>
        <v>44681</v>
      </c>
      <c r="H1214" s="72" t="str">
        <f t="shared" si="7"/>
        <v>Yes</v>
      </c>
    </row>
    <row r="1215" ht="15.75" customHeight="1">
      <c r="A1215" s="88">
        <f t="shared" si="8"/>
        <v>44679</v>
      </c>
      <c r="B1215" s="72" t="str">
        <f t="shared" si="1"/>
        <v>20220428</v>
      </c>
      <c r="C1215" s="72" t="str">
        <f t="shared" si="2"/>
        <v>Thursday</v>
      </c>
      <c r="D1215" s="72" t="str">
        <f t="shared" si="3"/>
        <v>April</v>
      </c>
      <c r="E1215" s="72" t="str">
        <f t="shared" si="4"/>
        <v>Q2</v>
      </c>
      <c r="F1215" s="72">
        <f t="shared" si="5"/>
        <v>2022</v>
      </c>
      <c r="G1215" s="89">
        <f t="shared" si="6"/>
        <v>44681</v>
      </c>
      <c r="H1215" s="72" t="str">
        <f t="shared" si="7"/>
        <v>Yes</v>
      </c>
    </row>
    <row r="1216" ht="15.75" customHeight="1">
      <c r="A1216" s="88">
        <f t="shared" si="8"/>
        <v>44680</v>
      </c>
      <c r="B1216" s="72" t="str">
        <f t="shared" si="1"/>
        <v>20220429</v>
      </c>
      <c r="C1216" s="72" t="str">
        <f t="shared" si="2"/>
        <v>Friday</v>
      </c>
      <c r="D1216" s="72" t="str">
        <f t="shared" si="3"/>
        <v>April</v>
      </c>
      <c r="E1216" s="72" t="str">
        <f t="shared" si="4"/>
        <v>Q2</v>
      </c>
      <c r="F1216" s="72">
        <f t="shared" si="5"/>
        <v>2022</v>
      </c>
      <c r="G1216" s="89">
        <f t="shared" si="6"/>
        <v>44681</v>
      </c>
      <c r="H1216" s="72" t="str">
        <f t="shared" si="7"/>
        <v>Yes</v>
      </c>
    </row>
    <row r="1217" ht="15.75" customHeight="1">
      <c r="A1217" s="88">
        <f t="shared" si="8"/>
        <v>44681</v>
      </c>
      <c r="B1217" s="72" t="str">
        <f t="shared" si="1"/>
        <v>20220430</v>
      </c>
      <c r="C1217" s="72" t="str">
        <f t="shared" si="2"/>
        <v>Saturday</v>
      </c>
      <c r="D1217" s="72" t="str">
        <f t="shared" si="3"/>
        <v>April</v>
      </c>
      <c r="E1217" s="72" t="str">
        <f t="shared" si="4"/>
        <v>Q2</v>
      </c>
      <c r="F1217" s="72">
        <f t="shared" si="5"/>
        <v>2022</v>
      </c>
      <c r="G1217" s="89">
        <f t="shared" si="6"/>
        <v>44681</v>
      </c>
      <c r="H1217" s="72" t="str">
        <f t="shared" si="7"/>
        <v>No</v>
      </c>
    </row>
    <row r="1218" ht="15.75" customHeight="1">
      <c r="A1218" s="88">
        <f t="shared" si="8"/>
        <v>44682</v>
      </c>
      <c r="B1218" s="72" t="str">
        <f t="shared" si="1"/>
        <v>20220501</v>
      </c>
      <c r="C1218" s="72" t="str">
        <f t="shared" si="2"/>
        <v>Sunday</v>
      </c>
      <c r="D1218" s="72" t="str">
        <f t="shared" si="3"/>
        <v>May</v>
      </c>
      <c r="E1218" s="72" t="str">
        <f t="shared" si="4"/>
        <v>Q2</v>
      </c>
      <c r="F1218" s="72">
        <f t="shared" si="5"/>
        <v>2022</v>
      </c>
      <c r="G1218" s="89">
        <f t="shared" si="6"/>
        <v>44688</v>
      </c>
      <c r="H1218" s="72" t="str">
        <f t="shared" si="7"/>
        <v>No</v>
      </c>
    </row>
    <row r="1219" ht="15.75" customHeight="1">
      <c r="A1219" s="88">
        <f t="shared" si="8"/>
        <v>44683</v>
      </c>
      <c r="B1219" s="72" t="str">
        <f t="shared" si="1"/>
        <v>20220502</v>
      </c>
      <c r="C1219" s="72" t="str">
        <f t="shared" si="2"/>
        <v>Monday</v>
      </c>
      <c r="D1219" s="72" t="str">
        <f t="shared" si="3"/>
        <v>May</v>
      </c>
      <c r="E1219" s="72" t="str">
        <f t="shared" si="4"/>
        <v>Q2</v>
      </c>
      <c r="F1219" s="72">
        <f t="shared" si="5"/>
        <v>2022</v>
      </c>
      <c r="G1219" s="89">
        <f t="shared" si="6"/>
        <v>44688</v>
      </c>
      <c r="H1219" s="72" t="str">
        <f t="shared" si="7"/>
        <v>Yes</v>
      </c>
    </row>
    <row r="1220" ht="15.75" customHeight="1">
      <c r="A1220" s="88">
        <f t="shared" si="8"/>
        <v>44684</v>
      </c>
      <c r="B1220" s="72" t="str">
        <f t="shared" si="1"/>
        <v>20220503</v>
      </c>
      <c r="C1220" s="72" t="str">
        <f t="shared" si="2"/>
        <v>Tuesday</v>
      </c>
      <c r="D1220" s="72" t="str">
        <f t="shared" si="3"/>
        <v>May</v>
      </c>
      <c r="E1220" s="72" t="str">
        <f t="shared" si="4"/>
        <v>Q2</v>
      </c>
      <c r="F1220" s="72">
        <f t="shared" si="5"/>
        <v>2022</v>
      </c>
      <c r="G1220" s="89">
        <f t="shared" si="6"/>
        <v>44688</v>
      </c>
      <c r="H1220" s="72" t="str">
        <f t="shared" si="7"/>
        <v>Yes</v>
      </c>
    </row>
    <row r="1221" ht="15.75" customHeight="1">
      <c r="A1221" s="88">
        <f t="shared" si="8"/>
        <v>44685</v>
      </c>
      <c r="B1221" s="72" t="str">
        <f t="shared" si="1"/>
        <v>20220504</v>
      </c>
      <c r="C1221" s="72" t="str">
        <f t="shared" si="2"/>
        <v>Wednesday</v>
      </c>
      <c r="D1221" s="72" t="str">
        <f t="shared" si="3"/>
        <v>May</v>
      </c>
      <c r="E1221" s="72" t="str">
        <f t="shared" si="4"/>
        <v>Q2</v>
      </c>
      <c r="F1221" s="72">
        <f t="shared" si="5"/>
        <v>2022</v>
      </c>
      <c r="G1221" s="89">
        <f t="shared" si="6"/>
        <v>44688</v>
      </c>
      <c r="H1221" s="72" t="str">
        <f t="shared" si="7"/>
        <v>Yes</v>
      </c>
    </row>
    <row r="1222" ht="15.75" customHeight="1">
      <c r="A1222" s="88">
        <f t="shared" si="8"/>
        <v>44686</v>
      </c>
      <c r="B1222" s="72" t="str">
        <f t="shared" si="1"/>
        <v>20220505</v>
      </c>
      <c r="C1222" s="72" t="str">
        <f t="shared" si="2"/>
        <v>Thursday</v>
      </c>
      <c r="D1222" s="72" t="str">
        <f t="shared" si="3"/>
        <v>May</v>
      </c>
      <c r="E1222" s="72" t="str">
        <f t="shared" si="4"/>
        <v>Q2</v>
      </c>
      <c r="F1222" s="72">
        <f t="shared" si="5"/>
        <v>2022</v>
      </c>
      <c r="G1222" s="89">
        <f t="shared" si="6"/>
        <v>44688</v>
      </c>
      <c r="H1222" s="72" t="str">
        <f t="shared" si="7"/>
        <v>Yes</v>
      </c>
    </row>
    <row r="1223" ht="15.75" customHeight="1">
      <c r="A1223" s="88">
        <f t="shared" si="8"/>
        <v>44687</v>
      </c>
      <c r="B1223" s="72" t="str">
        <f t="shared" si="1"/>
        <v>20220506</v>
      </c>
      <c r="C1223" s="72" t="str">
        <f t="shared" si="2"/>
        <v>Friday</v>
      </c>
      <c r="D1223" s="72" t="str">
        <f t="shared" si="3"/>
        <v>May</v>
      </c>
      <c r="E1223" s="72" t="str">
        <f t="shared" si="4"/>
        <v>Q2</v>
      </c>
      <c r="F1223" s="72">
        <f t="shared" si="5"/>
        <v>2022</v>
      </c>
      <c r="G1223" s="89">
        <f t="shared" si="6"/>
        <v>44688</v>
      </c>
      <c r="H1223" s="72" t="str">
        <f t="shared" si="7"/>
        <v>Yes</v>
      </c>
    </row>
    <row r="1224" ht="15.75" customHeight="1">
      <c r="A1224" s="88">
        <f t="shared" si="8"/>
        <v>44688</v>
      </c>
      <c r="B1224" s="72" t="str">
        <f t="shared" si="1"/>
        <v>20220507</v>
      </c>
      <c r="C1224" s="72" t="str">
        <f t="shared" si="2"/>
        <v>Saturday</v>
      </c>
      <c r="D1224" s="72" t="str">
        <f t="shared" si="3"/>
        <v>May</v>
      </c>
      <c r="E1224" s="72" t="str">
        <f t="shared" si="4"/>
        <v>Q2</v>
      </c>
      <c r="F1224" s="72">
        <f t="shared" si="5"/>
        <v>2022</v>
      </c>
      <c r="G1224" s="89">
        <f t="shared" si="6"/>
        <v>44688</v>
      </c>
      <c r="H1224" s="72" t="str">
        <f t="shared" si="7"/>
        <v>No</v>
      </c>
    </row>
    <row r="1225" ht="15.75" customHeight="1">
      <c r="A1225" s="88">
        <f t="shared" si="8"/>
        <v>44689</v>
      </c>
      <c r="B1225" s="72" t="str">
        <f t="shared" si="1"/>
        <v>20220508</v>
      </c>
      <c r="C1225" s="72" t="str">
        <f t="shared" si="2"/>
        <v>Sunday</v>
      </c>
      <c r="D1225" s="72" t="str">
        <f t="shared" si="3"/>
        <v>May</v>
      </c>
      <c r="E1225" s="72" t="str">
        <f t="shared" si="4"/>
        <v>Q2</v>
      </c>
      <c r="F1225" s="72">
        <f t="shared" si="5"/>
        <v>2022</v>
      </c>
      <c r="G1225" s="89">
        <f t="shared" si="6"/>
        <v>44695</v>
      </c>
      <c r="H1225" s="72" t="str">
        <f t="shared" si="7"/>
        <v>No</v>
      </c>
    </row>
    <row r="1226" ht="15.75" customHeight="1">
      <c r="A1226" s="88">
        <f t="shared" si="8"/>
        <v>44690</v>
      </c>
      <c r="B1226" s="72" t="str">
        <f t="shared" si="1"/>
        <v>20220509</v>
      </c>
      <c r="C1226" s="72" t="str">
        <f t="shared" si="2"/>
        <v>Monday</v>
      </c>
      <c r="D1226" s="72" t="str">
        <f t="shared" si="3"/>
        <v>May</v>
      </c>
      <c r="E1226" s="72" t="str">
        <f t="shared" si="4"/>
        <v>Q2</v>
      </c>
      <c r="F1226" s="72">
        <f t="shared" si="5"/>
        <v>2022</v>
      </c>
      <c r="G1226" s="89">
        <f t="shared" si="6"/>
        <v>44695</v>
      </c>
      <c r="H1226" s="72" t="str">
        <f t="shared" si="7"/>
        <v>Yes</v>
      </c>
    </row>
    <row r="1227" ht="15.75" customHeight="1">
      <c r="A1227" s="88">
        <f t="shared" si="8"/>
        <v>44691</v>
      </c>
      <c r="B1227" s="72" t="str">
        <f t="shared" si="1"/>
        <v>20220510</v>
      </c>
      <c r="C1227" s="72" t="str">
        <f t="shared" si="2"/>
        <v>Tuesday</v>
      </c>
      <c r="D1227" s="72" t="str">
        <f t="shared" si="3"/>
        <v>May</v>
      </c>
      <c r="E1227" s="72" t="str">
        <f t="shared" si="4"/>
        <v>Q2</v>
      </c>
      <c r="F1227" s="72">
        <f t="shared" si="5"/>
        <v>2022</v>
      </c>
      <c r="G1227" s="89">
        <f t="shared" si="6"/>
        <v>44695</v>
      </c>
      <c r="H1227" s="72" t="str">
        <f t="shared" si="7"/>
        <v>Yes</v>
      </c>
    </row>
    <row r="1228" ht="15.75" customHeight="1">
      <c r="A1228" s="88">
        <f t="shared" si="8"/>
        <v>44692</v>
      </c>
      <c r="B1228" s="72" t="str">
        <f t="shared" si="1"/>
        <v>20220511</v>
      </c>
      <c r="C1228" s="72" t="str">
        <f t="shared" si="2"/>
        <v>Wednesday</v>
      </c>
      <c r="D1228" s="72" t="str">
        <f t="shared" si="3"/>
        <v>May</v>
      </c>
      <c r="E1228" s="72" t="str">
        <f t="shared" si="4"/>
        <v>Q2</v>
      </c>
      <c r="F1228" s="72">
        <f t="shared" si="5"/>
        <v>2022</v>
      </c>
      <c r="G1228" s="89">
        <f t="shared" si="6"/>
        <v>44695</v>
      </c>
      <c r="H1228" s="72" t="str">
        <f t="shared" si="7"/>
        <v>Yes</v>
      </c>
    </row>
    <row r="1229" ht="15.75" customHeight="1">
      <c r="A1229" s="88">
        <f t="shared" si="8"/>
        <v>44693</v>
      </c>
      <c r="B1229" s="72" t="str">
        <f t="shared" si="1"/>
        <v>20220512</v>
      </c>
      <c r="C1229" s="72" t="str">
        <f t="shared" si="2"/>
        <v>Thursday</v>
      </c>
      <c r="D1229" s="72" t="str">
        <f t="shared" si="3"/>
        <v>May</v>
      </c>
      <c r="E1229" s="72" t="str">
        <f t="shared" si="4"/>
        <v>Q2</v>
      </c>
      <c r="F1229" s="72">
        <f t="shared" si="5"/>
        <v>2022</v>
      </c>
      <c r="G1229" s="89">
        <f t="shared" si="6"/>
        <v>44695</v>
      </c>
      <c r="H1229" s="72" t="str">
        <f t="shared" si="7"/>
        <v>Yes</v>
      </c>
    </row>
    <row r="1230" ht="15.75" customHeight="1">
      <c r="A1230" s="88">
        <f t="shared" si="8"/>
        <v>44694</v>
      </c>
      <c r="B1230" s="72" t="str">
        <f t="shared" si="1"/>
        <v>20220513</v>
      </c>
      <c r="C1230" s="72" t="str">
        <f t="shared" si="2"/>
        <v>Friday</v>
      </c>
      <c r="D1230" s="72" t="str">
        <f t="shared" si="3"/>
        <v>May</v>
      </c>
      <c r="E1230" s="72" t="str">
        <f t="shared" si="4"/>
        <v>Q2</v>
      </c>
      <c r="F1230" s="72">
        <f t="shared" si="5"/>
        <v>2022</v>
      </c>
      <c r="G1230" s="89">
        <f t="shared" si="6"/>
        <v>44695</v>
      </c>
      <c r="H1230" s="72" t="str">
        <f t="shared" si="7"/>
        <v>Yes</v>
      </c>
    </row>
    <row r="1231" ht="15.75" customHeight="1">
      <c r="A1231" s="88">
        <f t="shared" si="8"/>
        <v>44695</v>
      </c>
      <c r="B1231" s="72" t="str">
        <f t="shared" si="1"/>
        <v>20220514</v>
      </c>
      <c r="C1231" s="72" t="str">
        <f t="shared" si="2"/>
        <v>Saturday</v>
      </c>
      <c r="D1231" s="72" t="str">
        <f t="shared" si="3"/>
        <v>May</v>
      </c>
      <c r="E1231" s="72" t="str">
        <f t="shared" si="4"/>
        <v>Q2</v>
      </c>
      <c r="F1231" s="72">
        <f t="shared" si="5"/>
        <v>2022</v>
      </c>
      <c r="G1231" s="89">
        <f t="shared" si="6"/>
        <v>44695</v>
      </c>
      <c r="H1231" s="72" t="str">
        <f t="shared" si="7"/>
        <v>No</v>
      </c>
    </row>
    <row r="1232" ht="15.75" customHeight="1">
      <c r="A1232" s="88">
        <f t="shared" si="8"/>
        <v>44696</v>
      </c>
      <c r="B1232" s="72" t="str">
        <f t="shared" si="1"/>
        <v>20220515</v>
      </c>
      <c r="C1232" s="72" t="str">
        <f t="shared" si="2"/>
        <v>Sunday</v>
      </c>
      <c r="D1232" s="72" t="str">
        <f t="shared" si="3"/>
        <v>May</v>
      </c>
      <c r="E1232" s="72" t="str">
        <f t="shared" si="4"/>
        <v>Q2</v>
      </c>
      <c r="F1232" s="72">
        <f t="shared" si="5"/>
        <v>2022</v>
      </c>
      <c r="G1232" s="89">
        <f t="shared" si="6"/>
        <v>44702</v>
      </c>
      <c r="H1232" s="72" t="str">
        <f t="shared" si="7"/>
        <v>No</v>
      </c>
    </row>
    <row r="1233" ht="15.75" customHeight="1">
      <c r="A1233" s="88">
        <f t="shared" si="8"/>
        <v>44697</v>
      </c>
      <c r="B1233" s="72" t="str">
        <f t="shared" si="1"/>
        <v>20220516</v>
      </c>
      <c r="C1233" s="72" t="str">
        <f t="shared" si="2"/>
        <v>Monday</v>
      </c>
      <c r="D1233" s="72" t="str">
        <f t="shared" si="3"/>
        <v>May</v>
      </c>
      <c r="E1233" s="72" t="str">
        <f t="shared" si="4"/>
        <v>Q2</v>
      </c>
      <c r="F1233" s="72">
        <f t="shared" si="5"/>
        <v>2022</v>
      </c>
      <c r="G1233" s="89">
        <f t="shared" si="6"/>
        <v>44702</v>
      </c>
      <c r="H1233" s="72" t="str">
        <f t="shared" si="7"/>
        <v>Yes</v>
      </c>
    </row>
    <row r="1234" ht="15.75" customHeight="1">
      <c r="A1234" s="88">
        <f t="shared" si="8"/>
        <v>44698</v>
      </c>
      <c r="B1234" s="72" t="str">
        <f t="shared" si="1"/>
        <v>20220517</v>
      </c>
      <c r="C1234" s="72" t="str">
        <f t="shared" si="2"/>
        <v>Tuesday</v>
      </c>
      <c r="D1234" s="72" t="str">
        <f t="shared" si="3"/>
        <v>May</v>
      </c>
      <c r="E1234" s="72" t="str">
        <f t="shared" si="4"/>
        <v>Q2</v>
      </c>
      <c r="F1234" s="72">
        <f t="shared" si="5"/>
        <v>2022</v>
      </c>
      <c r="G1234" s="89">
        <f t="shared" si="6"/>
        <v>44702</v>
      </c>
      <c r="H1234" s="72" t="str">
        <f t="shared" si="7"/>
        <v>Yes</v>
      </c>
    </row>
    <row r="1235" ht="15.75" customHeight="1">
      <c r="A1235" s="88">
        <f t="shared" si="8"/>
        <v>44699</v>
      </c>
      <c r="B1235" s="72" t="str">
        <f t="shared" si="1"/>
        <v>20220518</v>
      </c>
      <c r="C1235" s="72" t="str">
        <f t="shared" si="2"/>
        <v>Wednesday</v>
      </c>
      <c r="D1235" s="72" t="str">
        <f t="shared" si="3"/>
        <v>May</v>
      </c>
      <c r="E1235" s="72" t="str">
        <f t="shared" si="4"/>
        <v>Q2</v>
      </c>
      <c r="F1235" s="72">
        <f t="shared" si="5"/>
        <v>2022</v>
      </c>
      <c r="G1235" s="89">
        <f t="shared" si="6"/>
        <v>44702</v>
      </c>
      <c r="H1235" s="72" t="str">
        <f t="shared" si="7"/>
        <v>Yes</v>
      </c>
    </row>
    <row r="1236" ht="15.75" customHeight="1">
      <c r="A1236" s="88">
        <f t="shared" si="8"/>
        <v>44700</v>
      </c>
      <c r="B1236" s="72" t="str">
        <f t="shared" si="1"/>
        <v>20220519</v>
      </c>
      <c r="C1236" s="72" t="str">
        <f t="shared" si="2"/>
        <v>Thursday</v>
      </c>
      <c r="D1236" s="72" t="str">
        <f t="shared" si="3"/>
        <v>May</v>
      </c>
      <c r="E1236" s="72" t="str">
        <f t="shared" si="4"/>
        <v>Q2</v>
      </c>
      <c r="F1236" s="72">
        <f t="shared" si="5"/>
        <v>2022</v>
      </c>
      <c r="G1236" s="89">
        <f t="shared" si="6"/>
        <v>44702</v>
      </c>
      <c r="H1236" s="72" t="str">
        <f t="shared" si="7"/>
        <v>Yes</v>
      </c>
    </row>
    <row r="1237" ht="15.75" customHeight="1">
      <c r="A1237" s="88">
        <f t="shared" si="8"/>
        <v>44701</v>
      </c>
      <c r="B1237" s="72" t="str">
        <f t="shared" si="1"/>
        <v>20220520</v>
      </c>
      <c r="C1237" s="72" t="str">
        <f t="shared" si="2"/>
        <v>Friday</v>
      </c>
      <c r="D1237" s="72" t="str">
        <f t="shared" si="3"/>
        <v>May</v>
      </c>
      <c r="E1237" s="72" t="str">
        <f t="shared" si="4"/>
        <v>Q2</v>
      </c>
      <c r="F1237" s="72">
        <f t="shared" si="5"/>
        <v>2022</v>
      </c>
      <c r="G1237" s="89">
        <f t="shared" si="6"/>
        <v>44702</v>
      </c>
      <c r="H1237" s="72" t="str">
        <f t="shared" si="7"/>
        <v>Yes</v>
      </c>
    </row>
    <row r="1238" ht="15.75" customHeight="1">
      <c r="A1238" s="88">
        <f t="shared" si="8"/>
        <v>44702</v>
      </c>
      <c r="B1238" s="72" t="str">
        <f t="shared" si="1"/>
        <v>20220521</v>
      </c>
      <c r="C1238" s="72" t="str">
        <f t="shared" si="2"/>
        <v>Saturday</v>
      </c>
      <c r="D1238" s="72" t="str">
        <f t="shared" si="3"/>
        <v>May</v>
      </c>
      <c r="E1238" s="72" t="str">
        <f t="shared" si="4"/>
        <v>Q2</v>
      </c>
      <c r="F1238" s="72">
        <f t="shared" si="5"/>
        <v>2022</v>
      </c>
      <c r="G1238" s="89">
        <f t="shared" si="6"/>
        <v>44702</v>
      </c>
      <c r="H1238" s="72" t="str">
        <f t="shared" si="7"/>
        <v>No</v>
      </c>
    </row>
    <row r="1239" ht="15.75" customHeight="1">
      <c r="A1239" s="88">
        <f t="shared" si="8"/>
        <v>44703</v>
      </c>
      <c r="B1239" s="72" t="str">
        <f t="shared" si="1"/>
        <v>20220522</v>
      </c>
      <c r="C1239" s="72" t="str">
        <f t="shared" si="2"/>
        <v>Sunday</v>
      </c>
      <c r="D1239" s="72" t="str">
        <f t="shared" si="3"/>
        <v>May</v>
      </c>
      <c r="E1239" s="72" t="str">
        <f t="shared" si="4"/>
        <v>Q2</v>
      </c>
      <c r="F1239" s="72">
        <f t="shared" si="5"/>
        <v>2022</v>
      </c>
      <c r="G1239" s="89">
        <f t="shared" si="6"/>
        <v>44709</v>
      </c>
      <c r="H1239" s="72" t="str">
        <f t="shared" si="7"/>
        <v>No</v>
      </c>
    </row>
    <row r="1240" ht="15.75" customHeight="1">
      <c r="A1240" s="88">
        <f t="shared" si="8"/>
        <v>44704</v>
      </c>
      <c r="B1240" s="72" t="str">
        <f t="shared" si="1"/>
        <v>20220523</v>
      </c>
      <c r="C1240" s="72" t="str">
        <f t="shared" si="2"/>
        <v>Monday</v>
      </c>
      <c r="D1240" s="72" t="str">
        <f t="shared" si="3"/>
        <v>May</v>
      </c>
      <c r="E1240" s="72" t="str">
        <f t="shared" si="4"/>
        <v>Q2</v>
      </c>
      <c r="F1240" s="72">
        <f t="shared" si="5"/>
        <v>2022</v>
      </c>
      <c r="G1240" s="89">
        <f t="shared" si="6"/>
        <v>44709</v>
      </c>
      <c r="H1240" s="72" t="str">
        <f t="shared" si="7"/>
        <v>Yes</v>
      </c>
    </row>
    <row r="1241" ht="15.75" customHeight="1">
      <c r="A1241" s="88">
        <f t="shared" si="8"/>
        <v>44705</v>
      </c>
      <c r="B1241" s="72" t="str">
        <f t="shared" si="1"/>
        <v>20220524</v>
      </c>
      <c r="C1241" s="72" t="str">
        <f t="shared" si="2"/>
        <v>Tuesday</v>
      </c>
      <c r="D1241" s="72" t="str">
        <f t="shared" si="3"/>
        <v>May</v>
      </c>
      <c r="E1241" s="72" t="str">
        <f t="shared" si="4"/>
        <v>Q2</v>
      </c>
      <c r="F1241" s="72">
        <f t="shared" si="5"/>
        <v>2022</v>
      </c>
      <c r="G1241" s="89">
        <f t="shared" si="6"/>
        <v>44709</v>
      </c>
      <c r="H1241" s="72" t="str">
        <f t="shared" si="7"/>
        <v>Yes</v>
      </c>
    </row>
    <row r="1242" ht="15.75" customHeight="1">
      <c r="A1242" s="88">
        <f t="shared" si="8"/>
        <v>44706</v>
      </c>
      <c r="B1242" s="72" t="str">
        <f t="shared" si="1"/>
        <v>20220525</v>
      </c>
      <c r="C1242" s="72" t="str">
        <f t="shared" si="2"/>
        <v>Wednesday</v>
      </c>
      <c r="D1242" s="72" t="str">
        <f t="shared" si="3"/>
        <v>May</v>
      </c>
      <c r="E1242" s="72" t="str">
        <f t="shared" si="4"/>
        <v>Q2</v>
      </c>
      <c r="F1242" s="72">
        <f t="shared" si="5"/>
        <v>2022</v>
      </c>
      <c r="G1242" s="89">
        <f t="shared" si="6"/>
        <v>44709</v>
      </c>
      <c r="H1242" s="72" t="str">
        <f t="shared" si="7"/>
        <v>Yes</v>
      </c>
    </row>
    <row r="1243" ht="15.75" customHeight="1">
      <c r="A1243" s="88">
        <f t="shared" si="8"/>
        <v>44707</v>
      </c>
      <c r="B1243" s="72" t="str">
        <f t="shared" si="1"/>
        <v>20220526</v>
      </c>
      <c r="C1243" s="72" t="str">
        <f t="shared" si="2"/>
        <v>Thursday</v>
      </c>
      <c r="D1243" s="72" t="str">
        <f t="shared" si="3"/>
        <v>May</v>
      </c>
      <c r="E1243" s="72" t="str">
        <f t="shared" si="4"/>
        <v>Q2</v>
      </c>
      <c r="F1243" s="72">
        <f t="shared" si="5"/>
        <v>2022</v>
      </c>
      <c r="G1243" s="89">
        <f t="shared" si="6"/>
        <v>44709</v>
      </c>
      <c r="H1243" s="72" t="str">
        <f t="shared" si="7"/>
        <v>Yes</v>
      </c>
    </row>
    <row r="1244" ht="15.75" customHeight="1">
      <c r="A1244" s="88">
        <f t="shared" si="8"/>
        <v>44708</v>
      </c>
      <c r="B1244" s="72" t="str">
        <f t="shared" si="1"/>
        <v>20220527</v>
      </c>
      <c r="C1244" s="72" t="str">
        <f t="shared" si="2"/>
        <v>Friday</v>
      </c>
      <c r="D1244" s="72" t="str">
        <f t="shared" si="3"/>
        <v>May</v>
      </c>
      <c r="E1244" s="72" t="str">
        <f t="shared" si="4"/>
        <v>Q2</v>
      </c>
      <c r="F1244" s="72">
        <f t="shared" si="5"/>
        <v>2022</v>
      </c>
      <c r="G1244" s="89">
        <f t="shared" si="6"/>
        <v>44709</v>
      </c>
      <c r="H1244" s="72" t="str">
        <f t="shared" si="7"/>
        <v>Yes</v>
      </c>
    </row>
    <row r="1245" ht="15.75" customHeight="1">
      <c r="A1245" s="88">
        <f t="shared" si="8"/>
        <v>44709</v>
      </c>
      <c r="B1245" s="72" t="str">
        <f t="shared" si="1"/>
        <v>20220528</v>
      </c>
      <c r="C1245" s="72" t="str">
        <f t="shared" si="2"/>
        <v>Saturday</v>
      </c>
      <c r="D1245" s="72" t="str">
        <f t="shared" si="3"/>
        <v>May</v>
      </c>
      <c r="E1245" s="72" t="str">
        <f t="shared" si="4"/>
        <v>Q2</v>
      </c>
      <c r="F1245" s="72">
        <f t="shared" si="5"/>
        <v>2022</v>
      </c>
      <c r="G1245" s="89">
        <f t="shared" si="6"/>
        <v>44709</v>
      </c>
      <c r="H1245" s="72" t="str">
        <f t="shared" si="7"/>
        <v>No</v>
      </c>
    </row>
    <row r="1246" ht="15.75" customHeight="1">
      <c r="A1246" s="88">
        <f t="shared" si="8"/>
        <v>44710</v>
      </c>
      <c r="B1246" s="72" t="str">
        <f t="shared" si="1"/>
        <v>20220529</v>
      </c>
      <c r="C1246" s="72" t="str">
        <f t="shared" si="2"/>
        <v>Sunday</v>
      </c>
      <c r="D1246" s="72" t="str">
        <f t="shared" si="3"/>
        <v>May</v>
      </c>
      <c r="E1246" s="72" t="str">
        <f t="shared" si="4"/>
        <v>Q2</v>
      </c>
      <c r="F1246" s="72">
        <f t="shared" si="5"/>
        <v>2022</v>
      </c>
      <c r="G1246" s="89">
        <f t="shared" si="6"/>
        <v>44716</v>
      </c>
      <c r="H1246" s="72" t="str">
        <f t="shared" si="7"/>
        <v>No</v>
      </c>
    </row>
    <row r="1247" ht="15.75" customHeight="1">
      <c r="A1247" s="88">
        <f t="shared" si="8"/>
        <v>44711</v>
      </c>
      <c r="B1247" s="72" t="str">
        <f t="shared" si="1"/>
        <v>20220530</v>
      </c>
      <c r="C1247" s="72" t="str">
        <f t="shared" si="2"/>
        <v>Monday</v>
      </c>
      <c r="D1247" s="72" t="str">
        <f t="shared" si="3"/>
        <v>May</v>
      </c>
      <c r="E1247" s="72" t="str">
        <f t="shared" si="4"/>
        <v>Q2</v>
      </c>
      <c r="F1247" s="72">
        <f t="shared" si="5"/>
        <v>2022</v>
      </c>
      <c r="G1247" s="89">
        <f t="shared" si="6"/>
        <v>44716</v>
      </c>
      <c r="H1247" s="72" t="str">
        <f t="shared" si="7"/>
        <v>Yes</v>
      </c>
    </row>
    <row r="1248" ht="15.75" customHeight="1">
      <c r="A1248" s="88">
        <f t="shared" si="8"/>
        <v>44712</v>
      </c>
      <c r="B1248" s="72" t="str">
        <f t="shared" si="1"/>
        <v>20220531</v>
      </c>
      <c r="C1248" s="72" t="str">
        <f t="shared" si="2"/>
        <v>Tuesday</v>
      </c>
      <c r="D1248" s="72" t="str">
        <f t="shared" si="3"/>
        <v>May</v>
      </c>
      <c r="E1248" s="72" t="str">
        <f t="shared" si="4"/>
        <v>Q2</v>
      </c>
      <c r="F1248" s="72">
        <f t="shared" si="5"/>
        <v>2022</v>
      </c>
      <c r="G1248" s="89">
        <f t="shared" si="6"/>
        <v>44716</v>
      </c>
      <c r="H1248" s="72" t="str">
        <f t="shared" si="7"/>
        <v>Yes</v>
      </c>
    </row>
    <row r="1249" ht="15.75" customHeight="1">
      <c r="A1249" s="88">
        <f t="shared" si="8"/>
        <v>44713</v>
      </c>
      <c r="B1249" s="72" t="str">
        <f t="shared" si="1"/>
        <v>20220601</v>
      </c>
      <c r="C1249" s="72" t="str">
        <f t="shared" si="2"/>
        <v>Wednesday</v>
      </c>
      <c r="D1249" s="72" t="str">
        <f t="shared" si="3"/>
        <v>June</v>
      </c>
      <c r="E1249" s="72" t="str">
        <f t="shared" si="4"/>
        <v>Q2</v>
      </c>
      <c r="F1249" s="72">
        <f t="shared" si="5"/>
        <v>2022</v>
      </c>
      <c r="G1249" s="89">
        <f t="shared" si="6"/>
        <v>44716</v>
      </c>
      <c r="H1249" s="72" t="str">
        <f t="shared" si="7"/>
        <v>Yes</v>
      </c>
    </row>
    <row r="1250" ht="15.75" customHeight="1">
      <c r="A1250" s="88">
        <f t="shared" si="8"/>
        <v>44714</v>
      </c>
      <c r="B1250" s="72" t="str">
        <f t="shared" si="1"/>
        <v>20220602</v>
      </c>
      <c r="C1250" s="72" t="str">
        <f t="shared" si="2"/>
        <v>Thursday</v>
      </c>
      <c r="D1250" s="72" t="str">
        <f t="shared" si="3"/>
        <v>June</v>
      </c>
      <c r="E1250" s="72" t="str">
        <f t="shared" si="4"/>
        <v>Q2</v>
      </c>
      <c r="F1250" s="72">
        <f t="shared" si="5"/>
        <v>2022</v>
      </c>
      <c r="G1250" s="89">
        <f t="shared" si="6"/>
        <v>44716</v>
      </c>
      <c r="H1250" s="72" t="str">
        <f t="shared" si="7"/>
        <v>Yes</v>
      </c>
    </row>
    <row r="1251" ht="15.75" customHeight="1">
      <c r="A1251" s="88">
        <f t="shared" si="8"/>
        <v>44715</v>
      </c>
      <c r="B1251" s="72" t="str">
        <f t="shared" si="1"/>
        <v>20220603</v>
      </c>
      <c r="C1251" s="72" t="str">
        <f t="shared" si="2"/>
        <v>Friday</v>
      </c>
      <c r="D1251" s="72" t="str">
        <f t="shared" si="3"/>
        <v>June</v>
      </c>
      <c r="E1251" s="72" t="str">
        <f t="shared" si="4"/>
        <v>Q2</v>
      </c>
      <c r="F1251" s="72">
        <f t="shared" si="5"/>
        <v>2022</v>
      </c>
      <c r="G1251" s="89">
        <f t="shared" si="6"/>
        <v>44716</v>
      </c>
      <c r="H1251" s="72" t="str">
        <f t="shared" si="7"/>
        <v>Yes</v>
      </c>
    </row>
    <row r="1252" ht="15.75" customHeight="1">
      <c r="A1252" s="88">
        <f t="shared" si="8"/>
        <v>44716</v>
      </c>
      <c r="B1252" s="72" t="str">
        <f t="shared" si="1"/>
        <v>20220604</v>
      </c>
      <c r="C1252" s="72" t="str">
        <f t="shared" si="2"/>
        <v>Saturday</v>
      </c>
      <c r="D1252" s="72" t="str">
        <f t="shared" si="3"/>
        <v>June</v>
      </c>
      <c r="E1252" s="72" t="str">
        <f t="shared" si="4"/>
        <v>Q2</v>
      </c>
      <c r="F1252" s="72">
        <f t="shared" si="5"/>
        <v>2022</v>
      </c>
      <c r="G1252" s="89">
        <f t="shared" si="6"/>
        <v>44716</v>
      </c>
      <c r="H1252" s="72" t="str">
        <f t="shared" si="7"/>
        <v>No</v>
      </c>
    </row>
    <row r="1253" ht="15.75" customHeight="1">
      <c r="A1253" s="88">
        <f t="shared" si="8"/>
        <v>44717</v>
      </c>
      <c r="B1253" s="72" t="str">
        <f t="shared" si="1"/>
        <v>20220605</v>
      </c>
      <c r="C1253" s="72" t="str">
        <f t="shared" si="2"/>
        <v>Sunday</v>
      </c>
      <c r="D1253" s="72" t="str">
        <f t="shared" si="3"/>
        <v>June</v>
      </c>
      <c r="E1253" s="72" t="str">
        <f t="shared" si="4"/>
        <v>Q2</v>
      </c>
      <c r="F1253" s="72">
        <f t="shared" si="5"/>
        <v>2022</v>
      </c>
      <c r="G1253" s="89">
        <f t="shared" si="6"/>
        <v>44723</v>
      </c>
      <c r="H1253" s="72" t="str">
        <f t="shared" si="7"/>
        <v>No</v>
      </c>
    </row>
    <row r="1254" ht="15.75" customHeight="1">
      <c r="A1254" s="88">
        <f t="shared" si="8"/>
        <v>44718</v>
      </c>
      <c r="B1254" s="72" t="str">
        <f t="shared" si="1"/>
        <v>20220606</v>
      </c>
      <c r="C1254" s="72" t="str">
        <f t="shared" si="2"/>
        <v>Monday</v>
      </c>
      <c r="D1254" s="72" t="str">
        <f t="shared" si="3"/>
        <v>June</v>
      </c>
      <c r="E1254" s="72" t="str">
        <f t="shared" si="4"/>
        <v>Q2</v>
      </c>
      <c r="F1254" s="72">
        <f t="shared" si="5"/>
        <v>2022</v>
      </c>
      <c r="G1254" s="89">
        <f t="shared" si="6"/>
        <v>44723</v>
      </c>
      <c r="H1254" s="72" t="str">
        <f t="shared" si="7"/>
        <v>Yes</v>
      </c>
    </row>
    <row r="1255" ht="15.75" customHeight="1">
      <c r="A1255" s="88">
        <f t="shared" si="8"/>
        <v>44719</v>
      </c>
      <c r="B1255" s="72" t="str">
        <f t="shared" si="1"/>
        <v>20220607</v>
      </c>
      <c r="C1255" s="72" t="str">
        <f t="shared" si="2"/>
        <v>Tuesday</v>
      </c>
      <c r="D1255" s="72" t="str">
        <f t="shared" si="3"/>
        <v>June</v>
      </c>
      <c r="E1255" s="72" t="str">
        <f t="shared" si="4"/>
        <v>Q2</v>
      </c>
      <c r="F1255" s="72">
        <f t="shared" si="5"/>
        <v>2022</v>
      </c>
      <c r="G1255" s="89">
        <f t="shared" si="6"/>
        <v>44723</v>
      </c>
      <c r="H1255" s="72" t="str">
        <f t="shared" si="7"/>
        <v>Yes</v>
      </c>
    </row>
    <row r="1256" ht="15.75" customHeight="1">
      <c r="A1256" s="88">
        <f t="shared" si="8"/>
        <v>44720</v>
      </c>
      <c r="B1256" s="72" t="str">
        <f t="shared" si="1"/>
        <v>20220608</v>
      </c>
      <c r="C1256" s="72" t="str">
        <f t="shared" si="2"/>
        <v>Wednesday</v>
      </c>
      <c r="D1256" s="72" t="str">
        <f t="shared" si="3"/>
        <v>June</v>
      </c>
      <c r="E1256" s="72" t="str">
        <f t="shared" si="4"/>
        <v>Q2</v>
      </c>
      <c r="F1256" s="72">
        <f t="shared" si="5"/>
        <v>2022</v>
      </c>
      <c r="G1256" s="89">
        <f t="shared" si="6"/>
        <v>44723</v>
      </c>
      <c r="H1256" s="72" t="str">
        <f t="shared" si="7"/>
        <v>Yes</v>
      </c>
    </row>
    <row r="1257" ht="15.75" customHeight="1">
      <c r="A1257" s="88">
        <f t="shared" si="8"/>
        <v>44721</v>
      </c>
      <c r="B1257" s="72" t="str">
        <f t="shared" si="1"/>
        <v>20220609</v>
      </c>
      <c r="C1257" s="72" t="str">
        <f t="shared" si="2"/>
        <v>Thursday</v>
      </c>
      <c r="D1257" s="72" t="str">
        <f t="shared" si="3"/>
        <v>June</v>
      </c>
      <c r="E1257" s="72" t="str">
        <f t="shared" si="4"/>
        <v>Q2</v>
      </c>
      <c r="F1257" s="72">
        <f t="shared" si="5"/>
        <v>2022</v>
      </c>
      <c r="G1257" s="89">
        <f t="shared" si="6"/>
        <v>44723</v>
      </c>
      <c r="H1257" s="72" t="str">
        <f t="shared" si="7"/>
        <v>Yes</v>
      </c>
    </row>
    <row r="1258" ht="15.75" customHeight="1">
      <c r="A1258" s="88">
        <f t="shared" si="8"/>
        <v>44722</v>
      </c>
      <c r="B1258" s="72" t="str">
        <f t="shared" si="1"/>
        <v>20220610</v>
      </c>
      <c r="C1258" s="72" t="str">
        <f t="shared" si="2"/>
        <v>Friday</v>
      </c>
      <c r="D1258" s="72" t="str">
        <f t="shared" si="3"/>
        <v>June</v>
      </c>
      <c r="E1258" s="72" t="str">
        <f t="shared" si="4"/>
        <v>Q2</v>
      </c>
      <c r="F1258" s="72">
        <f t="shared" si="5"/>
        <v>2022</v>
      </c>
      <c r="G1258" s="89">
        <f t="shared" si="6"/>
        <v>44723</v>
      </c>
      <c r="H1258" s="72" t="str">
        <f t="shared" si="7"/>
        <v>Yes</v>
      </c>
    </row>
    <row r="1259" ht="15.75" customHeight="1">
      <c r="A1259" s="88">
        <f t="shared" si="8"/>
        <v>44723</v>
      </c>
      <c r="B1259" s="72" t="str">
        <f t="shared" si="1"/>
        <v>20220611</v>
      </c>
      <c r="C1259" s="72" t="str">
        <f t="shared" si="2"/>
        <v>Saturday</v>
      </c>
      <c r="D1259" s="72" t="str">
        <f t="shared" si="3"/>
        <v>June</v>
      </c>
      <c r="E1259" s="72" t="str">
        <f t="shared" si="4"/>
        <v>Q2</v>
      </c>
      <c r="F1259" s="72">
        <f t="shared" si="5"/>
        <v>2022</v>
      </c>
      <c r="G1259" s="89">
        <f t="shared" si="6"/>
        <v>44723</v>
      </c>
      <c r="H1259" s="72" t="str">
        <f t="shared" si="7"/>
        <v>No</v>
      </c>
    </row>
    <row r="1260" ht="15.75" customHeight="1">
      <c r="A1260" s="88">
        <f t="shared" si="8"/>
        <v>44724</v>
      </c>
      <c r="B1260" s="72" t="str">
        <f t="shared" si="1"/>
        <v>20220612</v>
      </c>
      <c r="C1260" s="72" t="str">
        <f t="shared" si="2"/>
        <v>Sunday</v>
      </c>
      <c r="D1260" s="72" t="str">
        <f t="shared" si="3"/>
        <v>June</v>
      </c>
      <c r="E1260" s="72" t="str">
        <f t="shared" si="4"/>
        <v>Q2</v>
      </c>
      <c r="F1260" s="72">
        <f t="shared" si="5"/>
        <v>2022</v>
      </c>
      <c r="G1260" s="89">
        <f t="shared" si="6"/>
        <v>44730</v>
      </c>
      <c r="H1260" s="72" t="str">
        <f t="shared" si="7"/>
        <v>No</v>
      </c>
    </row>
    <row r="1261" ht="15.75" customHeight="1">
      <c r="A1261" s="88">
        <f t="shared" si="8"/>
        <v>44725</v>
      </c>
      <c r="B1261" s="72" t="str">
        <f t="shared" si="1"/>
        <v>20220613</v>
      </c>
      <c r="C1261" s="72" t="str">
        <f t="shared" si="2"/>
        <v>Monday</v>
      </c>
      <c r="D1261" s="72" t="str">
        <f t="shared" si="3"/>
        <v>June</v>
      </c>
      <c r="E1261" s="72" t="str">
        <f t="shared" si="4"/>
        <v>Q2</v>
      </c>
      <c r="F1261" s="72">
        <f t="shared" si="5"/>
        <v>2022</v>
      </c>
      <c r="G1261" s="89">
        <f t="shared" si="6"/>
        <v>44730</v>
      </c>
      <c r="H1261" s="72" t="str">
        <f t="shared" si="7"/>
        <v>Yes</v>
      </c>
    </row>
    <row r="1262" ht="15.75" customHeight="1">
      <c r="A1262" s="88">
        <f t="shared" si="8"/>
        <v>44726</v>
      </c>
      <c r="B1262" s="72" t="str">
        <f t="shared" si="1"/>
        <v>20220614</v>
      </c>
      <c r="C1262" s="72" t="str">
        <f t="shared" si="2"/>
        <v>Tuesday</v>
      </c>
      <c r="D1262" s="72" t="str">
        <f t="shared" si="3"/>
        <v>June</v>
      </c>
      <c r="E1262" s="72" t="str">
        <f t="shared" si="4"/>
        <v>Q2</v>
      </c>
      <c r="F1262" s="72">
        <f t="shared" si="5"/>
        <v>2022</v>
      </c>
      <c r="G1262" s="89">
        <f t="shared" si="6"/>
        <v>44730</v>
      </c>
      <c r="H1262" s="72" t="str">
        <f t="shared" si="7"/>
        <v>Yes</v>
      </c>
    </row>
    <row r="1263" ht="15.75" customHeight="1">
      <c r="A1263" s="88">
        <f t="shared" si="8"/>
        <v>44727</v>
      </c>
      <c r="B1263" s="72" t="str">
        <f t="shared" si="1"/>
        <v>20220615</v>
      </c>
      <c r="C1263" s="72" t="str">
        <f t="shared" si="2"/>
        <v>Wednesday</v>
      </c>
      <c r="D1263" s="72" t="str">
        <f t="shared" si="3"/>
        <v>June</v>
      </c>
      <c r="E1263" s="72" t="str">
        <f t="shared" si="4"/>
        <v>Q2</v>
      </c>
      <c r="F1263" s="72">
        <f t="shared" si="5"/>
        <v>2022</v>
      </c>
      <c r="G1263" s="89">
        <f t="shared" si="6"/>
        <v>44730</v>
      </c>
      <c r="H1263" s="72" t="str">
        <f t="shared" si="7"/>
        <v>Yes</v>
      </c>
    </row>
    <row r="1264" ht="15.75" customHeight="1">
      <c r="A1264" s="88">
        <f t="shared" si="8"/>
        <v>44728</v>
      </c>
      <c r="B1264" s="72" t="str">
        <f t="shared" si="1"/>
        <v>20220616</v>
      </c>
      <c r="C1264" s="72" t="str">
        <f t="shared" si="2"/>
        <v>Thursday</v>
      </c>
      <c r="D1264" s="72" t="str">
        <f t="shared" si="3"/>
        <v>June</v>
      </c>
      <c r="E1264" s="72" t="str">
        <f t="shared" si="4"/>
        <v>Q2</v>
      </c>
      <c r="F1264" s="72">
        <f t="shared" si="5"/>
        <v>2022</v>
      </c>
      <c r="G1264" s="89">
        <f t="shared" si="6"/>
        <v>44730</v>
      </c>
      <c r="H1264" s="72" t="str">
        <f t="shared" si="7"/>
        <v>Yes</v>
      </c>
    </row>
    <row r="1265" ht="15.75" customHeight="1">
      <c r="A1265" s="88">
        <f t="shared" si="8"/>
        <v>44729</v>
      </c>
      <c r="B1265" s="72" t="str">
        <f t="shared" si="1"/>
        <v>20220617</v>
      </c>
      <c r="C1265" s="72" t="str">
        <f t="shared" si="2"/>
        <v>Friday</v>
      </c>
      <c r="D1265" s="72" t="str">
        <f t="shared" si="3"/>
        <v>June</v>
      </c>
      <c r="E1265" s="72" t="str">
        <f t="shared" si="4"/>
        <v>Q2</v>
      </c>
      <c r="F1265" s="72">
        <f t="shared" si="5"/>
        <v>2022</v>
      </c>
      <c r="G1265" s="89">
        <f t="shared" si="6"/>
        <v>44730</v>
      </c>
      <c r="H1265" s="72" t="str">
        <f t="shared" si="7"/>
        <v>Yes</v>
      </c>
    </row>
    <row r="1266" ht="15.75" customHeight="1">
      <c r="A1266" s="88">
        <f t="shared" si="8"/>
        <v>44730</v>
      </c>
      <c r="B1266" s="72" t="str">
        <f t="shared" si="1"/>
        <v>20220618</v>
      </c>
      <c r="C1266" s="72" t="str">
        <f t="shared" si="2"/>
        <v>Saturday</v>
      </c>
      <c r="D1266" s="72" t="str">
        <f t="shared" si="3"/>
        <v>June</v>
      </c>
      <c r="E1266" s="72" t="str">
        <f t="shared" si="4"/>
        <v>Q2</v>
      </c>
      <c r="F1266" s="72">
        <f t="shared" si="5"/>
        <v>2022</v>
      </c>
      <c r="G1266" s="89">
        <f t="shared" si="6"/>
        <v>44730</v>
      </c>
      <c r="H1266" s="72" t="str">
        <f t="shared" si="7"/>
        <v>No</v>
      </c>
    </row>
    <row r="1267" ht="15.75" customHeight="1">
      <c r="A1267" s="88">
        <f t="shared" si="8"/>
        <v>44731</v>
      </c>
      <c r="B1267" s="72" t="str">
        <f t="shared" si="1"/>
        <v>20220619</v>
      </c>
      <c r="C1267" s="72" t="str">
        <f t="shared" si="2"/>
        <v>Sunday</v>
      </c>
      <c r="D1267" s="72" t="str">
        <f t="shared" si="3"/>
        <v>June</v>
      </c>
      <c r="E1267" s="72" t="str">
        <f t="shared" si="4"/>
        <v>Q2</v>
      </c>
      <c r="F1267" s="72">
        <f t="shared" si="5"/>
        <v>2022</v>
      </c>
      <c r="G1267" s="89">
        <f t="shared" si="6"/>
        <v>44737</v>
      </c>
      <c r="H1267" s="72" t="str">
        <f t="shared" si="7"/>
        <v>No</v>
      </c>
    </row>
    <row r="1268" ht="15.75" customHeight="1">
      <c r="A1268" s="88">
        <f t="shared" si="8"/>
        <v>44732</v>
      </c>
      <c r="B1268" s="72" t="str">
        <f t="shared" si="1"/>
        <v>20220620</v>
      </c>
      <c r="C1268" s="72" t="str">
        <f t="shared" si="2"/>
        <v>Monday</v>
      </c>
      <c r="D1268" s="72" t="str">
        <f t="shared" si="3"/>
        <v>June</v>
      </c>
      <c r="E1268" s="72" t="str">
        <f t="shared" si="4"/>
        <v>Q2</v>
      </c>
      <c r="F1268" s="72">
        <f t="shared" si="5"/>
        <v>2022</v>
      </c>
      <c r="G1268" s="89">
        <f t="shared" si="6"/>
        <v>44737</v>
      </c>
      <c r="H1268" s="72" t="str">
        <f t="shared" si="7"/>
        <v>Yes</v>
      </c>
    </row>
    <row r="1269" ht="15.75" customHeight="1">
      <c r="A1269" s="88">
        <f t="shared" si="8"/>
        <v>44733</v>
      </c>
      <c r="B1269" s="72" t="str">
        <f t="shared" si="1"/>
        <v>20220621</v>
      </c>
      <c r="C1269" s="72" t="str">
        <f t="shared" si="2"/>
        <v>Tuesday</v>
      </c>
      <c r="D1269" s="72" t="str">
        <f t="shared" si="3"/>
        <v>June</v>
      </c>
      <c r="E1269" s="72" t="str">
        <f t="shared" si="4"/>
        <v>Q2</v>
      </c>
      <c r="F1269" s="72">
        <f t="shared" si="5"/>
        <v>2022</v>
      </c>
      <c r="G1269" s="89">
        <f t="shared" si="6"/>
        <v>44737</v>
      </c>
      <c r="H1269" s="72" t="str">
        <f t="shared" si="7"/>
        <v>Yes</v>
      </c>
    </row>
    <row r="1270" ht="15.75" customHeight="1">
      <c r="A1270" s="88">
        <f t="shared" si="8"/>
        <v>44734</v>
      </c>
      <c r="B1270" s="72" t="str">
        <f t="shared" si="1"/>
        <v>20220622</v>
      </c>
      <c r="C1270" s="72" t="str">
        <f t="shared" si="2"/>
        <v>Wednesday</v>
      </c>
      <c r="D1270" s="72" t="str">
        <f t="shared" si="3"/>
        <v>June</v>
      </c>
      <c r="E1270" s="72" t="str">
        <f t="shared" si="4"/>
        <v>Q2</v>
      </c>
      <c r="F1270" s="72">
        <f t="shared" si="5"/>
        <v>2022</v>
      </c>
      <c r="G1270" s="89">
        <f t="shared" si="6"/>
        <v>44737</v>
      </c>
      <c r="H1270" s="72" t="str">
        <f t="shared" si="7"/>
        <v>Yes</v>
      </c>
    </row>
    <row r="1271" ht="15.75" customHeight="1">
      <c r="A1271" s="88">
        <f t="shared" si="8"/>
        <v>44735</v>
      </c>
      <c r="B1271" s="72" t="str">
        <f t="shared" si="1"/>
        <v>20220623</v>
      </c>
      <c r="C1271" s="72" t="str">
        <f t="shared" si="2"/>
        <v>Thursday</v>
      </c>
      <c r="D1271" s="72" t="str">
        <f t="shared" si="3"/>
        <v>June</v>
      </c>
      <c r="E1271" s="72" t="str">
        <f t="shared" si="4"/>
        <v>Q2</v>
      </c>
      <c r="F1271" s="72">
        <f t="shared" si="5"/>
        <v>2022</v>
      </c>
      <c r="G1271" s="89">
        <f t="shared" si="6"/>
        <v>44737</v>
      </c>
      <c r="H1271" s="72" t="str">
        <f t="shared" si="7"/>
        <v>Yes</v>
      </c>
    </row>
    <row r="1272" ht="15.75" customHeight="1">
      <c r="A1272" s="88">
        <f t="shared" si="8"/>
        <v>44736</v>
      </c>
      <c r="B1272" s="72" t="str">
        <f t="shared" si="1"/>
        <v>20220624</v>
      </c>
      <c r="C1272" s="72" t="str">
        <f t="shared" si="2"/>
        <v>Friday</v>
      </c>
      <c r="D1272" s="72" t="str">
        <f t="shared" si="3"/>
        <v>June</v>
      </c>
      <c r="E1272" s="72" t="str">
        <f t="shared" si="4"/>
        <v>Q2</v>
      </c>
      <c r="F1272" s="72">
        <f t="shared" si="5"/>
        <v>2022</v>
      </c>
      <c r="G1272" s="89">
        <f t="shared" si="6"/>
        <v>44737</v>
      </c>
      <c r="H1272" s="72" t="str">
        <f t="shared" si="7"/>
        <v>Yes</v>
      </c>
    </row>
    <row r="1273" ht="15.75" customHeight="1">
      <c r="A1273" s="88">
        <f t="shared" si="8"/>
        <v>44737</v>
      </c>
      <c r="B1273" s="72" t="str">
        <f t="shared" si="1"/>
        <v>20220625</v>
      </c>
      <c r="C1273" s="72" t="str">
        <f t="shared" si="2"/>
        <v>Saturday</v>
      </c>
      <c r="D1273" s="72" t="str">
        <f t="shared" si="3"/>
        <v>June</v>
      </c>
      <c r="E1273" s="72" t="str">
        <f t="shared" si="4"/>
        <v>Q2</v>
      </c>
      <c r="F1273" s="72">
        <f t="shared" si="5"/>
        <v>2022</v>
      </c>
      <c r="G1273" s="89">
        <f t="shared" si="6"/>
        <v>44737</v>
      </c>
      <c r="H1273" s="72" t="str">
        <f t="shared" si="7"/>
        <v>No</v>
      </c>
    </row>
    <row r="1274" ht="15.75" customHeight="1">
      <c r="A1274" s="88">
        <f t="shared" si="8"/>
        <v>44738</v>
      </c>
      <c r="B1274" s="72" t="str">
        <f t="shared" si="1"/>
        <v>20220626</v>
      </c>
      <c r="C1274" s="72" t="str">
        <f t="shared" si="2"/>
        <v>Sunday</v>
      </c>
      <c r="D1274" s="72" t="str">
        <f t="shared" si="3"/>
        <v>June</v>
      </c>
      <c r="E1274" s="72" t="str">
        <f t="shared" si="4"/>
        <v>Q2</v>
      </c>
      <c r="F1274" s="72">
        <f t="shared" si="5"/>
        <v>2022</v>
      </c>
      <c r="G1274" s="89">
        <f t="shared" si="6"/>
        <v>44744</v>
      </c>
      <c r="H1274" s="72" t="str">
        <f t="shared" si="7"/>
        <v>No</v>
      </c>
    </row>
    <row r="1275" ht="15.75" customHeight="1">
      <c r="A1275" s="88">
        <f t="shared" si="8"/>
        <v>44739</v>
      </c>
      <c r="B1275" s="72" t="str">
        <f t="shared" si="1"/>
        <v>20220627</v>
      </c>
      <c r="C1275" s="72" t="str">
        <f t="shared" si="2"/>
        <v>Monday</v>
      </c>
      <c r="D1275" s="72" t="str">
        <f t="shared" si="3"/>
        <v>June</v>
      </c>
      <c r="E1275" s="72" t="str">
        <f t="shared" si="4"/>
        <v>Q2</v>
      </c>
      <c r="F1275" s="72">
        <f t="shared" si="5"/>
        <v>2022</v>
      </c>
      <c r="G1275" s="89">
        <f t="shared" si="6"/>
        <v>44744</v>
      </c>
      <c r="H1275" s="72" t="str">
        <f t="shared" si="7"/>
        <v>Yes</v>
      </c>
    </row>
    <row r="1276" ht="15.75" customHeight="1">
      <c r="A1276" s="88">
        <f t="shared" si="8"/>
        <v>44740</v>
      </c>
      <c r="B1276" s="72" t="str">
        <f t="shared" si="1"/>
        <v>20220628</v>
      </c>
      <c r="C1276" s="72" t="str">
        <f t="shared" si="2"/>
        <v>Tuesday</v>
      </c>
      <c r="D1276" s="72" t="str">
        <f t="shared" si="3"/>
        <v>June</v>
      </c>
      <c r="E1276" s="72" t="str">
        <f t="shared" si="4"/>
        <v>Q2</v>
      </c>
      <c r="F1276" s="72">
        <f t="shared" si="5"/>
        <v>2022</v>
      </c>
      <c r="G1276" s="89">
        <f t="shared" si="6"/>
        <v>44744</v>
      </c>
      <c r="H1276" s="72" t="str">
        <f t="shared" si="7"/>
        <v>Yes</v>
      </c>
    </row>
    <row r="1277" ht="15.75" customHeight="1">
      <c r="A1277" s="88">
        <f t="shared" si="8"/>
        <v>44741</v>
      </c>
      <c r="B1277" s="72" t="str">
        <f t="shared" si="1"/>
        <v>20220629</v>
      </c>
      <c r="C1277" s="72" t="str">
        <f t="shared" si="2"/>
        <v>Wednesday</v>
      </c>
      <c r="D1277" s="72" t="str">
        <f t="shared" si="3"/>
        <v>June</v>
      </c>
      <c r="E1277" s="72" t="str">
        <f t="shared" si="4"/>
        <v>Q2</v>
      </c>
      <c r="F1277" s="72">
        <f t="shared" si="5"/>
        <v>2022</v>
      </c>
      <c r="G1277" s="89">
        <f t="shared" si="6"/>
        <v>44744</v>
      </c>
      <c r="H1277" s="72" t="str">
        <f t="shared" si="7"/>
        <v>Yes</v>
      </c>
    </row>
    <row r="1278" ht="15.75" customHeight="1">
      <c r="A1278" s="88">
        <f t="shared" si="8"/>
        <v>44742</v>
      </c>
      <c r="B1278" s="72" t="str">
        <f t="shared" si="1"/>
        <v>20220630</v>
      </c>
      <c r="C1278" s="72" t="str">
        <f t="shared" si="2"/>
        <v>Thursday</v>
      </c>
      <c r="D1278" s="72" t="str">
        <f t="shared" si="3"/>
        <v>June</v>
      </c>
      <c r="E1278" s="72" t="str">
        <f t="shared" si="4"/>
        <v>Q2</v>
      </c>
      <c r="F1278" s="72">
        <f t="shared" si="5"/>
        <v>2022</v>
      </c>
      <c r="G1278" s="89">
        <f t="shared" si="6"/>
        <v>44744</v>
      </c>
      <c r="H1278" s="72" t="str">
        <f t="shared" si="7"/>
        <v>Yes</v>
      </c>
    </row>
    <row r="1279" ht="15.75" customHeight="1">
      <c r="A1279" s="88">
        <f t="shared" si="8"/>
        <v>44743</v>
      </c>
      <c r="B1279" s="72" t="str">
        <f t="shared" si="1"/>
        <v>20220701</v>
      </c>
      <c r="C1279" s="72" t="str">
        <f t="shared" si="2"/>
        <v>Friday</v>
      </c>
      <c r="D1279" s="72" t="str">
        <f t="shared" si="3"/>
        <v>July</v>
      </c>
      <c r="E1279" s="72" t="str">
        <f t="shared" si="4"/>
        <v>Q3</v>
      </c>
      <c r="F1279" s="72">
        <f t="shared" si="5"/>
        <v>2022</v>
      </c>
      <c r="G1279" s="89">
        <f t="shared" si="6"/>
        <v>44744</v>
      </c>
      <c r="H1279" s="72" t="str">
        <f t="shared" si="7"/>
        <v>Yes</v>
      </c>
    </row>
    <row r="1280" ht="15.75" customHeight="1">
      <c r="A1280" s="88">
        <f t="shared" si="8"/>
        <v>44744</v>
      </c>
      <c r="B1280" s="72" t="str">
        <f t="shared" si="1"/>
        <v>20220702</v>
      </c>
      <c r="C1280" s="72" t="str">
        <f t="shared" si="2"/>
        <v>Saturday</v>
      </c>
      <c r="D1280" s="72" t="str">
        <f t="shared" si="3"/>
        <v>July</v>
      </c>
      <c r="E1280" s="72" t="str">
        <f t="shared" si="4"/>
        <v>Q3</v>
      </c>
      <c r="F1280" s="72">
        <f t="shared" si="5"/>
        <v>2022</v>
      </c>
      <c r="G1280" s="89">
        <f t="shared" si="6"/>
        <v>44744</v>
      </c>
      <c r="H1280" s="72" t="str">
        <f t="shared" si="7"/>
        <v>No</v>
      </c>
    </row>
    <row r="1281" ht="15.75" customHeight="1">
      <c r="A1281" s="88">
        <f t="shared" si="8"/>
        <v>44745</v>
      </c>
      <c r="B1281" s="72" t="str">
        <f t="shared" si="1"/>
        <v>20220703</v>
      </c>
      <c r="C1281" s="72" t="str">
        <f t="shared" si="2"/>
        <v>Sunday</v>
      </c>
      <c r="D1281" s="72" t="str">
        <f t="shared" si="3"/>
        <v>July</v>
      </c>
      <c r="E1281" s="72" t="str">
        <f t="shared" si="4"/>
        <v>Q3</v>
      </c>
      <c r="F1281" s="72">
        <f t="shared" si="5"/>
        <v>2022</v>
      </c>
      <c r="G1281" s="89">
        <f t="shared" si="6"/>
        <v>44751</v>
      </c>
      <c r="H1281" s="72" t="str">
        <f t="shared" si="7"/>
        <v>No</v>
      </c>
    </row>
    <row r="1282" ht="15.75" customHeight="1">
      <c r="A1282" s="88">
        <f t="shared" si="8"/>
        <v>44746</v>
      </c>
      <c r="B1282" s="72" t="str">
        <f t="shared" si="1"/>
        <v>20220704</v>
      </c>
      <c r="C1282" s="72" t="str">
        <f t="shared" si="2"/>
        <v>Monday</v>
      </c>
      <c r="D1282" s="72" t="str">
        <f t="shared" si="3"/>
        <v>July</v>
      </c>
      <c r="E1282" s="72" t="str">
        <f t="shared" si="4"/>
        <v>Q3</v>
      </c>
      <c r="F1282" s="72">
        <f t="shared" si="5"/>
        <v>2022</v>
      </c>
      <c r="G1282" s="89">
        <f t="shared" si="6"/>
        <v>44751</v>
      </c>
      <c r="H1282" s="72" t="str">
        <f t="shared" si="7"/>
        <v>Yes</v>
      </c>
    </row>
    <row r="1283" ht="15.75" customHeight="1">
      <c r="A1283" s="88">
        <f t="shared" si="8"/>
        <v>44747</v>
      </c>
      <c r="B1283" s="72" t="str">
        <f t="shared" si="1"/>
        <v>20220705</v>
      </c>
      <c r="C1283" s="72" t="str">
        <f t="shared" si="2"/>
        <v>Tuesday</v>
      </c>
      <c r="D1283" s="72" t="str">
        <f t="shared" si="3"/>
        <v>July</v>
      </c>
      <c r="E1283" s="72" t="str">
        <f t="shared" si="4"/>
        <v>Q3</v>
      </c>
      <c r="F1283" s="72">
        <f t="shared" si="5"/>
        <v>2022</v>
      </c>
      <c r="G1283" s="89">
        <f t="shared" si="6"/>
        <v>44751</v>
      </c>
      <c r="H1283" s="72" t="str">
        <f t="shared" si="7"/>
        <v>Yes</v>
      </c>
    </row>
    <row r="1284" ht="15.75" customHeight="1">
      <c r="A1284" s="88">
        <f t="shared" si="8"/>
        <v>44748</v>
      </c>
      <c r="B1284" s="72" t="str">
        <f t="shared" si="1"/>
        <v>20220706</v>
      </c>
      <c r="C1284" s="72" t="str">
        <f t="shared" si="2"/>
        <v>Wednesday</v>
      </c>
      <c r="D1284" s="72" t="str">
        <f t="shared" si="3"/>
        <v>July</v>
      </c>
      <c r="E1284" s="72" t="str">
        <f t="shared" si="4"/>
        <v>Q3</v>
      </c>
      <c r="F1284" s="72">
        <f t="shared" si="5"/>
        <v>2022</v>
      </c>
      <c r="G1284" s="89">
        <f t="shared" si="6"/>
        <v>44751</v>
      </c>
      <c r="H1284" s="72" t="str">
        <f t="shared" si="7"/>
        <v>Yes</v>
      </c>
    </row>
    <row r="1285" ht="15.75" customHeight="1">
      <c r="A1285" s="88">
        <f t="shared" si="8"/>
        <v>44749</v>
      </c>
      <c r="B1285" s="72" t="str">
        <f t="shared" si="1"/>
        <v>20220707</v>
      </c>
      <c r="C1285" s="72" t="str">
        <f t="shared" si="2"/>
        <v>Thursday</v>
      </c>
      <c r="D1285" s="72" t="str">
        <f t="shared" si="3"/>
        <v>July</v>
      </c>
      <c r="E1285" s="72" t="str">
        <f t="shared" si="4"/>
        <v>Q3</v>
      </c>
      <c r="F1285" s="72">
        <f t="shared" si="5"/>
        <v>2022</v>
      </c>
      <c r="G1285" s="89">
        <f t="shared" si="6"/>
        <v>44751</v>
      </c>
      <c r="H1285" s="72" t="str">
        <f t="shared" si="7"/>
        <v>Yes</v>
      </c>
    </row>
    <row r="1286" ht="15.75" customHeight="1">
      <c r="A1286" s="88">
        <f t="shared" si="8"/>
        <v>44750</v>
      </c>
      <c r="B1286" s="72" t="str">
        <f t="shared" si="1"/>
        <v>20220708</v>
      </c>
      <c r="C1286" s="72" t="str">
        <f t="shared" si="2"/>
        <v>Friday</v>
      </c>
      <c r="D1286" s="72" t="str">
        <f t="shared" si="3"/>
        <v>July</v>
      </c>
      <c r="E1286" s="72" t="str">
        <f t="shared" si="4"/>
        <v>Q3</v>
      </c>
      <c r="F1286" s="72">
        <f t="shared" si="5"/>
        <v>2022</v>
      </c>
      <c r="G1286" s="89">
        <f t="shared" si="6"/>
        <v>44751</v>
      </c>
      <c r="H1286" s="72" t="str">
        <f t="shared" si="7"/>
        <v>Yes</v>
      </c>
    </row>
    <row r="1287" ht="15.75" customHeight="1">
      <c r="A1287" s="88">
        <f t="shared" si="8"/>
        <v>44751</v>
      </c>
      <c r="B1287" s="72" t="str">
        <f t="shared" si="1"/>
        <v>20220709</v>
      </c>
      <c r="C1287" s="72" t="str">
        <f t="shared" si="2"/>
        <v>Saturday</v>
      </c>
      <c r="D1287" s="72" t="str">
        <f t="shared" si="3"/>
        <v>July</v>
      </c>
      <c r="E1287" s="72" t="str">
        <f t="shared" si="4"/>
        <v>Q3</v>
      </c>
      <c r="F1287" s="72">
        <f t="shared" si="5"/>
        <v>2022</v>
      </c>
      <c r="G1287" s="89">
        <f t="shared" si="6"/>
        <v>44751</v>
      </c>
      <c r="H1287" s="72" t="str">
        <f t="shared" si="7"/>
        <v>No</v>
      </c>
    </row>
    <row r="1288" ht="15.75" customHeight="1">
      <c r="A1288" s="88">
        <f t="shared" si="8"/>
        <v>44752</v>
      </c>
      <c r="B1288" s="72" t="str">
        <f t="shared" si="1"/>
        <v>20220710</v>
      </c>
      <c r="C1288" s="72" t="str">
        <f t="shared" si="2"/>
        <v>Sunday</v>
      </c>
      <c r="D1288" s="72" t="str">
        <f t="shared" si="3"/>
        <v>July</v>
      </c>
      <c r="E1288" s="72" t="str">
        <f t="shared" si="4"/>
        <v>Q3</v>
      </c>
      <c r="F1288" s="72">
        <f t="shared" si="5"/>
        <v>2022</v>
      </c>
      <c r="G1288" s="89">
        <f t="shared" si="6"/>
        <v>44758</v>
      </c>
      <c r="H1288" s="72" t="str">
        <f t="shared" si="7"/>
        <v>No</v>
      </c>
    </row>
    <row r="1289" ht="15.75" customHeight="1">
      <c r="A1289" s="88">
        <f t="shared" si="8"/>
        <v>44753</v>
      </c>
      <c r="B1289" s="72" t="str">
        <f t="shared" si="1"/>
        <v>20220711</v>
      </c>
      <c r="C1289" s="72" t="str">
        <f t="shared" si="2"/>
        <v>Monday</v>
      </c>
      <c r="D1289" s="72" t="str">
        <f t="shared" si="3"/>
        <v>July</v>
      </c>
      <c r="E1289" s="72" t="str">
        <f t="shared" si="4"/>
        <v>Q3</v>
      </c>
      <c r="F1289" s="72">
        <f t="shared" si="5"/>
        <v>2022</v>
      </c>
      <c r="G1289" s="89">
        <f t="shared" si="6"/>
        <v>44758</v>
      </c>
      <c r="H1289" s="72" t="str">
        <f t="shared" si="7"/>
        <v>Yes</v>
      </c>
    </row>
    <row r="1290" ht="15.75" customHeight="1">
      <c r="A1290" s="88">
        <f t="shared" si="8"/>
        <v>44754</v>
      </c>
      <c r="B1290" s="72" t="str">
        <f t="shared" si="1"/>
        <v>20220712</v>
      </c>
      <c r="C1290" s="72" t="str">
        <f t="shared" si="2"/>
        <v>Tuesday</v>
      </c>
      <c r="D1290" s="72" t="str">
        <f t="shared" si="3"/>
        <v>July</v>
      </c>
      <c r="E1290" s="72" t="str">
        <f t="shared" si="4"/>
        <v>Q3</v>
      </c>
      <c r="F1290" s="72">
        <f t="shared" si="5"/>
        <v>2022</v>
      </c>
      <c r="G1290" s="89">
        <f t="shared" si="6"/>
        <v>44758</v>
      </c>
      <c r="H1290" s="72" t="str">
        <f t="shared" si="7"/>
        <v>Yes</v>
      </c>
    </row>
    <row r="1291" ht="15.75" customHeight="1">
      <c r="A1291" s="88">
        <f t="shared" si="8"/>
        <v>44755</v>
      </c>
      <c r="B1291" s="72" t="str">
        <f t="shared" si="1"/>
        <v>20220713</v>
      </c>
      <c r="C1291" s="72" t="str">
        <f t="shared" si="2"/>
        <v>Wednesday</v>
      </c>
      <c r="D1291" s="72" t="str">
        <f t="shared" si="3"/>
        <v>July</v>
      </c>
      <c r="E1291" s="72" t="str">
        <f t="shared" si="4"/>
        <v>Q3</v>
      </c>
      <c r="F1291" s="72">
        <f t="shared" si="5"/>
        <v>2022</v>
      </c>
      <c r="G1291" s="89">
        <f t="shared" si="6"/>
        <v>44758</v>
      </c>
      <c r="H1291" s="72" t="str">
        <f t="shared" si="7"/>
        <v>Yes</v>
      </c>
    </row>
    <row r="1292" ht="15.75" customHeight="1">
      <c r="A1292" s="88">
        <f t="shared" si="8"/>
        <v>44756</v>
      </c>
      <c r="B1292" s="72" t="str">
        <f t="shared" si="1"/>
        <v>20220714</v>
      </c>
      <c r="C1292" s="72" t="str">
        <f t="shared" si="2"/>
        <v>Thursday</v>
      </c>
      <c r="D1292" s="72" t="str">
        <f t="shared" si="3"/>
        <v>July</v>
      </c>
      <c r="E1292" s="72" t="str">
        <f t="shared" si="4"/>
        <v>Q3</v>
      </c>
      <c r="F1292" s="72">
        <f t="shared" si="5"/>
        <v>2022</v>
      </c>
      <c r="G1292" s="89">
        <f t="shared" si="6"/>
        <v>44758</v>
      </c>
      <c r="H1292" s="72" t="str">
        <f t="shared" si="7"/>
        <v>Yes</v>
      </c>
    </row>
    <row r="1293" ht="15.75" customHeight="1">
      <c r="A1293" s="88">
        <f t="shared" si="8"/>
        <v>44757</v>
      </c>
      <c r="B1293" s="72" t="str">
        <f t="shared" si="1"/>
        <v>20220715</v>
      </c>
      <c r="C1293" s="72" t="str">
        <f t="shared" si="2"/>
        <v>Friday</v>
      </c>
      <c r="D1293" s="72" t="str">
        <f t="shared" si="3"/>
        <v>July</v>
      </c>
      <c r="E1293" s="72" t="str">
        <f t="shared" si="4"/>
        <v>Q3</v>
      </c>
      <c r="F1293" s="72">
        <f t="shared" si="5"/>
        <v>2022</v>
      </c>
      <c r="G1293" s="89">
        <f t="shared" si="6"/>
        <v>44758</v>
      </c>
      <c r="H1293" s="72" t="str">
        <f t="shared" si="7"/>
        <v>Yes</v>
      </c>
    </row>
    <row r="1294" ht="15.75" customHeight="1">
      <c r="A1294" s="88">
        <f t="shared" si="8"/>
        <v>44758</v>
      </c>
      <c r="B1294" s="72" t="str">
        <f t="shared" si="1"/>
        <v>20220716</v>
      </c>
      <c r="C1294" s="72" t="str">
        <f t="shared" si="2"/>
        <v>Saturday</v>
      </c>
      <c r="D1294" s="72" t="str">
        <f t="shared" si="3"/>
        <v>July</v>
      </c>
      <c r="E1294" s="72" t="str">
        <f t="shared" si="4"/>
        <v>Q3</v>
      </c>
      <c r="F1294" s="72">
        <f t="shared" si="5"/>
        <v>2022</v>
      </c>
      <c r="G1294" s="89">
        <f t="shared" si="6"/>
        <v>44758</v>
      </c>
      <c r="H1294" s="72" t="str">
        <f t="shared" si="7"/>
        <v>No</v>
      </c>
    </row>
    <row r="1295" ht="15.75" customHeight="1">
      <c r="A1295" s="88">
        <f t="shared" si="8"/>
        <v>44759</v>
      </c>
      <c r="B1295" s="72" t="str">
        <f t="shared" si="1"/>
        <v>20220717</v>
      </c>
      <c r="C1295" s="72" t="str">
        <f t="shared" si="2"/>
        <v>Sunday</v>
      </c>
      <c r="D1295" s="72" t="str">
        <f t="shared" si="3"/>
        <v>July</v>
      </c>
      <c r="E1295" s="72" t="str">
        <f t="shared" si="4"/>
        <v>Q3</v>
      </c>
      <c r="F1295" s="72">
        <f t="shared" si="5"/>
        <v>2022</v>
      </c>
      <c r="G1295" s="89">
        <f t="shared" si="6"/>
        <v>44765</v>
      </c>
      <c r="H1295" s="72" t="str">
        <f t="shared" si="7"/>
        <v>No</v>
      </c>
    </row>
    <row r="1296" ht="15.75" customHeight="1">
      <c r="A1296" s="88">
        <f t="shared" si="8"/>
        <v>44760</v>
      </c>
      <c r="B1296" s="72" t="str">
        <f t="shared" si="1"/>
        <v>20220718</v>
      </c>
      <c r="C1296" s="72" t="str">
        <f t="shared" si="2"/>
        <v>Monday</v>
      </c>
      <c r="D1296" s="72" t="str">
        <f t="shared" si="3"/>
        <v>July</v>
      </c>
      <c r="E1296" s="72" t="str">
        <f t="shared" si="4"/>
        <v>Q3</v>
      </c>
      <c r="F1296" s="72">
        <f t="shared" si="5"/>
        <v>2022</v>
      </c>
      <c r="G1296" s="89">
        <f t="shared" si="6"/>
        <v>44765</v>
      </c>
      <c r="H1296" s="72" t="str">
        <f t="shared" si="7"/>
        <v>Yes</v>
      </c>
    </row>
    <row r="1297" ht="15.75" customHeight="1">
      <c r="A1297" s="88">
        <f t="shared" si="8"/>
        <v>44761</v>
      </c>
      <c r="B1297" s="72" t="str">
        <f t="shared" si="1"/>
        <v>20220719</v>
      </c>
      <c r="C1297" s="72" t="str">
        <f t="shared" si="2"/>
        <v>Tuesday</v>
      </c>
      <c r="D1297" s="72" t="str">
        <f t="shared" si="3"/>
        <v>July</v>
      </c>
      <c r="E1297" s="72" t="str">
        <f t="shared" si="4"/>
        <v>Q3</v>
      </c>
      <c r="F1297" s="72">
        <f t="shared" si="5"/>
        <v>2022</v>
      </c>
      <c r="G1297" s="89">
        <f t="shared" si="6"/>
        <v>44765</v>
      </c>
      <c r="H1297" s="72" t="str">
        <f t="shared" si="7"/>
        <v>Yes</v>
      </c>
    </row>
    <row r="1298" ht="15.75" customHeight="1">
      <c r="A1298" s="88">
        <f t="shared" si="8"/>
        <v>44762</v>
      </c>
      <c r="B1298" s="72" t="str">
        <f t="shared" si="1"/>
        <v>20220720</v>
      </c>
      <c r="C1298" s="72" t="str">
        <f t="shared" si="2"/>
        <v>Wednesday</v>
      </c>
      <c r="D1298" s="72" t="str">
        <f t="shared" si="3"/>
        <v>July</v>
      </c>
      <c r="E1298" s="72" t="str">
        <f t="shared" si="4"/>
        <v>Q3</v>
      </c>
      <c r="F1298" s="72">
        <f t="shared" si="5"/>
        <v>2022</v>
      </c>
      <c r="G1298" s="89">
        <f t="shared" si="6"/>
        <v>44765</v>
      </c>
      <c r="H1298" s="72" t="str">
        <f t="shared" si="7"/>
        <v>Yes</v>
      </c>
    </row>
    <row r="1299" ht="15.75" customHeight="1">
      <c r="A1299" s="88">
        <f t="shared" si="8"/>
        <v>44763</v>
      </c>
      <c r="B1299" s="72" t="str">
        <f t="shared" si="1"/>
        <v>20220721</v>
      </c>
      <c r="C1299" s="72" t="str">
        <f t="shared" si="2"/>
        <v>Thursday</v>
      </c>
      <c r="D1299" s="72" t="str">
        <f t="shared" si="3"/>
        <v>July</v>
      </c>
      <c r="E1299" s="72" t="str">
        <f t="shared" si="4"/>
        <v>Q3</v>
      </c>
      <c r="F1299" s="72">
        <f t="shared" si="5"/>
        <v>2022</v>
      </c>
      <c r="G1299" s="89">
        <f t="shared" si="6"/>
        <v>44765</v>
      </c>
      <c r="H1299" s="72" t="str">
        <f t="shared" si="7"/>
        <v>Yes</v>
      </c>
    </row>
    <row r="1300" ht="15.75" customHeight="1">
      <c r="A1300" s="88">
        <f t="shared" si="8"/>
        <v>44764</v>
      </c>
      <c r="B1300" s="72" t="str">
        <f t="shared" si="1"/>
        <v>20220722</v>
      </c>
      <c r="C1300" s="72" t="str">
        <f t="shared" si="2"/>
        <v>Friday</v>
      </c>
      <c r="D1300" s="72" t="str">
        <f t="shared" si="3"/>
        <v>July</v>
      </c>
      <c r="E1300" s="72" t="str">
        <f t="shared" si="4"/>
        <v>Q3</v>
      </c>
      <c r="F1300" s="72">
        <f t="shared" si="5"/>
        <v>2022</v>
      </c>
      <c r="G1300" s="89">
        <f t="shared" si="6"/>
        <v>44765</v>
      </c>
      <c r="H1300" s="72" t="str">
        <f t="shared" si="7"/>
        <v>Yes</v>
      </c>
    </row>
    <row r="1301" ht="15.75" customHeight="1">
      <c r="A1301" s="88">
        <f t="shared" si="8"/>
        <v>44765</v>
      </c>
      <c r="B1301" s="72" t="str">
        <f t="shared" si="1"/>
        <v>20220723</v>
      </c>
      <c r="C1301" s="72" t="str">
        <f t="shared" si="2"/>
        <v>Saturday</v>
      </c>
      <c r="D1301" s="72" t="str">
        <f t="shared" si="3"/>
        <v>July</v>
      </c>
      <c r="E1301" s="72" t="str">
        <f t="shared" si="4"/>
        <v>Q3</v>
      </c>
      <c r="F1301" s="72">
        <f t="shared" si="5"/>
        <v>2022</v>
      </c>
      <c r="G1301" s="89">
        <f t="shared" si="6"/>
        <v>44765</v>
      </c>
      <c r="H1301" s="72" t="str">
        <f t="shared" si="7"/>
        <v>No</v>
      </c>
    </row>
    <row r="1302" ht="15.75" customHeight="1">
      <c r="A1302" s="88">
        <f t="shared" si="8"/>
        <v>44766</v>
      </c>
      <c r="B1302" s="72" t="str">
        <f t="shared" si="1"/>
        <v>20220724</v>
      </c>
      <c r="C1302" s="72" t="str">
        <f t="shared" si="2"/>
        <v>Sunday</v>
      </c>
      <c r="D1302" s="72" t="str">
        <f t="shared" si="3"/>
        <v>July</v>
      </c>
      <c r="E1302" s="72" t="str">
        <f t="shared" si="4"/>
        <v>Q3</v>
      </c>
      <c r="F1302" s="72">
        <f t="shared" si="5"/>
        <v>2022</v>
      </c>
      <c r="G1302" s="89">
        <f t="shared" si="6"/>
        <v>44772</v>
      </c>
      <c r="H1302" s="72" t="str">
        <f t="shared" si="7"/>
        <v>No</v>
      </c>
    </row>
    <row r="1303" ht="15.75" customHeight="1">
      <c r="A1303" s="88">
        <f t="shared" si="8"/>
        <v>44767</v>
      </c>
      <c r="B1303" s="72" t="str">
        <f t="shared" si="1"/>
        <v>20220725</v>
      </c>
      <c r="C1303" s="72" t="str">
        <f t="shared" si="2"/>
        <v>Monday</v>
      </c>
      <c r="D1303" s="72" t="str">
        <f t="shared" si="3"/>
        <v>July</v>
      </c>
      <c r="E1303" s="72" t="str">
        <f t="shared" si="4"/>
        <v>Q3</v>
      </c>
      <c r="F1303" s="72">
        <f t="shared" si="5"/>
        <v>2022</v>
      </c>
      <c r="G1303" s="89">
        <f t="shared" si="6"/>
        <v>44772</v>
      </c>
      <c r="H1303" s="72" t="str">
        <f t="shared" si="7"/>
        <v>Yes</v>
      </c>
    </row>
    <row r="1304" ht="15.75" customHeight="1">
      <c r="A1304" s="88">
        <f t="shared" si="8"/>
        <v>44768</v>
      </c>
      <c r="B1304" s="72" t="str">
        <f t="shared" si="1"/>
        <v>20220726</v>
      </c>
      <c r="C1304" s="72" t="str">
        <f t="shared" si="2"/>
        <v>Tuesday</v>
      </c>
      <c r="D1304" s="72" t="str">
        <f t="shared" si="3"/>
        <v>July</v>
      </c>
      <c r="E1304" s="72" t="str">
        <f t="shared" si="4"/>
        <v>Q3</v>
      </c>
      <c r="F1304" s="72">
        <f t="shared" si="5"/>
        <v>2022</v>
      </c>
      <c r="G1304" s="89">
        <f t="shared" si="6"/>
        <v>44772</v>
      </c>
      <c r="H1304" s="72" t="str">
        <f t="shared" si="7"/>
        <v>Yes</v>
      </c>
    </row>
    <row r="1305" ht="15.75" customHeight="1">
      <c r="A1305" s="88">
        <f t="shared" si="8"/>
        <v>44769</v>
      </c>
      <c r="B1305" s="72" t="str">
        <f t="shared" si="1"/>
        <v>20220727</v>
      </c>
      <c r="C1305" s="72" t="str">
        <f t="shared" si="2"/>
        <v>Wednesday</v>
      </c>
      <c r="D1305" s="72" t="str">
        <f t="shared" si="3"/>
        <v>July</v>
      </c>
      <c r="E1305" s="72" t="str">
        <f t="shared" si="4"/>
        <v>Q3</v>
      </c>
      <c r="F1305" s="72">
        <f t="shared" si="5"/>
        <v>2022</v>
      </c>
      <c r="G1305" s="89">
        <f t="shared" si="6"/>
        <v>44772</v>
      </c>
      <c r="H1305" s="72" t="str">
        <f t="shared" si="7"/>
        <v>Yes</v>
      </c>
    </row>
    <row r="1306" ht="15.75" customHeight="1">
      <c r="A1306" s="88">
        <f t="shared" si="8"/>
        <v>44770</v>
      </c>
      <c r="B1306" s="72" t="str">
        <f t="shared" si="1"/>
        <v>20220728</v>
      </c>
      <c r="C1306" s="72" t="str">
        <f t="shared" si="2"/>
        <v>Thursday</v>
      </c>
      <c r="D1306" s="72" t="str">
        <f t="shared" si="3"/>
        <v>July</v>
      </c>
      <c r="E1306" s="72" t="str">
        <f t="shared" si="4"/>
        <v>Q3</v>
      </c>
      <c r="F1306" s="72">
        <f t="shared" si="5"/>
        <v>2022</v>
      </c>
      <c r="G1306" s="89">
        <f t="shared" si="6"/>
        <v>44772</v>
      </c>
      <c r="H1306" s="72" t="str">
        <f t="shared" si="7"/>
        <v>Yes</v>
      </c>
    </row>
    <row r="1307" ht="15.75" customHeight="1">
      <c r="A1307" s="88">
        <f t="shared" si="8"/>
        <v>44771</v>
      </c>
      <c r="B1307" s="72" t="str">
        <f t="shared" si="1"/>
        <v>20220729</v>
      </c>
      <c r="C1307" s="72" t="str">
        <f t="shared" si="2"/>
        <v>Friday</v>
      </c>
      <c r="D1307" s="72" t="str">
        <f t="shared" si="3"/>
        <v>July</v>
      </c>
      <c r="E1307" s="72" t="str">
        <f t="shared" si="4"/>
        <v>Q3</v>
      </c>
      <c r="F1307" s="72">
        <f t="shared" si="5"/>
        <v>2022</v>
      </c>
      <c r="G1307" s="89">
        <f t="shared" si="6"/>
        <v>44772</v>
      </c>
      <c r="H1307" s="72" t="str">
        <f t="shared" si="7"/>
        <v>Yes</v>
      </c>
    </row>
    <row r="1308" ht="15.75" customHeight="1">
      <c r="A1308" s="88">
        <f t="shared" si="8"/>
        <v>44772</v>
      </c>
      <c r="B1308" s="72" t="str">
        <f t="shared" si="1"/>
        <v>20220730</v>
      </c>
      <c r="C1308" s="72" t="str">
        <f t="shared" si="2"/>
        <v>Saturday</v>
      </c>
      <c r="D1308" s="72" t="str">
        <f t="shared" si="3"/>
        <v>July</v>
      </c>
      <c r="E1308" s="72" t="str">
        <f t="shared" si="4"/>
        <v>Q3</v>
      </c>
      <c r="F1308" s="72">
        <f t="shared" si="5"/>
        <v>2022</v>
      </c>
      <c r="G1308" s="89">
        <f t="shared" si="6"/>
        <v>44772</v>
      </c>
      <c r="H1308" s="72" t="str">
        <f t="shared" si="7"/>
        <v>No</v>
      </c>
    </row>
    <row r="1309" ht="15.75" customHeight="1">
      <c r="A1309" s="88">
        <f t="shared" si="8"/>
        <v>44773</v>
      </c>
      <c r="B1309" s="72" t="str">
        <f t="shared" si="1"/>
        <v>20220731</v>
      </c>
      <c r="C1309" s="72" t="str">
        <f t="shared" si="2"/>
        <v>Sunday</v>
      </c>
      <c r="D1309" s="72" t="str">
        <f t="shared" si="3"/>
        <v>July</v>
      </c>
      <c r="E1309" s="72" t="str">
        <f t="shared" si="4"/>
        <v>Q3</v>
      </c>
      <c r="F1309" s="72">
        <f t="shared" si="5"/>
        <v>2022</v>
      </c>
      <c r="G1309" s="89">
        <f t="shared" si="6"/>
        <v>44779</v>
      </c>
      <c r="H1309" s="72" t="str">
        <f t="shared" si="7"/>
        <v>No</v>
      </c>
    </row>
    <row r="1310" ht="15.75" customHeight="1">
      <c r="A1310" s="88">
        <f t="shared" si="8"/>
        <v>44774</v>
      </c>
      <c r="B1310" s="72" t="str">
        <f t="shared" si="1"/>
        <v>20220801</v>
      </c>
      <c r="C1310" s="72" t="str">
        <f t="shared" si="2"/>
        <v>Monday</v>
      </c>
      <c r="D1310" s="72" t="str">
        <f t="shared" si="3"/>
        <v>August</v>
      </c>
      <c r="E1310" s="72" t="str">
        <f t="shared" si="4"/>
        <v>Q3</v>
      </c>
      <c r="F1310" s="72">
        <f t="shared" si="5"/>
        <v>2022</v>
      </c>
      <c r="G1310" s="89">
        <f t="shared" si="6"/>
        <v>44779</v>
      </c>
      <c r="H1310" s="72" t="str">
        <f t="shared" si="7"/>
        <v>Yes</v>
      </c>
    </row>
    <row r="1311" ht="15.75" customHeight="1">
      <c r="A1311" s="88">
        <f t="shared" si="8"/>
        <v>44775</v>
      </c>
      <c r="B1311" s="72" t="str">
        <f t="shared" si="1"/>
        <v>20220802</v>
      </c>
      <c r="C1311" s="72" t="str">
        <f t="shared" si="2"/>
        <v>Tuesday</v>
      </c>
      <c r="D1311" s="72" t="str">
        <f t="shared" si="3"/>
        <v>August</v>
      </c>
      <c r="E1311" s="72" t="str">
        <f t="shared" si="4"/>
        <v>Q3</v>
      </c>
      <c r="F1311" s="72">
        <f t="shared" si="5"/>
        <v>2022</v>
      </c>
      <c r="G1311" s="89">
        <f t="shared" si="6"/>
        <v>44779</v>
      </c>
      <c r="H1311" s="72" t="str">
        <f t="shared" si="7"/>
        <v>Yes</v>
      </c>
    </row>
    <row r="1312" ht="15.75" customHeight="1">
      <c r="A1312" s="88">
        <f t="shared" si="8"/>
        <v>44776</v>
      </c>
      <c r="B1312" s="72" t="str">
        <f t="shared" si="1"/>
        <v>20220803</v>
      </c>
      <c r="C1312" s="72" t="str">
        <f t="shared" si="2"/>
        <v>Wednesday</v>
      </c>
      <c r="D1312" s="72" t="str">
        <f t="shared" si="3"/>
        <v>August</v>
      </c>
      <c r="E1312" s="72" t="str">
        <f t="shared" si="4"/>
        <v>Q3</v>
      </c>
      <c r="F1312" s="72">
        <f t="shared" si="5"/>
        <v>2022</v>
      </c>
      <c r="G1312" s="89">
        <f t="shared" si="6"/>
        <v>44779</v>
      </c>
      <c r="H1312" s="72" t="str">
        <f t="shared" si="7"/>
        <v>Yes</v>
      </c>
    </row>
    <row r="1313" ht="15.75" customHeight="1">
      <c r="A1313" s="88">
        <f t="shared" si="8"/>
        <v>44777</v>
      </c>
      <c r="B1313" s="72" t="str">
        <f t="shared" si="1"/>
        <v>20220804</v>
      </c>
      <c r="C1313" s="72" t="str">
        <f t="shared" si="2"/>
        <v>Thursday</v>
      </c>
      <c r="D1313" s="72" t="str">
        <f t="shared" si="3"/>
        <v>August</v>
      </c>
      <c r="E1313" s="72" t="str">
        <f t="shared" si="4"/>
        <v>Q3</v>
      </c>
      <c r="F1313" s="72">
        <f t="shared" si="5"/>
        <v>2022</v>
      </c>
      <c r="G1313" s="89">
        <f t="shared" si="6"/>
        <v>44779</v>
      </c>
      <c r="H1313" s="72" t="str">
        <f t="shared" si="7"/>
        <v>Yes</v>
      </c>
    </row>
    <row r="1314" ht="15.75" customHeight="1">
      <c r="A1314" s="88">
        <f t="shared" si="8"/>
        <v>44778</v>
      </c>
      <c r="B1314" s="72" t="str">
        <f t="shared" si="1"/>
        <v>20220805</v>
      </c>
      <c r="C1314" s="72" t="str">
        <f t="shared" si="2"/>
        <v>Friday</v>
      </c>
      <c r="D1314" s="72" t="str">
        <f t="shared" si="3"/>
        <v>August</v>
      </c>
      <c r="E1314" s="72" t="str">
        <f t="shared" si="4"/>
        <v>Q3</v>
      </c>
      <c r="F1314" s="72">
        <f t="shared" si="5"/>
        <v>2022</v>
      </c>
      <c r="G1314" s="89">
        <f t="shared" si="6"/>
        <v>44779</v>
      </c>
      <c r="H1314" s="72" t="str">
        <f t="shared" si="7"/>
        <v>Yes</v>
      </c>
    </row>
    <row r="1315" ht="15.75" customHeight="1">
      <c r="A1315" s="88">
        <f t="shared" si="8"/>
        <v>44779</v>
      </c>
      <c r="B1315" s="72" t="str">
        <f t="shared" si="1"/>
        <v>20220806</v>
      </c>
      <c r="C1315" s="72" t="str">
        <f t="shared" si="2"/>
        <v>Saturday</v>
      </c>
      <c r="D1315" s="72" t="str">
        <f t="shared" si="3"/>
        <v>August</v>
      </c>
      <c r="E1315" s="72" t="str">
        <f t="shared" si="4"/>
        <v>Q3</v>
      </c>
      <c r="F1315" s="72">
        <f t="shared" si="5"/>
        <v>2022</v>
      </c>
      <c r="G1315" s="89">
        <f t="shared" si="6"/>
        <v>44779</v>
      </c>
      <c r="H1315" s="72" t="str">
        <f t="shared" si="7"/>
        <v>No</v>
      </c>
    </row>
    <row r="1316" ht="15.75" customHeight="1">
      <c r="A1316" s="88">
        <f t="shared" si="8"/>
        <v>44780</v>
      </c>
      <c r="B1316" s="72" t="str">
        <f t="shared" si="1"/>
        <v>20220807</v>
      </c>
      <c r="C1316" s="72" t="str">
        <f t="shared" si="2"/>
        <v>Sunday</v>
      </c>
      <c r="D1316" s="72" t="str">
        <f t="shared" si="3"/>
        <v>August</v>
      </c>
      <c r="E1316" s="72" t="str">
        <f t="shared" si="4"/>
        <v>Q3</v>
      </c>
      <c r="F1316" s="72">
        <f t="shared" si="5"/>
        <v>2022</v>
      </c>
      <c r="G1316" s="89">
        <f t="shared" si="6"/>
        <v>44786</v>
      </c>
      <c r="H1316" s="72" t="str">
        <f t="shared" si="7"/>
        <v>No</v>
      </c>
    </row>
    <row r="1317" ht="15.75" customHeight="1">
      <c r="A1317" s="88">
        <f t="shared" si="8"/>
        <v>44781</v>
      </c>
      <c r="B1317" s="72" t="str">
        <f t="shared" si="1"/>
        <v>20220808</v>
      </c>
      <c r="C1317" s="72" t="str">
        <f t="shared" si="2"/>
        <v>Monday</v>
      </c>
      <c r="D1317" s="72" t="str">
        <f t="shared" si="3"/>
        <v>August</v>
      </c>
      <c r="E1317" s="72" t="str">
        <f t="shared" si="4"/>
        <v>Q3</v>
      </c>
      <c r="F1317" s="72">
        <f t="shared" si="5"/>
        <v>2022</v>
      </c>
      <c r="G1317" s="89">
        <f t="shared" si="6"/>
        <v>44786</v>
      </c>
      <c r="H1317" s="72" t="str">
        <f t="shared" si="7"/>
        <v>Yes</v>
      </c>
    </row>
    <row r="1318" ht="15.75" customHeight="1">
      <c r="A1318" s="88">
        <f t="shared" si="8"/>
        <v>44782</v>
      </c>
      <c r="B1318" s="72" t="str">
        <f t="shared" si="1"/>
        <v>20220809</v>
      </c>
      <c r="C1318" s="72" t="str">
        <f t="shared" si="2"/>
        <v>Tuesday</v>
      </c>
      <c r="D1318" s="72" t="str">
        <f t="shared" si="3"/>
        <v>August</v>
      </c>
      <c r="E1318" s="72" t="str">
        <f t="shared" si="4"/>
        <v>Q3</v>
      </c>
      <c r="F1318" s="72">
        <f t="shared" si="5"/>
        <v>2022</v>
      </c>
      <c r="G1318" s="89">
        <f t="shared" si="6"/>
        <v>44786</v>
      </c>
      <c r="H1318" s="72" t="str">
        <f t="shared" si="7"/>
        <v>Yes</v>
      </c>
    </row>
    <row r="1319" ht="15.75" customHeight="1">
      <c r="A1319" s="88">
        <f t="shared" si="8"/>
        <v>44783</v>
      </c>
      <c r="B1319" s="72" t="str">
        <f t="shared" si="1"/>
        <v>20220810</v>
      </c>
      <c r="C1319" s="72" t="str">
        <f t="shared" si="2"/>
        <v>Wednesday</v>
      </c>
      <c r="D1319" s="72" t="str">
        <f t="shared" si="3"/>
        <v>August</v>
      </c>
      <c r="E1319" s="72" t="str">
        <f t="shared" si="4"/>
        <v>Q3</v>
      </c>
      <c r="F1319" s="72">
        <f t="shared" si="5"/>
        <v>2022</v>
      </c>
      <c r="G1319" s="89">
        <f t="shared" si="6"/>
        <v>44786</v>
      </c>
      <c r="H1319" s="72" t="str">
        <f t="shared" si="7"/>
        <v>Yes</v>
      </c>
    </row>
    <row r="1320" ht="15.75" customHeight="1">
      <c r="A1320" s="88">
        <f t="shared" si="8"/>
        <v>44784</v>
      </c>
      <c r="B1320" s="72" t="str">
        <f t="shared" si="1"/>
        <v>20220811</v>
      </c>
      <c r="C1320" s="72" t="str">
        <f t="shared" si="2"/>
        <v>Thursday</v>
      </c>
      <c r="D1320" s="72" t="str">
        <f t="shared" si="3"/>
        <v>August</v>
      </c>
      <c r="E1320" s="72" t="str">
        <f t="shared" si="4"/>
        <v>Q3</v>
      </c>
      <c r="F1320" s="72">
        <f t="shared" si="5"/>
        <v>2022</v>
      </c>
      <c r="G1320" s="89">
        <f t="shared" si="6"/>
        <v>44786</v>
      </c>
      <c r="H1320" s="72" t="str">
        <f t="shared" si="7"/>
        <v>Yes</v>
      </c>
    </row>
    <row r="1321" ht="15.75" customHeight="1">
      <c r="A1321" s="88">
        <f t="shared" si="8"/>
        <v>44785</v>
      </c>
      <c r="B1321" s="72" t="str">
        <f t="shared" si="1"/>
        <v>20220812</v>
      </c>
      <c r="C1321" s="72" t="str">
        <f t="shared" si="2"/>
        <v>Friday</v>
      </c>
      <c r="D1321" s="72" t="str">
        <f t="shared" si="3"/>
        <v>August</v>
      </c>
      <c r="E1321" s="72" t="str">
        <f t="shared" si="4"/>
        <v>Q3</v>
      </c>
      <c r="F1321" s="72">
        <f t="shared" si="5"/>
        <v>2022</v>
      </c>
      <c r="G1321" s="89">
        <f t="shared" si="6"/>
        <v>44786</v>
      </c>
      <c r="H1321" s="72" t="str">
        <f t="shared" si="7"/>
        <v>Yes</v>
      </c>
    </row>
    <row r="1322" ht="15.75" customHeight="1">
      <c r="A1322" s="88">
        <f t="shared" si="8"/>
        <v>44786</v>
      </c>
      <c r="B1322" s="72" t="str">
        <f t="shared" si="1"/>
        <v>20220813</v>
      </c>
      <c r="C1322" s="72" t="str">
        <f t="shared" si="2"/>
        <v>Saturday</v>
      </c>
      <c r="D1322" s="72" t="str">
        <f t="shared" si="3"/>
        <v>August</v>
      </c>
      <c r="E1322" s="72" t="str">
        <f t="shared" si="4"/>
        <v>Q3</v>
      </c>
      <c r="F1322" s="72">
        <f t="shared" si="5"/>
        <v>2022</v>
      </c>
      <c r="G1322" s="89">
        <f t="shared" si="6"/>
        <v>44786</v>
      </c>
      <c r="H1322" s="72" t="str">
        <f t="shared" si="7"/>
        <v>No</v>
      </c>
    </row>
    <row r="1323" ht="15.75" customHeight="1">
      <c r="A1323" s="88">
        <f t="shared" si="8"/>
        <v>44787</v>
      </c>
      <c r="B1323" s="72" t="str">
        <f t="shared" si="1"/>
        <v>20220814</v>
      </c>
      <c r="C1323" s="72" t="str">
        <f t="shared" si="2"/>
        <v>Sunday</v>
      </c>
      <c r="D1323" s="72" t="str">
        <f t="shared" si="3"/>
        <v>August</v>
      </c>
      <c r="E1323" s="72" t="str">
        <f t="shared" si="4"/>
        <v>Q3</v>
      </c>
      <c r="F1323" s="72">
        <f t="shared" si="5"/>
        <v>2022</v>
      </c>
      <c r="G1323" s="89">
        <f t="shared" si="6"/>
        <v>44793</v>
      </c>
      <c r="H1323" s="72" t="str">
        <f t="shared" si="7"/>
        <v>No</v>
      </c>
    </row>
    <row r="1324" ht="15.75" customHeight="1">
      <c r="A1324" s="88">
        <f t="shared" si="8"/>
        <v>44788</v>
      </c>
      <c r="B1324" s="72" t="str">
        <f t="shared" si="1"/>
        <v>20220815</v>
      </c>
      <c r="C1324" s="72" t="str">
        <f t="shared" si="2"/>
        <v>Monday</v>
      </c>
      <c r="D1324" s="72" t="str">
        <f t="shared" si="3"/>
        <v>August</v>
      </c>
      <c r="E1324" s="72" t="str">
        <f t="shared" si="4"/>
        <v>Q3</v>
      </c>
      <c r="F1324" s="72">
        <f t="shared" si="5"/>
        <v>2022</v>
      </c>
      <c r="G1324" s="89">
        <f t="shared" si="6"/>
        <v>44793</v>
      </c>
      <c r="H1324" s="72" t="str">
        <f t="shared" si="7"/>
        <v>Yes</v>
      </c>
    </row>
    <row r="1325" ht="15.75" customHeight="1">
      <c r="A1325" s="88">
        <f t="shared" si="8"/>
        <v>44789</v>
      </c>
      <c r="B1325" s="72" t="str">
        <f t="shared" si="1"/>
        <v>20220816</v>
      </c>
      <c r="C1325" s="72" t="str">
        <f t="shared" si="2"/>
        <v>Tuesday</v>
      </c>
      <c r="D1325" s="72" t="str">
        <f t="shared" si="3"/>
        <v>August</v>
      </c>
      <c r="E1325" s="72" t="str">
        <f t="shared" si="4"/>
        <v>Q3</v>
      </c>
      <c r="F1325" s="72">
        <f t="shared" si="5"/>
        <v>2022</v>
      </c>
      <c r="G1325" s="89">
        <f t="shared" si="6"/>
        <v>44793</v>
      </c>
      <c r="H1325" s="72" t="str">
        <f t="shared" si="7"/>
        <v>Yes</v>
      </c>
    </row>
    <row r="1326" ht="15.75" customHeight="1">
      <c r="A1326" s="88">
        <f t="shared" si="8"/>
        <v>44790</v>
      </c>
      <c r="B1326" s="72" t="str">
        <f t="shared" si="1"/>
        <v>20220817</v>
      </c>
      <c r="C1326" s="72" t="str">
        <f t="shared" si="2"/>
        <v>Wednesday</v>
      </c>
      <c r="D1326" s="72" t="str">
        <f t="shared" si="3"/>
        <v>August</v>
      </c>
      <c r="E1326" s="72" t="str">
        <f t="shared" si="4"/>
        <v>Q3</v>
      </c>
      <c r="F1326" s="72">
        <f t="shared" si="5"/>
        <v>2022</v>
      </c>
      <c r="G1326" s="89">
        <f t="shared" si="6"/>
        <v>44793</v>
      </c>
      <c r="H1326" s="72" t="str">
        <f t="shared" si="7"/>
        <v>Yes</v>
      </c>
    </row>
    <row r="1327" ht="15.75" customHeight="1">
      <c r="A1327" s="88">
        <f t="shared" si="8"/>
        <v>44791</v>
      </c>
      <c r="B1327" s="72" t="str">
        <f t="shared" si="1"/>
        <v>20220818</v>
      </c>
      <c r="C1327" s="72" t="str">
        <f t="shared" si="2"/>
        <v>Thursday</v>
      </c>
      <c r="D1327" s="72" t="str">
        <f t="shared" si="3"/>
        <v>August</v>
      </c>
      <c r="E1327" s="72" t="str">
        <f t="shared" si="4"/>
        <v>Q3</v>
      </c>
      <c r="F1327" s="72">
        <f t="shared" si="5"/>
        <v>2022</v>
      </c>
      <c r="G1327" s="89">
        <f t="shared" si="6"/>
        <v>44793</v>
      </c>
      <c r="H1327" s="72" t="str">
        <f t="shared" si="7"/>
        <v>Yes</v>
      </c>
    </row>
    <row r="1328" ht="15.75" customHeight="1">
      <c r="A1328" s="88">
        <f t="shared" si="8"/>
        <v>44792</v>
      </c>
      <c r="B1328" s="72" t="str">
        <f t="shared" si="1"/>
        <v>20220819</v>
      </c>
      <c r="C1328" s="72" t="str">
        <f t="shared" si="2"/>
        <v>Friday</v>
      </c>
      <c r="D1328" s="72" t="str">
        <f t="shared" si="3"/>
        <v>August</v>
      </c>
      <c r="E1328" s="72" t="str">
        <f t="shared" si="4"/>
        <v>Q3</v>
      </c>
      <c r="F1328" s="72">
        <f t="shared" si="5"/>
        <v>2022</v>
      </c>
      <c r="G1328" s="89">
        <f t="shared" si="6"/>
        <v>44793</v>
      </c>
      <c r="H1328" s="72" t="str">
        <f t="shared" si="7"/>
        <v>Yes</v>
      </c>
    </row>
    <row r="1329" ht="15.75" customHeight="1">
      <c r="A1329" s="88">
        <f t="shared" si="8"/>
        <v>44793</v>
      </c>
      <c r="B1329" s="72" t="str">
        <f t="shared" si="1"/>
        <v>20220820</v>
      </c>
      <c r="C1329" s="72" t="str">
        <f t="shared" si="2"/>
        <v>Saturday</v>
      </c>
      <c r="D1329" s="72" t="str">
        <f t="shared" si="3"/>
        <v>August</v>
      </c>
      <c r="E1329" s="72" t="str">
        <f t="shared" si="4"/>
        <v>Q3</v>
      </c>
      <c r="F1329" s="72">
        <f t="shared" si="5"/>
        <v>2022</v>
      </c>
      <c r="G1329" s="89">
        <f t="shared" si="6"/>
        <v>44793</v>
      </c>
      <c r="H1329" s="72" t="str">
        <f t="shared" si="7"/>
        <v>No</v>
      </c>
    </row>
    <row r="1330" ht="15.75" customHeight="1">
      <c r="A1330" s="88">
        <f t="shared" si="8"/>
        <v>44794</v>
      </c>
      <c r="B1330" s="72" t="str">
        <f t="shared" si="1"/>
        <v>20220821</v>
      </c>
      <c r="C1330" s="72" t="str">
        <f t="shared" si="2"/>
        <v>Sunday</v>
      </c>
      <c r="D1330" s="72" t="str">
        <f t="shared" si="3"/>
        <v>August</v>
      </c>
      <c r="E1330" s="72" t="str">
        <f t="shared" si="4"/>
        <v>Q3</v>
      </c>
      <c r="F1330" s="72">
        <f t="shared" si="5"/>
        <v>2022</v>
      </c>
      <c r="G1330" s="89">
        <f t="shared" si="6"/>
        <v>44800</v>
      </c>
      <c r="H1330" s="72" t="str">
        <f t="shared" si="7"/>
        <v>No</v>
      </c>
    </row>
    <row r="1331" ht="15.75" customHeight="1">
      <c r="A1331" s="88">
        <f t="shared" si="8"/>
        <v>44795</v>
      </c>
      <c r="B1331" s="72" t="str">
        <f t="shared" si="1"/>
        <v>20220822</v>
      </c>
      <c r="C1331" s="72" t="str">
        <f t="shared" si="2"/>
        <v>Monday</v>
      </c>
      <c r="D1331" s="72" t="str">
        <f t="shared" si="3"/>
        <v>August</v>
      </c>
      <c r="E1331" s="72" t="str">
        <f t="shared" si="4"/>
        <v>Q3</v>
      </c>
      <c r="F1331" s="72">
        <f t="shared" si="5"/>
        <v>2022</v>
      </c>
      <c r="G1331" s="89">
        <f t="shared" si="6"/>
        <v>44800</v>
      </c>
      <c r="H1331" s="72" t="str">
        <f t="shared" si="7"/>
        <v>Yes</v>
      </c>
    </row>
    <row r="1332" ht="15.75" customHeight="1">
      <c r="A1332" s="88">
        <f t="shared" si="8"/>
        <v>44796</v>
      </c>
      <c r="B1332" s="72" t="str">
        <f t="shared" si="1"/>
        <v>20220823</v>
      </c>
      <c r="C1332" s="72" t="str">
        <f t="shared" si="2"/>
        <v>Tuesday</v>
      </c>
      <c r="D1332" s="72" t="str">
        <f t="shared" si="3"/>
        <v>August</v>
      </c>
      <c r="E1332" s="72" t="str">
        <f t="shared" si="4"/>
        <v>Q3</v>
      </c>
      <c r="F1332" s="72">
        <f t="shared" si="5"/>
        <v>2022</v>
      </c>
      <c r="G1332" s="89">
        <f t="shared" si="6"/>
        <v>44800</v>
      </c>
      <c r="H1332" s="72" t="str">
        <f t="shared" si="7"/>
        <v>Yes</v>
      </c>
    </row>
    <row r="1333" ht="15.75" customHeight="1">
      <c r="A1333" s="88">
        <f t="shared" si="8"/>
        <v>44797</v>
      </c>
      <c r="B1333" s="72" t="str">
        <f t="shared" si="1"/>
        <v>20220824</v>
      </c>
      <c r="C1333" s="72" t="str">
        <f t="shared" si="2"/>
        <v>Wednesday</v>
      </c>
      <c r="D1333" s="72" t="str">
        <f t="shared" si="3"/>
        <v>August</v>
      </c>
      <c r="E1333" s="72" t="str">
        <f t="shared" si="4"/>
        <v>Q3</v>
      </c>
      <c r="F1333" s="72">
        <f t="shared" si="5"/>
        <v>2022</v>
      </c>
      <c r="G1333" s="89">
        <f t="shared" si="6"/>
        <v>44800</v>
      </c>
      <c r="H1333" s="72" t="str">
        <f t="shared" si="7"/>
        <v>Yes</v>
      </c>
    </row>
    <row r="1334" ht="15.75" customHeight="1">
      <c r="A1334" s="88">
        <f t="shared" si="8"/>
        <v>44798</v>
      </c>
      <c r="B1334" s="72" t="str">
        <f t="shared" si="1"/>
        <v>20220825</v>
      </c>
      <c r="C1334" s="72" t="str">
        <f t="shared" si="2"/>
        <v>Thursday</v>
      </c>
      <c r="D1334" s="72" t="str">
        <f t="shared" si="3"/>
        <v>August</v>
      </c>
      <c r="E1334" s="72" t="str">
        <f t="shared" si="4"/>
        <v>Q3</v>
      </c>
      <c r="F1334" s="72">
        <f t="shared" si="5"/>
        <v>2022</v>
      </c>
      <c r="G1334" s="89">
        <f t="shared" si="6"/>
        <v>44800</v>
      </c>
      <c r="H1334" s="72" t="str">
        <f t="shared" si="7"/>
        <v>Yes</v>
      </c>
    </row>
    <row r="1335" ht="15.75" customHeight="1">
      <c r="A1335" s="88">
        <f t="shared" si="8"/>
        <v>44799</v>
      </c>
      <c r="B1335" s="72" t="str">
        <f t="shared" si="1"/>
        <v>20220826</v>
      </c>
      <c r="C1335" s="72" t="str">
        <f t="shared" si="2"/>
        <v>Friday</v>
      </c>
      <c r="D1335" s="72" t="str">
        <f t="shared" si="3"/>
        <v>August</v>
      </c>
      <c r="E1335" s="72" t="str">
        <f t="shared" si="4"/>
        <v>Q3</v>
      </c>
      <c r="F1335" s="72">
        <f t="shared" si="5"/>
        <v>2022</v>
      </c>
      <c r="G1335" s="89">
        <f t="shared" si="6"/>
        <v>44800</v>
      </c>
      <c r="H1335" s="72" t="str">
        <f t="shared" si="7"/>
        <v>Yes</v>
      </c>
    </row>
    <row r="1336" ht="15.75" customHeight="1">
      <c r="A1336" s="88">
        <f t="shared" si="8"/>
        <v>44800</v>
      </c>
      <c r="B1336" s="72" t="str">
        <f t="shared" si="1"/>
        <v>20220827</v>
      </c>
      <c r="C1336" s="72" t="str">
        <f t="shared" si="2"/>
        <v>Saturday</v>
      </c>
      <c r="D1336" s="72" t="str">
        <f t="shared" si="3"/>
        <v>August</v>
      </c>
      <c r="E1336" s="72" t="str">
        <f t="shared" si="4"/>
        <v>Q3</v>
      </c>
      <c r="F1336" s="72">
        <f t="shared" si="5"/>
        <v>2022</v>
      </c>
      <c r="G1336" s="89">
        <f t="shared" si="6"/>
        <v>44800</v>
      </c>
      <c r="H1336" s="72" t="str">
        <f t="shared" si="7"/>
        <v>No</v>
      </c>
    </row>
    <row r="1337" ht="15.75" customHeight="1">
      <c r="A1337" s="88">
        <f t="shared" si="8"/>
        <v>44801</v>
      </c>
      <c r="B1337" s="72" t="str">
        <f t="shared" si="1"/>
        <v>20220828</v>
      </c>
      <c r="C1337" s="72" t="str">
        <f t="shared" si="2"/>
        <v>Sunday</v>
      </c>
      <c r="D1337" s="72" t="str">
        <f t="shared" si="3"/>
        <v>August</v>
      </c>
      <c r="E1337" s="72" t="str">
        <f t="shared" si="4"/>
        <v>Q3</v>
      </c>
      <c r="F1337" s="72">
        <f t="shared" si="5"/>
        <v>2022</v>
      </c>
      <c r="G1337" s="89">
        <f t="shared" si="6"/>
        <v>44807</v>
      </c>
      <c r="H1337" s="72" t="str">
        <f t="shared" si="7"/>
        <v>No</v>
      </c>
    </row>
    <row r="1338" ht="15.75" customHeight="1">
      <c r="A1338" s="88">
        <f t="shared" si="8"/>
        <v>44802</v>
      </c>
      <c r="B1338" s="72" t="str">
        <f t="shared" si="1"/>
        <v>20220829</v>
      </c>
      <c r="C1338" s="72" t="str">
        <f t="shared" si="2"/>
        <v>Monday</v>
      </c>
      <c r="D1338" s="72" t="str">
        <f t="shared" si="3"/>
        <v>August</v>
      </c>
      <c r="E1338" s="72" t="str">
        <f t="shared" si="4"/>
        <v>Q3</v>
      </c>
      <c r="F1338" s="72">
        <f t="shared" si="5"/>
        <v>2022</v>
      </c>
      <c r="G1338" s="89">
        <f t="shared" si="6"/>
        <v>44807</v>
      </c>
      <c r="H1338" s="72" t="str">
        <f t="shared" si="7"/>
        <v>Yes</v>
      </c>
    </row>
    <row r="1339" ht="15.75" customHeight="1">
      <c r="A1339" s="88">
        <f t="shared" si="8"/>
        <v>44803</v>
      </c>
      <c r="B1339" s="72" t="str">
        <f t="shared" si="1"/>
        <v>20220830</v>
      </c>
      <c r="C1339" s="72" t="str">
        <f t="shared" si="2"/>
        <v>Tuesday</v>
      </c>
      <c r="D1339" s="72" t="str">
        <f t="shared" si="3"/>
        <v>August</v>
      </c>
      <c r="E1339" s="72" t="str">
        <f t="shared" si="4"/>
        <v>Q3</v>
      </c>
      <c r="F1339" s="72">
        <f t="shared" si="5"/>
        <v>2022</v>
      </c>
      <c r="G1339" s="89">
        <f t="shared" si="6"/>
        <v>44807</v>
      </c>
      <c r="H1339" s="72" t="str">
        <f t="shared" si="7"/>
        <v>Yes</v>
      </c>
    </row>
    <row r="1340" ht="15.75" customHeight="1">
      <c r="A1340" s="88">
        <f t="shared" si="8"/>
        <v>44804</v>
      </c>
      <c r="B1340" s="72" t="str">
        <f t="shared" si="1"/>
        <v>20220831</v>
      </c>
      <c r="C1340" s="72" t="str">
        <f t="shared" si="2"/>
        <v>Wednesday</v>
      </c>
      <c r="D1340" s="72" t="str">
        <f t="shared" si="3"/>
        <v>August</v>
      </c>
      <c r="E1340" s="72" t="str">
        <f t="shared" si="4"/>
        <v>Q3</v>
      </c>
      <c r="F1340" s="72">
        <f t="shared" si="5"/>
        <v>2022</v>
      </c>
      <c r="G1340" s="89">
        <f t="shared" si="6"/>
        <v>44807</v>
      </c>
      <c r="H1340" s="72" t="str">
        <f t="shared" si="7"/>
        <v>Yes</v>
      </c>
    </row>
    <row r="1341" ht="15.75" customHeight="1">
      <c r="A1341" s="88">
        <f t="shared" si="8"/>
        <v>44805</v>
      </c>
      <c r="B1341" s="72" t="str">
        <f t="shared" si="1"/>
        <v>20220901</v>
      </c>
      <c r="C1341" s="72" t="str">
        <f t="shared" si="2"/>
        <v>Thursday</v>
      </c>
      <c r="D1341" s="72" t="str">
        <f t="shared" si="3"/>
        <v>September</v>
      </c>
      <c r="E1341" s="72" t="str">
        <f t="shared" si="4"/>
        <v>Q3</v>
      </c>
      <c r="F1341" s="72">
        <f t="shared" si="5"/>
        <v>2022</v>
      </c>
      <c r="G1341" s="89">
        <f t="shared" si="6"/>
        <v>44807</v>
      </c>
      <c r="H1341" s="72" t="str">
        <f t="shared" si="7"/>
        <v>Yes</v>
      </c>
    </row>
    <row r="1342" ht="15.75" customHeight="1">
      <c r="A1342" s="88">
        <f t="shared" si="8"/>
        <v>44806</v>
      </c>
      <c r="B1342" s="72" t="str">
        <f t="shared" si="1"/>
        <v>20220902</v>
      </c>
      <c r="C1342" s="72" t="str">
        <f t="shared" si="2"/>
        <v>Friday</v>
      </c>
      <c r="D1342" s="72" t="str">
        <f t="shared" si="3"/>
        <v>September</v>
      </c>
      <c r="E1342" s="72" t="str">
        <f t="shared" si="4"/>
        <v>Q3</v>
      </c>
      <c r="F1342" s="72">
        <f t="shared" si="5"/>
        <v>2022</v>
      </c>
      <c r="G1342" s="89">
        <f t="shared" si="6"/>
        <v>44807</v>
      </c>
      <c r="H1342" s="72" t="str">
        <f t="shared" si="7"/>
        <v>Yes</v>
      </c>
    </row>
    <row r="1343" ht="15.75" customHeight="1">
      <c r="A1343" s="88">
        <f t="shared" si="8"/>
        <v>44807</v>
      </c>
      <c r="B1343" s="72" t="str">
        <f t="shared" si="1"/>
        <v>20220903</v>
      </c>
      <c r="C1343" s="72" t="str">
        <f t="shared" si="2"/>
        <v>Saturday</v>
      </c>
      <c r="D1343" s="72" t="str">
        <f t="shared" si="3"/>
        <v>September</v>
      </c>
      <c r="E1343" s="72" t="str">
        <f t="shared" si="4"/>
        <v>Q3</v>
      </c>
      <c r="F1343" s="72">
        <f t="shared" si="5"/>
        <v>2022</v>
      </c>
      <c r="G1343" s="89">
        <f t="shared" si="6"/>
        <v>44807</v>
      </c>
      <c r="H1343" s="72" t="str">
        <f t="shared" si="7"/>
        <v>No</v>
      </c>
    </row>
    <row r="1344" ht="15.75" customHeight="1">
      <c r="A1344" s="88">
        <f t="shared" si="8"/>
        <v>44808</v>
      </c>
      <c r="B1344" s="72" t="str">
        <f t="shared" si="1"/>
        <v>20220904</v>
      </c>
      <c r="C1344" s="72" t="str">
        <f t="shared" si="2"/>
        <v>Sunday</v>
      </c>
      <c r="D1344" s="72" t="str">
        <f t="shared" si="3"/>
        <v>September</v>
      </c>
      <c r="E1344" s="72" t="str">
        <f t="shared" si="4"/>
        <v>Q3</v>
      </c>
      <c r="F1344" s="72">
        <f t="shared" si="5"/>
        <v>2022</v>
      </c>
      <c r="G1344" s="89">
        <f t="shared" si="6"/>
        <v>44814</v>
      </c>
      <c r="H1344" s="72" t="str">
        <f t="shared" si="7"/>
        <v>No</v>
      </c>
    </row>
    <row r="1345" ht="15.75" customHeight="1">
      <c r="A1345" s="88">
        <f t="shared" si="8"/>
        <v>44809</v>
      </c>
      <c r="B1345" s="72" t="str">
        <f t="shared" si="1"/>
        <v>20220905</v>
      </c>
      <c r="C1345" s="72" t="str">
        <f t="shared" si="2"/>
        <v>Monday</v>
      </c>
      <c r="D1345" s="72" t="str">
        <f t="shared" si="3"/>
        <v>September</v>
      </c>
      <c r="E1345" s="72" t="str">
        <f t="shared" si="4"/>
        <v>Q3</v>
      </c>
      <c r="F1345" s="72">
        <f t="shared" si="5"/>
        <v>2022</v>
      </c>
      <c r="G1345" s="89">
        <f t="shared" si="6"/>
        <v>44814</v>
      </c>
      <c r="H1345" s="72" t="str">
        <f t="shared" si="7"/>
        <v>Yes</v>
      </c>
    </row>
    <row r="1346" ht="15.75" customHeight="1">
      <c r="A1346" s="88">
        <f t="shared" si="8"/>
        <v>44810</v>
      </c>
      <c r="B1346" s="72" t="str">
        <f t="shared" si="1"/>
        <v>20220906</v>
      </c>
      <c r="C1346" s="72" t="str">
        <f t="shared" si="2"/>
        <v>Tuesday</v>
      </c>
      <c r="D1346" s="72" t="str">
        <f t="shared" si="3"/>
        <v>September</v>
      </c>
      <c r="E1346" s="72" t="str">
        <f t="shared" si="4"/>
        <v>Q3</v>
      </c>
      <c r="F1346" s="72">
        <f t="shared" si="5"/>
        <v>2022</v>
      </c>
      <c r="G1346" s="89">
        <f t="shared" si="6"/>
        <v>44814</v>
      </c>
      <c r="H1346" s="72" t="str">
        <f t="shared" si="7"/>
        <v>Yes</v>
      </c>
    </row>
    <row r="1347" ht="15.75" customHeight="1">
      <c r="A1347" s="88">
        <f t="shared" si="8"/>
        <v>44811</v>
      </c>
      <c r="B1347" s="72" t="str">
        <f t="shared" si="1"/>
        <v>20220907</v>
      </c>
      <c r="C1347" s="72" t="str">
        <f t="shared" si="2"/>
        <v>Wednesday</v>
      </c>
      <c r="D1347" s="72" t="str">
        <f t="shared" si="3"/>
        <v>September</v>
      </c>
      <c r="E1347" s="72" t="str">
        <f t="shared" si="4"/>
        <v>Q3</v>
      </c>
      <c r="F1347" s="72">
        <f t="shared" si="5"/>
        <v>2022</v>
      </c>
      <c r="G1347" s="89">
        <f t="shared" si="6"/>
        <v>44814</v>
      </c>
      <c r="H1347" s="72" t="str">
        <f t="shared" si="7"/>
        <v>Yes</v>
      </c>
    </row>
    <row r="1348" ht="15.75" customHeight="1">
      <c r="A1348" s="88">
        <f t="shared" si="8"/>
        <v>44812</v>
      </c>
      <c r="B1348" s="72" t="str">
        <f t="shared" si="1"/>
        <v>20220908</v>
      </c>
      <c r="C1348" s="72" t="str">
        <f t="shared" si="2"/>
        <v>Thursday</v>
      </c>
      <c r="D1348" s="72" t="str">
        <f t="shared" si="3"/>
        <v>September</v>
      </c>
      <c r="E1348" s="72" t="str">
        <f t="shared" si="4"/>
        <v>Q3</v>
      </c>
      <c r="F1348" s="72">
        <f t="shared" si="5"/>
        <v>2022</v>
      </c>
      <c r="G1348" s="89">
        <f t="shared" si="6"/>
        <v>44814</v>
      </c>
      <c r="H1348" s="72" t="str">
        <f t="shared" si="7"/>
        <v>Yes</v>
      </c>
    </row>
    <row r="1349" ht="15.75" customHeight="1">
      <c r="A1349" s="88">
        <f t="shared" si="8"/>
        <v>44813</v>
      </c>
      <c r="B1349" s="72" t="str">
        <f t="shared" si="1"/>
        <v>20220909</v>
      </c>
      <c r="C1349" s="72" t="str">
        <f t="shared" si="2"/>
        <v>Friday</v>
      </c>
      <c r="D1349" s="72" t="str">
        <f t="shared" si="3"/>
        <v>September</v>
      </c>
      <c r="E1349" s="72" t="str">
        <f t="shared" si="4"/>
        <v>Q3</v>
      </c>
      <c r="F1349" s="72">
        <f t="shared" si="5"/>
        <v>2022</v>
      </c>
      <c r="G1349" s="89">
        <f t="shared" si="6"/>
        <v>44814</v>
      </c>
      <c r="H1349" s="72" t="str">
        <f t="shared" si="7"/>
        <v>Yes</v>
      </c>
    </row>
    <row r="1350" ht="15.75" customHeight="1">
      <c r="A1350" s="88">
        <f t="shared" si="8"/>
        <v>44814</v>
      </c>
      <c r="B1350" s="72" t="str">
        <f t="shared" si="1"/>
        <v>20220910</v>
      </c>
      <c r="C1350" s="72" t="str">
        <f t="shared" si="2"/>
        <v>Saturday</v>
      </c>
      <c r="D1350" s="72" t="str">
        <f t="shared" si="3"/>
        <v>September</v>
      </c>
      <c r="E1350" s="72" t="str">
        <f t="shared" si="4"/>
        <v>Q3</v>
      </c>
      <c r="F1350" s="72">
        <f t="shared" si="5"/>
        <v>2022</v>
      </c>
      <c r="G1350" s="89">
        <f t="shared" si="6"/>
        <v>44814</v>
      </c>
      <c r="H1350" s="72" t="str">
        <f t="shared" si="7"/>
        <v>No</v>
      </c>
    </row>
    <row r="1351" ht="15.75" customHeight="1">
      <c r="A1351" s="88">
        <f t="shared" si="8"/>
        <v>44815</v>
      </c>
      <c r="B1351" s="72" t="str">
        <f t="shared" si="1"/>
        <v>20220911</v>
      </c>
      <c r="C1351" s="72" t="str">
        <f t="shared" si="2"/>
        <v>Sunday</v>
      </c>
      <c r="D1351" s="72" t="str">
        <f t="shared" si="3"/>
        <v>September</v>
      </c>
      <c r="E1351" s="72" t="str">
        <f t="shared" si="4"/>
        <v>Q3</v>
      </c>
      <c r="F1351" s="72">
        <f t="shared" si="5"/>
        <v>2022</v>
      </c>
      <c r="G1351" s="89">
        <f t="shared" si="6"/>
        <v>44821</v>
      </c>
      <c r="H1351" s="72" t="str">
        <f t="shared" si="7"/>
        <v>No</v>
      </c>
    </row>
    <row r="1352" ht="15.75" customHeight="1">
      <c r="A1352" s="88">
        <f t="shared" si="8"/>
        <v>44816</v>
      </c>
      <c r="B1352" s="72" t="str">
        <f t="shared" si="1"/>
        <v>20220912</v>
      </c>
      <c r="C1352" s="72" t="str">
        <f t="shared" si="2"/>
        <v>Monday</v>
      </c>
      <c r="D1352" s="72" t="str">
        <f t="shared" si="3"/>
        <v>September</v>
      </c>
      <c r="E1352" s="72" t="str">
        <f t="shared" si="4"/>
        <v>Q3</v>
      </c>
      <c r="F1352" s="72">
        <f t="shared" si="5"/>
        <v>2022</v>
      </c>
      <c r="G1352" s="89">
        <f t="shared" si="6"/>
        <v>44821</v>
      </c>
      <c r="H1352" s="72" t="str">
        <f t="shared" si="7"/>
        <v>Yes</v>
      </c>
    </row>
    <row r="1353" ht="15.75" customHeight="1">
      <c r="A1353" s="88">
        <f t="shared" si="8"/>
        <v>44817</v>
      </c>
      <c r="B1353" s="72" t="str">
        <f t="shared" si="1"/>
        <v>20220913</v>
      </c>
      <c r="C1353" s="72" t="str">
        <f t="shared" si="2"/>
        <v>Tuesday</v>
      </c>
      <c r="D1353" s="72" t="str">
        <f t="shared" si="3"/>
        <v>September</v>
      </c>
      <c r="E1353" s="72" t="str">
        <f t="shared" si="4"/>
        <v>Q3</v>
      </c>
      <c r="F1353" s="72">
        <f t="shared" si="5"/>
        <v>2022</v>
      </c>
      <c r="G1353" s="89">
        <f t="shared" si="6"/>
        <v>44821</v>
      </c>
      <c r="H1353" s="72" t="str">
        <f t="shared" si="7"/>
        <v>Yes</v>
      </c>
    </row>
    <row r="1354" ht="15.75" customHeight="1">
      <c r="A1354" s="88">
        <f t="shared" si="8"/>
        <v>44818</v>
      </c>
      <c r="B1354" s="72" t="str">
        <f t="shared" si="1"/>
        <v>20220914</v>
      </c>
      <c r="C1354" s="72" t="str">
        <f t="shared" si="2"/>
        <v>Wednesday</v>
      </c>
      <c r="D1354" s="72" t="str">
        <f t="shared" si="3"/>
        <v>September</v>
      </c>
      <c r="E1354" s="72" t="str">
        <f t="shared" si="4"/>
        <v>Q3</v>
      </c>
      <c r="F1354" s="72">
        <f t="shared" si="5"/>
        <v>2022</v>
      </c>
      <c r="G1354" s="89">
        <f t="shared" si="6"/>
        <v>44821</v>
      </c>
      <c r="H1354" s="72" t="str">
        <f t="shared" si="7"/>
        <v>Yes</v>
      </c>
    </row>
    <row r="1355" ht="15.75" customHeight="1">
      <c r="A1355" s="88">
        <f t="shared" si="8"/>
        <v>44819</v>
      </c>
      <c r="B1355" s="72" t="str">
        <f t="shared" si="1"/>
        <v>20220915</v>
      </c>
      <c r="C1355" s="72" t="str">
        <f t="shared" si="2"/>
        <v>Thursday</v>
      </c>
      <c r="D1355" s="72" t="str">
        <f t="shared" si="3"/>
        <v>September</v>
      </c>
      <c r="E1355" s="72" t="str">
        <f t="shared" si="4"/>
        <v>Q3</v>
      </c>
      <c r="F1355" s="72">
        <f t="shared" si="5"/>
        <v>2022</v>
      </c>
      <c r="G1355" s="89">
        <f t="shared" si="6"/>
        <v>44821</v>
      </c>
      <c r="H1355" s="72" t="str">
        <f t="shared" si="7"/>
        <v>Yes</v>
      </c>
    </row>
    <row r="1356" ht="15.75" customHeight="1">
      <c r="A1356" s="88">
        <f t="shared" si="8"/>
        <v>44820</v>
      </c>
      <c r="B1356" s="72" t="str">
        <f t="shared" si="1"/>
        <v>20220916</v>
      </c>
      <c r="C1356" s="72" t="str">
        <f t="shared" si="2"/>
        <v>Friday</v>
      </c>
      <c r="D1356" s="72" t="str">
        <f t="shared" si="3"/>
        <v>September</v>
      </c>
      <c r="E1356" s="72" t="str">
        <f t="shared" si="4"/>
        <v>Q3</v>
      </c>
      <c r="F1356" s="72">
        <f t="shared" si="5"/>
        <v>2022</v>
      </c>
      <c r="G1356" s="89">
        <f t="shared" si="6"/>
        <v>44821</v>
      </c>
      <c r="H1356" s="72" t="str">
        <f t="shared" si="7"/>
        <v>Yes</v>
      </c>
    </row>
    <row r="1357" ht="15.75" customHeight="1">
      <c r="A1357" s="88">
        <f t="shared" si="8"/>
        <v>44821</v>
      </c>
      <c r="B1357" s="72" t="str">
        <f t="shared" si="1"/>
        <v>20220917</v>
      </c>
      <c r="C1357" s="72" t="str">
        <f t="shared" si="2"/>
        <v>Saturday</v>
      </c>
      <c r="D1357" s="72" t="str">
        <f t="shared" si="3"/>
        <v>September</v>
      </c>
      <c r="E1357" s="72" t="str">
        <f t="shared" si="4"/>
        <v>Q3</v>
      </c>
      <c r="F1357" s="72">
        <f t="shared" si="5"/>
        <v>2022</v>
      </c>
      <c r="G1357" s="89">
        <f t="shared" si="6"/>
        <v>44821</v>
      </c>
      <c r="H1357" s="72" t="str">
        <f t="shared" si="7"/>
        <v>No</v>
      </c>
    </row>
    <row r="1358" ht="15.75" customHeight="1">
      <c r="A1358" s="88">
        <f t="shared" si="8"/>
        <v>44822</v>
      </c>
      <c r="B1358" s="72" t="str">
        <f t="shared" si="1"/>
        <v>20220918</v>
      </c>
      <c r="C1358" s="72" t="str">
        <f t="shared" si="2"/>
        <v>Sunday</v>
      </c>
      <c r="D1358" s="72" t="str">
        <f t="shared" si="3"/>
        <v>September</v>
      </c>
      <c r="E1358" s="72" t="str">
        <f t="shared" si="4"/>
        <v>Q3</v>
      </c>
      <c r="F1358" s="72">
        <f t="shared" si="5"/>
        <v>2022</v>
      </c>
      <c r="G1358" s="89">
        <f t="shared" si="6"/>
        <v>44828</v>
      </c>
      <c r="H1358" s="72" t="str">
        <f t="shared" si="7"/>
        <v>No</v>
      </c>
    </row>
    <row r="1359" ht="15.75" customHeight="1">
      <c r="A1359" s="88">
        <f t="shared" si="8"/>
        <v>44823</v>
      </c>
      <c r="B1359" s="72" t="str">
        <f t="shared" si="1"/>
        <v>20220919</v>
      </c>
      <c r="C1359" s="72" t="str">
        <f t="shared" si="2"/>
        <v>Monday</v>
      </c>
      <c r="D1359" s="72" t="str">
        <f t="shared" si="3"/>
        <v>September</v>
      </c>
      <c r="E1359" s="72" t="str">
        <f t="shared" si="4"/>
        <v>Q3</v>
      </c>
      <c r="F1359" s="72">
        <f t="shared" si="5"/>
        <v>2022</v>
      </c>
      <c r="G1359" s="89">
        <f t="shared" si="6"/>
        <v>44828</v>
      </c>
      <c r="H1359" s="72" t="str">
        <f t="shared" si="7"/>
        <v>Yes</v>
      </c>
    </row>
    <row r="1360" ht="15.75" customHeight="1">
      <c r="A1360" s="88">
        <f t="shared" si="8"/>
        <v>44824</v>
      </c>
      <c r="B1360" s="72" t="str">
        <f t="shared" si="1"/>
        <v>20220920</v>
      </c>
      <c r="C1360" s="72" t="str">
        <f t="shared" si="2"/>
        <v>Tuesday</v>
      </c>
      <c r="D1360" s="72" t="str">
        <f t="shared" si="3"/>
        <v>September</v>
      </c>
      <c r="E1360" s="72" t="str">
        <f t="shared" si="4"/>
        <v>Q3</v>
      </c>
      <c r="F1360" s="72">
        <f t="shared" si="5"/>
        <v>2022</v>
      </c>
      <c r="G1360" s="89">
        <f t="shared" si="6"/>
        <v>44828</v>
      </c>
      <c r="H1360" s="72" t="str">
        <f t="shared" si="7"/>
        <v>Yes</v>
      </c>
    </row>
    <row r="1361" ht="15.75" customHeight="1">
      <c r="A1361" s="88">
        <f t="shared" si="8"/>
        <v>44825</v>
      </c>
      <c r="B1361" s="72" t="str">
        <f t="shared" si="1"/>
        <v>20220921</v>
      </c>
      <c r="C1361" s="72" t="str">
        <f t="shared" si="2"/>
        <v>Wednesday</v>
      </c>
      <c r="D1361" s="72" t="str">
        <f t="shared" si="3"/>
        <v>September</v>
      </c>
      <c r="E1361" s="72" t="str">
        <f t="shared" si="4"/>
        <v>Q3</v>
      </c>
      <c r="F1361" s="72">
        <f t="shared" si="5"/>
        <v>2022</v>
      </c>
      <c r="G1361" s="89">
        <f t="shared" si="6"/>
        <v>44828</v>
      </c>
      <c r="H1361" s="72" t="str">
        <f t="shared" si="7"/>
        <v>Yes</v>
      </c>
    </row>
    <row r="1362" ht="15.75" customHeight="1">
      <c r="A1362" s="88">
        <f t="shared" si="8"/>
        <v>44826</v>
      </c>
      <c r="B1362" s="72" t="str">
        <f t="shared" si="1"/>
        <v>20220922</v>
      </c>
      <c r="C1362" s="72" t="str">
        <f t="shared" si="2"/>
        <v>Thursday</v>
      </c>
      <c r="D1362" s="72" t="str">
        <f t="shared" si="3"/>
        <v>September</v>
      </c>
      <c r="E1362" s="72" t="str">
        <f t="shared" si="4"/>
        <v>Q3</v>
      </c>
      <c r="F1362" s="72">
        <f t="shared" si="5"/>
        <v>2022</v>
      </c>
      <c r="G1362" s="89">
        <f t="shared" si="6"/>
        <v>44828</v>
      </c>
      <c r="H1362" s="72" t="str">
        <f t="shared" si="7"/>
        <v>Yes</v>
      </c>
    </row>
    <row r="1363" ht="15.75" customHeight="1">
      <c r="A1363" s="88">
        <f t="shared" si="8"/>
        <v>44827</v>
      </c>
      <c r="B1363" s="72" t="str">
        <f t="shared" si="1"/>
        <v>20220923</v>
      </c>
      <c r="C1363" s="72" t="str">
        <f t="shared" si="2"/>
        <v>Friday</v>
      </c>
      <c r="D1363" s="72" t="str">
        <f t="shared" si="3"/>
        <v>September</v>
      </c>
      <c r="E1363" s="72" t="str">
        <f t="shared" si="4"/>
        <v>Q3</v>
      </c>
      <c r="F1363" s="72">
        <f t="shared" si="5"/>
        <v>2022</v>
      </c>
      <c r="G1363" s="89">
        <f t="shared" si="6"/>
        <v>44828</v>
      </c>
      <c r="H1363" s="72" t="str">
        <f t="shared" si="7"/>
        <v>Yes</v>
      </c>
    </row>
    <row r="1364" ht="15.75" customHeight="1">
      <c r="A1364" s="88">
        <f t="shared" si="8"/>
        <v>44828</v>
      </c>
      <c r="B1364" s="72" t="str">
        <f t="shared" si="1"/>
        <v>20220924</v>
      </c>
      <c r="C1364" s="72" t="str">
        <f t="shared" si="2"/>
        <v>Saturday</v>
      </c>
      <c r="D1364" s="72" t="str">
        <f t="shared" si="3"/>
        <v>September</v>
      </c>
      <c r="E1364" s="72" t="str">
        <f t="shared" si="4"/>
        <v>Q3</v>
      </c>
      <c r="F1364" s="72">
        <f t="shared" si="5"/>
        <v>2022</v>
      </c>
      <c r="G1364" s="89">
        <f t="shared" si="6"/>
        <v>44828</v>
      </c>
      <c r="H1364" s="72" t="str">
        <f t="shared" si="7"/>
        <v>No</v>
      </c>
    </row>
    <row r="1365" ht="15.75" customHeight="1">
      <c r="A1365" s="88">
        <f t="shared" si="8"/>
        <v>44829</v>
      </c>
      <c r="B1365" s="72" t="str">
        <f t="shared" si="1"/>
        <v>20220925</v>
      </c>
      <c r="C1365" s="72" t="str">
        <f t="shared" si="2"/>
        <v>Sunday</v>
      </c>
      <c r="D1365" s="72" t="str">
        <f t="shared" si="3"/>
        <v>September</v>
      </c>
      <c r="E1365" s="72" t="str">
        <f t="shared" si="4"/>
        <v>Q3</v>
      </c>
      <c r="F1365" s="72">
        <f t="shared" si="5"/>
        <v>2022</v>
      </c>
      <c r="G1365" s="89">
        <f t="shared" si="6"/>
        <v>44835</v>
      </c>
      <c r="H1365" s="72" t="str">
        <f t="shared" si="7"/>
        <v>No</v>
      </c>
    </row>
    <row r="1366" ht="15.75" customHeight="1">
      <c r="A1366" s="88">
        <f t="shared" si="8"/>
        <v>44830</v>
      </c>
      <c r="B1366" s="72" t="str">
        <f t="shared" si="1"/>
        <v>20220926</v>
      </c>
      <c r="C1366" s="72" t="str">
        <f t="shared" si="2"/>
        <v>Monday</v>
      </c>
      <c r="D1366" s="72" t="str">
        <f t="shared" si="3"/>
        <v>September</v>
      </c>
      <c r="E1366" s="72" t="str">
        <f t="shared" si="4"/>
        <v>Q3</v>
      </c>
      <c r="F1366" s="72">
        <f t="shared" si="5"/>
        <v>2022</v>
      </c>
      <c r="G1366" s="89">
        <f t="shared" si="6"/>
        <v>44835</v>
      </c>
      <c r="H1366" s="72" t="str">
        <f t="shared" si="7"/>
        <v>Yes</v>
      </c>
    </row>
    <row r="1367" ht="15.75" customHeight="1">
      <c r="A1367" s="88">
        <f t="shared" si="8"/>
        <v>44831</v>
      </c>
      <c r="B1367" s="72" t="str">
        <f t="shared" si="1"/>
        <v>20220927</v>
      </c>
      <c r="C1367" s="72" t="str">
        <f t="shared" si="2"/>
        <v>Tuesday</v>
      </c>
      <c r="D1367" s="72" t="str">
        <f t="shared" si="3"/>
        <v>September</v>
      </c>
      <c r="E1367" s="72" t="str">
        <f t="shared" si="4"/>
        <v>Q3</v>
      </c>
      <c r="F1367" s="72">
        <f t="shared" si="5"/>
        <v>2022</v>
      </c>
      <c r="G1367" s="89">
        <f t="shared" si="6"/>
        <v>44835</v>
      </c>
      <c r="H1367" s="72" t="str">
        <f t="shared" si="7"/>
        <v>Yes</v>
      </c>
    </row>
    <row r="1368" ht="15.75" customHeight="1">
      <c r="A1368" s="88">
        <f t="shared" si="8"/>
        <v>44832</v>
      </c>
      <c r="B1368" s="72" t="str">
        <f t="shared" si="1"/>
        <v>20220928</v>
      </c>
      <c r="C1368" s="72" t="str">
        <f t="shared" si="2"/>
        <v>Wednesday</v>
      </c>
      <c r="D1368" s="72" t="str">
        <f t="shared" si="3"/>
        <v>September</v>
      </c>
      <c r="E1368" s="72" t="str">
        <f t="shared" si="4"/>
        <v>Q3</v>
      </c>
      <c r="F1368" s="72">
        <f t="shared" si="5"/>
        <v>2022</v>
      </c>
      <c r="G1368" s="89">
        <f t="shared" si="6"/>
        <v>44835</v>
      </c>
      <c r="H1368" s="72" t="str">
        <f t="shared" si="7"/>
        <v>Yes</v>
      </c>
    </row>
    <row r="1369" ht="15.75" customHeight="1">
      <c r="A1369" s="88">
        <f t="shared" si="8"/>
        <v>44833</v>
      </c>
      <c r="B1369" s="72" t="str">
        <f t="shared" si="1"/>
        <v>20220929</v>
      </c>
      <c r="C1369" s="72" t="str">
        <f t="shared" si="2"/>
        <v>Thursday</v>
      </c>
      <c r="D1369" s="72" t="str">
        <f t="shared" si="3"/>
        <v>September</v>
      </c>
      <c r="E1369" s="72" t="str">
        <f t="shared" si="4"/>
        <v>Q3</v>
      </c>
      <c r="F1369" s="72">
        <f t="shared" si="5"/>
        <v>2022</v>
      </c>
      <c r="G1369" s="89">
        <f t="shared" si="6"/>
        <v>44835</v>
      </c>
      <c r="H1369" s="72" t="str">
        <f t="shared" si="7"/>
        <v>Yes</v>
      </c>
    </row>
    <row r="1370" ht="15.75" customHeight="1">
      <c r="A1370" s="88">
        <f t="shared" si="8"/>
        <v>44834</v>
      </c>
      <c r="B1370" s="72" t="str">
        <f t="shared" si="1"/>
        <v>20220930</v>
      </c>
      <c r="C1370" s="72" t="str">
        <f t="shared" si="2"/>
        <v>Friday</v>
      </c>
      <c r="D1370" s="72" t="str">
        <f t="shared" si="3"/>
        <v>September</v>
      </c>
      <c r="E1370" s="72" t="str">
        <f t="shared" si="4"/>
        <v>Q3</v>
      </c>
      <c r="F1370" s="72">
        <f t="shared" si="5"/>
        <v>2022</v>
      </c>
      <c r="G1370" s="89">
        <f t="shared" si="6"/>
        <v>44835</v>
      </c>
      <c r="H1370" s="72" t="str">
        <f t="shared" si="7"/>
        <v>Yes</v>
      </c>
    </row>
    <row r="1371" ht="15.75" customHeight="1">
      <c r="A1371" s="88">
        <f t="shared" si="8"/>
        <v>44835</v>
      </c>
      <c r="B1371" s="72" t="str">
        <f t="shared" si="1"/>
        <v>20221001</v>
      </c>
      <c r="C1371" s="72" t="str">
        <f t="shared" si="2"/>
        <v>Saturday</v>
      </c>
      <c r="D1371" s="72" t="str">
        <f t="shared" si="3"/>
        <v>October</v>
      </c>
      <c r="E1371" s="72" t="str">
        <f t="shared" si="4"/>
        <v>Q4</v>
      </c>
      <c r="F1371" s="72">
        <f t="shared" si="5"/>
        <v>2022</v>
      </c>
      <c r="G1371" s="89">
        <f t="shared" si="6"/>
        <v>44835</v>
      </c>
      <c r="H1371" s="72" t="str">
        <f t="shared" si="7"/>
        <v>No</v>
      </c>
    </row>
    <row r="1372" ht="15.75" customHeight="1">
      <c r="A1372" s="88">
        <f t="shared" si="8"/>
        <v>44836</v>
      </c>
      <c r="B1372" s="72" t="str">
        <f t="shared" si="1"/>
        <v>20221002</v>
      </c>
      <c r="C1372" s="72" t="str">
        <f t="shared" si="2"/>
        <v>Sunday</v>
      </c>
      <c r="D1372" s="72" t="str">
        <f t="shared" si="3"/>
        <v>October</v>
      </c>
      <c r="E1372" s="72" t="str">
        <f t="shared" si="4"/>
        <v>Q4</v>
      </c>
      <c r="F1372" s="72">
        <f t="shared" si="5"/>
        <v>2022</v>
      </c>
      <c r="G1372" s="89">
        <f t="shared" si="6"/>
        <v>44842</v>
      </c>
      <c r="H1372" s="72" t="str">
        <f t="shared" si="7"/>
        <v>No</v>
      </c>
    </row>
    <row r="1373" ht="15.75" customHeight="1">
      <c r="A1373" s="88">
        <f t="shared" si="8"/>
        <v>44837</v>
      </c>
      <c r="B1373" s="72" t="str">
        <f t="shared" si="1"/>
        <v>20221003</v>
      </c>
      <c r="C1373" s="72" t="str">
        <f t="shared" si="2"/>
        <v>Monday</v>
      </c>
      <c r="D1373" s="72" t="str">
        <f t="shared" si="3"/>
        <v>October</v>
      </c>
      <c r="E1373" s="72" t="str">
        <f t="shared" si="4"/>
        <v>Q4</v>
      </c>
      <c r="F1373" s="72">
        <f t="shared" si="5"/>
        <v>2022</v>
      </c>
      <c r="G1373" s="89">
        <f t="shared" si="6"/>
        <v>44842</v>
      </c>
      <c r="H1373" s="72" t="str">
        <f t="shared" si="7"/>
        <v>Yes</v>
      </c>
    </row>
    <row r="1374" ht="15.75" customHeight="1">
      <c r="A1374" s="88">
        <f t="shared" si="8"/>
        <v>44838</v>
      </c>
      <c r="B1374" s="72" t="str">
        <f t="shared" si="1"/>
        <v>20221004</v>
      </c>
      <c r="C1374" s="72" t="str">
        <f t="shared" si="2"/>
        <v>Tuesday</v>
      </c>
      <c r="D1374" s="72" t="str">
        <f t="shared" si="3"/>
        <v>October</v>
      </c>
      <c r="E1374" s="72" t="str">
        <f t="shared" si="4"/>
        <v>Q4</v>
      </c>
      <c r="F1374" s="72">
        <f t="shared" si="5"/>
        <v>2022</v>
      </c>
      <c r="G1374" s="89">
        <f t="shared" si="6"/>
        <v>44842</v>
      </c>
      <c r="H1374" s="72" t="str">
        <f t="shared" si="7"/>
        <v>Yes</v>
      </c>
    </row>
    <row r="1375" ht="15.75" customHeight="1">
      <c r="A1375" s="88">
        <f t="shared" si="8"/>
        <v>44839</v>
      </c>
      <c r="B1375" s="72" t="str">
        <f t="shared" si="1"/>
        <v>20221005</v>
      </c>
      <c r="C1375" s="72" t="str">
        <f t="shared" si="2"/>
        <v>Wednesday</v>
      </c>
      <c r="D1375" s="72" t="str">
        <f t="shared" si="3"/>
        <v>October</v>
      </c>
      <c r="E1375" s="72" t="str">
        <f t="shared" si="4"/>
        <v>Q4</v>
      </c>
      <c r="F1375" s="72">
        <f t="shared" si="5"/>
        <v>2022</v>
      </c>
      <c r="G1375" s="89">
        <f t="shared" si="6"/>
        <v>44842</v>
      </c>
      <c r="H1375" s="72" t="str">
        <f t="shared" si="7"/>
        <v>Yes</v>
      </c>
    </row>
    <row r="1376" ht="15.75" customHeight="1">
      <c r="A1376" s="88">
        <f t="shared" si="8"/>
        <v>44840</v>
      </c>
      <c r="B1376" s="72" t="str">
        <f t="shared" si="1"/>
        <v>20221006</v>
      </c>
      <c r="C1376" s="72" t="str">
        <f t="shared" si="2"/>
        <v>Thursday</v>
      </c>
      <c r="D1376" s="72" t="str">
        <f t="shared" si="3"/>
        <v>October</v>
      </c>
      <c r="E1376" s="72" t="str">
        <f t="shared" si="4"/>
        <v>Q4</v>
      </c>
      <c r="F1376" s="72">
        <f t="shared" si="5"/>
        <v>2022</v>
      </c>
      <c r="G1376" s="89">
        <f t="shared" si="6"/>
        <v>44842</v>
      </c>
      <c r="H1376" s="72" t="str">
        <f t="shared" si="7"/>
        <v>Yes</v>
      </c>
    </row>
    <row r="1377" ht="15.75" customHeight="1">
      <c r="A1377" s="88">
        <f t="shared" si="8"/>
        <v>44841</v>
      </c>
      <c r="B1377" s="72" t="str">
        <f t="shared" si="1"/>
        <v>20221007</v>
      </c>
      <c r="C1377" s="72" t="str">
        <f t="shared" si="2"/>
        <v>Friday</v>
      </c>
      <c r="D1377" s="72" t="str">
        <f t="shared" si="3"/>
        <v>October</v>
      </c>
      <c r="E1377" s="72" t="str">
        <f t="shared" si="4"/>
        <v>Q4</v>
      </c>
      <c r="F1377" s="72">
        <f t="shared" si="5"/>
        <v>2022</v>
      </c>
      <c r="G1377" s="89">
        <f t="shared" si="6"/>
        <v>44842</v>
      </c>
      <c r="H1377" s="72" t="str">
        <f t="shared" si="7"/>
        <v>Yes</v>
      </c>
    </row>
    <row r="1378" ht="15.75" customHeight="1">
      <c r="A1378" s="88">
        <f t="shared" si="8"/>
        <v>44842</v>
      </c>
      <c r="B1378" s="72" t="str">
        <f t="shared" si="1"/>
        <v>20221008</v>
      </c>
      <c r="C1378" s="72" t="str">
        <f t="shared" si="2"/>
        <v>Saturday</v>
      </c>
      <c r="D1378" s="72" t="str">
        <f t="shared" si="3"/>
        <v>October</v>
      </c>
      <c r="E1378" s="72" t="str">
        <f t="shared" si="4"/>
        <v>Q4</v>
      </c>
      <c r="F1378" s="72">
        <f t="shared" si="5"/>
        <v>2022</v>
      </c>
      <c r="G1378" s="89">
        <f t="shared" si="6"/>
        <v>44842</v>
      </c>
      <c r="H1378" s="72" t="str">
        <f t="shared" si="7"/>
        <v>No</v>
      </c>
    </row>
    <row r="1379" ht="15.75" customHeight="1">
      <c r="A1379" s="88">
        <f t="shared" si="8"/>
        <v>44843</v>
      </c>
      <c r="B1379" s="72" t="str">
        <f t="shared" si="1"/>
        <v>20221009</v>
      </c>
      <c r="C1379" s="72" t="str">
        <f t="shared" si="2"/>
        <v>Sunday</v>
      </c>
      <c r="D1379" s="72" t="str">
        <f t="shared" si="3"/>
        <v>October</v>
      </c>
      <c r="E1379" s="72" t="str">
        <f t="shared" si="4"/>
        <v>Q4</v>
      </c>
      <c r="F1379" s="72">
        <f t="shared" si="5"/>
        <v>2022</v>
      </c>
      <c r="G1379" s="89">
        <f t="shared" si="6"/>
        <v>44849</v>
      </c>
      <c r="H1379" s="72" t="str">
        <f t="shared" si="7"/>
        <v>No</v>
      </c>
    </row>
    <row r="1380" ht="15.75" customHeight="1">
      <c r="A1380" s="88">
        <f t="shared" si="8"/>
        <v>44844</v>
      </c>
      <c r="B1380" s="72" t="str">
        <f t="shared" si="1"/>
        <v>20221010</v>
      </c>
      <c r="C1380" s="72" t="str">
        <f t="shared" si="2"/>
        <v>Monday</v>
      </c>
      <c r="D1380" s="72" t="str">
        <f t="shared" si="3"/>
        <v>October</v>
      </c>
      <c r="E1380" s="72" t="str">
        <f t="shared" si="4"/>
        <v>Q4</v>
      </c>
      <c r="F1380" s="72">
        <f t="shared" si="5"/>
        <v>2022</v>
      </c>
      <c r="G1380" s="89">
        <f t="shared" si="6"/>
        <v>44849</v>
      </c>
      <c r="H1380" s="72" t="str">
        <f t="shared" si="7"/>
        <v>Yes</v>
      </c>
    </row>
    <row r="1381" ht="15.75" customHeight="1">
      <c r="A1381" s="88">
        <f t="shared" si="8"/>
        <v>44845</v>
      </c>
      <c r="B1381" s="72" t="str">
        <f t="shared" si="1"/>
        <v>20221011</v>
      </c>
      <c r="C1381" s="72" t="str">
        <f t="shared" si="2"/>
        <v>Tuesday</v>
      </c>
      <c r="D1381" s="72" t="str">
        <f t="shared" si="3"/>
        <v>October</v>
      </c>
      <c r="E1381" s="72" t="str">
        <f t="shared" si="4"/>
        <v>Q4</v>
      </c>
      <c r="F1381" s="72">
        <f t="shared" si="5"/>
        <v>2022</v>
      </c>
      <c r="G1381" s="89">
        <f t="shared" si="6"/>
        <v>44849</v>
      </c>
      <c r="H1381" s="72" t="str">
        <f t="shared" si="7"/>
        <v>Yes</v>
      </c>
    </row>
    <row r="1382" ht="15.75" customHeight="1">
      <c r="A1382" s="88">
        <f t="shared" si="8"/>
        <v>44846</v>
      </c>
      <c r="B1382" s="72" t="str">
        <f t="shared" si="1"/>
        <v>20221012</v>
      </c>
      <c r="C1382" s="72" t="str">
        <f t="shared" si="2"/>
        <v>Wednesday</v>
      </c>
      <c r="D1382" s="72" t="str">
        <f t="shared" si="3"/>
        <v>October</v>
      </c>
      <c r="E1382" s="72" t="str">
        <f t="shared" si="4"/>
        <v>Q4</v>
      </c>
      <c r="F1382" s="72">
        <f t="shared" si="5"/>
        <v>2022</v>
      </c>
      <c r="G1382" s="89">
        <f t="shared" si="6"/>
        <v>44849</v>
      </c>
      <c r="H1382" s="72" t="str">
        <f t="shared" si="7"/>
        <v>Yes</v>
      </c>
    </row>
    <row r="1383" ht="15.75" customHeight="1">
      <c r="A1383" s="88">
        <f t="shared" si="8"/>
        <v>44847</v>
      </c>
      <c r="B1383" s="72" t="str">
        <f t="shared" si="1"/>
        <v>20221013</v>
      </c>
      <c r="C1383" s="72" t="str">
        <f t="shared" si="2"/>
        <v>Thursday</v>
      </c>
      <c r="D1383" s="72" t="str">
        <f t="shared" si="3"/>
        <v>October</v>
      </c>
      <c r="E1383" s="72" t="str">
        <f t="shared" si="4"/>
        <v>Q4</v>
      </c>
      <c r="F1383" s="72">
        <f t="shared" si="5"/>
        <v>2022</v>
      </c>
      <c r="G1383" s="89">
        <f t="shared" si="6"/>
        <v>44849</v>
      </c>
      <c r="H1383" s="72" t="str">
        <f t="shared" si="7"/>
        <v>Yes</v>
      </c>
    </row>
    <row r="1384" ht="15.75" customHeight="1">
      <c r="A1384" s="88">
        <f t="shared" si="8"/>
        <v>44848</v>
      </c>
      <c r="B1384" s="72" t="str">
        <f t="shared" si="1"/>
        <v>20221014</v>
      </c>
      <c r="C1384" s="72" t="str">
        <f t="shared" si="2"/>
        <v>Friday</v>
      </c>
      <c r="D1384" s="72" t="str">
        <f t="shared" si="3"/>
        <v>October</v>
      </c>
      <c r="E1384" s="72" t="str">
        <f t="shared" si="4"/>
        <v>Q4</v>
      </c>
      <c r="F1384" s="72">
        <f t="shared" si="5"/>
        <v>2022</v>
      </c>
      <c r="G1384" s="89">
        <f t="shared" si="6"/>
        <v>44849</v>
      </c>
      <c r="H1384" s="72" t="str">
        <f t="shared" si="7"/>
        <v>Yes</v>
      </c>
    </row>
    <row r="1385" ht="15.75" customHeight="1">
      <c r="A1385" s="88">
        <f t="shared" si="8"/>
        <v>44849</v>
      </c>
      <c r="B1385" s="72" t="str">
        <f t="shared" si="1"/>
        <v>20221015</v>
      </c>
      <c r="C1385" s="72" t="str">
        <f t="shared" si="2"/>
        <v>Saturday</v>
      </c>
      <c r="D1385" s="72" t="str">
        <f t="shared" si="3"/>
        <v>October</v>
      </c>
      <c r="E1385" s="72" t="str">
        <f t="shared" si="4"/>
        <v>Q4</v>
      </c>
      <c r="F1385" s="72">
        <f t="shared" si="5"/>
        <v>2022</v>
      </c>
      <c r="G1385" s="89">
        <f t="shared" si="6"/>
        <v>44849</v>
      </c>
      <c r="H1385" s="72" t="str">
        <f t="shared" si="7"/>
        <v>No</v>
      </c>
    </row>
    <row r="1386" ht="15.75" customHeight="1">
      <c r="A1386" s="88">
        <f t="shared" si="8"/>
        <v>44850</v>
      </c>
      <c r="B1386" s="72" t="str">
        <f t="shared" si="1"/>
        <v>20221016</v>
      </c>
      <c r="C1386" s="72" t="str">
        <f t="shared" si="2"/>
        <v>Sunday</v>
      </c>
      <c r="D1386" s="72" t="str">
        <f t="shared" si="3"/>
        <v>October</v>
      </c>
      <c r="E1386" s="72" t="str">
        <f t="shared" si="4"/>
        <v>Q4</v>
      </c>
      <c r="F1386" s="72">
        <f t="shared" si="5"/>
        <v>2022</v>
      </c>
      <c r="G1386" s="89">
        <f t="shared" si="6"/>
        <v>44856</v>
      </c>
      <c r="H1386" s="72" t="str">
        <f t="shared" si="7"/>
        <v>No</v>
      </c>
    </row>
    <row r="1387" ht="15.75" customHeight="1">
      <c r="A1387" s="88">
        <f t="shared" si="8"/>
        <v>44851</v>
      </c>
      <c r="B1387" s="72" t="str">
        <f t="shared" si="1"/>
        <v>20221017</v>
      </c>
      <c r="C1387" s="72" t="str">
        <f t="shared" si="2"/>
        <v>Monday</v>
      </c>
      <c r="D1387" s="72" t="str">
        <f t="shared" si="3"/>
        <v>October</v>
      </c>
      <c r="E1387" s="72" t="str">
        <f t="shared" si="4"/>
        <v>Q4</v>
      </c>
      <c r="F1387" s="72">
        <f t="shared" si="5"/>
        <v>2022</v>
      </c>
      <c r="G1387" s="89">
        <f t="shared" si="6"/>
        <v>44856</v>
      </c>
      <c r="H1387" s="72" t="str">
        <f t="shared" si="7"/>
        <v>Yes</v>
      </c>
    </row>
    <row r="1388" ht="15.75" customHeight="1">
      <c r="A1388" s="88">
        <f t="shared" si="8"/>
        <v>44852</v>
      </c>
      <c r="B1388" s="72" t="str">
        <f t="shared" si="1"/>
        <v>20221018</v>
      </c>
      <c r="C1388" s="72" t="str">
        <f t="shared" si="2"/>
        <v>Tuesday</v>
      </c>
      <c r="D1388" s="72" t="str">
        <f t="shared" si="3"/>
        <v>October</v>
      </c>
      <c r="E1388" s="72" t="str">
        <f t="shared" si="4"/>
        <v>Q4</v>
      </c>
      <c r="F1388" s="72">
        <f t="shared" si="5"/>
        <v>2022</v>
      </c>
      <c r="G1388" s="89">
        <f t="shared" si="6"/>
        <v>44856</v>
      </c>
      <c r="H1388" s="72" t="str">
        <f t="shared" si="7"/>
        <v>Yes</v>
      </c>
    </row>
    <row r="1389" ht="15.75" customHeight="1">
      <c r="A1389" s="88">
        <f t="shared" si="8"/>
        <v>44853</v>
      </c>
      <c r="B1389" s="72" t="str">
        <f t="shared" si="1"/>
        <v>20221019</v>
      </c>
      <c r="C1389" s="72" t="str">
        <f t="shared" si="2"/>
        <v>Wednesday</v>
      </c>
      <c r="D1389" s="72" t="str">
        <f t="shared" si="3"/>
        <v>October</v>
      </c>
      <c r="E1389" s="72" t="str">
        <f t="shared" si="4"/>
        <v>Q4</v>
      </c>
      <c r="F1389" s="72">
        <f t="shared" si="5"/>
        <v>2022</v>
      </c>
      <c r="G1389" s="89">
        <f t="shared" si="6"/>
        <v>44856</v>
      </c>
      <c r="H1389" s="72" t="str">
        <f t="shared" si="7"/>
        <v>Yes</v>
      </c>
    </row>
    <row r="1390" ht="15.75" customHeight="1">
      <c r="A1390" s="88">
        <f t="shared" si="8"/>
        <v>44854</v>
      </c>
      <c r="B1390" s="72" t="str">
        <f t="shared" si="1"/>
        <v>20221020</v>
      </c>
      <c r="C1390" s="72" t="str">
        <f t="shared" si="2"/>
        <v>Thursday</v>
      </c>
      <c r="D1390" s="72" t="str">
        <f t="shared" si="3"/>
        <v>October</v>
      </c>
      <c r="E1390" s="72" t="str">
        <f t="shared" si="4"/>
        <v>Q4</v>
      </c>
      <c r="F1390" s="72">
        <f t="shared" si="5"/>
        <v>2022</v>
      </c>
      <c r="G1390" s="89">
        <f t="shared" si="6"/>
        <v>44856</v>
      </c>
      <c r="H1390" s="72" t="str">
        <f t="shared" si="7"/>
        <v>Yes</v>
      </c>
    </row>
    <row r="1391" ht="15.75" customHeight="1">
      <c r="A1391" s="88">
        <f t="shared" si="8"/>
        <v>44855</v>
      </c>
      <c r="B1391" s="72" t="str">
        <f t="shared" si="1"/>
        <v>20221021</v>
      </c>
      <c r="C1391" s="72" t="str">
        <f t="shared" si="2"/>
        <v>Friday</v>
      </c>
      <c r="D1391" s="72" t="str">
        <f t="shared" si="3"/>
        <v>October</v>
      </c>
      <c r="E1391" s="72" t="str">
        <f t="shared" si="4"/>
        <v>Q4</v>
      </c>
      <c r="F1391" s="72">
        <f t="shared" si="5"/>
        <v>2022</v>
      </c>
      <c r="G1391" s="89">
        <f t="shared" si="6"/>
        <v>44856</v>
      </c>
      <c r="H1391" s="72" t="str">
        <f t="shared" si="7"/>
        <v>Yes</v>
      </c>
    </row>
    <row r="1392" ht="15.75" customHeight="1">
      <c r="A1392" s="88">
        <f t="shared" si="8"/>
        <v>44856</v>
      </c>
      <c r="B1392" s="72" t="str">
        <f t="shared" si="1"/>
        <v>20221022</v>
      </c>
      <c r="C1392" s="72" t="str">
        <f t="shared" si="2"/>
        <v>Saturday</v>
      </c>
      <c r="D1392" s="72" t="str">
        <f t="shared" si="3"/>
        <v>October</v>
      </c>
      <c r="E1392" s="72" t="str">
        <f t="shared" si="4"/>
        <v>Q4</v>
      </c>
      <c r="F1392" s="72">
        <f t="shared" si="5"/>
        <v>2022</v>
      </c>
      <c r="G1392" s="89">
        <f t="shared" si="6"/>
        <v>44856</v>
      </c>
      <c r="H1392" s="72" t="str">
        <f t="shared" si="7"/>
        <v>No</v>
      </c>
    </row>
    <row r="1393" ht="15.75" customHeight="1">
      <c r="A1393" s="88">
        <f t="shared" si="8"/>
        <v>44857</v>
      </c>
      <c r="B1393" s="72" t="str">
        <f t="shared" si="1"/>
        <v>20221023</v>
      </c>
      <c r="C1393" s="72" t="str">
        <f t="shared" si="2"/>
        <v>Sunday</v>
      </c>
      <c r="D1393" s="72" t="str">
        <f t="shared" si="3"/>
        <v>October</v>
      </c>
      <c r="E1393" s="72" t="str">
        <f t="shared" si="4"/>
        <v>Q4</v>
      </c>
      <c r="F1393" s="72">
        <f t="shared" si="5"/>
        <v>2022</v>
      </c>
      <c r="G1393" s="89">
        <f t="shared" si="6"/>
        <v>44863</v>
      </c>
      <c r="H1393" s="72" t="str">
        <f t="shared" si="7"/>
        <v>No</v>
      </c>
    </row>
    <row r="1394" ht="15.75" customHeight="1">
      <c r="A1394" s="88">
        <f t="shared" si="8"/>
        <v>44858</v>
      </c>
      <c r="B1394" s="72" t="str">
        <f t="shared" si="1"/>
        <v>20221024</v>
      </c>
      <c r="C1394" s="72" t="str">
        <f t="shared" si="2"/>
        <v>Monday</v>
      </c>
      <c r="D1394" s="72" t="str">
        <f t="shared" si="3"/>
        <v>October</v>
      </c>
      <c r="E1394" s="72" t="str">
        <f t="shared" si="4"/>
        <v>Q4</v>
      </c>
      <c r="F1394" s="72">
        <f t="shared" si="5"/>
        <v>2022</v>
      </c>
      <c r="G1394" s="89">
        <f t="shared" si="6"/>
        <v>44863</v>
      </c>
      <c r="H1394" s="72" t="str">
        <f t="shared" si="7"/>
        <v>Yes</v>
      </c>
    </row>
    <row r="1395" ht="15.75" customHeight="1">
      <c r="A1395" s="88">
        <f t="shared" si="8"/>
        <v>44859</v>
      </c>
      <c r="B1395" s="72" t="str">
        <f t="shared" si="1"/>
        <v>20221025</v>
      </c>
      <c r="C1395" s="72" t="str">
        <f t="shared" si="2"/>
        <v>Tuesday</v>
      </c>
      <c r="D1395" s="72" t="str">
        <f t="shared" si="3"/>
        <v>October</v>
      </c>
      <c r="E1395" s="72" t="str">
        <f t="shared" si="4"/>
        <v>Q4</v>
      </c>
      <c r="F1395" s="72">
        <f t="shared" si="5"/>
        <v>2022</v>
      </c>
      <c r="G1395" s="89">
        <f t="shared" si="6"/>
        <v>44863</v>
      </c>
      <c r="H1395" s="72" t="str">
        <f t="shared" si="7"/>
        <v>Yes</v>
      </c>
    </row>
    <row r="1396" ht="15.75" customHeight="1">
      <c r="A1396" s="88">
        <f t="shared" si="8"/>
        <v>44860</v>
      </c>
      <c r="B1396" s="72" t="str">
        <f t="shared" si="1"/>
        <v>20221026</v>
      </c>
      <c r="C1396" s="72" t="str">
        <f t="shared" si="2"/>
        <v>Wednesday</v>
      </c>
      <c r="D1396" s="72" t="str">
        <f t="shared" si="3"/>
        <v>October</v>
      </c>
      <c r="E1396" s="72" t="str">
        <f t="shared" si="4"/>
        <v>Q4</v>
      </c>
      <c r="F1396" s="72">
        <f t="shared" si="5"/>
        <v>2022</v>
      </c>
      <c r="G1396" s="89">
        <f t="shared" si="6"/>
        <v>44863</v>
      </c>
      <c r="H1396" s="72" t="str">
        <f t="shared" si="7"/>
        <v>Yes</v>
      </c>
    </row>
    <row r="1397" ht="15.75" customHeight="1">
      <c r="A1397" s="88">
        <f t="shared" si="8"/>
        <v>44861</v>
      </c>
      <c r="B1397" s="72" t="str">
        <f t="shared" si="1"/>
        <v>20221027</v>
      </c>
      <c r="C1397" s="72" t="str">
        <f t="shared" si="2"/>
        <v>Thursday</v>
      </c>
      <c r="D1397" s="72" t="str">
        <f t="shared" si="3"/>
        <v>October</v>
      </c>
      <c r="E1397" s="72" t="str">
        <f t="shared" si="4"/>
        <v>Q4</v>
      </c>
      <c r="F1397" s="72">
        <f t="shared" si="5"/>
        <v>2022</v>
      </c>
      <c r="G1397" s="89">
        <f t="shared" si="6"/>
        <v>44863</v>
      </c>
      <c r="H1397" s="72" t="str">
        <f t="shared" si="7"/>
        <v>Yes</v>
      </c>
    </row>
    <row r="1398" ht="15.75" customHeight="1">
      <c r="A1398" s="88">
        <f t="shared" si="8"/>
        <v>44862</v>
      </c>
      <c r="B1398" s="72" t="str">
        <f t="shared" si="1"/>
        <v>20221028</v>
      </c>
      <c r="C1398" s="72" t="str">
        <f t="shared" si="2"/>
        <v>Friday</v>
      </c>
      <c r="D1398" s="72" t="str">
        <f t="shared" si="3"/>
        <v>October</v>
      </c>
      <c r="E1398" s="72" t="str">
        <f t="shared" si="4"/>
        <v>Q4</v>
      </c>
      <c r="F1398" s="72">
        <f t="shared" si="5"/>
        <v>2022</v>
      </c>
      <c r="G1398" s="89">
        <f t="shared" si="6"/>
        <v>44863</v>
      </c>
      <c r="H1398" s="72" t="str">
        <f t="shared" si="7"/>
        <v>Yes</v>
      </c>
    </row>
    <row r="1399" ht="15.75" customHeight="1">
      <c r="A1399" s="88">
        <f t="shared" si="8"/>
        <v>44863</v>
      </c>
      <c r="B1399" s="72" t="str">
        <f t="shared" si="1"/>
        <v>20221029</v>
      </c>
      <c r="C1399" s="72" t="str">
        <f t="shared" si="2"/>
        <v>Saturday</v>
      </c>
      <c r="D1399" s="72" t="str">
        <f t="shared" si="3"/>
        <v>October</v>
      </c>
      <c r="E1399" s="72" t="str">
        <f t="shared" si="4"/>
        <v>Q4</v>
      </c>
      <c r="F1399" s="72">
        <f t="shared" si="5"/>
        <v>2022</v>
      </c>
      <c r="G1399" s="89">
        <f t="shared" si="6"/>
        <v>44863</v>
      </c>
      <c r="H1399" s="72" t="str">
        <f t="shared" si="7"/>
        <v>No</v>
      </c>
    </row>
    <row r="1400" ht="15.75" customHeight="1">
      <c r="A1400" s="88">
        <f t="shared" si="8"/>
        <v>44864</v>
      </c>
      <c r="B1400" s="72" t="str">
        <f t="shared" si="1"/>
        <v>20221030</v>
      </c>
      <c r="C1400" s="72" t="str">
        <f t="shared" si="2"/>
        <v>Sunday</v>
      </c>
      <c r="D1400" s="72" t="str">
        <f t="shared" si="3"/>
        <v>October</v>
      </c>
      <c r="E1400" s="72" t="str">
        <f t="shared" si="4"/>
        <v>Q4</v>
      </c>
      <c r="F1400" s="72">
        <f t="shared" si="5"/>
        <v>2022</v>
      </c>
      <c r="G1400" s="89">
        <f t="shared" si="6"/>
        <v>44870</v>
      </c>
      <c r="H1400" s="72" t="str">
        <f t="shared" si="7"/>
        <v>No</v>
      </c>
    </row>
    <row r="1401" ht="15.75" customHeight="1">
      <c r="A1401" s="88">
        <f t="shared" si="8"/>
        <v>44865</v>
      </c>
      <c r="B1401" s="72" t="str">
        <f t="shared" si="1"/>
        <v>20221031</v>
      </c>
      <c r="C1401" s="72" t="str">
        <f t="shared" si="2"/>
        <v>Monday</v>
      </c>
      <c r="D1401" s="72" t="str">
        <f t="shared" si="3"/>
        <v>October</v>
      </c>
      <c r="E1401" s="72" t="str">
        <f t="shared" si="4"/>
        <v>Q4</v>
      </c>
      <c r="F1401" s="72">
        <f t="shared" si="5"/>
        <v>2022</v>
      </c>
      <c r="G1401" s="89">
        <f t="shared" si="6"/>
        <v>44870</v>
      </c>
      <c r="H1401" s="72" t="str">
        <f t="shared" si="7"/>
        <v>Yes</v>
      </c>
    </row>
    <row r="1402" ht="15.75" customHeight="1">
      <c r="A1402" s="88">
        <f t="shared" si="8"/>
        <v>44866</v>
      </c>
      <c r="B1402" s="72" t="str">
        <f t="shared" si="1"/>
        <v>20221101</v>
      </c>
      <c r="C1402" s="72" t="str">
        <f t="shared" si="2"/>
        <v>Tuesday</v>
      </c>
      <c r="D1402" s="72" t="str">
        <f t="shared" si="3"/>
        <v>November</v>
      </c>
      <c r="E1402" s="72" t="str">
        <f t="shared" si="4"/>
        <v>Q4</v>
      </c>
      <c r="F1402" s="72">
        <f t="shared" si="5"/>
        <v>2022</v>
      </c>
      <c r="G1402" s="89">
        <f t="shared" si="6"/>
        <v>44870</v>
      </c>
      <c r="H1402" s="72" t="str">
        <f t="shared" si="7"/>
        <v>Yes</v>
      </c>
    </row>
    <row r="1403" ht="15.75" customHeight="1">
      <c r="A1403" s="88">
        <f t="shared" si="8"/>
        <v>44867</v>
      </c>
      <c r="B1403" s="72" t="str">
        <f t="shared" si="1"/>
        <v>20221102</v>
      </c>
      <c r="C1403" s="72" t="str">
        <f t="shared" si="2"/>
        <v>Wednesday</v>
      </c>
      <c r="D1403" s="72" t="str">
        <f t="shared" si="3"/>
        <v>November</v>
      </c>
      <c r="E1403" s="72" t="str">
        <f t="shared" si="4"/>
        <v>Q4</v>
      </c>
      <c r="F1403" s="72">
        <f t="shared" si="5"/>
        <v>2022</v>
      </c>
      <c r="G1403" s="89">
        <f t="shared" si="6"/>
        <v>44870</v>
      </c>
      <c r="H1403" s="72" t="str">
        <f t="shared" si="7"/>
        <v>Yes</v>
      </c>
    </row>
    <row r="1404" ht="15.75" customHeight="1">
      <c r="A1404" s="88">
        <f t="shared" si="8"/>
        <v>44868</v>
      </c>
      <c r="B1404" s="72" t="str">
        <f t="shared" si="1"/>
        <v>20221103</v>
      </c>
      <c r="C1404" s="72" t="str">
        <f t="shared" si="2"/>
        <v>Thursday</v>
      </c>
      <c r="D1404" s="72" t="str">
        <f t="shared" si="3"/>
        <v>November</v>
      </c>
      <c r="E1404" s="72" t="str">
        <f t="shared" si="4"/>
        <v>Q4</v>
      </c>
      <c r="F1404" s="72">
        <f t="shared" si="5"/>
        <v>2022</v>
      </c>
      <c r="G1404" s="89">
        <f t="shared" si="6"/>
        <v>44870</v>
      </c>
      <c r="H1404" s="72" t="str">
        <f t="shared" si="7"/>
        <v>Yes</v>
      </c>
    </row>
    <row r="1405" ht="15.75" customHeight="1">
      <c r="A1405" s="88">
        <f t="shared" si="8"/>
        <v>44869</v>
      </c>
      <c r="B1405" s="72" t="str">
        <f t="shared" si="1"/>
        <v>20221104</v>
      </c>
      <c r="C1405" s="72" t="str">
        <f t="shared" si="2"/>
        <v>Friday</v>
      </c>
      <c r="D1405" s="72" t="str">
        <f t="shared" si="3"/>
        <v>November</v>
      </c>
      <c r="E1405" s="72" t="str">
        <f t="shared" si="4"/>
        <v>Q4</v>
      </c>
      <c r="F1405" s="72">
        <f t="shared" si="5"/>
        <v>2022</v>
      </c>
      <c r="G1405" s="89">
        <f t="shared" si="6"/>
        <v>44870</v>
      </c>
      <c r="H1405" s="72" t="str">
        <f t="shared" si="7"/>
        <v>Yes</v>
      </c>
    </row>
    <row r="1406" ht="15.75" customHeight="1">
      <c r="A1406" s="88">
        <f t="shared" si="8"/>
        <v>44870</v>
      </c>
      <c r="B1406" s="72" t="str">
        <f t="shared" si="1"/>
        <v>20221105</v>
      </c>
      <c r="C1406" s="72" t="str">
        <f t="shared" si="2"/>
        <v>Saturday</v>
      </c>
      <c r="D1406" s="72" t="str">
        <f t="shared" si="3"/>
        <v>November</v>
      </c>
      <c r="E1406" s="72" t="str">
        <f t="shared" si="4"/>
        <v>Q4</v>
      </c>
      <c r="F1406" s="72">
        <f t="shared" si="5"/>
        <v>2022</v>
      </c>
      <c r="G1406" s="89">
        <f t="shared" si="6"/>
        <v>44870</v>
      </c>
      <c r="H1406" s="72" t="str">
        <f t="shared" si="7"/>
        <v>No</v>
      </c>
    </row>
    <row r="1407" ht="15.75" customHeight="1">
      <c r="A1407" s="88">
        <f t="shared" si="8"/>
        <v>44871</v>
      </c>
      <c r="B1407" s="72" t="str">
        <f t="shared" si="1"/>
        <v>20221106</v>
      </c>
      <c r="C1407" s="72" t="str">
        <f t="shared" si="2"/>
        <v>Sunday</v>
      </c>
      <c r="D1407" s="72" t="str">
        <f t="shared" si="3"/>
        <v>November</v>
      </c>
      <c r="E1407" s="72" t="str">
        <f t="shared" si="4"/>
        <v>Q4</v>
      </c>
      <c r="F1407" s="72">
        <f t="shared" si="5"/>
        <v>2022</v>
      </c>
      <c r="G1407" s="89">
        <f t="shared" si="6"/>
        <v>44877</v>
      </c>
      <c r="H1407" s="72" t="str">
        <f t="shared" si="7"/>
        <v>No</v>
      </c>
    </row>
    <row r="1408" ht="15.75" customHeight="1">
      <c r="A1408" s="88">
        <f t="shared" si="8"/>
        <v>44872</v>
      </c>
      <c r="B1408" s="72" t="str">
        <f t="shared" si="1"/>
        <v>20221107</v>
      </c>
      <c r="C1408" s="72" t="str">
        <f t="shared" si="2"/>
        <v>Monday</v>
      </c>
      <c r="D1408" s="72" t="str">
        <f t="shared" si="3"/>
        <v>November</v>
      </c>
      <c r="E1408" s="72" t="str">
        <f t="shared" si="4"/>
        <v>Q4</v>
      </c>
      <c r="F1408" s="72">
        <f t="shared" si="5"/>
        <v>2022</v>
      </c>
      <c r="G1408" s="89">
        <f t="shared" si="6"/>
        <v>44877</v>
      </c>
      <c r="H1408" s="72" t="str">
        <f t="shared" si="7"/>
        <v>Yes</v>
      </c>
    </row>
    <row r="1409" ht="15.75" customHeight="1">
      <c r="A1409" s="88">
        <f t="shared" si="8"/>
        <v>44873</v>
      </c>
      <c r="B1409" s="72" t="str">
        <f t="shared" si="1"/>
        <v>20221108</v>
      </c>
      <c r="C1409" s="72" t="str">
        <f t="shared" si="2"/>
        <v>Tuesday</v>
      </c>
      <c r="D1409" s="72" t="str">
        <f t="shared" si="3"/>
        <v>November</v>
      </c>
      <c r="E1409" s="72" t="str">
        <f t="shared" si="4"/>
        <v>Q4</v>
      </c>
      <c r="F1409" s="72">
        <f t="shared" si="5"/>
        <v>2022</v>
      </c>
      <c r="G1409" s="89">
        <f t="shared" si="6"/>
        <v>44877</v>
      </c>
      <c r="H1409" s="72" t="str">
        <f t="shared" si="7"/>
        <v>Yes</v>
      </c>
    </row>
    <row r="1410" ht="15.75" customHeight="1">
      <c r="A1410" s="88">
        <f t="shared" si="8"/>
        <v>44874</v>
      </c>
      <c r="B1410" s="72" t="str">
        <f t="shared" si="1"/>
        <v>20221109</v>
      </c>
      <c r="C1410" s="72" t="str">
        <f t="shared" si="2"/>
        <v>Wednesday</v>
      </c>
      <c r="D1410" s="72" t="str">
        <f t="shared" si="3"/>
        <v>November</v>
      </c>
      <c r="E1410" s="72" t="str">
        <f t="shared" si="4"/>
        <v>Q4</v>
      </c>
      <c r="F1410" s="72">
        <f t="shared" si="5"/>
        <v>2022</v>
      </c>
      <c r="G1410" s="89">
        <f t="shared" si="6"/>
        <v>44877</v>
      </c>
      <c r="H1410" s="72" t="str">
        <f t="shared" si="7"/>
        <v>Yes</v>
      </c>
    </row>
    <row r="1411" ht="15.75" customHeight="1">
      <c r="A1411" s="88">
        <f t="shared" si="8"/>
        <v>44875</v>
      </c>
      <c r="B1411" s="72" t="str">
        <f t="shared" si="1"/>
        <v>20221110</v>
      </c>
      <c r="C1411" s="72" t="str">
        <f t="shared" si="2"/>
        <v>Thursday</v>
      </c>
      <c r="D1411" s="72" t="str">
        <f t="shared" si="3"/>
        <v>November</v>
      </c>
      <c r="E1411" s="72" t="str">
        <f t="shared" si="4"/>
        <v>Q4</v>
      </c>
      <c r="F1411" s="72">
        <f t="shared" si="5"/>
        <v>2022</v>
      </c>
      <c r="G1411" s="89">
        <f t="shared" si="6"/>
        <v>44877</v>
      </c>
      <c r="H1411" s="72" t="str">
        <f t="shared" si="7"/>
        <v>Yes</v>
      </c>
    </row>
    <row r="1412" ht="15.75" customHeight="1">
      <c r="A1412" s="88">
        <f t="shared" si="8"/>
        <v>44876</v>
      </c>
      <c r="B1412" s="72" t="str">
        <f t="shared" si="1"/>
        <v>20221111</v>
      </c>
      <c r="C1412" s="72" t="str">
        <f t="shared" si="2"/>
        <v>Friday</v>
      </c>
      <c r="D1412" s="72" t="str">
        <f t="shared" si="3"/>
        <v>November</v>
      </c>
      <c r="E1412" s="72" t="str">
        <f t="shared" si="4"/>
        <v>Q4</v>
      </c>
      <c r="F1412" s="72">
        <f t="shared" si="5"/>
        <v>2022</v>
      </c>
      <c r="G1412" s="89">
        <f t="shared" si="6"/>
        <v>44877</v>
      </c>
      <c r="H1412" s="72" t="str">
        <f t="shared" si="7"/>
        <v>Yes</v>
      </c>
    </row>
    <row r="1413" ht="15.75" customHeight="1">
      <c r="A1413" s="88">
        <f t="shared" si="8"/>
        <v>44877</v>
      </c>
      <c r="B1413" s="72" t="str">
        <f t="shared" si="1"/>
        <v>20221112</v>
      </c>
      <c r="C1413" s="72" t="str">
        <f t="shared" si="2"/>
        <v>Saturday</v>
      </c>
      <c r="D1413" s="72" t="str">
        <f t="shared" si="3"/>
        <v>November</v>
      </c>
      <c r="E1413" s="72" t="str">
        <f t="shared" si="4"/>
        <v>Q4</v>
      </c>
      <c r="F1413" s="72">
        <f t="shared" si="5"/>
        <v>2022</v>
      </c>
      <c r="G1413" s="89">
        <f t="shared" si="6"/>
        <v>44877</v>
      </c>
      <c r="H1413" s="72" t="str">
        <f t="shared" si="7"/>
        <v>No</v>
      </c>
    </row>
    <row r="1414" ht="15.75" customHeight="1">
      <c r="A1414" s="88">
        <f t="shared" si="8"/>
        <v>44878</v>
      </c>
      <c r="B1414" s="72" t="str">
        <f t="shared" si="1"/>
        <v>20221113</v>
      </c>
      <c r="C1414" s="72" t="str">
        <f t="shared" si="2"/>
        <v>Sunday</v>
      </c>
      <c r="D1414" s="72" t="str">
        <f t="shared" si="3"/>
        <v>November</v>
      </c>
      <c r="E1414" s="72" t="str">
        <f t="shared" si="4"/>
        <v>Q4</v>
      </c>
      <c r="F1414" s="72">
        <f t="shared" si="5"/>
        <v>2022</v>
      </c>
      <c r="G1414" s="89">
        <f t="shared" si="6"/>
        <v>44884</v>
      </c>
      <c r="H1414" s="72" t="str">
        <f t="shared" si="7"/>
        <v>No</v>
      </c>
    </row>
    <row r="1415" ht="15.75" customHeight="1">
      <c r="A1415" s="88">
        <f t="shared" si="8"/>
        <v>44879</v>
      </c>
      <c r="B1415" s="72" t="str">
        <f t="shared" si="1"/>
        <v>20221114</v>
      </c>
      <c r="C1415" s="72" t="str">
        <f t="shared" si="2"/>
        <v>Monday</v>
      </c>
      <c r="D1415" s="72" t="str">
        <f t="shared" si="3"/>
        <v>November</v>
      </c>
      <c r="E1415" s="72" t="str">
        <f t="shared" si="4"/>
        <v>Q4</v>
      </c>
      <c r="F1415" s="72">
        <f t="shared" si="5"/>
        <v>2022</v>
      </c>
      <c r="G1415" s="89">
        <f t="shared" si="6"/>
        <v>44884</v>
      </c>
      <c r="H1415" s="72" t="str">
        <f t="shared" si="7"/>
        <v>Yes</v>
      </c>
    </row>
    <row r="1416" ht="15.75" customHeight="1">
      <c r="A1416" s="88">
        <f t="shared" si="8"/>
        <v>44880</v>
      </c>
      <c r="B1416" s="72" t="str">
        <f t="shared" si="1"/>
        <v>20221115</v>
      </c>
      <c r="C1416" s="72" t="str">
        <f t="shared" si="2"/>
        <v>Tuesday</v>
      </c>
      <c r="D1416" s="72" t="str">
        <f t="shared" si="3"/>
        <v>November</v>
      </c>
      <c r="E1416" s="72" t="str">
        <f t="shared" si="4"/>
        <v>Q4</v>
      </c>
      <c r="F1416" s="72">
        <f t="shared" si="5"/>
        <v>2022</v>
      </c>
      <c r="G1416" s="89">
        <f t="shared" si="6"/>
        <v>44884</v>
      </c>
      <c r="H1416" s="72" t="str">
        <f t="shared" si="7"/>
        <v>Yes</v>
      </c>
    </row>
    <row r="1417" ht="15.75" customHeight="1">
      <c r="A1417" s="88">
        <f t="shared" si="8"/>
        <v>44881</v>
      </c>
      <c r="B1417" s="72" t="str">
        <f t="shared" si="1"/>
        <v>20221116</v>
      </c>
      <c r="C1417" s="72" t="str">
        <f t="shared" si="2"/>
        <v>Wednesday</v>
      </c>
      <c r="D1417" s="72" t="str">
        <f t="shared" si="3"/>
        <v>November</v>
      </c>
      <c r="E1417" s="72" t="str">
        <f t="shared" si="4"/>
        <v>Q4</v>
      </c>
      <c r="F1417" s="72">
        <f t="shared" si="5"/>
        <v>2022</v>
      </c>
      <c r="G1417" s="89">
        <f t="shared" si="6"/>
        <v>44884</v>
      </c>
      <c r="H1417" s="72" t="str">
        <f t="shared" si="7"/>
        <v>Yes</v>
      </c>
    </row>
    <row r="1418" ht="15.75" customHeight="1">
      <c r="A1418" s="88">
        <f t="shared" si="8"/>
        <v>44882</v>
      </c>
      <c r="B1418" s="72" t="str">
        <f t="shared" si="1"/>
        <v>20221117</v>
      </c>
      <c r="C1418" s="72" t="str">
        <f t="shared" si="2"/>
        <v>Thursday</v>
      </c>
      <c r="D1418" s="72" t="str">
        <f t="shared" si="3"/>
        <v>November</v>
      </c>
      <c r="E1418" s="72" t="str">
        <f t="shared" si="4"/>
        <v>Q4</v>
      </c>
      <c r="F1418" s="72">
        <f t="shared" si="5"/>
        <v>2022</v>
      </c>
      <c r="G1418" s="89">
        <f t="shared" si="6"/>
        <v>44884</v>
      </c>
      <c r="H1418" s="72" t="str">
        <f t="shared" si="7"/>
        <v>Yes</v>
      </c>
    </row>
    <row r="1419" ht="15.75" customHeight="1">
      <c r="A1419" s="88">
        <f t="shared" si="8"/>
        <v>44883</v>
      </c>
      <c r="B1419" s="72" t="str">
        <f t="shared" si="1"/>
        <v>20221118</v>
      </c>
      <c r="C1419" s="72" t="str">
        <f t="shared" si="2"/>
        <v>Friday</v>
      </c>
      <c r="D1419" s="72" t="str">
        <f t="shared" si="3"/>
        <v>November</v>
      </c>
      <c r="E1419" s="72" t="str">
        <f t="shared" si="4"/>
        <v>Q4</v>
      </c>
      <c r="F1419" s="72">
        <f t="shared" si="5"/>
        <v>2022</v>
      </c>
      <c r="G1419" s="89">
        <f t="shared" si="6"/>
        <v>44884</v>
      </c>
      <c r="H1419" s="72" t="str">
        <f t="shared" si="7"/>
        <v>Yes</v>
      </c>
    </row>
    <row r="1420" ht="15.75" customHeight="1">
      <c r="A1420" s="88">
        <f t="shared" si="8"/>
        <v>44884</v>
      </c>
      <c r="B1420" s="72" t="str">
        <f t="shared" si="1"/>
        <v>20221119</v>
      </c>
      <c r="C1420" s="72" t="str">
        <f t="shared" si="2"/>
        <v>Saturday</v>
      </c>
      <c r="D1420" s="72" t="str">
        <f t="shared" si="3"/>
        <v>November</v>
      </c>
      <c r="E1420" s="72" t="str">
        <f t="shared" si="4"/>
        <v>Q4</v>
      </c>
      <c r="F1420" s="72">
        <f t="shared" si="5"/>
        <v>2022</v>
      </c>
      <c r="G1420" s="89">
        <f t="shared" si="6"/>
        <v>44884</v>
      </c>
      <c r="H1420" s="72" t="str">
        <f t="shared" si="7"/>
        <v>No</v>
      </c>
    </row>
    <row r="1421" ht="15.75" customHeight="1">
      <c r="A1421" s="88">
        <f t="shared" si="8"/>
        <v>44885</v>
      </c>
      <c r="B1421" s="72" t="str">
        <f t="shared" si="1"/>
        <v>20221120</v>
      </c>
      <c r="C1421" s="72" t="str">
        <f t="shared" si="2"/>
        <v>Sunday</v>
      </c>
      <c r="D1421" s="72" t="str">
        <f t="shared" si="3"/>
        <v>November</v>
      </c>
      <c r="E1421" s="72" t="str">
        <f t="shared" si="4"/>
        <v>Q4</v>
      </c>
      <c r="F1421" s="72">
        <f t="shared" si="5"/>
        <v>2022</v>
      </c>
      <c r="G1421" s="89">
        <f t="shared" si="6"/>
        <v>44891</v>
      </c>
      <c r="H1421" s="72" t="str">
        <f t="shared" si="7"/>
        <v>No</v>
      </c>
    </row>
    <row r="1422" ht="15.75" customHeight="1">
      <c r="A1422" s="88">
        <f t="shared" si="8"/>
        <v>44886</v>
      </c>
      <c r="B1422" s="72" t="str">
        <f t="shared" si="1"/>
        <v>20221121</v>
      </c>
      <c r="C1422" s="72" t="str">
        <f t="shared" si="2"/>
        <v>Monday</v>
      </c>
      <c r="D1422" s="72" t="str">
        <f t="shared" si="3"/>
        <v>November</v>
      </c>
      <c r="E1422" s="72" t="str">
        <f t="shared" si="4"/>
        <v>Q4</v>
      </c>
      <c r="F1422" s="72">
        <f t="shared" si="5"/>
        <v>2022</v>
      </c>
      <c r="G1422" s="89">
        <f t="shared" si="6"/>
        <v>44891</v>
      </c>
      <c r="H1422" s="72" t="str">
        <f t="shared" si="7"/>
        <v>Yes</v>
      </c>
    </row>
    <row r="1423" ht="15.75" customHeight="1">
      <c r="A1423" s="88">
        <f t="shared" si="8"/>
        <v>44887</v>
      </c>
      <c r="B1423" s="72" t="str">
        <f t="shared" si="1"/>
        <v>20221122</v>
      </c>
      <c r="C1423" s="72" t="str">
        <f t="shared" si="2"/>
        <v>Tuesday</v>
      </c>
      <c r="D1423" s="72" t="str">
        <f t="shared" si="3"/>
        <v>November</v>
      </c>
      <c r="E1423" s="72" t="str">
        <f t="shared" si="4"/>
        <v>Q4</v>
      </c>
      <c r="F1423" s="72">
        <f t="shared" si="5"/>
        <v>2022</v>
      </c>
      <c r="G1423" s="89">
        <f t="shared" si="6"/>
        <v>44891</v>
      </c>
      <c r="H1423" s="72" t="str">
        <f t="shared" si="7"/>
        <v>Yes</v>
      </c>
    </row>
    <row r="1424" ht="15.75" customHeight="1">
      <c r="A1424" s="88">
        <f t="shared" si="8"/>
        <v>44888</v>
      </c>
      <c r="B1424" s="72" t="str">
        <f t="shared" si="1"/>
        <v>20221123</v>
      </c>
      <c r="C1424" s="72" t="str">
        <f t="shared" si="2"/>
        <v>Wednesday</v>
      </c>
      <c r="D1424" s="72" t="str">
        <f t="shared" si="3"/>
        <v>November</v>
      </c>
      <c r="E1424" s="72" t="str">
        <f t="shared" si="4"/>
        <v>Q4</v>
      </c>
      <c r="F1424" s="72">
        <f t="shared" si="5"/>
        <v>2022</v>
      </c>
      <c r="G1424" s="89">
        <f t="shared" si="6"/>
        <v>44891</v>
      </c>
      <c r="H1424" s="72" t="str">
        <f t="shared" si="7"/>
        <v>Yes</v>
      </c>
    </row>
    <row r="1425" ht="15.75" customHeight="1">
      <c r="A1425" s="88">
        <f t="shared" si="8"/>
        <v>44889</v>
      </c>
      <c r="B1425" s="72" t="str">
        <f t="shared" si="1"/>
        <v>20221124</v>
      </c>
      <c r="C1425" s="72" t="str">
        <f t="shared" si="2"/>
        <v>Thursday</v>
      </c>
      <c r="D1425" s="72" t="str">
        <f t="shared" si="3"/>
        <v>November</v>
      </c>
      <c r="E1425" s="72" t="str">
        <f t="shared" si="4"/>
        <v>Q4</v>
      </c>
      <c r="F1425" s="72">
        <f t="shared" si="5"/>
        <v>2022</v>
      </c>
      <c r="G1425" s="89">
        <f t="shared" si="6"/>
        <v>44891</v>
      </c>
      <c r="H1425" s="72" t="str">
        <f t="shared" si="7"/>
        <v>Yes</v>
      </c>
    </row>
    <row r="1426" ht="15.75" customHeight="1">
      <c r="A1426" s="88">
        <f t="shared" si="8"/>
        <v>44890</v>
      </c>
      <c r="B1426" s="72" t="str">
        <f t="shared" si="1"/>
        <v>20221125</v>
      </c>
      <c r="C1426" s="72" t="str">
        <f t="shared" si="2"/>
        <v>Friday</v>
      </c>
      <c r="D1426" s="72" t="str">
        <f t="shared" si="3"/>
        <v>November</v>
      </c>
      <c r="E1426" s="72" t="str">
        <f t="shared" si="4"/>
        <v>Q4</v>
      </c>
      <c r="F1426" s="72">
        <f t="shared" si="5"/>
        <v>2022</v>
      </c>
      <c r="G1426" s="89">
        <f t="shared" si="6"/>
        <v>44891</v>
      </c>
      <c r="H1426" s="72" t="str">
        <f t="shared" si="7"/>
        <v>Yes</v>
      </c>
    </row>
    <row r="1427" ht="15.75" customHeight="1">
      <c r="A1427" s="88">
        <f t="shared" si="8"/>
        <v>44891</v>
      </c>
      <c r="B1427" s="72" t="str">
        <f t="shared" si="1"/>
        <v>20221126</v>
      </c>
      <c r="C1427" s="72" t="str">
        <f t="shared" si="2"/>
        <v>Saturday</v>
      </c>
      <c r="D1427" s="72" t="str">
        <f t="shared" si="3"/>
        <v>November</v>
      </c>
      <c r="E1427" s="72" t="str">
        <f t="shared" si="4"/>
        <v>Q4</v>
      </c>
      <c r="F1427" s="72">
        <f t="shared" si="5"/>
        <v>2022</v>
      </c>
      <c r="G1427" s="89">
        <f t="shared" si="6"/>
        <v>44891</v>
      </c>
      <c r="H1427" s="72" t="str">
        <f t="shared" si="7"/>
        <v>No</v>
      </c>
    </row>
    <row r="1428" ht="15.75" customHeight="1">
      <c r="A1428" s="88">
        <f t="shared" si="8"/>
        <v>44892</v>
      </c>
      <c r="B1428" s="72" t="str">
        <f t="shared" si="1"/>
        <v>20221127</v>
      </c>
      <c r="C1428" s="72" t="str">
        <f t="shared" si="2"/>
        <v>Sunday</v>
      </c>
      <c r="D1428" s="72" t="str">
        <f t="shared" si="3"/>
        <v>November</v>
      </c>
      <c r="E1428" s="72" t="str">
        <f t="shared" si="4"/>
        <v>Q4</v>
      </c>
      <c r="F1428" s="72">
        <f t="shared" si="5"/>
        <v>2022</v>
      </c>
      <c r="G1428" s="89">
        <f t="shared" si="6"/>
        <v>44898</v>
      </c>
      <c r="H1428" s="72" t="str">
        <f t="shared" si="7"/>
        <v>No</v>
      </c>
    </row>
    <row r="1429" ht="15.75" customHeight="1">
      <c r="A1429" s="88">
        <f t="shared" si="8"/>
        <v>44893</v>
      </c>
      <c r="B1429" s="72" t="str">
        <f t="shared" si="1"/>
        <v>20221128</v>
      </c>
      <c r="C1429" s="72" t="str">
        <f t="shared" si="2"/>
        <v>Monday</v>
      </c>
      <c r="D1429" s="72" t="str">
        <f t="shared" si="3"/>
        <v>November</v>
      </c>
      <c r="E1429" s="72" t="str">
        <f t="shared" si="4"/>
        <v>Q4</v>
      </c>
      <c r="F1429" s="72">
        <f t="shared" si="5"/>
        <v>2022</v>
      </c>
      <c r="G1429" s="89">
        <f t="shared" si="6"/>
        <v>44898</v>
      </c>
      <c r="H1429" s="72" t="str">
        <f t="shared" si="7"/>
        <v>Yes</v>
      </c>
    </row>
    <row r="1430" ht="15.75" customHeight="1">
      <c r="A1430" s="88">
        <f t="shared" si="8"/>
        <v>44894</v>
      </c>
      <c r="B1430" s="72" t="str">
        <f t="shared" si="1"/>
        <v>20221129</v>
      </c>
      <c r="C1430" s="72" t="str">
        <f t="shared" si="2"/>
        <v>Tuesday</v>
      </c>
      <c r="D1430" s="72" t="str">
        <f t="shared" si="3"/>
        <v>November</v>
      </c>
      <c r="E1430" s="72" t="str">
        <f t="shared" si="4"/>
        <v>Q4</v>
      </c>
      <c r="F1430" s="72">
        <f t="shared" si="5"/>
        <v>2022</v>
      </c>
      <c r="G1430" s="89">
        <f t="shared" si="6"/>
        <v>44898</v>
      </c>
      <c r="H1430" s="72" t="str">
        <f t="shared" si="7"/>
        <v>Yes</v>
      </c>
    </row>
    <row r="1431" ht="15.75" customHeight="1">
      <c r="A1431" s="88">
        <f t="shared" si="8"/>
        <v>44895</v>
      </c>
      <c r="B1431" s="72" t="str">
        <f t="shared" si="1"/>
        <v>20221130</v>
      </c>
      <c r="C1431" s="72" t="str">
        <f t="shared" si="2"/>
        <v>Wednesday</v>
      </c>
      <c r="D1431" s="72" t="str">
        <f t="shared" si="3"/>
        <v>November</v>
      </c>
      <c r="E1431" s="72" t="str">
        <f t="shared" si="4"/>
        <v>Q4</v>
      </c>
      <c r="F1431" s="72">
        <f t="shared" si="5"/>
        <v>2022</v>
      </c>
      <c r="G1431" s="89">
        <f t="shared" si="6"/>
        <v>44898</v>
      </c>
      <c r="H1431" s="72" t="str">
        <f t="shared" si="7"/>
        <v>Yes</v>
      </c>
    </row>
    <row r="1432" ht="15.75" customHeight="1">
      <c r="A1432" s="88">
        <f t="shared" si="8"/>
        <v>44896</v>
      </c>
      <c r="B1432" s="72" t="str">
        <f t="shared" si="1"/>
        <v>20221201</v>
      </c>
      <c r="C1432" s="72" t="str">
        <f t="shared" si="2"/>
        <v>Thursday</v>
      </c>
      <c r="D1432" s="72" t="str">
        <f t="shared" si="3"/>
        <v>December</v>
      </c>
      <c r="E1432" s="72" t="str">
        <f t="shared" si="4"/>
        <v>Q4</v>
      </c>
      <c r="F1432" s="72">
        <f t="shared" si="5"/>
        <v>2022</v>
      </c>
      <c r="G1432" s="89">
        <f t="shared" si="6"/>
        <v>44898</v>
      </c>
      <c r="H1432" s="72" t="str">
        <f t="shared" si="7"/>
        <v>Yes</v>
      </c>
    </row>
    <row r="1433" ht="15.75" customHeight="1">
      <c r="A1433" s="88">
        <f t="shared" si="8"/>
        <v>44897</v>
      </c>
      <c r="B1433" s="72" t="str">
        <f t="shared" si="1"/>
        <v>20221202</v>
      </c>
      <c r="C1433" s="72" t="str">
        <f t="shared" si="2"/>
        <v>Friday</v>
      </c>
      <c r="D1433" s="72" t="str">
        <f t="shared" si="3"/>
        <v>December</v>
      </c>
      <c r="E1433" s="72" t="str">
        <f t="shared" si="4"/>
        <v>Q4</v>
      </c>
      <c r="F1433" s="72">
        <f t="shared" si="5"/>
        <v>2022</v>
      </c>
      <c r="G1433" s="89">
        <f t="shared" si="6"/>
        <v>44898</v>
      </c>
      <c r="H1433" s="72" t="str">
        <f t="shared" si="7"/>
        <v>Yes</v>
      </c>
    </row>
    <row r="1434" ht="15.75" customHeight="1">
      <c r="A1434" s="88">
        <f t="shared" si="8"/>
        <v>44898</v>
      </c>
      <c r="B1434" s="72" t="str">
        <f t="shared" si="1"/>
        <v>20221203</v>
      </c>
      <c r="C1434" s="72" t="str">
        <f t="shared" si="2"/>
        <v>Saturday</v>
      </c>
      <c r="D1434" s="72" t="str">
        <f t="shared" si="3"/>
        <v>December</v>
      </c>
      <c r="E1434" s="72" t="str">
        <f t="shared" si="4"/>
        <v>Q4</v>
      </c>
      <c r="F1434" s="72">
        <f t="shared" si="5"/>
        <v>2022</v>
      </c>
      <c r="G1434" s="89">
        <f t="shared" si="6"/>
        <v>44898</v>
      </c>
      <c r="H1434" s="72" t="str">
        <f t="shared" si="7"/>
        <v>No</v>
      </c>
    </row>
    <row r="1435" ht="15.75" customHeight="1">
      <c r="A1435" s="88">
        <f t="shared" si="8"/>
        <v>44899</v>
      </c>
      <c r="B1435" s="72" t="str">
        <f t="shared" si="1"/>
        <v>20221204</v>
      </c>
      <c r="C1435" s="72" t="str">
        <f t="shared" si="2"/>
        <v>Sunday</v>
      </c>
      <c r="D1435" s="72" t="str">
        <f t="shared" si="3"/>
        <v>December</v>
      </c>
      <c r="E1435" s="72" t="str">
        <f t="shared" si="4"/>
        <v>Q4</v>
      </c>
      <c r="F1435" s="72">
        <f t="shared" si="5"/>
        <v>2022</v>
      </c>
      <c r="G1435" s="89">
        <f t="shared" si="6"/>
        <v>44905</v>
      </c>
      <c r="H1435" s="72" t="str">
        <f t="shared" si="7"/>
        <v>No</v>
      </c>
    </row>
    <row r="1436" ht="15.75" customHeight="1">
      <c r="A1436" s="88">
        <f t="shared" si="8"/>
        <v>44900</v>
      </c>
      <c r="B1436" s="72" t="str">
        <f t="shared" si="1"/>
        <v>20221205</v>
      </c>
      <c r="C1436" s="72" t="str">
        <f t="shared" si="2"/>
        <v>Monday</v>
      </c>
      <c r="D1436" s="72" t="str">
        <f t="shared" si="3"/>
        <v>December</v>
      </c>
      <c r="E1436" s="72" t="str">
        <f t="shared" si="4"/>
        <v>Q4</v>
      </c>
      <c r="F1436" s="72">
        <f t="shared" si="5"/>
        <v>2022</v>
      </c>
      <c r="G1436" s="89">
        <f t="shared" si="6"/>
        <v>44905</v>
      </c>
      <c r="H1436" s="72" t="str">
        <f t="shared" si="7"/>
        <v>Yes</v>
      </c>
    </row>
    <row r="1437" ht="15.75" customHeight="1">
      <c r="A1437" s="88">
        <f t="shared" si="8"/>
        <v>44901</v>
      </c>
      <c r="B1437" s="72" t="str">
        <f t="shared" si="1"/>
        <v>20221206</v>
      </c>
      <c r="C1437" s="72" t="str">
        <f t="shared" si="2"/>
        <v>Tuesday</v>
      </c>
      <c r="D1437" s="72" t="str">
        <f t="shared" si="3"/>
        <v>December</v>
      </c>
      <c r="E1437" s="72" t="str">
        <f t="shared" si="4"/>
        <v>Q4</v>
      </c>
      <c r="F1437" s="72">
        <f t="shared" si="5"/>
        <v>2022</v>
      </c>
      <c r="G1437" s="89">
        <f t="shared" si="6"/>
        <v>44905</v>
      </c>
      <c r="H1437" s="72" t="str">
        <f t="shared" si="7"/>
        <v>Yes</v>
      </c>
    </row>
    <row r="1438" ht="15.75" customHeight="1">
      <c r="A1438" s="88">
        <f t="shared" si="8"/>
        <v>44902</v>
      </c>
      <c r="B1438" s="72" t="str">
        <f t="shared" si="1"/>
        <v>20221207</v>
      </c>
      <c r="C1438" s="72" t="str">
        <f t="shared" si="2"/>
        <v>Wednesday</v>
      </c>
      <c r="D1438" s="72" t="str">
        <f t="shared" si="3"/>
        <v>December</v>
      </c>
      <c r="E1438" s="72" t="str">
        <f t="shared" si="4"/>
        <v>Q4</v>
      </c>
      <c r="F1438" s="72">
        <f t="shared" si="5"/>
        <v>2022</v>
      </c>
      <c r="G1438" s="89">
        <f t="shared" si="6"/>
        <v>44905</v>
      </c>
      <c r="H1438" s="72" t="str">
        <f t="shared" si="7"/>
        <v>Yes</v>
      </c>
    </row>
    <row r="1439" ht="15.75" customHeight="1">
      <c r="A1439" s="88">
        <f t="shared" si="8"/>
        <v>44903</v>
      </c>
      <c r="B1439" s="72" t="str">
        <f t="shared" si="1"/>
        <v>20221208</v>
      </c>
      <c r="C1439" s="72" t="str">
        <f t="shared" si="2"/>
        <v>Thursday</v>
      </c>
      <c r="D1439" s="72" t="str">
        <f t="shared" si="3"/>
        <v>December</v>
      </c>
      <c r="E1439" s="72" t="str">
        <f t="shared" si="4"/>
        <v>Q4</v>
      </c>
      <c r="F1439" s="72">
        <f t="shared" si="5"/>
        <v>2022</v>
      </c>
      <c r="G1439" s="89">
        <f t="shared" si="6"/>
        <v>44905</v>
      </c>
      <c r="H1439" s="72" t="str">
        <f t="shared" si="7"/>
        <v>Yes</v>
      </c>
    </row>
    <row r="1440" ht="15.75" customHeight="1">
      <c r="A1440" s="88">
        <f t="shared" si="8"/>
        <v>44904</v>
      </c>
      <c r="B1440" s="72" t="str">
        <f t="shared" si="1"/>
        <v>20221209</v>
      </c>
      <c r="C1440" s="72" t="str">
        <f t="shared" si="2"/>
        <v>Friday</v>
      </c>
      <c r="D1440" s="72" t="str">
        <f t="shared" si="3"/>
        <v>December</v>
      </c>
      <c r="E1440" s="72" t="str">
        <f t="shared" si="4"/>
        <v>Q4</v>
      </c>
      <c r="F1440" s="72">
        <f t="shared" si="5"/>
        <v>2022</v>
      </c>
      <c r="G1440" s="89">
        <f t="shared" si="6"/>
        <v>44905</v>
      </c>
      <c r="H1440" s="72" t="str">
        <f t="shared" si="7"/>
        <v>Yes</v>
      </c>
    </row>
    <row r="1441" ht="15.75" customHeight="1">
      <c r="A1441" s="88">
        <f t="shared" si="8"/>
        <v>44905</v>
      </c>
      <c r="B1441" s="72" t="str">
        <f t="shared" si="1"/>
        <v>20221210</v>
      </c>
      <c r="C1441" s="72" t="str">
        <f t="shared" si="2"/>
        <v>Saturday</v>
      </c>
      <c r="D1441" s="72" t="str">
        <f t="shared" si="3"/>
        <v>December</v>
      </c>
      <c r="E1441" s="72" t="str">
        <f t="shared" si="4"/>
        <v>Q4</v>
      </c>
      <c r="F1441" s="72">
        <f t="shared" si="5"/>
        <v>2022</v>
      </c>
      <c r="G1441" s="89">
        <f t="shared" si="6"/>
        <v>44905</v>
      </c>
      <c r="H1441" s="72" t="str">
        <f t="shared" si="7"/>
        <v>No</v>
      </c>
    </row>
    <row r="1442" ht="15.75" customHeight="1">
      <c r="A1442" s="88">
        <f t="shared" si="8"/>
        <v>44906</v>
      </c>
      <c r="B1442" s="72" t="str">
        <f t="shared" si="1"/>
        <v>20221211</v>
      </c>
      <c r="C1442" s="72" t="str">
        <f t="shared" si="2"/>
        <v>Sunday</v>
      </c>
      <c r="D1442" s="72" t="str">
        <f t="shared" si="3"/>
        <v>December</v>
      </c>
      <c r="E1442" s="72" t="str">
        <f t="shared" si="4"/>
        <v>Q4</v>
      </c>
      <c r="F1442" s="72">
        <f t="shared" si="5"/>
        <v>2022</v>
      </c>
      <c r="G1442" s="89">
        <f t="shared" si="6"/>
        <v>44912</v>
      </c>
      <c r="H1442" s="72" t="str">
        <f t="shared" si="7"/>
        <v>No</v>
      </c>
    </row>
    <row r="1443" ht="15.75" customHeight="1">
      <c r="A1443" s="88">
        <f t="shared" si="8"/>
        <v>44907</v>
      </c>
      <c r="B1443" s="72" t="str">
        <f t="shared" si="1"/>
        <v>20221212</v>
      </c>
      <c r="C1443" s="72" t="str">
        <f t="shared" si="2"/>
        <v>Monday</v>
      </c>
      <c r="D1443" s="72" t="str">
        <f t="shared" si="3"/>
        <v>December</v>
      </c>
      <c r="E1443" s="72" t="str">
        <f t="shared" si="4"/>
        <v>Q4</v>
      </c>
      <c r="F1443" s="72">
        <f t="shared" si="5"/>
        <v>2022</v>
      </c>
      <c r="G1443" s="89">
        <f t="shared" si="6"/>
        <v>44912</v>
      </c>
      <c r="H1443" s="72" t="str">
        <f t="shared" si="7"/>
        <v>Yes</v>
      </c>
    </row>
    <row r="1444" ht="15.75" customHeight="1">
      <c r="A1444" s="88">
        <f t="shared" si="8"/>
        <v>44908</v>
      </c>
      <c r="B1444" s="72" t="str">
        <f t="shared" si="1"/>
        <v>20221213</v>
      </c>
      <c r="C1444" s="72" t="str">
        <f t="shared" si="2"/>
        <v>Tuesday</v>
      </c>
      <c r="D1444" s="72" t="str">
        <f t="shared" si="3"/>
        <v>December</v>
      </c>
      <c r="E1444" s="72" t="str">
        <f t="shared" si="4"/>
        <v>Q4</v>
      </c>
      <c r="F1444" s="72">
        <f t="shared" si="5"/>
        <v>2022</v>
      </c>
      <c r="G1444" s="89">
        <f t="shared" si="6"/>
        <v>44912</v>
      </c>
      <c r="H1444" s="72" t="str">
        <f t="shared" si="7"/>
        <v>Yes</v>
      </c>
    </row>
    <row r="1445" ht="15.75" customHeight="1">
      <c r="A1445" s="88">
        <f t="shared" si="8"/>
        <v>44909</v>
      </c>
      <c r="B1445" s="72" t="str">
        <f t="shared" si="1"/>
        <v>20221214</v>
      </c>
      <c r="C1445" s="72" t="str">
        <f t="shared" si="2"/>
        <v>Wednesday</v>
      </c>
      <c r="D1445" s="72" t="str">
        <f t="shared" si="3"/>
        <v>December</v>
      </c>
      <c r="E1445" s="72" t="str">
        <f t="shared" si="4"/>
        <v>Q4</v>
      </c>
      <c r="F1445" s="72">
        <f t="shared" si="5"/>
        <v>2022</v>
      </c>
      <c r="G1445" s="89">
        <f t="shared" si="6"/>
        <v>44912</v>
      </c>
      <c r="H1445" s="72" t="str">
        <f t="shared" si="7"/>
        <v>Yes</v>
      </c>
    </row>
    <row r="1446" ht="15.75" customHeight="1">
      <c r="A1446" s="88">
        <f t="shared" si="8"/>
        <v>44910</v>
      </c>
      <c r="B1446" s="72" t="str">
        <f t="shared" si="1"/>
        <v>20221215</v>
      </c>
      <c r="C1446" s="72" t="str">
        <f t="shared" si="2"/>
        <v>Thursday</v>
      </c>
      <c r="D1446" s="72" t="str">
        <f t="shared" si="3"/>
        <v>December</v>
      </c>
      <c r="E1446" s="72" t="str">
        <f t="shared" si="4"/>
        <v>Q4</v>
      </c>
      <c r="F1446" s="72">
        <f t="shared" si="5"/>
        <v>2022</v>
      </c>
      <c r="G1446" s="89">
        <f t="shared" si="6"/>
        <v>44912</v>
      </c>
      <c r="H1446" s="72" t="str">
        <f t="shared" si="7"/>
        <v>Yes</v>
      </c>
    </row>
    <row r="1447" ht="15.75" customHeight="1">
      <c r="A1447" s="88">
        <f t="shared" si="8"/>
        <v>44911</v>
      </c>
      <c r="B1447" s="72" t="str">
        <f t="shared" si="1"/>
        <v>20221216</v>
      </c>
      <c r="C1447" s="72" t="str">
        <f t="shared" si="2"/>
        <v>Friday</v>
      </c>
      <c r="D1447" s="72" t="str">
        <f t="shared" si="3"/>
        <v>December</v>
      </c>
      <c r="E1447" s="72" t="str">
        <f t="shared" si="4"/>
        <v>Q4</v>
      </c>
      <c r="F1447" s="72">
        <f t="shared" si="5"/>
        <v>2022</v>
      </c>
      <c r="G1447" s="89">
        <f t="shared" si="6"/>
        <v>44912</v>
      </c>
      <c r="H1447" s="72" t="str">
        <f t="shared" si="7"/>
        <v>Yes</v>
      </c>
    </row>
    <row r="1448" ht="15.75" customHeight="1">
      <c r="A1448" s="88">
        <f t="shared" si="8"/>
        <v>44912</v>
      </c>
      <c r="B1448" s="72" t="str">
        <f t="shared" si="1"/>
        <v>20221217</v>
      </c>
      <c r="C1448" s="72" t="str">
        <f t="shared" si="2"/>
        <v>Saturday</v>
      </c>
      <c r="D1448" s="72" t="str">
        <f t="shared" si="3"/>
        <v>December</v>
      </c>
      <c r="E1448" s="72" t="str">
        <f t="shared" si="4"/>
        <v>Q4</v>
      </c>
      <c r="F1448" s="72">
        <f t="shared" si="5"/>
        <v>2022</v>
      </c>
      <c r="G1448" s="89">
        <f t="shared" si="6"/>
        <v>44912</v>
      </c>
      <c r="H1448" s="72" t="str">
        <f t="shared" si="7"/>
        <v>No</v>
      </c>
    </row>
    <row r="1449" ht="15.75" customHeight="1">
      <c r="A1449" s="88">
        <f t="shared" si="8"/>
        <v>44913</v>
      </c>
      <c r="B1449" s="72" t="str">
        <f t="shared" si="1"/>
        <v>20221218</v>
      </c>
      <c r="C1449" s="72" t="str">
        <f t="shared" si="2"/>
        <v>Sunday</v>
      </c>
      <c r="D1449" s="72" t="str">
        <f t="shared" si="3"/>
        <v>December</v>
      </c>
      <c r="E1449" s="72" t="str">
        <f t="shared" si="4"/>
        <v>Q4</v>
      </c>
      <c r="F1449" s="72">
        <f t="shared" si="5"/>
        <v>2022</v>
      </c>
      <c r="G1449" s="89">
        <f t="shared" si="6"/>
        <v>44919</v>
      </c>
      <c r="H1449" s="72" t="str">
        <f t="shared" si="7"/>
        <v>No</v>
      </c>
    </row>
    <row r="1450" ht="15.75" customHeight="1">
      <c r="A1450" s="88">
        <f t="shared" si="8"/>
        <v>44914</v>
      </c>
      <c r="B1450" s="72" t="str">
        <f t="shared" si="1"/>
        <v>20221219</v>
      </c>
      <c r="C1450" s="72" t="str">
        <f t="shared" si="2"/>
        <v>Monday</v>
      </c>
      <c r="D1450" s="72" t="str">
        <f t="shared" si="3"/>
        <v>December</v>
      </c>
      <c r="E1450" s="72" t="str">
        <f t="shared" si="4"/>
        <v>Q4</v>
      </c>
      <c r="F1450" s="72">
        <f t="shared" si="5"/>
        <v>2022</v>
      </c>
      <c r="G1450" s="89">
        <f t="shared" si="6"/>
        <v>44919</v>
      </c>
      <c r="H1450" s="72" t="str">
        <f t="shared" si="7"/>
        <v>Yes</v>
      </c>
    </row>
    <row r="1451" ht="15.75" customHeight="1">
      <c r="A1451" s="88">
        <f t="shared" si="8"/>
        <v>44915</v>
      </c>
      <c r="B1451" s="72" t="str">
        <f t="shared" si="1"/>
        <v>20221220</v>
      </c>
      <c r="C1451" s="72" t="str">
        <f t="shared" si="2"/>
        <v>Tuesday</v>
      </c>
      <c r="D1451" s="72" t="str">
        <f t="shared" si="3"/>
        <v>December</v>
      </c>
      <c r="E1451" s="72" t="str">
        <f t="shared" si="4"/>
        <v>Q4</v>
      </c>
      <c r="F1451" s="72">
        <f t="shared" si="5"/>
        <v>2022</v>
      </c>
      <c r="G1451" s="89">
        <f t="shared" si="6"/>
        <v>44919</v>
      </c>
      <c r="H1451" s="72" t="str">
        <f t="shared" si="7"/>
        <v>Yes</v>
      </c>
    </row>
    <row r="1452" ht="15.75" customHeight="1">
      <c r="A1452" s="88">
        <f t="shared" si="8"/>
        <v>44916</v>
      </c>
      <c r="B1452" s="72" t="str">
        <f t="shared" si="1"/>
        <v>20221221</v>
      </c>
      <c r="C1452" s="72" t="str">
        <f t="shared" si="2"/>
        <v>Wednesday</v>
      </c>
      <c r="D1452" s="72" t="str">
        <f t="shared" si="3"/>
        <v>December</v>
      </c>
      <c r="E1452" s="72" t="str">
        <f t="shared" si="4"/>
        <v>Q4</v>
      </c>
      <c r="F1452" s="72">
        <f t="shared" si="5"/>
        <v>2022</v>
      </c>
      <c r="G1452" s="89">
        <f t="shared" si="6"/>
        <v>44919</v>
      </c>
      <c r="H1452" s="72" t="str">
        <f t="shared" si="7"/>
        <v>Yes</v>
      </c>
    </row>
    <row r="1453" ht="15.75" customHeight="1">
      <c r="A1453" s="88">
        <f t="shared" si="8"/>
        <v>44917</v>
      </c>
      <c r="B1453" s="72" t="str">
        <f t="shared" si="1"/>
        <v>20221222</v>
      </c>
      <c r="C1453" s="72" t="str">
        <f t="shared" si="2"/>
        <v>Thursday</v>
      </c>
      <c r="D1453" s="72" t="str">
        <f t="shared" si="3"/>
        <v>December</v>
      </c>
      <c r="E1453" s="72" t="str">
        <f t="shared" si="4"/>
        <v>Q4</v>
      </c>
      <c r="F1453" s="72">
        <f t="shared" si="5"/>
        <v>2022</v>
      </c>
      <c r="G1453" s="89">
        <f t="shared" si="6"/>
        <v>44919</v>
      </c>
      <c r="H1453" s="72" t="str">
        <f t="shared" si="7"/>
        <v>Yes</v>
      </c>
    </row>
    <row r="1454" ht="15.75" customHeight="1">
      <c r="A1454" s="88">
        <f t="shared" si="8"/>
        <v>44918</v>
      </c>
      <c r="B1454" s="72" t="str">
        <f t="shared" si="1"/>
        <v>20221223</v>
      </c>
      <c r="C1454" s="72" t="str">
        <f t="shared" si="2"/>
        <v>Friday</v>
      </c>
      <c r="D1454" s="72" t="str">
        <f t="shared" si="3"/>
        <v>December</v>
      </c>
      <c r="E1454" s="72" t="str">
        <f t="shared" si="4"/>
        <v>Q4</v>
      </c>
      <c r="F1454" s="72">
        <f t="shared" si="5"/>
        <v>2022</v>
      </c>
      <c r="G1454" s="89">
        <f t="shared" si="6"/>
        <v>44919</v>
      </c>
      <c r="H1454" s="72" t="str">
        <f t="shared" si="7"/>
        <v>Yes</v>
      </c>
    </row>
    <row r="1455" ht="15.75" customHeight="1">
      <c r="A1455" s="88">
        <f t="shared" si="8"/>
        <v>44919</v>
      </c>
      <c r="B1455" s="72" t="str">
        <f t="shared" si="1"/>
        <v>20221224</v>
      </c>
      <c r="C1455" s="72" t="str">
        <f t="shared" si="2"/>
        <v>Saturday</v>
      </c>
      <c r="D1455" s="72" t="str">
        <f t="shared" si="3"/>
        <v>December</v>
      </c>
      <c r="E1455" s="72" t="str">
        <f t="shared" si="4"/>
        <v>Q4</v>
      </c>
      <c r="F1455" s="72">
        <f t="shared" si="5"/>
        <v>2022</v>
      </c>
      <c r="G1455" s="89">
        <f t="shared" si="6"/>
        <v>44919</v>
      </c>
      <c r="H1455" s="72" t="str">
        <f t="shared" si="7"/>
        <v>No</v>
      </c>
    </row>
    <row r="1456" ht="15.75" customHeight="1">
      <c r="A1456" s="88">
        <f t="shared" si="8"/>
        <v>44920</v>
      </c>
      <c r="B1456" s="72" t="str">
        <f t="shared" si="1"/>
        <v>20221225</v>
      </c>
      <c r="C1456" s="72" t="str">
        <f t="shared" si="2"/>
        <v>Sunday</v>
      </c>
      <c r="D1456" s="72" t="str">
        <f t="shared" si="3"/>
        <v>December</v>
      </c>
      <c r="E1456" s="72" t="str">
        <f t="shared" si="4"/>
        <v>Q4</v>
      </c>
      <c r="F1456" s="72">
        <f t="shared" si="5"/>
        <v>2022</v>
      </c>
      <c r="G1456" s="89">
        <f t="shared" si="6"/>
        <v>44926</v>
      </c>
      <c r="H1456" s="72" t="str">
        <f t="shared" si="7"/>
        <v>No</v>
      </c>
    </row>
    <row r="1457" ht="15.75" customHeight="1">
      <c r="A1457" s="88">
        <f t="shared" si="8"/>
        <v>44921</v>
      </c>
      <c r="B1457" s="72" t="str">
        <f t="shared" si="1"/>
        <v>20221226</v>
      </c>
      <c r="C1457" s="72" t="str">
        <f t="shared" si="2"/>
        <v>Monday</v>
      </c>
      <c r="D1457" s="72" t="str">
        <f t="shared" si="3"/>
        <v>December</v>
      </c>
      <c r="E1457" s="72" t="str">
        <f t="shared" si="4"/>
        <v>Q4</v>
      </c>
      <c r="F1457" s="72">
        <f t="shared" si="5"/>
        <v>2022</v>
      </c>
      <c r="G1457" s="89">
        <f t="shared" si="6"/>
        <v>44926</v>
      </c>
      <c r="H1457" s="72" t="str">
        <f t="shared" si="7"/>
        <v>Yes</v>
      </c>
    </row>
    <row r="1458" ht="15.75" customHeight="1">
      <c r="A1458" s="88">
        <f t="shared" si="8"/>
        <v>44922</v>
      </c>
      <c r="B1458" s="72" t="str">
        <f t="shared" si="1"/>
        <v>20221227</v>
      </c>
      <c r="C1458" s="72" t="str">
        <f t="shared" si="2"/>
        <v>Tuesday</v>
      </c>
      <c r="D1458" s="72" t="str">
        <f t="shared" si="3"/>
        <v>December</v>
      </c>
      <c r="E1458" s="72" t="str">
        <f t="shared" si="4"/>
        <v>Q4</v>
      </c>
      <c r="F1458" s="72">
        <f t="shared" si="5"/>
        <v>2022</v>
      </c>
      <c r="G1458" s="89">
        <f t="shared" si="6"/>
        <v>44926</v>
      </c>
      <c r="H1458" s="72" t="str">
        <f t="shared" si="7"/>
        <v>Yes</v>
      </c>
    </row>
    <row r="1459" ht="15.75" customHeight="1">
      <c r="A1459" s="88">
        <f t="shared" si="8"/>
        <v>44923</v>
      </c>
      <c r="B1459" s="72" t="str">
        <f t="shared" si="1"/>
        <v>20221228</v>
      </c>
      <c r="C1459" s="72" t="str">
        <f t="shared" si="2"/>
        <v>Wednesday</v>
      </c>
      <c r="D1459" s="72" t="str">
        <f t="shared" si="3"/>
        <v>December</v>
      </c>
      <c r="E1459" s="72" t="str">
        <f t="shared" si="4"/>
        <v>Q4</v>
      </c>
      <c r="F1459" s="72">
        <f t="shared" si="5"/>
        <v>2022</v>
      </c>
      <c r="G1459" s="89">
        <f t="shared" si="6"/>
        <v>44926</v>
      </c>
      <c r="H1459" s="72" t="str">
        <f t="shared" si="7"/>
        <v>Yes</v>
      </c>
    </row>
    <row r="1460" ht="15.75" customHeight="1">
      <c r="A1460" s="88">
        <f t="shared" si="8"/>
        <v>44924</v>
      </c>
      <c r="B1460" s="72" t="str">
        <f t="shared" si="1"/>
        <v>20221229</v>
      </c>
      <c r="C1460" s="72" t="str">
        <f t="shared" si="2"/>
        <v>Thursday</v>
      </c>
      <c r="D1460" s="72" t="str">
        <f t="shared" si="3"/>
        <v>December</v>
      </c>
      <c r="E1460" s="72" t="str">
        <f t="shared" si="4"/>
        <v>Q4</v>
      </c>
      <c r="F1460" s="72">
        <f t="shared" si="5"/>
        <v>2022</v>
      </c>
      <c r="G1460" s="89">
        <f t="shared" si="6"/>
        <v>44926</v>
      </c>
      <c r="H1460" s="72" t="str">
        <f t="shared" si="7"/>
        <v>Yes</v>
      </c>
    </row>
    <row r="1461" ht="15.75" customHeight="1">
      <c r="A1461" s="88">
        <f t="shared" si="8"/>
        <v>44925</v>
      </c>
      <c r="B1461" s="72" t="str">
        <f t="shared" si="1"/>
        <v>20221230</v>
      </c>
      <c r="C1461" s="72" t="str">
        <f t="shared" si="2"/>
        <v>Friday</v>
      </c>
      <c r="D1461" s="72" t="str">
        <f t="shared" si="3"/>
        <v>December</v>
      </c>
      <c r="E1461" s="72" t="str">
        <f t="shared" si="4"/>
        <v>Q4</v>
      </c>
      <c r="F1461" s="72">
        <f t="shared" si="5"/>
        <v>2022</v>
      </c>
      <c r="G1461" s="89">
        <f t="shared" si="6"/>
        <v>44926</v>
      </c>
      <c r="H1461" s="72" t="str">
        <f t="shared" si="7"/>
        <v>Yes</v>
      </c>
    </row>
    <row r="1462" ht="15.75" customHeight="1">
      <c r="A1462" s="88">
        <f t="shared" si="8"/>
        <v>44926</v>
      </c>
      <c r="B1462" s="72" t="str">
        <f t="shared" si="1"/>
        <v>20221231</v>
      </c>
      <c r="C1462" s="72" t="str">
        <f t="shared" si="2"/>
        <v>Saturday</v>
      </c>
      <c r="D1462" s="72" t="str">
        <f t="shared" si="3"/>
        <v>December</v>
      </c>
      <c r="E1462" s="72" t="str">
        <f t="shared" si="4"/>
        <v>Q4</v>
      </c>
      <c r="F1462" s="72">
        <f t="shared" si="5"/>
        <v>2022</v>
      </c>
      <c r="G1462" s="89">
        <f t="shared" si="6"/>
        <v>44926</v>
      </c>
      <c r="H1462" s="72" t="str">
        <f t="shared" si="7"/>
        <v>No</v>
      </c>
    </row>
    <row r="1463" ht="15.75" customHeight="1">
      <c r="A1463" s="88">
        <f t="shared" si="8"/>
        <v>44927</v>
      </c>
      <c r="B1463" s="72" t="str">
        <f t="shared" si="1"/>
        <v>20230101</v>
      </c>
      <c r="C1463" s="72" t="str">
        <f t="shared" si="2"/>
        <v>Sunday</v>
      </c>
      <c r="D1463" s="72" t="str">
        <f t="shared" si="3"/>
        <v>January</v>
      </c>
      <c r="E1463" s="72" t="str">
        <f t="shared" si="4"/>
        <v>Q1</v>
      </c>
      <c r="F1463" s="72">
        <f t="shared" si="5"/>
        <v>2023</v>
      </c>
      <c r="G1463" s="89">
        <f t="shared" si="6"/>
        <v>44933</v>
      </c>
      <c r="H1463" s="72" t="str">
        <f t="shared" si="7"/>
        <v>No</v>
      </c>
    </row>
    <row r="1464" ht="15.75" customHeight="1">
      <c r="A1464" s="88">
        <f t="shared" si="8"/>
        <v>44928</v>
      </c>
      <c r="B1464" s="72" t="str">
        <f t="shared" si="1"/>
        <v>20230102</v>
      </c>
      <c r="C1464" s="72" t="str">
        <f t="shared" si="2"/>
        <v>Monday</v>
      </c>
      <c r="D1464" s="72" t="str">
        <f t="shared" si="3"/>
        <v>January</v>
      </c>
      <c r="E1464" s="72" t="str">
        <f t="shared" si="4"/>
        <v>Q1</v>
      </c>
      <c r="F1464" s="72">
        <f t="shared" si="5"/>
        <v>2023</v>
      </c>
      <c r="G1464" s="89">
        <f t="shared" si="6"/>
        <v>44933</v>
      </c>
      <c r="H1464" s="72" t="str">
        <f t="shared" si="7"/>
        <v>Yes</v>
      </c>
    </row>
    <row r="1465" ht="15.75" customHeight="1">
      <c r="A1465" s="88">
        <f t="shared" si="8"/>
        <v>44929</v>
      </c>
      <c r="B1465" s="72" t="str">
        <f t="shared" si="1"/>
        <v>20230103</v>
      </c>
      <c r="C1465" s="72" t="str">
        <f t="shared" si="2"/>
        <v>Tuesday</v>
      </c>
      <c r="D1465" s="72" t="str">
        <f t="shared" si="3"/>
        <v>January</v>
      </c>
      <c r="E1465" s="72" t="str">
        <f t="shared" si="4"/>
        <v>Q1</v>
      </c>
      <c r="F1465" s="72">
        <f t="shared" si="5"/>
        <v>2023</v>
      </c>
      <c r="G1465" s="89">
        <f t="shared" si="6"/>
        <v>44933</v>
      </c>
      <c r="H1465" s="72" t="str">
        <f t="shared" si="7"/>
        <v>Yes</v>
      </c>
    </row>
    <row r="1466" ht="15.75" customHeight="1">
      <c r="A1466" s="88">
        <f t="shared" si="8"/>
        <v>44930</v>
      </c>
      <c r="B1466" s="72" t="str">
        <f t="shared" si="1"/>
        <v>20230104</v>
      </c>
      <c r="C1466" s="72" t="str">
        <f t="shared" si="2"/>
        <v>Wednesday</v>
      </c>
      <c r="D1466" s="72" t="str">
        <f t="shared" si="3"/>
        <v>January</v>
      </c>
      <c r="E1466" s="72" t="str">
        <f t="shared" si="4"/>
        <v>Q1</v>
      </c>
      <c r="F1466" s="72">
        <f t="shared" si="5"/>
        <v>2023</v>
      </c>
      <c r="G1466" s="89">
        <f t="shared" si="6"/>
        <v>44933</v>
      </c>
      <c r="H1466" s="72" t="str">
        <f t="shared" si="7"/>
        <v>Yes</v>
      </c>
    </row>
    <row r="1467" ht="15.75" customHeight="1">
      <c r="A1467" s="88">
        <f t="shared" si="8"/>
        <v>44931</v>
      </c>
      <c r="B1467" s="72" t="str">
        <f t="shared" si="1"/>
        <v>20230105</v>
      </c>
      <c r="C1467" s="72" t="str">
        <f t="shared" si="2"/>
        <v>Thursday</v>
      </c>
      <c r="D1467" s="72" t="str">
        <f t="shared" si="3"/>
        <v>January</v>
      </c>
      <c r="E1467" s="72" t="str">
        <f t="shared" si="4"/>
        <v>Q1</v>
      </c>
      <c r="F1467" s="72">
        <f t="shared" si="5"/>
        <v>2023</v>
      </c>
      <c r="G1467" s="89">
        <f t="shared" si="6"/>
        <v>44933</v>
      </c>
      <c r="H1467" s="72" t="str">
        <f t="shared" si="7"/>
        <v>Yes</v>
      </c>
    </row>
    <row r="1468" ht="15.75" customHeight="1">
      <c r="A1468" s="88">
        <f t="shared" si="8"/>
        <v>44932</v>
      </c>
      <c r="B1468" s="72" t="str">
        <f t="shared" si="1"/>
        <v>20230106</v>
      </c>
      <c r="C1468" s="72" t="str">
        <f t="shared" si="2"/>
        <v>Friday</v>
      </c>
      <c r="D1468" s="72" t="str">
        <f t="shared" si="3"/>
        <v>January</v>
      </c>
      <c r="E1468" s="72" t="str">
        <f t="shared" si="4"/>
        <v>Q1</v>
      </c>
      <c r="F1468" s="72">
        <f t="shared" si="5"/>
        <v>2023</v>
      </c>
      <c r="G1468" s="89">
        <f t="shared" si="6"/>
        <v>44933</v>
      </c>
      <c r="H1468" s="72" t="str">
        <f t="shared" si="7"/>
        <v>Yes</v>
      </c>
    </row>
    <row r="1469" ht="15.75" customHeight="1">
      <c r="A1469" s="88">
        <f t="shared" si="8"/>
        <v>44933</v>
      </c>
      <c r="B1469" s="72" t="str">
        <f t="shared" si="1"/>
        <v>20230107</v>
      </c>
      <c r="C1469" s="72" t="str">
        <f t="shared" si="2"/>
        <v>Saturday</v>
      </c>
      <c r="D1469" s="72" t="str">
        <f t="shared" si="3"/>
        <v>January</v>
      </c>
      <c r="E1469" s="72" t="str">
        <f t="shared" si="4"/>
        <v>Q1</v>
      </c>
      <c r="F1469" s="72">
        <f t="shared" si="5"/>
        <v>2023</v>
      </c>
      <c r="G1469" s="89">
        <f t="shared" si="6"/>
        <v>44933</v>
      </c>
      <c r="H1469" s="72" t="str">
        <f t="shared" si="7"/>
        <v>No</v>
      </c>
    </row>
    <row r="1470" ht="15.75" customHeight="1">
      <c r="A1470" s="88">
        <f t="shared" si="8"/>
        <v>44934</v>
      </c>
      <c r="B1470" s="72" t="str">
        <f t="shared" si="1"/>
        <v>20230108</v>
      </c>
      <c r="C1470" s="72" t="str">
        <f t="shared" si="2"/>
        <v>Sunday</v>
      </c>
      <c r="D1470" s="72" t="str">
        <f t="shared" si="3"/>
        <v>January</v>
      </c>
      <c r="E1470" s="72" t="str">
        <f t="shared" si="4"/>
        <v>Q1</v>
      </c>
      <c r="F1470" s="72">
        <f t="shared" si="5"/>
        <v>2023</v>
      </c>
      <c r="G1470" s="89">
        <f t="shared" si="6"/>
        <v>44940</v>
      </c>
      <c r="H1470" s="72" t="str">
        <f t="shared" si="7"/>
        <v>No</v>
      </c>
    </row>
    <row r="1471" ht="15.75" customHeight="1">
      <c r="A1471" s="88">
        <f t="shared" si="8"/>
        <v>44935</v>
      </c>
      <c r="B1471" s="72" t="str">
        <f t="shared" si="1"/>
        <v>20230109</v>
      </c>
      <c r="C1471" s="72" t="str">
        <f t="shared" si="2"/>
        <v>Monday</v>
      </c>
      <c r="D1471" s="72" t="str">
        <f t="shared" si="3"/>
        <v>January</v>
      </c>
      <c r="E1471" s="72" t="str">
        <f t="shared" si="4"/>
        <v>Q1</v>
      </c>
      <c r="F1471" s="72">
        <f t="shared" si="5"/>
        <v>2023</v>
      </c>
      <c r="G1471" s="89">
        <f t="shared" si="6"/>
        <v>44940</v>
      </c>
      <c r="H1471" s="72" t="str">
        <f t="shared" si="7"/>
        <v>Yes</v>
      </c>
    </row>
    <row r="1472" ht="15.75" customHeight="1">
      <c r="A1472" s="88">
        <f t="shared" si="8"/>
        <v>44936</v>
      </c>
      <c r="B1472" s="72" t="str">
        <f t="shared" si="1"/>
        <v>20230110</v>
      </c>
      <c r="C1472" s="72" t="str">
        <f t="shared" si="2"/>
        <v>Tuesday</v>
      </c>
      <c r="D1472" s="72" t="str">
        <f t="shared" si="3"/>
        <v>January</v>
      </c>
      <c r="E1472" s="72" t="str">
        <f t="shared" si="4"/>
        <v>Q1</v>
      </c>
      <c r="F1472" s="72">
        <f t="shared" si="5"/>
        <v>2023</v>
      </c>
      <c r="G1472" s="89">
        <f t="shared" si="6"/>
        <v>44940</v>
      </c>
      <c r="H1472" s="72" t="str">
        <f t="shared" si="7"/>
        <v>Yes</v>
      </c>
    </row>
    <row r="1473" ht="15.75" customHeight="1">
      <c r="A1473" s="88">
        <f t="shared" si="8"/>
        <v>44937</v>
      </c>
      <c r="B1473" s="72" t="str">
        <f t="shared" si="1"/>
        <v>20230111</v>
      </c>
      <c r="C1473" s="72" t="str">
        <f t="shared" si="2"/>
        <v>Wednesday</v>
      </c>
      <c r="D1473" s="72" t="str">
        <f t="shared" si="3"/>
        <v>January</v>
      </c>
      <c r="E1473" s="72" t="str">
        <f t="shared" si="4"/>
        <v>Q1</v>
      </c>
      <c r="F1473" s="72">
        <f t="shared" si="5"/>
        <v>2023</v>
      </c>
      <c r="G1473" s="89">
        <f t="shared" si="6"/>
        <v>44940</v>
      </c>
      <c r="H1473" s="72" t="str">
        <f t="shared" si="7"/>
        <v>Yes</v>
      </c>
    </row>
    <row r="1474" ht="15.75" customHeight="1">
      <c r="A1474" s="88">
        <f t="shared" si="8"/>
        <v>44938</v>
      </c>
      <c r="B1474" s="72" t="str">
        <f t="shared" si="1"/>
        <v>20230112</v>
      </c>
      <c r="C1474" s="72" t="str">
        <f t="shared" si="2"/>
        <v>Thursday</v>
      </c>
      <c r="D1474" s="72" t="str">
        <f t="shared" si="3"/>
        <v>January</v>
      </c>
      <c r="E1474" s="72" t="str">
        <f t="shared" si="4"/>
        <v>Q1</v>
      </c>
      <c r="F1474" s="72">
        <f t="shared" si="5"/>
        <v>2023</v>
      </c>
      <c r="G1474" s="89">
        <f t="shared" si="6"/>
        <v>44940</v>
      </c>
      <c r="H1474" s="72" t="str">
        <f t="shared" si="7"/>
        <v>Yes</v>
      </c>
    </row>
    <row r="1475" ht="15.75" customHeight="1">
      <c r="A1475" s="88">
        <f t="shared" si="8"/>
        <v>44939</v>
      </c>
      <c r="B1475" s="72" t="str">
        <f t="shared" si="1"/>
        <v>20230113</v>
      </c>
      <c r="C1475" s="72" t="str">
        <f t="shared" si="2"/>
        <v>Friday</v>
      </c>
      <c r="D1475" s="72" t="str">
        <f t="shared" si="3"/>
        <v>January</v>
      </c>
      <c r="E1475" s="72" t="str">
        <f t="shared" si="4"/>
        <v>Q1</v>
      </c>
      <c r="F1475" s="72">
        <f t="shared" si="5"/>
        <v>2023</v>
      </c>
      <c r="G1475" s="89">
        <f t="shared" si="6"/>
        <v>44940</v>
      </c>
      <c r="H1475" s="72" t="str">
        <f t="shared" si="7"/>
        <v>Yes</v>
      </c>
    </row>
    <row r="1476" ht="15.75" customHeight="1">
      <c r="A1476" s="88">
        <f t="shared" si="8"/>
        <v>44940</v>
      </c>
      <c r="B1476" s="72" t="str">
        <f t="shared" si="1"/>
        <v>20230114</v>
      </c>
      <c r="C1476" s="72" t="str">
        <f t="shared" si="2"/>
        <v>Saturday</v>
      </c>
      <c r="D1476" s="72" t="str">
        <f t="shared" si="3"/>
        <v>January</v>
      </c>
      <c r="E1476" s="72" t="str">
        <f t="shared" si="4"/>
        <v>Q1</v>
      </c>
      <c r="F1476" s="72">
        <f t="shared" si="5"/>
        <v>2023</v>
      </c>
      <c r="G1476" s="89">
        <f t="shared" si="6"/>
        <v>44940</v>
      </c>
      <c r="H1476" s="72" t="str">
        <f t="shared" si="7"/>
        <v>No</v>
      </c>
    </row>
    <row r="1477" ht="15.75" customHeight="1">
      <c r="A1477" s="88">
        <f t="shared" si="8"/>
        <v>44941</v>
      </c>
      <c r="B1477" s="72" t="str">
        <f t="shared" si="1"/>
        <v>20230115</v>
      </c>
      <c r="C1477" s="72" t="str">
        <f t="shared" si="2"/>
        <v>Sunday</v>
      </c>
      <c r="D1477" s="72" t="str">
        <f t="shared" si="3"/>
        <v>January</v>
      </c>
      <c r="E1477" s="72" t="str">
        <f t="shared" si="4"/>
        <v>Q1</v>
      </c>
      <c r="F1477" s="72">
        <f t="shared" si="5"/>
        <v>2023</v>
      </c>
      <c r="G1477" s="89">
        <f t="shared" si="6"/>
        <v>44947</v>
      </c>
      <c r="H1477" s="72" t="str">
        <f t="shared" si="7"/>
        <v>No</v>
      </c>
    </row>
    <row r="1478" ht="15.75" customHeight="1">
      <c r="A1478" s="88">
        <f t="shared" si="8"/>
        <v>44942</v>
      </c>
      <c r="B1478" s="72" t="str">
        <f t="shared" si="1"/>
        <v>20230116</v>
      </c>
      <c r="C1478" s="72" t="str">
        <f t="shared" si="2"/>
        <v>Monday</v>
      </c>
      <c r="D1478" s="72" t="str">
        <f t="shared" si="3"/>
        <v>January</v>
      </c>
      <c r="E1478" s="72" t="str">
        <f t="shared" si="4"/>
        <v>Q1</v>
      </c>
      <c r="F1478" s="72">
        <f t="shared" si="5"/>
        <v>2023</v>
      </c>
      <c r="G1478" s="89">
        <f t="shared" si="6"/>
        <v>44947</v>
      </c>
      <c r="H1478" s="72" t="str">
        <f t="shared" si="7"/>
        <v>Yes</v>
      </c>
    </row>
    <row r="1479" ht="15.75" customHeight="1">
      <c r="A1479" s="88">
        <f t="shared" si="8"/>
        <v>44943</v>
      </c>
      <c r="B1479" s="72" t="str">
        <f t="shared" si="1"/>
        <v>20230117</v>
      </c>
      <c r="C1479" s="72" t="str">
        <f t="shared" si="2"/>
        <v>Tuesday</v>
      </c>
      <c r="D1479" s="72" t="str">
        <f t="shared" si="3"/>
        <v>January</v>
      </c>
      <c r="E1479" s="72" t="str">
        <f t="shared" si="4"/>
        <v>Q1</v>
      </c>
      <c r="F1479" s="72">
        <f t="shared" si="5"/>
        <v>2023</v>
      </c>
      <c r="G1479" s="89">
        <f t="shared" si="6"/>
        <v>44947</v>
      </c>
      <c r="H1479" s="72" t="str">
        <f t="shared" si="7"/>
        <v>Yes</v>
      </c>
    </row>
    <row r="1480" ht="15.75" customHeight="1">
      <c r="A1480" s="88">
        <f t="shared" si="8"/>
        <v>44944</v>
      </c>
      <c r="B1480" s="72" t="str">
        <f t="shared" si="1"/>
        <v>20230118</v>
      </c>
      <c r="C1480" s="72" t="str">
        <f t="shared" si="2"/>
        <v>Wednesday</v>
      </c>
      <c r="D1480" s="72" t="str">
        <f t="shared" si="3"/>
        <v>January</v>
      </c>
      <c r="E1480" s="72" t="str">
        <f t="shared" si="4"/>
        <v>Q1</v>
      </c>
      <c r="F1480" s="72">
        <f t="shared" si="5"/>
        <v>2023</v>
      </c>
      <c r="G1480" s="89">
        <f t="shared" si="6"/>
        <v>44947</v>
      </c>
      <c r="H1480" s="72" t="str">
        <f t="shared" si="7"/>
        <v>Yes</v>
      </c>
    </row>
    <row r="1481" ht="15.75" customHeight="1">
      <c r="A1481" s="88">
        <f t="shared" si="8"/>
        <v>44945</v>
      </c>
      <c r="B1481" s="72" t="str">
        <f t="shared" si="1"/>
        <v>20230119</v>
      </c>
      <c r="C1481" s="72" t="str">
        <f t="shared" si="2"/>
        <v>Thursday</v>
      </c>
      <c r="D1481" s="72" t="str">
        <f t="shared" si="3"/>
        <v>January</v>
      </c>
      <c r="E1481" s="72" t="str">
        <f t="shared" si="4"/>
        <v>Q1</v>
      </c>
      <c r="F1481" s="72">
        <f t="shared" si="5"/>
        <v>2023</v>
      </c>
      <c r="G1481" s="89">
        <f t="shared" si="6"/>
        <v>44947</v>
      </c>
      <c r="H1481" s="72" t="str">
        <f t="shared" si="7"/>
        <v>Yes</v>
      </c>
    </row>
    <row r="1482" ht="15.75" customHeight="1">
      <c r="A1482" s="88">
        <f t="shared" si="8"/>
        <v>44946</v>
      </c>
      <c r="B1482" s="72" t="str">
        <f t="shared" si="1"/>
        <v>20230120</v>
      </c>
      <c r="C1482" s="72" t="str">
        <f t="shared" si="2"/>
        <v>Friday</v>
      </c>
      <c r="D1482" s="72" t="str">
        <f t="shared" si="3"/>
        <v>January</v>
      </c>
      <c r="E1482" s="72" t="str">
        <f t="shared" si="4"/>
        <v>Q1</v>
      </c>
      <c r="F1482" s="72">
        <f t="shared" si="5"/>
        <v>2023</v>
      </c>
      <c r="G1482" s="89">
        <f t="shared" si="6"/>
        <v>44947</v>
      </c>
      <c r="H1482" s="72" t="str">
        <f t="shared" si="7"/>
        <v>Yes</v>
      </c>
    </row>
    <row r="1483" ht="15.75" customHeight="1">
      <c r="A1483" s="88">
        <f t="shared" si="8"/>
        <v>44947</v>
      </c>
      <c r="B1483" s="72" t="str">
        <f t="shared" si="1"/>
        <v>20230121</v>
      </c>
      <c r="C1483" s="72" t="str">
        <f t="shared" si="2"/>
        <v>Saturday</v>
      </c>
      <c r="D1483" s="72" t="str">
        <f t="shared" si="3"/>
        <v>January</v>
      </c>
      <c r="E1483" s="72" t="str">
        <f t="shared" si="4"/>
        <v>Q1</v>
      </c>
      <c r="F1483" s="72">
        <f t="shared" si="5"/>
        <v>2023</v>
      </c>
      <c r="G1483" s="89">
        <f t="shared" si="6"/>
        <v>44947</v>
      </c>
      <c r="H1483" s="72" t="str">
        <f t="shared" si="7"/>
        <v>No</v>
      </c>
    </row>
    <row r="1484" ht="15.75" customHeight="1">
      <c r="A1484" s="88">
        <f t="shared" si="8"/>
        <v>44948</v>
      </c>
      <c r="B1484" s="72" t="str">
        <f t="shared" si="1"/>
        <v>20230122</v>
      </c>
      <c r="C1484" s="72" t="str">
        <f t="shared" si="2"/>
        <v>Sunday</v>
      </c>
      <c r="D1484" s="72" t="str">
        <f t="shared" si="3"/>
        <v>January</v>
      </c>
      <c r="E1484" s="72" t="str">
        <f t="shared" si="4"/>
        <v>Q1</v>
      </c>
      <c r="F1484" s="72">
        <f t="shared" si="5"/>
        <v>2023</v>
      </c>
      <c r="G1484" s="89">
        <f t="shared" si="6"/>
        <v>44954</v>
      </c>
      <c r="H1484" s="72" t="str">
        <f t="shared" si="7"/>
        <v>No</v>
      </c>
    </row>
    <row r="1485" ht="15.75" customHeight="1">
      <c r="A1485" s="88">
        <f t="shared" si="8"/>
        <v>44949</v>
      </c>
      <c r="B1485" s="72" t="str">
        <f t="shared" si="1"/>
        <v>20230123</v>
      </c>
      <c r="C1485" s="72" t="str">
        <f t="shared" si="2"/>
        <v>Monday</v>
      </c>
      <c r="D1485" s="72" t="str">
        <f t="shared" si="3"/>
        <v>January</v>
      </c>
      <c r="E1485" s="72" t="str">
        <f t="shared" si="4"/>
        <v>Q1</v>
      </c>
      <c r="F1485" s="72">
        <f t="shared" si="5"/>
        <v>2023</v>
      </c>
      <c r="G1485" s="89">
        <f t="shared" si="6"/>
        <v>44954</v>
      </c>
      <c r="H1485" s="72" t="str">
        <f t="shared" si="7"/>
        <v>Yes</v>
      </c>
    </row>
    <row r="1486" ht="15.75" customHeight="1">
      <c r="A1486" s="88">
        <f t="shared" si="8"/>
        <v>44950</v>
      </c>
      <c r="B1486" s="72" t="str">
        <f t="shared" si="1"/>
        <v>20230124</v>
      </c>
      <c r="C1486" s="72" t="str">
        <f t="shared" si="2"/>
        <v>Tuesday</v>
      </c>
      <c r="D1486" s="72" t="str">
        <f t="shared" si="3"/>
        <v>January</v>
      </c>
      <c r="E1486" s="72" t="str">
        <f t="shared" si="4"/>
        <v>Q1</v>
      </c>
      <c r="F1486" s="72">
        <f t="shared" si="5"/>
        <v>2023</v>
      </c>
      <c r="G1486" s="89">
        <f t="shared" si="6"/>
        <v>44954</v>
      </c>
      <c r="H1486" s="72" t="str">
        <f t="shared" si="7"/>
        <v>Yes</v>
      </c>
    </row>
    <row r="1487" ht="15.75" customHeight="1">
      <c r="A1487" s="88">
        <f t="shared" si="8"/>
        <v>44951</v>
      </c>
      <c r="B1487" s="72" t="str">
        <f t="shared" si="1"/>
        <v>20230125</v>
      </c>
      <c r="C1487" s="72" t="str">
        <f t="shared" si="2"/>
        <v>Wednesday</v>
      </c>
      <c r="D1487" s="72" t="str">
        <f t="shared" si="3"/>
        <v>January</v>
      </c>
      <c r="E1487" s="72" t="str">
        <f t="shared" si="4"/>
        <v>Q1</v>
      </c>
      <c r="F1487" s="72">
        <f t="shared" si="5"/>
        <v>2023</v>
      </c>
      <c r="G1487" s="89">
        <f t="shared" si="6"/>
        <v>44954</v>
      </c>
      <c r="H1487" s="72" t="str">
        <f t="shared" si="7"/>
        <v>Yes</v>
      </c>
    </row>
    <row r="1488" ht="15.75" customHeight="1">
      <c r="A1488" s="88">
        <f t="shared" si="8"/>
        <v>44952</v>
      </c>
      <c r="B1488" s="72" t="str">
        <f t="shared" si="1"/>
        <v>20230126</v>
      </c>
      <c r="C1488" s="72" t="str">
        <f t="shared" si="2"/>
        <v>Thursday</v>
      </c>
      <c r="D1488" s="72" t="str">
        <f t="shared" si="3"/>
        <v>January</v>
      </c>
      <c r="E1488" s="72" t="str">
        <f t="shared" si="4"/>
        <v>Q1</v>
      </c>
      <c r="F1488" s="72">
        <f t="shared" si="5"/>
        <v>2023</v>
      </c>
      <c r="G1488" s="89">
        <f t="shared" si="6"/>
        <v>44954</v>
      </c>
      <c r="H1488" s="72" t="str">
        <f t="shared" si="7"/>
        <v>Yes</v>
      </c>
    </row>
    <row r="1489" ht="15.75" customHeight="1">
      <c r="A1489" s="88">
        <f t="shared" si="8"/>
        <v>44953</v>
      </c>
      <c r="B1489" s="72" t="str">
        <f t="shared" si="1"/>
        <v>20230127</v>
      </c>
      <c r="C1489" s="72" t="str">
        <f t="shared" si="2"/>
        <v>Friday</v>
      </c>
      <c r="D1489" s="72" t="str">
        <f t="shared" si="3"/>
        <v>January</v>
      </c>
      <c r="E1489" s="72" t="str">
        <f t="shared" si="4"/>
        <v>Q1</v>
      </c>
      <c r="F1489" s="72">
        <f t="shared" si="5"/>
        <v>2023</v>
      </c>
      <c r="G1489" s="89">
        <f t="shared" si="6"/>
        <v>44954</v>
      </c>
      <c r="H1489" s="72" t="str">
        <f t="shared" si="7"/>
        <v>Yes</v>
      </c>
    </row>
    <row r="1490" ht="15.75" customHeight="1">
      <c r="A1490" s="88">
        <f t="shared" si="8"/>
        <v>44954</v>
      </c>
      <c r="B1490" s="72" t="str">
        <f t="shared" si="1"/>
        <v>20230128</v>
      </c>
      <c r="C1490" s="72" t="str">
        <f t="shared" si="2"/>
        <v>Saturday</v>
      </c>
      <c r="D1490" s="72" t="str">
        <f t="shared" si="3"/>
        <v>January</v>
      </c>
      <c r="E1490" s="72" t="str">
        <f t="shared" si="4"/>
        <v>Q1</v>
      </c>
      <c r="F1490" s="72">
        <f t="shared" si="5"/>
        <v>2023</v>
      </c>
      <c r="G1490" s="89">
        <f t="shared" si="6"/>
        <v>44954</v>
      </c>
      <c r="H1490" s="72" t="str">
        <f t="shared" si="7"/>
        <v>No</v>
      </c>
    </row>
    <row r="1491" ht="15.75" customHeight="1">
      <c r="A1491" s="88">
        <f t="shared" si="8"/>
        <v>44955</v>
      </c>
      <c r="B1491" s="72" t="str">
        <f t="shared" si="1"/>
        <v>20230129</v>
      </c>
      <c r="C1491" s="72" t="str">
        <f t="shared" si="2"/>
        <v>Sunday</v>
      </c>
      <c r="D1491" s="72" t="str">
        <f t="shared" si="3"/>
        <v>January</v>
      </c>
      <c r="E1491" s="72" t="str">
        <f t="shared" si="4"/>
        <v>Q1</v>
      </c>
      <c r="F1491" s="72">
        <f t="shared" si="5"/>
        <v>2023</v>
      </c>
      <c r="G1491" s="89">
        <f t="shared" si="6"/>
        <v>44961</v>
      </c>
      <c r="H1491" s="72" t="str">
        <f t="shared" si="7"/>
        <v>No</v>
      </c>
    </row>
    <row r="1492" ht="15.75" customHeight="1">
      <c r="A1492" s="88">
        <f t="shared" si="8"/>
        <v>44956</v>
      </c>
      <c r="B1492" s="72" t="str">
        <f t="shared" si="1"/>
        <v>20230130</v>
      </c>
      <c r="C1492" s="72" t="str">
        <f t="shared" si="2"/>
        <v>Monday</v>
      </c>
      <c r="D1492" s="72" t="str">
        <f t="shared" si="3"/>
        <v>January</v>
      </c>
      <c r="E1492" s="72" t="str">
        <f t="shared" si="4"/>
        <v>Q1</v>
      </c>
      <c r="F1492" s="72">
        <f t="shared" si="5"/>
        <v>2023</v>
      </c>
      <c r="G1492" s="89">
        <f t="shared" si="6"/>
        <v>44961</v>
      </c>
      <c r="H1492" s="72" t="str">
        <f t="shared" si="7"/>
        <v>Yes</v>
      </c>
    </row>
    <row r="1493" ht="15.75" customHeight="1">
      <c r="A1493" s="88">
        <f t="shared" si="8"/>
        <v>44957</v>
      </c>
      <c r="B1493" s="72" t="str">
        <f t="shared" si="1"/>
        <v>20230131</v>
      </c>
      <c r="C1493" s="72" t="str">
        <f t="shared" si="2"/>
        <v>Tuesday</v>
      </c>
      <c r="D1493" s="72" t="str">
        <f t="shared" si="3"/>
        <v>January</v>
      </c>
      <c r="E1493" s="72" t="str">
        <f t="shared" si="4"/>
        <v>Q1</v>
      </c>
      <c r="F1493" s="72">
        <f t="shared" si="5"/>
        <v>2023</v>
      </c>
      <c r="G1493" s="89">
        <f t="shared" si="6"/>
        <v>44961</v>
      </c>
      <c r="H1493" s="72" t="str">
        <f t="shared" si="7"/>
        <v>Yes</v>
      </c>
    </row>
    <row r="1494" ht="15.75" customHeight="1">
      <c r="A1494" s="88">
        <f t="shared" si="8"/>
        <v>44958</v>
      </c>
      <c r="B1494" s="72" t="str">
        <f t="shared" si="1"/>
        <v>20230201</v>
      </c>
      <c r="C1494" s="72" t="str">
        <f t="shared" si="2"/>
        <v>Wednesday</v>
      </c>
      <c r="D1494" s="72" t="str">
        <f t="shared" si="3"/>
        <v>February</v>
      </c>
      <c r="E1494" s="72" t="str">
        <f t="shared" si="4"/>
        <v>Q1</v>
      </c>
      <c r="F1494" s="72">
        <f t="shared" si="5"/>
        <v>2023</v>
      </c>
      <c r="G1494" s="89">
        <f t="shared" si="6"/>
        <v>44961</v>
      </c>
      <c r="H1494" s="72" t="str">
        <f t="shared" si="7"/>
        <v>Yes</v>
      </c>
    </row>
    <row r="1495" ht="15.75" customHeight="1">
      <c r="A1495" s="88">
        <f t="shared" si="8"/>
        <v>44959</v>
      </c>
      <c r="B1495" s="72" t="str">
        <f t="shared" si="1"/>
        <v>20230202</v>
      </c>
      <c r="C1495" s="72" t="str">
        <f t="shared" si="2"/>
        <v>Thursday</v>
      </c>
      <c r="D1495" s="72" t="str">
        <f t="shared" si="3"/>
        <v>February</v>
      </c>
      <c r="E1495" s="72" t="str">
        <f t="shared" si="4"/>
        <v>Q1</v>
      </c>
      <c r="F1495" s="72">
        <f t="shared" si="5"/>
        <v>2023</v>
      </c>
      <c r="G1495" s="89">
        <f t="shared" si="6"/>
        <v>44961</v>
      </c>
      <c r="H1495" s="72" t="str">
        <f t="shared" si="7"/>
        <v>Yes</v>
      </c>
    </row>
    <row r="1496" ht="15.75" customHeight="1">
      <c r="A1496" s="88">
        <f t="shared" si="8"/>
        <v>44960</v>
      </c>
      <c r="B1496" s="72" t="str">
        <f t="shared" si="1"/>
        <v>20230203</v>
      </c>
      <c r="C1496" s="72" t="str">
        <f t="shared" si="2"/>
        <v>Friday</v>
      </c>
      <c r="D1496" s="72" t="str">
        <f t="shared" si="3"/>
        <v>February</v>
      </c>
      <c r="E1496" s="72" t="str">
        <f t="shared" si="4"/>
        <v>Q1</v>
      </c>
      <c r="F1496" s="72">
        <f t="shared" si="5"/>
        <v>2023</v>
      </c>
      <c r="G1496" s="89">
        <f t="shared" si="6"/>
        <v>44961</v>
      </c>
      <c r="H1496" s="72" t="str">
        <f t="shared" si="7"/>
        <v>Yes</v>
      </c>
    </row>
    <row r="1497" ht="15.75" customHeight="1">
      <c r="A1497" s="88">
        <f t="shared" si="8"/>
        <v>44961</v>
      </c>
      <c r="B1497" s="72" t="str">
        <f t="shared" si="1"/>
        <v>20230204</v>
      </c>
      <c r="C1497" s="72" t="str">
        <f t="shared" si="2"/>
        <v>Saturday</v>
      </c>
      <c r="D1497" s="72" t="str">
        <f t="shared" si="3"/>
        <v>February</v>
      </c>
      <c r="E1497" s="72" t="str">
        <f t="shared" si="4"/>
        <v>Q1</v>
      </c>
      <c r="F1497" s="72">
        <f t="shared" si="5"/>
        <v>2023</v>
      </c>
      <c r="G1497" s="89">
        <f t="shared" si="6"/>
        <v>44961</v>
      </c>
      <c r="H1497" s="72" t="str">
        <f t="shared" si="7"/>
        <v>No</v>
      </c>
    </row>
    <row r="1498" ht="15.75" customHeight="1">
      <c r="A1498" s="88">
        <f t="shared" si="8"/>
        <v>44962</v>
      </c>
      <c r="B1498" s="72" t="str">
        <f t="shared" si="1"/>
        <v>20230205</v>
      </c>
      <c r="C1498" s="72" t="str">
        <f t="shared" si="2"/>
        <v>Sunday</v>
      </c>
      <c r="D1498" s="72" t="str">
        <f t="shared" si="3"/>
        <v>February</v>
      </c>
      <c r="E1498" s="72" t="str">
        <f t="shared" si="4"/>
        <v>Q1</v>
      </c>
      <c r="F1498" s="72">
        <f t="shared" si="5"/>
        <v>2023</v>
      </c>
      <c r="G1498" s="89">
        <f t="shared" si="6"/>
        <v>44968</v>
      </c>
      <c r="H1498" s="72" t="str">
        <f t="shared" si="7"/>
        <v>No</v>
      </c>
    </row>
    <row r="1499" ht="15.75" customHeight="1">
      <c r="A1499" s="88">
        <f t="shared" si="8"/>
        <v>44963</v>
      </c>
      <c r="B1499" s="72" t="str">
        <f t="shared" si="1"/>
        <v>20230206</v>
      </c>
      <c r="C1499" s="72" t="str">
        <f t="shared" si="2"/>
        <v>Monday</v>
      </c>
      <c r="D1499" s="72" t="str">
        <f t="shared" si="3"/>
        <v>February</v>
      </c>
      <c r="E1499" s="72" t="str">
        <f t="shared" si="4"/>
        <v>Q1</v>
      </c>
      <c r="F1499" s="72">
        <f t="shared" si="5"/>
        <v>2023</v>
      </c>
      <c r="G1499" s="89">
        <f t="shared" si="6"/>
        <v>44968</v>
      </c>
      <c r="H1499" s="72" t="str">
        <f t="shared" si="7"/>
        <v>Yes</v>
      </c>
    </row>
    <row r="1500" ht="15.75" customHeight="1">
      <c r="A1500" s="88">
        <f t="shared" si="8"/>
        <v>44964</v>
      </c>
      <c r="B1500" s="72" t="str">
        <f t="shared" si="1"/>
        <v>20230207</v>
      </c>
      <c r="C1500" s="72" t="str">
        <f t="shared" si="2"/>
        <v>Tuesday</v>
      </c>
      <c r="D1500" s="72" t="str">
        <f t="shared" si="3"/>
        <v>February</v>
      </c>
      <c r="E1500" s="72" t="str">
        <f t="shared" si="4"/>
        <v>Q1</v>
      </c>
      <c r="F1500" s="72">
        <f t="shared" si="5"/>
        <v>2023</v>
      </c>
      <c r="G1500" s="89">
        <f t="shared" si="6"/>
        <v>44968</v>
      </c>
      <c r="H1500" s="72" t="str">
        <f t="shared" si="7"/>
        <v>Yes</v>
      </c>
    </row>
    <row r="1501" ht="15.75" customHeight="1">
      <c r="A1501" s="88">
        <f t="shared" si="8"/>
        <v>44965</v>
      </c>
      <c r="B1501" s="72" t="str">
        <f t="shared" si="1"/>
        <v>20230208</v>
      </c>
      <c r="C1501" s="72" t="str">
        <f t="shared" si="2"/>
        <v>Wednesday</v>
      </c>
      <c r="D1501" s="72" t="str">
        <f t="shared" si="3"/>
        <v>February</v>
      </c>
      <c r="E1501" s="72" t="str">
        <f t="shared" si="4"/>
        <v>Q1</v>
      </c>
      <c r="F1501" s="72">
        <f t="shared" si="5"/>
        <v>2023</v>
      </c>
      <c r="G1501" s="89">
        <f t="shared" si="6"/>
        <v>44968</v>
      </c>
      <c r="H1501" s="72" t="str">
        <f t="shared" si="7"/>
        <v>Yes</v>
      </c>
    </row>
    <row r="1502" ht="15.75" customHeight="1">
      <c r="A1502" s="88">
        <f t="shared" si="8"/>
        <v>44966</v>
      </c>
      <c r="B1502" s="72" t="str">
        <f t="shared" si="1"/>
        <v>20230209</v>
      </c>
      <c r="C1502" s="72" t="str">
        <f t="shared" si="2"/>
        <v>Thursday</v>
      </c>
      <c r="D1502" s="72" t="str">
        <f t="shared" si="3"/>
        <v>February</v>
      </c>
      <c r="E1502" s="72" t="str">
        <f t="shared" si="4"/>
        <v>Q1</v>
      </c>
      <c r="F1502" s="72">
        <f t="shared" si="5"/>
        <v>2023</v>
      </c>
      <c r="G1502" s="89">
        <f t="shared" si="6"/>
        <v>44968</v>
      </c>
      <c r="H1502" s="72" t="str">
        <f t="shared" si="7"/>
        <v>Yes</v>
      </c>
    </row>
    <row r="1503" ht="15.75" customHeight="1">
      <c r="A1503" s="88">
        <f t="shared" si="8"/>
        <v>44967</v>
      </c>
      <c r="B1503" s="72" t="str">
        <f t="shared" si="1"/>
        <v>20230210</v>
      </c>
      <c r="C1503" s="72" t="str">
        <f t="shared" si="2"/>
        <v>Friday</v>
      </c>
      <c r="D1503" s="72" t="str">
        <f t="shared" si="3"/>
        <v>February</v>
      </c>
      <c r="E1503" s="72" t="str">
        <f t="shared" si="4"/>
        <v>Q1</v>
      </c>
      <c r="F1503" s="72">
        <f t="shared" si="5"/>
        <v>2023</v>
      </c>
      <c r="G1503" s="89">
        <f t="shared" si="6"/>
        <v>44968</v>
      </c>
      <c r="H1503" s="72" t="str">
        <f t="shared" si="7"/>
        <v>Yes</v>
      </c>
    </row>
    <row r="1504" ht="15.75" customHeight="1">
      <c r="A1504" s="88">
        <f t="shared" si="8"/>
        <v>44968</v>
      </c>
      <c r="B1504" s="72" t="str">
        <f t="shared" si="1"/>
        <v>20230211</v>
      </c>
      <c r="C1504" s="72" t="str">
        <f t="shared" si="2"/>
        <v>Saturday</v>
      </c>
      <c r="D1504" s="72" t="str">
        <f t="shared" si="3"/>
        <v>February</v>
      </c>
      <c r="E1504" s="72" t="str">
        <f t="shared" si="4"/>
        <v>Q1</v>
      </c>
      <c r="F1504" s="72">
        <f t="shared" si="5"/>
        <v>2023</v>
      </c>
      <c r="G1504" s="89">
        <f t="shared" si="6"/>
        <v>44968</v>
      </c>
      <c r="H1504" s="72" t="str">
        <f t="shared" si="7"/>
        <v>No</v>
      </c>
    </row>
    <row r="1505" ht="15.75" customHeight="1">
      <c r="A1505" s="88">
        <f t="shared" si="8"/>
        <v>44969</v>
      </c>
      <c r="B1505" s="72" t="str">
        <f t="shared" si="1"/>
        <v>20230212</v>
      </c>
      <c r="C1505" s="72" t="str">
        <f t="shared" si="2"/>
        <v>Sunday</v>
      </c>
      <c r="D1505" s="72" t="str">
        <f t="shared" si="3"/>
        <v>February</v>
      </c>
      <c r="E1505" s="72" t="str">
        <f t="shared" si="4"/>
        <v>Q1</v>
      </c>
      <c r="F1505" s="72">
        <f t="shared" si="5"/>
        <v>2023</v>
      </c>
      <c r="G1505" s="89">
        <f t="shared" si="6"/>
        <v>44975</v>
      </c>
      <c r="H1505" s="72" t="str">
        <f t="shared" si="7"/>
        <v>No</v>
      </c>
    </row>
    <row r="1506" ht="15.75" customHeight="1">
      <c r="A1506" s="88">
        <f t="shared" si="8"/>
        <v>44970</v>
      </c>
      <c r="B1506" s="72" t="str">
        <f t="shared" si="1"/>
        <v>20230213</v>
      </c>
      <c r="C1506" s="72" t="str">
        <f t="shared" si="2"/>
        <v>Monday</v>
      </c>
      <c r="D1506" s="72" t="str">
        <f t="shared" si="3"/>
        <v>February</v>
      </c>
      <c r="E1506" s="72" t="str">
        <f t="shared" si="4"/>
        <v>Q1</v>
      </c>
      <c r="F1506" s="72">
        <f t="shared" si="5"/>
        <v>2023</v>
      </c>
      <c r="G1506" s="89">
        <f t="shared" si="6"/>
        <v>44975</v>
      </c>
      <c r="H1506" s="72" t="str">
        <f t="shared" si="7"/>
        <v>Yes</v>
      </c>
    </row>
    <row r="1507" ht="15.75" customHeight="1">
      <c r="A1507" s="88">
        <f t="shared" si="8"/>
        <v>44971</v>
      </c>
      <c r="B1507" s="72" t="str">
        <f t="shared" si="1"/>
        <v>20230214</v>
      </c>
      <c r="C1507" s="72" t="str">
        <f t="shared" si="2"/>
        <v>Tuesday</v>
      </c>
      <c r="D1507" s="72" t="str">
        <f t="shared" si="3"/>
        <v>February</v>
      </c>
      <c r="E1507" s="72" t="str">
        <f t="shared" si="4"/>
        <v>Q1</v>
      </c>
      <c r="F1507" s="72">
        <f t="shared" si="5"/>
        <v>2023</v>
      </c>
      <c r="G1507" s="89">
        <f t="shared" si="6"/>
        <v>44975</v>
      </c>
      <c r="H1507" s="72" t="str">
        <f t="shared" si="7"/>
        <v>Yes</v>
      </c>
    </row>
    <row r="1508" ht="15.75" customHeight="1">
      <c r="A1508" s="88">
        <f t="shared" si="8"/>
        <v>44972</v>
      </c>
      <c r="B1508" s="72" t="str">
        <f t="shared" si="1"/>
        <v>20230215</v>
      </c>
      <c r="C1508" s="72" t="str">
        <f t="shared" si="2"/>
        <v>Wednesday</v>
      </c>
      <c r="D1508" s="72" t="str">
        <f t="shared" si="3"/>
        <v>February</v>
      </c>
      <c r="E1508" s="72" t="str">
        <f t="shared" si="4"/>
        <v>Q1</v>
      </c>
      <c r="F1508" s="72">
        <f t="shared" si="5"/>
        <v>2023</v>
      </c>
      <c r="G1508" s="89">
        <f t="shared" si="6"/>
        <v>44975</v>
      </c>
      <c r="H1508" s="72" t="str">
        <f t="shared" si="7"/>
        <v>Yes</v>
      </c>
    </row>
    <row r="1509" ht="15.75" customHeight="1">
      <c r="A1509" s="88">
        <f t="shared" si="8"/>
        <v>44973</v>
      </c>
      <c r="B1509" s="72" t="str">
        <f t="shared" si="1"/>
        <v>20230216</v>
      </c>
      <c r="C1509" s="72" t="str">
        <f t="shared" si="2"/>
        <v>Thursday</v>
      </c>
      <c r="D1509" s="72" t="str">
        <f t="shared" si="3"/>
        <v>February</v>
      </c>
      <c r="E1509" s="72" t="str">
        <f t="shared" si="4"/>
        <v>Q1</v>
      </c>
      <c r="F1509" s="72">
        <f t="shared" si="5"/>
        <v>2023</v>
      </c>
      <c r="G1509" s="89">
        <f t="shared" si="6"/>
        <v>44975</v>
      </c>
      <c r="H1509" s="72" t="str">
        <f t="shared" si="7"/>
        <v>Yes</v>
      </c>
    </row>
    <row r="1510" ht="15.75" customHeight="1">
      <c r="A1510" s="88">
        <f t="shared" si="8"/>
        <v>44974</v>
      </c>
      <c r="B1510" s="72" t="str">
        <f t="shared" si="1"/>
        <v>20230217</v>
      </c>
      <c r="C1510" s="72" t="str">
        <f t="shared" si="2"/>
        <v>Friday</v>
      </c>
      <c r="D1510" s="72" t="str">
        <f t="shared" si="3"/>
        <v>February</v>
      </c>
      <c r="E1510" s="72" t="str">
        <f t="shared" si="4"/>
        <v>Q1</v>
      </c>
      <c r="F1510" s="72">
        <f t="shared" si="5"/>
        <v>2023</v>
      </c>
      <c r="G1510" s="89">
        <f t="shared" si="6"/>
        <v>44975</v>
      </c>
      <c r="H1510" s="72" t="str">
        <f t="shared" si="7"/>
        <v>Yes</v>
      </c>
    </row>
    <row r="1511" ht="15.75" customHeight="1">
      <c r="A1511" s="88">
        <f t="shared" si="8"/>
        <v>44975</v>
      </c>
      <c r="B1511" s="72" t="str">
        <f t="shared" si="1"/>
        <v>20230218</v>
      </c>
      <c r="C1511" s="72" t="str">
        <f t="shared" si="2"/>
        <v>Saturday</v>
      </c>
      <c r="D1511" s="72" t="str">
        <f t="shared" si="3"/>
        <v>February</v>
      </c>
      <c r="E1511" s="72" t="str">
        <f t="shared" si="4"/>
        <v>Q1</v>
      </c>
      <c r="F1511" s="72">
        <f t="shared" si="5"/>
        <v>2023</v>
      </c>
      <c r="G1511" s="89">
        <f t="shared" si="6"/>
        <v>44975</v>
      </c>
      <c r="H1511" s="72" t="str">
        <f t="shared" si="7"/>
        <v>No</v>
      </c>
    </row>
    <row r="1512" ht="15.75" customHeight="1">
      <c r="A1512" s="88">
        <f t="shared" si="8"/>
        <v>44976</v>
      </c>
      <c r="B1512" s="72" t="str">
        <f t="shared" si="1"/>
        <v>20230219</v>
      </c>
      <c r="C1512" s="72" t="str">
        <f t="shared" si="2"/>
        <v>Sunday</v>
      </c>
      <c r="D1512" s="72" t="str">
        <f t="shared" si="3"/>
        <v>February</v>
      </c>
      <c r="E1512" s="72" t="str">
        <f t="shared" si="4"/>
        <v>Q1</v>
      </c>
      <c r="F1512" s="72">
        <f t="shared" si="5"/>
        <v>2023</v>
      </c>
      <c r="G1512" s="89">
        <f t="shared" si="6"/>
        <v>44982</v>
      </c>
      <c r="H1512" s="72" t="str">
        <f t="shared" si="7"/>
        <v>No</v>
      </c>
    </row>
    <row r="1513" ht="15.75" customHeight="1">
      <c r="A1513" s="88">
        <f t="shared" si="8"/>
        <v>44977</v>
      </c>
      <c r="B1513" s="72" t="str">
        <f t="shared" si="1"/>
        <v>20230220</v>
      </c>
      <c r="C1513" s="72" t="str">
        <f t="shared" si="2"/>
        <v>Monday</v>
      </c>
      <c r="D1513" s="72" t="str">
        <f t="shared" si="3"/>
        <v>February</v>
      </c>
      <c r="E1513" s="72" t="str">
        <f t="shared" si="4"/>
        <v>Q1</v>
      </c>
      <c r="F1513" s="72">
        <f t="shared" si="5"/>
        <v>2023</v>
      </c>
      <c r="G1513" s="89">
        <f t="shared" si="6"/>
        <v>44982</v>
      </c>
      <c r="H1513" s="72" t="str">
        <f t="shared" si="7"/>
        <v>Yes</v>
      </c>
    </row>
    <row r="1514" ht="15.75" customHeight="1">
      <c r="A1514" s="88">
        <f t="shared" si="8"/>
        <v>44978</v>
      </c>
      <c r="B1514" s="72" t="str">
        <f t="shared" si="1"/>
        <v>20230221</v>
      </c>
      <c r="C1514" s="72" t="str">
        <f t="shared" si="2"/>
        <v>Tuesday</v>
      </c>
      <c r="D1514" s="72" t="str">
        <f t="shared" si="3"/>
        <v>February</v>
      </c>
      <c r="E1514" s="72" t="str">
        <f t="shared" si="4"/>
        <v>Q1</v>
      </c>
      <c r="F1514" s="72">
        <f t="shared" si="5"/>
        <v>2023</v>
      </c>
      <c r="G1514" s="89">
        <f t="shared" si="6"/>
        <v>44982</v>
      </c>
      <c r="H1514" s="72" t="str">
        <f t="shared" si="7"/>
        <v>Yes</v>
      </c>
    </row>
    <row r="1515" ht="15.75" customHeight="1">
      <c r="A1515" s="88">
        <f t="shared" si="8"/>
        <v>44979</v>
      </c>
      <c r="B1515" s="72" t="str">
        <f t="shared" si="1"/>
        <v>20230222</v>
      </c>
      <c r="C1515" s="72" t="str">
        <f t="shared" si="2"/>
        <v>Wednesday</v>
      </c>
      <c r="D1515" s="72" t="str">
        <f t="shared" si="3"/>
        <v>February</v>
      </c>
      <c r="E1515" s="72" t="str">
        <f t="shared" si="4"/>
        <v>Q1</v>
      </c>
      <c r="F1515" s="72">
        <f t="shared" si="5"/>
        <v>2023</v>
      </c>
      <c r="G1515" s="89">
        <f t="shared" si="6"/>
        <v>44982</v>
      </c>
      <c r="H1515" s="72" t="str">
        <f t="shared" si="7"/>
        <v>Yes</v>
      </c>
    </row>
    <row r="1516" ht="15.75" customHeight="1">
      <c r="A1516" s="88">
        <f t="shared" si="8"/>
        <v>44980</v>
      </c>
      <c r="B1516" s="72" t="str">
        <f t="shared" si="1"/>
        <v>20230223</v>
      </c>
      <c r="C1516" s="72" t="str">
        <f t="shared" si="2"/>
        <v>Thursday</v>
      </c>
      <c r="D1516" s="72" t="str">
        <f t="shared" si="3"/>
        <v>February</v>
      </c>
      <c r="E1516" s="72" t="str">
        <f t="shared" si="4"/>
        <v>Q1</v>
      </c>
      <c r="F1516" s="72">
        <f t="shared" si="5"/>
        <v>2023</v>
      </c>
      <c r="G1516" s="89">
        <f t="shared" si="6"/>
        <v>44982</v>
      </c>
      <c r="H1516" s="72" t="str">
        <f t="shared" si="7"/>
        <v>Yes</v>
      </c>
    </row>
    <row r="1517" ht="15.75" customHeight="1">
      <c r="A1517" s="88">
        <f t="shared" si="8"/>
        <v>44981</v>
      </c>
      <c r="B1517" s="72" t="str">
        <f t="shared" si="1"/>
        <v>20230224</v>
      </c>
      <c r="C1517" s="72" t="str">
        <f t="shared" si="2"/>
        <v>Friday</v>
      </c>
      <c r="D1517" s="72" t="str">
        <f t="shared" si="3"/>
        <v>February</v>
      </c>
      <c r="E1517" s="72" t="str">
        <f t="shared" si="4"/>
        <v>Q1</v>
      </c>
      <c r="F1517" s="72">
        <f t="shared" si="5"/>
        <v>2023</v>
      </c>
      <c r="G1517" s="89">
        <f t="shared" si="6"/>
        <v>44982</v>
      </c>
      <c r="H1517" s="72" t="str">
        <f t="shared" si="7"/>
        <v>Yes</v>
      </c>
    </row>
    <row r="1518" ht="15.75" customHeight="1">
      <c r="A1518" s="88">
        <f t="shared" si="8"/>
        <v>44982</v>
      </c>
      <c r="B1518" s="72" t="str">
        <f t="shared" si="1"/>
        <v>20230225</v>
      </c>
      <c r="C1518" s="72" t="str">
        <f t="shared" si="2"/>
        <v>Saturday</v>
      </c>
      <c r="D1518" s="72" t="str">
        <f t="shared" si="3"/>
        <v>February</v>
      </c>
      <c r="E1518" s="72" t="str">
        <f t="shared" si="4"/>
        <v>Q1</v>
      </c>
      <c r="F1518" s="72">
        <f t="shared" si="5"/>
        <v>2023</v>
      </c>
      <c r="G1518" s="89">
        <f t="shared" si="6"/>
        <v>44982</v>
      </c>
      <c r="H1518" s="72" t="str">
        <f t="shared" si="7"/>
        <v>No</v>
      </c>
    </row>
    <row r="1519" ht="15.75" customHeight="1">
      <c r="A1519" s="88">
        <f t="shared" si="8"/>
        <v>44983</v>
      </c>
      <c r="B1519" s="72" t="str">
        <f t="shared" si="1"/>
        <v>20230226</v>
      </c>
      <c r="C1519" s="72" t="str">
        <f t="shared" si="2"/>
        <v>Sunday</v>
      </c>
      <c r="D1519" s="72" t="str">
        <f t="shared" si="3"/>
        <v>February</v>
      </c>
      <c r="E1519" s="72" t="str">
        <f t="shared" si="4"/>
        <v>Q1</v>
      </c>
      <c r="F1519" s="72">
        <f t="shared" si="5"/>
        <v>2023</v>
      </c>
      <c r="G1519" s="89">
        <f t="shared" si="6"/>
        <v>44989</v>
      </c>
      <c r="H1519" s="72" t="str">
        <f t="shared" si="7"/>
        <v>No</v>
      </c>
    </row>
    <row r="1520" ht="15.75" customHeight="1">
      <c r="A1520" s="88">
        <f t="shared" si="8"/>
        <v>44984</v>
      </c>
      <c r="B1520" s="72" t="str">
        <f t="shared" si="1"/>
        <v>20230227</v>
      </c>
      <c r="C1520" s="72" t="str">
        <f t="shared" si="2"/>
        <v>Monday</v>
      </c>
      <c r="D1520" s="72" t="str">
        <f t="shared" si="3"/>
        <v>February</v>
      </c>
      <c r="E1520" s="72" t="str">
        <f t="shared" si="4"/>
        <v>Q1</v>
      </c>
      <c r="F1520" s="72">
        <f t="shared" si="5"/>
        <v>2023</v>
      </c>
      <c r="G1520" s="89">
        <f t="shared" si="6"/>
        <v>44989</v>
      </c>
      <c r="H1520" s="72" t="str">
        <f t="shared" si="7"/>
        <v>Yes</v>
      </c>
    </row>
    <row r="1521" ht="15.75" customHeight="1">
      <c r="A1521" s="88">
        <f t="shared" si="8"/>
        <v>44985</v>
      </c>
      <c r="B1521" s="72" t="str">
        <f t="shared" si="1"/>
        <v>20230228</v>
      </c>
      <c r="C1521" s="72" t="str">
        <f t="shared" si="2"/>
        <v>Tuesday</v>
      </c>
      <c r="D1521" s="72" t="str">
        <f t="shared" si="3"/>
        <v>February</v>
      </c>
      <c r="E1521" s="72" t="str">
        <f t="shared" si="4"/>
        <v>Q1</v>
      </c>
      <c r="F1521" s="72">
        <f t="shared" si="5"/>
        <v>2023</v>
      </c>
      <c r="G1521" s="89">
        <f t="shared" si="6"/>
        <v>44989</v>
      </c>
      <c r="H1521" s="72" t="str">
        <f t="shared" si="7"/>
        <v>Yes</v>
      </c>
    </row>
    <row r="1522" ht="15.75" customHeight="1">
      <c r="A1522" s="88">
        <f t="shared" si="8"/>
        <v>44986</v>
      </c>
      <c r="B1522" s="72" t="str">
        <f t="shared" si="1"/>
        <v>20230301</v>
      </c>
      <c r="C1522" s="72" t="str">
        <f t="shared" si="2"/>
        <v>Wednesday</v>
      </c>
      <c r="D1522" s="72" t="str">
        <f t="shared" si="3"/>
        <v>March</v>
      </c>
      <c r="E1522" s="72" t="str">
        <f t="shared" si="4"/>
        <v>Q1</v>
      </c>
      <c r="F1522" s="72">
        <f t="shared" si="5"/>
        <v>2023</v>
      </c>
      <c r="G1522" s="89">
        <f t="shared" si="6"/>
        <v>44989</v>
      </c>
      <c r="H1522" s="72" t="str">
        <f t="shared" si="7"/>
        <v>Yes</v>
      </c>
    </row>
    <row r="1523" ht="15.75" customHeight="1">
      <c r="A1523" s="88">
        <f t="shared" si="8"/>
        <v>44987</v>
      </c>
      <c r="B1523" s="72" t="str">
        <f t="shared" si="1"/>
        <v>20230302</v>
      </c>
      <c r="C1523" s="72" t="str">
        <f t="shared" si="2"/>
        <v>Thursday</v>
      </c>
      <c r="D1523" s="72" t="str">
        <f t="shared" si="3"/>
        <v>March</v>
      </c>
      <c r="E1523" s="72" t="str">
        <f t="shared" si="4"/>
        <v>Q1</v>
      </c>
      <c r="F1523" s="72">
        <f t="shared" si="5"/>
        <v>2023</v>
      </c>
      <c r="G1523" s="89">
        <f t="shared" si="6"/>
        <v>44989</v>
      </c>
      <c r="H1523" s="72" t="str">
        <f t="shared" si="7"/>
        <v>Yes</v>
      </c>
    </row>
    <row r="1524" ht="15.75" customHeight="1">
      <c r="A1524" s="88">
        <f t="shared" si="8"/>
        <v>44988</v>
      </c>
      <c r="B1524" s="72" t="str">
        <f t="shared" si="1"/>
        <v>20230303</v>
      </c>
      <c r="C1524" s="72" t="str">
        <f t="shared" si="2"/>
        <v>Friday</v>
      </c>
      <c r="D1524" s="72" t="str">
        <f t="shared" si="3"/>
        <v>March</v>
      </c>
      <c r="E1524" s="72" t="str">
        <f t="shared" si="4"/>
        <v>Q1</v>
      </c>
      <c r="F1524" s="72">
        <f t="shared" si="5"/>
        <v>2023</v>
      </c>
      <c r="G1524" s="89">
        <f t="shared" si="6"/>
        <v>44989</v>
      </c>
      <c r="H1524" s="72" t="str">
        <f t="shared" si="7"/>
        <v>Yes</v>
      </c>
    </row>
    <row r="1525" ht="15.75" customHeight="1">
      <c r="A1525" s="88">
        <f t="shared" si="8"/>
        <v>44989</v>
      </c>
      <c r="B1525" s="72" t="str">
        <f t="shared" si="1"/>
        <v>20230304</v>
      </c>
      <c r="C1525" s="72" t="str">
        <f t="shared" si="2"/>
        <v>Saturday</v>
      </c>
      <c r="D1525" s="72" t="str">
        <f t="shared" si="3"/>
        <v>March</v>
      </c>
      <c r="E1525" s="72" t="str">
        <f t="shared" si="4"/>
        <v>Q1</v>
      </c>
      <c r="F1525" s="72">
        <f t="shared" si="5"/>
        <v>2023</v>
      </c>
      <c r="G1525" s="89">
        <f t="shared" si="6"/>
        <v>44989</v>
      </c>
      <c r="H1525" s="72" t="str">
        <f t="shared" si="7"/>
        <v>No</v>
      </c>
    </row>
    <row r="1526" ht="15.75" customHeight="1">
      <c r="A1526" s="88">
        <f t="shared" si="8"/>
        <v>44990</v>
      </c>
      <c r="B1526" s="72" t="str">
        <f t="shared" si="1"/>
        <v>20230305</v>
      </c>
      <c r="C1526" s="72" t="str">
        <f t="shared" si="2"/>
        <v>Sunday</v>
      </c>
      <c r="D1526" s="72" t="str">
        <f t="shared" si="3"/>
        <v>March</v>
      </c>
      <c r="E1526" s="72" t="str">
        <f t="shared" si="4"/>
        <v>Q1</v>
      </c>
      <c r="F1526" s="72">
        <f t="shared" si="5"/>
        <v>2023</v>
      </c>
      <c r="G1526" s="89">
        <f t="shared" si="6"/>
        <v>44996</v>
      </c>
      <c r="H1526" s="72" t="str">
        <f t="shared" si="7"/>
        <v>No</v>
      </c>
    </row>
    <row r="1527" ht="15.75" customHeight="1">
      <c r="A1527" s="88">
        <f t="shared" si="8"/>
        <v>44991</v>
      </c>
      <c r="B1527" s="72" t="str">
        <f t="shared" si="1"/>
        <v>20230306</v>
      </c>
      <c r="C1527" s="72" t="str">
        <f t="shared" si="2"/>
        <v>Monday</v>
      </c>
      <c r="D1527" s="72" t="str">
        <f t="shared" si="3"/>
        <v>March</v>
      </c>
      <c r="E1527" s="72" t="str">
        <f t="shared" si="4"/>
        <v>Q1</v>
      </c>
      <c r="F1527" s="72">
        <f t="shared" si="5"/>
        <v>2023</v>
      </c>
      <c r="G1527" s="89">
        <f t="shared" si="6"/>
        <v>44996</v>
      </c>
      <c r="H1527" s="72" t="str">
        <f t="shared" si="7"/>
        <v>Yes</v>
      </c>
    </row>
    <row r="1528" ht="15.75" customHeight="1">
      <c r="A1528" s="88">
        <f t="shared" si="8"/>
        <v>44992</v>
      </c>
      <c r="B1528" s="72" t="str">
        <f t="shared" si="1"/>
        <v>20230307</v>
      </c>
      <c r="C1528" s="72" t="str">
        <f t="shared" si="2"/>
        <v>Tuesday</v>
      </c>
      <c r="D1528" s="72" t="str">
        <f t="shared" si="3"/>
        <v>March</v>
      </c>
      <c r="E1528" s="72" t="str">
        <f t="shared" si="4"/>
        <v>Q1</v>
      </c>
      <c r="F1528" s="72">
        <f t="shared" si="5"/>
        <v>2023</v>
      </c>
      <c r="G1528" s="89">
        <f t="shared" si="6"/>
        <v>44996</v>
      </c>
      <c r="H1528" s="72" t="str">
        <f t="shared" si="7"/>
        <v>Yes</v>
      </c>
    </row>
    <row r="1529" ht="15.75" customHeight="1">
      <c r="A1529" s="88">
        <f t="shared" si="8"/>
        <v>44993</v>
      </c>
      <c r="B1529" s="72" t="str">
        <f t="shared" si="1"/>
        <v>20230308</v>
      </c>
      <c r="C1529" s="72" t="str">
        <f t="shared" si="2"/>
        <v>Wednesday</v>
      </c>
      <c r="D1529" s="72" t="str">
        <f t="shared" si="3"/>
        <v>March</v>
      </c>
      <c r="E1529" s="72" t="str">
        <f t="shared" si="4"/>
        <v>Q1</v>
      </c>
      <c r="F1529" s="72">
        <f t="shared" si="5"/>
        <v>2023</v>
      </c>
      <c r="G1529" s="89">
        <f t="shared" si="6"/>
        <v>44996</v>
      </c>
      <c r="H1529" s="72" t="str">
        <f t="shared" si="7"/>
        <v>Yes</v>
      </c>
    </row>
    <row r="1530" ht="15.75" customHeight="1">
      <c r="A1530" s="88">
        <f t="shared" si="8"/>
        <v>44994</v>
      </c>
      <c r="B1530" s="72" t="str">
        <f t="shared" si="1"/>
        <v>20230309</v>
      </c>
      <c r="C1530" s="72" t="str">
        <f t="shared" si="2"/>
        <v>Thursday</v>
      </c>
      <c r="D1530" s="72" t="str">
        <f t="shared" si="3"/>
        <v>March</v>
      </c>
      <c r="E1530" s="72" t="str">
        <f t="shared" si="4"/>
        <v>Q1</v>
      </c>
      <c r="F1530" s="72">
        <f t="shared" si="5"/>
        <v>2023</v>
      </c>
      <c r="G1530" s="89">
        <f t="shared" si="6"/>
        <v>44996</v>
      </c>
      <c r="H1530" s="72" t="str">
        <f t="shared" si="7"/>
        <v>Yes</v>
      </c>
    </row>
    <row r="1531" ht="15.75" customHeight="1">
      <c r="A1531" s="88">
        <f t="shared" si="8"/>
        <v>44995</v>
      </c>
      <c r="B1531" s="72" t="str">
        <f t="shared" si="1"/>
        <v>20230310</v>
      </c>
      <c r="C1531" s="72" t="str">
        <f t="shared" si="2"/>
        <v>Friday</v>
      </c>
      <c r="D1531" s="72" t="str">
        <f t="shared" si="3"/>
        <v>March</v>
      </c>
      <c r="E1531" s="72" t="str">
        <f t="shared" si="4"/>
        <v>Q1</v>
      </c>
      <c r="F1531" s="72">
        <f t="shared" si="5"/>
        <v>2023</v>
      </c>
      <c r="G1531" s="89">
        <f t="shared" si="6"/>
        <v>44996</v>
      </c>
      <c r="H1531" s="72" t="str">
        <f t="shared" si="7"/>
        <v>Yes</v>
      </c>
    </row>
    <row r="1532" ht="15.75" customHeight="1">
      <c r="A1532" s="88">
        <f t="shared" si="8"/>
        <v>44996</v>
      </c>
      <c r="B1532" s="72" t="str">
        <f t="shared" si="1"/>
        <v>20230311</v>
      </c>
      <c r="C1532" s="72" t="str">
        <f t="shared" si="2"/>
        <v>Saturday</v>
      </c>
      <c r="D1532" s="72" t="str">
        <f t="shared" si="3"/>
        <v>March</v>
      </c>
      <c r="E1532" s="72" t="str">
        <f t="shared" si="4"/>
        <v>Q1</v>
      </c>
      <c r="F1532" s="72">
        <f t="shared" si="5"/>
        <v>2023</v>
      </c>
      <c r="G1532" s="89">
        <f t="shared" si="6"/>
        <v>44996</v>
      </c>
      <c r="H1532" s="72" t="str">
        <f t="shared" si="7"/>
        <v>No</v>
      </c>
    </row>
    <row r="1533" ht="15.75" customHeight="1">
      <c r="A1533" s="88">
        <f t="shared" si="8"/>
        <v>44997</v>
      </c>
      <c r="B1533" s="72" t="str">
        <f t="shared" si="1"/>
        <v>20230312</v>
      </c>
      <c r="C1533" s="72" t="str">
        <f t="shared" si="2"/>
        <v>Sunday</v>
      </c>
      <c r="D1533" s="72" t="str">
        <f t="shared" si="3"/>
        <v>March</v>
      </c>
      <c r="E1533" s="72" t="str">
        <f t="shared" si="4"/>
        <v>Q1</v>
      </c>
      <c r="F1533" s="72">
        <f t="shared" si="5"/>
        <v>2023</v>
      </c>
      <c r="G1533" s="89">
        <f t="shared" si="6"/>
        <v>45003</v>
      </c>
      <c r="H1533" s="72" t="str">
        <f t="shared" si="7"/>
        <v>No</v>
      </c>
    </row>
    <row r="1534" ht="15.75" customHeight="1">
      <c r="A1534" s="88">
        <f t="shared" si="8"/>
        <v>44998</v>
      </c>
      <c r="B1534" s="72" t="str">
        <f t="shared" si="1"/>
        <v>20230313</v>
      </c>
      <c r="C1534" s="72" t="str">
        <f t="shared" si="2"/>
        <v>Monday</v>
      </c>
      <c r="D1534" s="72" t="str">
        <f t="shared" si="3"/>
        <v>March</v>
      </c>
      <c r="E1534" s="72" t="str">
        <f t="shared" si="4"/>
        <v>Q1</v>
      </c>
      <c r="F1534" s="72">
        <f t="shared" si="5"/>
        <v>2023</v>
      </c>
      <c r="G1534" s="89">
        <f t="shared" si="6"/>
        <v>45003</v>
      </c>
      <c r="H1534" s="72" t="str">
        <f t="shared" si="7"/>
        <v>Yes</v>
      </c>
    </row>
    <row r="1535" ht="15.75" customHeight="1">
      <c r="A1535" s="88">
        <f t="shared" si="8"/>
        <v>44999</v>
      </c>
      <c r="B1535" s="72" t="str">
        <f t="shared" si="1"/>
        <v>20230314</v>
      </c>
      <c r="C1535" s="72" t="str">
        <f t="shared" si="2"/>
        <v>Tuesday</v>
      </c>
      <c r="D1535" s="72" t="str">
        <f t="shared" si="3"/>
        <v>March</v>
      </c>
      <c r="E1535" s="72" t="str">
        <f t="shared" si="4"/>
        <v>Q1</v>
      </c>
      <c r="F1535" s="72">
        <f t="shared" si="5"/>
        <v>2023</v>
      </c>
      <c r="G1535" s="89">
        <f t="shared" si="6"/>
        <v>45003</v>
      </c>
      <c r="H1535" s="72" t="str">
        <f t="shared" si="7"/>
        <v>Yes</v>
      </c>
    </row>
    <row r="1536" ht="15.75" customHeight="1">
      <c r="A1536" s="88">
        <f t="shared" si="8"/>
        <v>45000</v>
      </c>
      <c r="B1536" s="72" t="str">
        <f t="shared" si="1"/>
        <v>20230315</v>
      </c>
      <c r="C1536" s="72" t="str">
        <f t="shared" si="2"/>
        <v>Wednesday</v>
      </c>
      <c r="D1536" s="72" t="str">
        <f t="shared" si="3"/>
        <v>March</v>
      </c>
      <c r="E1536" s="72" t="str">
        <f t="shared" si="4"/>
        <v>Q1</v>
      </c>
      <c r="F1536" s="72">
        <f t="shared" si="5"/>
        <v>2023</v>
      </c>
      <c r="G1536" s="89">
        <f t="shared" si="6"/>
        <v>45003</v>
      </c>
      <c r="H1536" s="72" t="str">
        <f t="shared" si="7"/>
        <v>Yes</v>
      </c>
    </row>
    <row r="1537" ht="15.75" customHeight="1">
      <c r="A1537" s="88">
        <f t="shared" si="8"/>
        <v>45001</v>
      </c>
      <c r="B1537" s="72" t="str">
        <f t="shared" si="1"/>
        <v>20230316</v>
      </c>
      <c r="C1537" s="72" t="str">
        <f t="shared" si="2"/>
        <v>Thursday</v>
      </c>
      <c r="D1537" s="72" t="str">
        <f t="shared" si="3"/>
        <v>March</v>
      </c>
      <c r="E1537" s="72" t="str">
        <f t="shared" si="4"/>
        <v>Q1</v>
      </c>
      <c r="F1537" s="72">
        <f t="shared" si="5"/>
        <v>2023</v>
      </c>
      <c r="G1537" s="89">
        <f t="shared" si="6"/>
        <v>45003</v>
      </c>
      <c r="H1537" s="72" t="str">
        <f t="shared" si="7"/>
        <v>Yes</v>
      </c>
    </row>
    <row r="1538" ht="15.75" customHeight="1">
      <c r="A1538" s="88">
        <f t="shared" si="8"/>
        <v>45002</v>
      </c>
      <c r="B1538" s="72" t="str">
        <f t="shared" si="1"/>
        <v>20230317</v>
      </c>
      <c r="C1538" s="72" t="str">
        <f t="shared" si="2"/>
        <v>Friday</v>
      </c>
      <c r="D1538" s="72" t="str">
        <f t="shared" si="3"/>
        <v>March</v>
      </c>
      <c r="E1538" s="72" t="str">
        <f t="shared" si="4"/>
        <v>Q1</v>
      </c>
      <c r="F1538" s="72">
        <f t="shared" si="5"/>
        <v>2023</v>
      </c>
      <c r="G1538" s="89">
        <f t="shared" si="6"/>
        <v>45003</v>
      </c>
      <c r="H1538" s="72" t="str">
        <f t="shared" si="7"/>
        <v>Yes</v>
      </c>
    </row>
    <row r="1539" ht="15.75" customHeight="1">
      <c r="A1539" s="88">
        <f t="shared" si="8"/>
        <v>45003</v>
      </c>
      <c r="B1539" s="72" t="str">
        <f t="shared" si="1"/>
        <v>20230318</v>
      </c>
      <c r="C1539" s="72" t="str">
        <f t="shared" si="2"/>
        <v>Saturday</v>
      </c>
      <c r="D1539" s="72" t="str">
        <f t="shared" si="3"/>
        <v>March</v>
      </c>
      <c r="E1539" s="72" t="str">
        <f t="shared" si="4"/>
        <v>Q1</v>
      </c>
      <c r="F1539" s="72">
        <f t="shared" si="5"/>
        <v>2023</v>
      </c>
      <c r="G1539" s="89">
        <f t="shared" si="6"/>
        <v>45003</v>
      </c>
      <c r="H1539" s="72" t="str">
        <f t="shared" si="7"/>
        <v>No</v>
      </c>
    </row>
    <row r="1540" ht="15.75" customHeight="1">
      <c r="A1540" s="88">
        <f t="shared" si="8"/>
        <v>45004</v>
      </c>
      <c r="B1540" s="72" t="str">
        <f t="shared" si="1"/>
        <v>20230319</v>
      </c>
      <c r="C1540" s="72" t="str">
        <f t="shared" si="2"/>
        <v>Sunday</v>
      </c>
      <c r="D1540" s="72" t="str">
        <f t="shared" si="3"/>
        <v>March</v>
      </c>
      <c r="E1540" s="72" t="str">
        <f t="shared" si="4"/>
        <v>Q1</v>
      </c>
      <c r="F1540" s="72">
        <f t="shared" si="5"/>
        <v>2023</v>
      </c>
      <c r="G1540" s="89">
        <f t="shared" si="6"/>
        <v>45010</v>
      </c>
      <c r="H1540" s="72" t="str">
        <f t="shared" si="7"/>
        <v>No</v>
      </c>
    </row>
    <row r="1541" ht="15.75" customHeight="1">
      <c r="A1541" s="88">
        <f t="shared" si="8"/>
        <v>45005</v>
      </c>
      <c r="B1541" s="72" t="str">
        <f t="shared" si="1"/>
        <v>20230320</v>
      </c>
      <c r="C1541" s="72" t="str">
        <f t="shared" si="2"/>
        <v>Monday</v>
      </c>
      <c r="D1541" s="72" t="str">
        <f t="shared" si="3"/>
        <v>March</v>
      </c>
      <c r="E1541" s="72" t="str">
        <f t="shared" si="4"/>
        <v>Q1</v>
      </c>
      <c r="F1541" s="72">
        <f t="shared" si="5"/>
        <v>2023</v>
      </c>
      <c r="G1541" s="89">
        <f t="shared" si="6"/>
        <v>45010</v>
      </c>
      <c r="H1541" s="72" t="str">
        <f t="shared" si="7"/>
        <v>Yes</v>
      </c>
    </row>
    <row r="1542" ht="15.75" customHeight="1">
      <c r="A1542" s="88">
        <f t="shared" si="8"/>
        <v>45006</v>
      </c>
      <c r="B1542" s="72" t="str">
        <f t="shared" si="1"/>
        <v>20230321</v>
      </c>
      <c r="C1542" s="72" t="str">
        <f t="shared" si="2"/>
        <v>Tuesday</v>
      </c>
      <c r="D1542" s="72" t="str">
        <f t="shared" si="3"/>
        <v>March</v>
      </c>
      <c r="E1542" s="72" t="str">
        <f t="shared" si="4"/>
        <v>Q1</v>
      </c>
      <c r="F1542" s="72">
        <f t="shared" si="5"/>
        <v>2023</v>
      </c>
      <c r="G1542" s="89">
        <f t="shared" si="6"/>
        <v>45010</v>
      </c>
      <c r="H1542" s="72" t="str">
        <f t="shared" si="7"/>
        <v>Yes</v>
      </c>
    </row>
    <row r="1543" ht="15.75" customHeight="1">
      <c r="A1543" s="88">
        <f t="shared" si="8"/>
        <v>45007</v>
      </c>
      <c r="B1543" s="72" t="str">
        <f t="shared" si="1"/>
        <v>20230322</v>
      </c>
      <c r="C1543" s="72" t="str">
        <f t="shared" si="2"/>
        <v>Wednesday</v>
      </c>
      <c r="D1543" s="72" t="str">
        <f t="shared" si="3"/>
        <v>March</v>
      </c>
      <c r="E1543" s="72" t="str">
        <f t="shared" si="4"/>
        <v>Q1</v>
      </c>
      <c r="F1543" s="72">
        <f t="shared" si="5"/>
        <v>2023</v>
      </c>
      <c r="G1543" s="89">
        <f t="shared" si="6"/>
        <v>45010</v>
      </c>
      <c r="H1543" s="72" t="str">
        <f t="shared" si="7"/>
        <v>Yes</v>
      </c>
    </row>
    <row r="1544" ht="15.75" customHeight="1">
      <c r="A1544" s="88">
        <f t="shared" si="8"/>
        <v>45008</v>
      </c>
      <c r="B1544" s="72" t="str">
        <f t="shared" si="1"/>
        <v>20230323</v>
      </c>
      <c r="C1544" s="72" t="str">
        <f t="shared" si="2"/>
        <v>Thursday</v>
      </c>
      <c r="D1544" s="72" t="str">
        <f t="shared" si="3"/>
        <v>March</v>
      </c>
      <c r="E1544" s="72" t="str">
        <f t="shared" si="4"/>
        <v>Q1</v>
      </c>
      <c r="F1544" s="72">
        <f t="shared" si="5"/>
        <v>2023</v>
      </c>
      <c r="G1544" s="89">
        <f t="shared" si="6"/>
        <v>45010</v>
      </c>
      <c r="H1544" s="72" t="str">
        <f t="shared" si="7"/>
        <v>Yes</v>
      </c>
    </row>
    <row r="1545" ht="15.75" customHeight="1">
      <c r="A1545" s="88">
        <f t="shared" si="8"/>
        <v>45009</v>
      </c>
      <c r="B1545" s="72" t="str">
        <f t="shared" si="1"/>
        <v>20230324</v>
      </c>
      <c r="C1545" s="72" t="str">
        <f t="shared" si="2"/>
        <v>Friday</v>
      </c>
      <c r="D1545" s="72" t="str">
        <f t="shared" si="3"/>
        <v>March</v>
      </c>
      <c r="E1545" s="72" t="str">
        <f t="shared" si="4"/>
        <v>Q1</v>
      </c>
      <c r="F1545" s="72">
        <f t="shared" si="5"/>
        <v>2023</v>
      </c>
      <c r="G1545" s="89">
        <f t="shared" si="6"/>
        <v>45010</v>
      </c>
      <c r="H1545" s="72" t="str">
        <f t="shared" si="7"/>
        <v>Yes</v>
      </c>
    </row>
    <row r="1546" ht="15.75" customHeight="1">
      <c r="A1546" s="88">
        <f t="shared" si="8"/>
        <v>45010</v>
      </c>
      <c r="B1546" s="72" t="str">
        <f t="shared" si="1"/>
        <v>20230325</v>
      </c>
      <c r="C1546" s="72" t="str">
        <f t="shared" si="2"/>
        <v>Saturday</v>
      </c>
      <c r="D1546" s="72" t="str">
        <f t="shared" si="3"/>
        <v>March</v>
      </c>
      <c r="E1546" s="72" t="str">
        <f t="shared" si="4"/>
        <v>Q1</v>
      </c>
      <c r="F1546" s="72">
        <f t="shared" si="5"/>
        <v>2023</v>
      </c>
      <c r="G1546" s="89">
        <f t="shared" si="6"/>
        <v>45010</v>
      </c>
      <c r="H1546" s="72" t="str">
        <f t="shared" si="7"/>
        <v>No</v>
      </c>
    </row>
    <row r="1547" ht="15.75" customHeight="1">
      <c r="A1547" s="88">
        <f t="shared" si="8"/>
        <v>45011</v>
      </c>
      <c r="B1547" s="72" t="str">
        <f t="shared" si="1"/>
        <v>20230326</v>
      </c>
      <c r="C1547" s="72" t="str">
        <f t="shared" si="2"/>
        <v>Sunday</v>
      </c>
      <c r="D1547" s="72" t="str">
        <f t="shared" si="3"/>
        <v>March</v>
      </c>
      <c r="E1547" s="72" t="str">
        <f t="shared" si="4"/>
        <v>Q1</v>
      </c>
      <c r="F1547" s="72">
        <f t="shared" si="5"/>
        <v>2023</v>
      </c>
      <c r="G1547" s="89">
        <f t="shared" si="6"/>
        <v>45017</v>
      </c>
      <c r="H1547" s="72" t="str">
        <f t="shared" si="7"/>
        <v>No</v>
      </c>
    </row>
    <row r="1548" ht="15.75" customHeight="1">
      <c r="A1548" s="88">
        <f t="shared" si="8"/>
        <v>45012</v>
      </c>
      <c r="B1548" s="72" t="str">
        <f t="shared" si="1"/>
        <v>20230327</v>
      </c>
      <c r="C1548" s="72" t="str">
        <f t="shared" si="2"/>
        <v>Monday</v>
      </c>
      <c r="D1548" s="72" t="str">
        <f t="shared" si="3"/>
        <v>March</v>
      </c>
      <c r="E1548" s="72" t="str">
        <f t="shared" si="4"/>
        <v>Q1</v>
      </c>
      <c r="F1548" s="72">
        <f t="shared" si="5"/>
        <v>2023</v>
      </c>
      <c r="G1548" s="89">
        <f t="shared" si="6"/>
        <v>45017</v>
      </c>
      <c r="H1548" s="72" t="str">
        <f t="shared" si="7"/>
        <v>Yes</v>
      </c>
    </row>
    <row r="1549" ht="15.75" customHeight="1">
      <c r="A1549" s="88">
        <f t="shared" si="8"/>
        <v>45013</v>
      </c>
      <c r="B1549" s="72" t="str">
        <f t="shared" si="1"/>
        <v>20230328</v>
      </c>
      <c r="C1549" s="72" t="str">
        <f t="shared" si="2"/>
        <v>Tuesday</v>
      </c>
      <c r="D1549" s="72" t="str">
        <f t="shared" si="3"/>
        <v>March</v>
      </c>
      <c r="E1549" s="72" t="str">
        <f t="shared" si="4"/>
        <v>Q1</v>
      </c>
      <c r="F1549" s="72">
        <f t="shared" si="5"/>
        <v>2023</v>
      </c>
      <c r="G1549" s="89">
        <f t="shared" si="6"/>
        <v>45017</v>
      </c>
      <c r="H1549" s="72" t="str">
        <f t="shared" si="7"/>
        <v>Yes</v>
      </c>
    </row>
    <row r="1550" ht="15.75" customHeight="1">
      <c r="A1550" s="88">
        <f t="shared" si="8"/>
        <v>45014</v>
      </c>
      <c r="B1550" s="72" t="str">
        <f t="shared" si="1"/>
        <v>20230329</v>
      </c>
      <c r="C1550" s="72" t="str">
        <f t="shared" si="2"/>
        <v>Wednesday</v>
      </c>
      <c r="D1550" s="72" t="str">
        <f t="shared" si="3"/>
        <v>March</v>
      </c>
      <c r="E1550" s="72" t="str">
        <f t="shared" si="4"/>
        <v>Q1</v>
      </c>
      <c r="F1550" s="72">
        <f t="shared" si="5"/>
        <v>2023</v>
      </c>
      <c r="G1550" s="89">
        <f t="shared" si="6"/>
        <v>45017</v>
      </c>
      <c r="H1550" s="72" t="str">
        <f t="shared" si="7"/>
        <v>Yes</v>
      </c>
    </row>
    <row r="1551" ht="15.75" customHeight="1">
      <c r="A1551" s="88">
        <f t="shared" si="8"/>
        <v>45015</v>
      </c>
      <c r="B1551" s="72" t="str">
        <f t="shared" si="1"/>
        <v>20230330</v>
      </c>
      <c r="C1551" s="72" t="str">
        <f t="shared" si="2"/>
        <v>Thursday</v>
      </c>
      <c r="D1551" s="72" t="str">
        <f t="shared" si="3"/>
        <v>March</v>
      </c>
      <c r="E1551" s="72" t="str">
        <f t="shared" si="4"/>
        <v>Q1</v>
      </c>
      <c r="F1551" s="72">
        <f t="shared" si="5"/>
        <v>2023</v>
      </c>
      <c r="G1551" s="89">
        <f t="shared" si="6"/>
        <v>45017</v>
      </c>
      <c r="H1551" s="72" t="str">
        <f t="shared" si="7"/>
        <v>Yes</v>
      </c>
    </row>
    <row r="1552" ht="15.75" customHeight="1">
      <c r="A1552" s="88">
        <f t="shared" si="8"/>
        <v>45016</v>
      </c>
      <c r="B1552" s="72" t="str">
        <f t="shared" si="1"/>
        <v>20230331</v>
      </c>
      <c r="C1552" s="72" t="str">
        <f t="shared" si="2"/>
        <v>Friday</v>
      </c>
      <c r="D1552" s="72" t="str">
        <f t="shared" si="3"/>
        <v>March</v>
      </c>
      <c r="E1552" s="72" t="str">
        <f t="shared" si="4"/>
        <v>Q1</v>
      </c>
      <c r="F1552" s="72">
        <f t="shared" si="5"/>
        <v>2023</v>
      </c>
      <c r="G1552" s="89">
        <f t="shared" si="6"/>
        <v>45017</v>
      </c>
      <c r="H1552" s="72" t="str">
        <f t="shared" si="7"/>
        <v>Yes</v>
      </c>
    </row>
    <row r="1553" ht="15.75" customHeight="1">
      <c r="A1553" s="88">
        <f t="shared" si="8"/>
        <v>45017</v>
      </c>
      <c r="B1553" s="72" t="str">
        <f t="shared" si="1"/>
        <v>20230401</v>
      </c>
      <c r="C1553" s="72" t="str">
        <f t="shared" si="2"/>
        <v>Saturday</v>
      </c>
      <c r="D1553" s="72" t="str">
        <f t="shared" si="3"/>
        <v>April</v>
      </c>
      <c r="E1553" s="72" t="str">
        <f t="shared" si="4"/>
        <v>Q2</v>
      </c>
      <c r="F1553" s="72">
        <f t="shared" si="5"/>
        <v>2023</v>
      </c>
      <c r="G1553" s="89">
        <f t="shared" si="6"/>
        <v>45017</v>
      </c>
      <c r="H1553" s="72" t="str">
        <f t="shared" si="7"/>
        <v>No</v>
      </c>
    </row>
    <row r="1554" ht="15.75" customHeight="1">
      <c r="A1554" s="88">
        <f t="shared" si="8"/>
        <v>45018</v>
      </c>
      <c r="B1554" s="72" t="str">
        <f t="shared" si="1"/>
        <v>20230402</v>
      </c>
      <c r="C1554" s="72" t="str">
        <f t="shared" si="2"/>
        <v>Sunday</v>
      </c>
      <c r="D1554" s="72" t="str">
        <f t="shared" si="3"/>
        <v>April</v>
      </c>
      <c r="E1554" s="72" t="str">
        <f t="shared" si="4"/>
        <v>Q2</v>
      </c>
      <c r="F1554" s="72">
        <f t="shared" si="5"/>
        <v>2023</v>
      </c>
      <c r="G1554" s="89">
        <f t="shared" si="6"/>
        <v>45024</v>
      </c>
      <c r="H1554" s="72" t="str">
        <f t="shared" si="7"/>
        <v>No</v>
      </c>
    </row>
    <row r="1555" ht="15.75" customHeight="1">
      <c r="A1555" s="88">
        <f t="shared" si="8"/>
        <v>45019</v>
      </c>
      <c r="B1555" s="72" t="str">
        <f t="shared" si="1"/>
        <v>20230403</v>
      </c>
      <c r="C1555" s="72" t="str">
        <f t="shared" si="2"/>
        <v>Monday</v>
      </c>
      <c r="D1555" s="72" t="str">
        <f t="shared" si="3"/>
        <v>April</v>
      </c>
      <c r="E1555" s="72" t="str">
        <f t="shared" si="4"/>
        <v>Q2</v>
      </c>
      <c r="F1555" s="72">
        <f t="shared" si="5"/>
        <v>2023</v>
      </c>
      <c r="G1555" s="89">
        <f t="shared" si="6"/>
        <v>45024</v>
      </c>
      <c r="H1555" s="72" t="str">
        <f t="shared" si="7"/>
        <v>Yes</v>
      </c>
    </row>
    <row r="1556" ht="15.75" customHeight="1">
      <c r="A1556" s="88">
        <f t="shared" si="8"/>
        <v>45020</v>
      </c>
      <c r="B1556" s="72" t="str">
        <f t="shared" si="1"/>
        <v>20230404</v>
      </c>
      <c r="C1556" s="72" t="str">
        <f t="shared" si="2"/>
        <v>Tuesday</v>
      </c>
      <c r="D1556" s="72" t="str">
        <f t="shared" si="3"/>
        <v>April</v>
      </c>
      <c r="E1556" s="72" t="str">
        <f t="shared" si="4"/>
        <v>Q2</v>
      </c>
      <c r="F1556" s="72">
        <f t="shared" si="5"/>
        <v>2023</v>
      </c>
      <c r="G1556" s="89">
        <f t="shared" si="6"/>
        <v>45024</v>
      </c>
      <c r="H1556" s="72" t="str">
        <f t="shared" si="7"/>
        <v>Yes</v>
      </c>
    </row>
    <row r="1557" ht="15.75" customHeight="1">
      <c r="A1557" s="88">
        <f t="shared" si="8"/>
        <v>45021</v>
      </c>
      <c r="B1557" s="72" t="str">
        <f t="shared" si="1"/>
        <v>20230405</v>
      </c>
      <c r="C1557" s="72" t="str">
        <f t="shared" si="2"/>
        <v>Wednesday</v>
      </c>
      <c r="D1557" s="72" t="str">
        <f t="shared" si="3"/>
        <v>April</v>
      </c>
      <c r="E1557" s="72" t="str">
        <f t="shared" si="4"/>
        <v>Q2</v>
      </c>
      <c r="F1557" s="72">
        <f t="shared" si="5"/>
        <v>2023</v>
      </c>
      <c r="G1557" s="89">
        <f t="shared" si="6"/>
        <v>45024</v>
      </c>
      <c r="H1557" s="72" t="str">
        <f t="shared" si="7"/>
        <v>Yes</v>
      </c>
    </row>
    <row r="1558" ht="15.75" customHeight="1">
      <c r="A1558" s="88">
        <f t="shared" si="8"/>
        <v>45022</v>
      </c>
      <c r="B1558" s="72" t="str">
        <f t="shared" si="1"/>
        <v>20230406</v>
      </c>
      <c r="C1558" s="72" t="str">
        <f t="shared" si="2"/>
        <v>Thursday</v>
      </c>
      <c r="D1558" s="72" t="str">
        <f t="shared" si="3"/>
        <v>April</v>
      </c>
      <c r="E1558" s="72" t="str">
        <f t="shared" si="4"/>
        <v>Q2</v>
      </c>
      <c r="F1558" s="72">
        <f t="shared" si="5"/>
        <v>2023</v>
      </c>
      <c r="G1558" s="89">
        <f t="shared" si="6"/>
        <v>45024</v>
      </c>
      <c r="H1558" s="72" t="str">
        <f t="shared" si="7"/>
        <v>Yes</v>
      </c>
    </row>
    <row r="1559" ht="15.75" customHeight="1">
      <c r="A1559" s="88">
        <f t="shared" si="8"/>
        <v>45023</v>
      </c>
      <c r="B1559" s="72" t="str">
        <f t="shared" si="1"/>
        <v>20230407</v>
      </c>
      <c r="C1559" s="72" t="str">
        <f t="shared" si="2"/>
        <v>Friday</v>
      </c>
      <c r="D1559" s="72" t="str">
        <f t="shared" si="3"/>
        <v>April</v>
      </c>
      <c r="E1559" s="72" t="str">
        <f t="shared" si="4"/>
        <v>Q2</v>
      </c>
      <c r="F1559" s="72">
        <f t="shared" si="5"/>
        <v>2023</v>
      </c>
      <c r="G1559" s="89">
        <f t="shared" si="6"/>
        <v>45024</v>
      </c>
      <c r="H1559" s="72" t="str">
        <f t="shared" si="7"/>
        <v>Yes</v>
      </c>
    </row>
    <row r="1560" ht="15.75" customHeight="1">
      <c r="A1560" s="88">
        <f t="shared" si="8"/>
        <v>45024</v>
      </c>
      <c r="B1560" s="72" t="str">
        <f t="shared" si="1"/>
        <v>20230408</v>
      </c>
      <c r="C1560" s="72" t="str">
        <f t="shared" si="2"/>
        <v>Saturday</v>
      </c>
      <c r="D1560" s="72" t="str">
        <f t="shared" si="3"/>
        <v>April</v>
      </c>
      <c r="E1560" s="72" t="str">
        <f t="shared" si="4"/>
        <v>Q2</v>
      </c>
      <c r="F1560" s="72">
        <f t="shared" si="5"/>
        <v>2023</v>
      </c>
      <c r="G1560" s="89">
        <f t="shared" si="6"/>
        <v>45024</v>
      </c>
      <c r="H1560" s="72" t="str">
        <f t="shared" si="7"/>
        <v>No</v>
      </c>
    </row>
    <row r="1561" ht="15.75" customHeight="1">
      <c r="A1561" s="88">
        <f t="shared" si="8"/>
        <v>45025</v>
      </c>
      <c r="B1561" s="72" t="str">
        <f t="shared" si="1"/>
        <v>20230409</v>
      </c>
      <c r="C1561" s="72" t="str">
        <f t="shared" si="2"/>
        <v>Sunday</v>
      </c>
      <c r="D1561" s="72" t="str">
        <f t="shared" si="3"/>
        <v>April</v>
      </c>
      <c r="E1561" s="72" t="str">
        <f t="shared" si="4"/>
        <v>Q2</v>
      </c>
      <c r="F1561" s="72">
        <f t="shared" si="5"/>
        <v>2023</v>
      </c>
      <c r="G1561" s="89">
        <f t="shared" si="6"/>
        <v>45031</v>
      </c>
      <c r="H1561" s="72" t="str">
        <f t="shared" si="7"/>
        <v>No</v>
      </c>
    </row>
    <row r="1562" ht="15.75" customHeight="1">
      <c r="A1562" s="88">
        <f t="shared" si="8"/>
        <v>45026</v>
      </c>
      <c r="B1562" s="72" t="str">
        <f t="shared" si="1"/>
        <v>20230410</v>
      </c>
      <c r="C1562" s="72" t="str">
        <f t="shared" si="2"/>
        <v>Monday</v>
      </c>
      <c r="D1562" s="72" t="str">
        <f t="shared" si="3"/>
        <v>April</v>
      </c>
      <c r="E1562" s="72" t="str">
        <f t="shared" si="4"/>
        <v>Q2</v>
      </c>
      <c r="F1562" s="72">
        <f t="shared" si="5"/>
        <v>2023</v>
      </c>
      <c r="G1562" s="89">
        <f t="shared" si="6"/>
        <v>45031</v>
      </c>
      <c r="H1562" s="72" t="str">
        <f t="shared" si="7"/>
        <v>Yes</v>
      </c>
    </row>
    <row r="1563" ht="15.75" customHeight="1">
      <c r="A1563" s="88">
        <f t="shared" si="8"/>
        <v>45027</v>
      </c>
      <c r="B1563" s="72" t="str">
        <f t="shared" si="1"/>
        <v>20230411</v>
      </c>
      <c r="C1563" s="72" t="str">
        <f t="shared" si="2"/>
        <v>Tuesday</v>
      </c>
      <c r="D1563" s="72" t="str">
        <f t="shared" si="3"/>
        <v>April</v>
      </c>
      <c r="E1563" s="72" t="str">
        <f t="shared" si="4"/>
        <v>Q2</v>
      </c>
      <c r="F1563" s="72">
        <f t="shared" si="5"/>
        <v>2023</v>
      </c>
      <c r="G1563" s="89">
        <f t="shared" si="6"/>
        <v>45031</v>
      </c>
      <c r="H1563" s="72" t="str">
        <f t="shared" si="7"/>
        <v>Yes</v>
      </c>
    </row>
    <row r="1564" ht="15.75" customHeight="1">
      <c r="A1564" s="88">
        <f t="shared" si="8"/>
        <v>45028</v>
      </c>
      <c r="B1564" s="72" t="str">
        <f t="shared" si="1"/>
        <v>20230412</v>
      </c>
      <c r="C1564" s="72" t="str">
        <f t="shared" si="2"/>
        <v>Wednesday</v>
      </c>
      <c r="D1564" s="72" t="str">
        <f t="shared" si="3"/>
        <v>April</v>
      </c>
      <c r="E1564" s="72" t="str">
        <f t="shared" si="4"/>
        <v>Q2</v>
      </c>
      <c r="F1564" s="72">
        <f t="shared" si="5"/>
        <v>2023</v>
      </c>
      <c r="G1564" s="89">
        <f t="shared" si="6"/>
        <v>45031</v>
      </c>
      <c r="H1564" s="72" t="str">
        <f t="shared" si="7"/>
        <v>Yes</v>
      </c>
    </row>
    <row r="1565" ht="15.75" customHeight="1">
      <c r="A1565" s="88">
        <f t="shared" si="8"/>
        <v>45029</v>
      </c>
      <c r="B1565" s="72" t="str">
        <f t="shared" si="1"/>
        <v>20230413</v>
      </c>
      <c r="C1565" s="72" t="str">
        <f t="shared" si="2"/>
        <v>Thursday</v>
      </c>
      <c r="D1565" s="72" t="str">
        <f t="shared" si="3"/>
        <v>April</v>
      </c>
      <c r="E1565" s="72" t="str">
        <f t="shared" si="4"/>
        <v>Q2</v>
      </c>
      <c r="F1565" s="72">
        <f t="shared" si="5"/>
        <v>2023</v>
      </c>
      <c r="G1565" s="89">
        <f t="shared" si="6"/>
        <v>45031</v>
      </c>
      <c r="H1565" s="72" t="str">
        <f t="shared" si="7"/>
        <v>Yes</v>
      </c>
    </row>
    <row r="1566" ht="15.75" customHeight="1">
      <c r="A1566" s="88">
        <f t="shared" si="8"/>
        <v>45030</v>
      </c>
      <c r="B1566" s="72" t="str">
        <f t="shared" si="1"/>
        <v>20230414</v>
      </c>
      <c r="C1566" s="72" t="str">
        <f t="shared" si="2"/>
        <v>Friday</v>
      </c>
      <c r="D1566" s="72" t="str">
        <f t="shared" si="3"/>
        <v>April</v>
      </c>
      <c r="E1566" s="72" t="str">
        <f t="shared" si="4"/>
        <v>Q2</v>
      </c>
      <c r="F1566" s="72">
        <f t="shared" si="5"/>
        <v>2023</v>
      </c>
      <c r="G1566" s="89">
        <f t="shared" si="6"/>
        <v>45031</v>
      </c>
      <c r="H1566" s="72" t="str">
        <f t="shared" si="7"/>
        <v>Yes</v>
      </c>
    </row>
    <row r="1567" ht="15.75" customHeight="1">
      <c r="A1567" s="88">
        <f t="shared" si="8"/>
        <v>45031</v>
      </c>
      <c r="B1567" s="72" t="str">
        <f t="shared" si="1"/>
        <v>20230415</v>
      </c>
      <c r="C1567" s="72" t="str">
        <f t="shared" si="2"/>
        <v>Saturday</v>
      </c>
      <c r="D1567" s="72" t="str">
        <f t="shared" si="3"/>
        <v>April</v>
      </c>
      <c r="E1567" s="72" t="str">
        <f t="shared" si="4"/>
        <v>Q2</v>
      </c>
      <c r="F1567" s="72">
        <f t="shared" si="5"/>
        <v>2023</v>
      </c>
      <c r="G1567" s="89">
        <f t="shared" si="6"/>
        <v>45031</v>
      </c>
      <c r="H1567" s="72" t="str">
        <f t="shared" si="7"/>
        <v>No</v>
      </c>
    </row>
    <row r="1568" ht="15.75" customHeight="1">
      <c r="A1568" s="88">
        <f t="shared" si="8"/>
        <v>45032</v>
      </c>
      <c r="B1568" s="72" t="str">
        <f t="shared" si="1"/>
        <v>20230416</v>
      </c>
      <c r="C1568" s="72" t="str">
        <f t="shared" si="2"/>
        <v>Sunday</v>
      </c>
      <c r="D1568" s="72" t="str">
        <f t="shared" si="3"/>
        <v>April</v>
      </c>
      <c r="E1568" s="72" t="str">
        <f t="shared" si="4"/>
        <v>Q2</v>
      </c>
      <c r="F1568" s="72">
        <f t="shared" si="5"/>
        <v>2023</v>
      </c>
      <c r="G1568" s="89">
        <f t="shared" si="6"/>
        <v>45038</v>
      </c>
      <c r="H1568" s="72" t="str">
        <f t="shared" si="7"/>
        <v>No</v>
      </c>
    </row>
    <row r="1569" ht="15.75" customHeight="1">
      <c r="A1569" s="88">
        <f t="shared" si="8"/>
        <v>45033</v>
      </c>
      <c r="B1569" s="72" t="str">
        <f t="shared" si="1"/>
        <v>20230417</v>
      </c>
      <c r="C1569" s="72" t="str">
        <f t="shared" si="2"/>
        <v>Monday</v>
      </c>
      <c r="D1569" s="72" t="str">
        <f t="shared" si="3"/>
        <v>April</v>
      </c>
      <c r="E1569" s="72" t="str">
        <f t="shared" si="4"/>
        <v>Q2</v>
      </c>
      <c r="F1569" s="72">
        <f t="shared" si="5"/>
        <v>2023</v>
      </c>
      <c r="G1569" s="89">
        <f t="shared" si="6"/>
        <v>45038</v>
      </c>
      <c r="H1569" s="72" t="str">
        <f t="shared" si="7"/>
        <v>Yes</v>
      </c>
    </row>
    <row r="1570" ht="15.75" customHeight="1">
      <c r="A1570" s="88">
        <f t="shared" si="8"/>
        <v>45034</v>
      </c>
      <c r="B1570" s="72" t="str">
        <f t="shared" si="1"/>
        <v>20230418</v>
      </c>
      <c r="C1570" s="72" t="str">
        <f t="shared" si="2"/>
        <v>Tuesday</v>
      </c>
      <c r="D1570" s="72" t="str">
        <f t="shared" si="3"/>
        <v>April</v>
      </c>
      <c r="E1570" s="72" t="str">
        <f t="shared" si="4"/>
        <v>Q2</v>
      </c>
      <c r="F1570" s="72">
        <f t="shared" si="5"/>
        <v>2023</v>
      </c>
      <c r="G1570" s="89">
        <f t="shared" si="6"/>
        <v>45038</v>
      </c>
      <c r="H1570" s="72" t="str">
        <f t="shared" si="7"/>
        <v>Yes</v>
      </c>
    </row>
    <row r="1571" ht="15.75" customHeight="1">
      <c r="A1571" s="88">
        <f t="shared" si="8"/>
        <v>45035</v>
      </c>
      <c r="B1571" s="72" t="str">
        <f t="shared" si="1"/>
        <v>20230419</v>
      </c>
      <c r="C1571" s="72" t="str">
        <f t="shared" si="2"/>
        <v>Wednesday</v>
      </c>
      <c r="D1571" s="72" t="str">
        <f t="shared" si="3"/>
        <v>April</v>
      </c>
      <c r="E1571" s="72" t="str">
        <f t="shared" si="4"/>
        <v>Q2</v>
      </c>
      <c r="F1571" s="72">
        <f t="shared" si="5"/>
        <v>2023</v>
      </c>
      <c r="G1571" s="89">
        <f t="shared" si="6"/>
        <v>45038</v>
      </c>
      <c r="H1571" s="72" t="str">
        <f t="shared" si="7"/>
        <v>Yes</v>
      </c>
    </row>
    <row r="1572" ht="15.75" customHeight="1">
      <c r="A1572" s="88">
        <f t="shared" si="8"/>
        <v>45036</v>
      </c>
      <c r="B1572" s="72" t="str">
        <f t="shared" si="1"/>
        <v>20230420</v>
      </c>
      <c r="C1572" s="72" t="str">
        <f t="shared" si="2"/>
        <v>Thursday</v>
      </c>
      <c r="D1572" s="72" t="str">
        <f t="shared" si="3"/>
        <v>April</v>
      </c>
      <c r="E1572" s="72" t="str">
        <f t="shared" si="4"/>
        <v>Q2</v>
      </c>
      <c r="F1572" s="72">
        <f t="shared" si="5"/>
        <v>2023</v>
      </c>
      <c r="G1572" s="89">
        <f t="shared" si="6"/>
        <v>45038</v>
      </c>
      <c r="H1572" s="72" t="str">
        <f t="shared" si="7"/>
        <v>Yes</v>
      </c>
    </row>
    <row r="1573" ht="15.75" customHeight="1">
      <c r="A1573" s="88">
        <f t="shared" si="8"/>
        <v>45037</v>
      </c>
      <c r="B1573" s="72" t="str">
        <f t="shared" si="1"/>
        <v>20230421</v>
      </c>
      <c r="C1573" s="72" t="str">
        <f t="shared" si="2"/>
        <v>Friday</v>
      </c>
      <c r="D1573" s="72" t="str">
        <f t="shared" si="3"/>
        <v>April</v>
      </c>
      <c r="E1573" s="72" t="str">
        <f t="shared" si="4"/>
        <v>Q2</v>
      </c>
      <c r="F1573" s="72">
        <f t="shared" si="5"/>
        <v>2023</v>
      </c>
      <c r="G1573" s="89">
        <f t="shared" si="6"/>
        <v>45038</v>
      </c>
      <c r="H1573" s="72" t="str">
        <f t="shared" si="7"/>
        <v>Yes</v>
      </c>
    </row>
    <row r="1574" ht="15.75" customHeight="1">
      <c r="A1574" s="88">
        <f t="shared" si="8"/>
        <v>45038</v>
      </c>
      <c r="B1574" s="72" t="str">
        <f t="shared" si="1"/>
        <v>20230422</v>
      </c>
      <c r="C1574" s="72" t="str">
        <f t="shared" si="2"/>
        <v>Saturday</v>
      </c>
      <c r="D1574" s="72" t="str">
        <f t="shared" si="3"/>
        <v>April</v>
      </c>
      <c r="E1574" s="72" t="str">
        <f t="shared" si="4"/>
        <v>Q2</v>
      </c>
      <c r="F1574" s="72">
        <f t="shared" si="5"/>
        <v>2023</v>
      </c>
      <c r="G1574" s="89">
        <f t="shared" si="6"/>
        <v>45038</v>
      </c>
      <c r="H1574" s="72" t="str">
        <f t="shared" si="7"/>
        <v>No</v>
      </c>
    </row>
    <row r="1575" ht="15.75" customHeight="1">
      <c r="A1575" s="88">
        <f t="shared" si="8"/>
        <v>45039</v>
      </c>
      <c r="B1575" s="72" t="str">
        <f t="shared" si="1"/>
        <v>20230423</v>
      </c>
      <c r="C1575" s="72" t="str">
        <f t="shared" si="2"/>
        <v>Sunday</v>
      </c>
      <c r="D1575" s="72" t="str">
        <f t="shared" si="3"/>
        <v>April</v>
      </c>
      <c r="E1575" s="72" t="str">
        <f t="shared" si="4"/>
        <v>Q2</v>
      </c>
      <c r="F1575" s="72">
        <f t="shared" si="5"/>
        <v>2023</v>
      </c>
      <c r="G1575" s="89">
        <f t="shared" si="6"/>
        <v>45045</v>
      </c>
      <c r="H1575" s="72" t="str">
        <f t="shared" si="7"/>
        <v>No</v>
      </c>
    </row>
    <row r="1576" ht="15.75" customHeight="1">
      <c r="A1576" s="88">
        <f t="shared" si="8"/>
        <v>45040</v>
      </c>
      <c r="B1576" s="72" t="str">
        <f t="shared" si="1"/>
        <v>20230424</v>
      </c>
      <c r="C1576" s="72" t="str">
        <f t="shared" si="2"/>
        <v>Monday</v>
      </c>
      <c r="D1576" s="72" t="str">
        <f t="shared" si="3"/>
        <v>April</v>
      </c>
      <c r="E1576" s="72" t="str">
        <f t="shared" si="4"/>
        <v>Q2</v>
      </c>
      <c r="F1576" s="72">
        <f t="shared" si="5"/>
        <v>2023</v>
      </c>
      <c r="G1576" s="89">
        <f t="shared" si="6"/>
        <v>45045</v>
      </c>
      <c r="H1576" s="72" t="str">
        <f t="shared" si="7"/>
        <v>Yes</v>
      </c>
    </row>
    <row r="1577" ht="15.75" customHeight="1">
      <c r="A1577" s="88">
        <f t="shared" si="8"/>
        <v>45041</v>
      </c>
      <c r="B1577" s="72" t="str">
        <f t="shared" si="1"/>
        <v>20230425</v>
      </c>
      <c r="C1577" s="72" t="str">
        <f t="shared" si="2"/>
        <v>Tuesday</v>
      </c>
      <c r="D1577" s="72" t="str">
        <f t="shared" si="3"/>
        <v>April</v>
      </c>
      <c r="E1577" s="72" t="str">
        <f t="shared" si="4"/>
        <v>Q2</v>
      </c>
      <c r="F1577" s="72">
        <f t="shared" si="5"/>
        <v>2023</v>
      </c>
      <c r="G1577" s="89">
        <f t="shared" si="6"/>
        <v>45045</v>
      </c>
      <c r="H1577" s="72" t="str">
        <f t="shared" si="7"/>
        <v>Yes</v>
      </c>
    </row>
    <row r="1578" ht="15.75" customHeight="1">
      <c r="A1578" s="88">
        <f t="shared" si="8"/>
        <v>45042</v>
      </c>
      <c r="B1578" s="72" t="str">
        <f t="shared" si="1"/>
        <v>20230426</v>
      </c>
      <c r="C1578" s="72" t="str">
        <f t="shared" si="2"/>
        <v>Wednesday</v>
      </c>
      <c r="D1578" s="72" t="str">
        <f t="shared" si="3"/>
        <v>April</v>
      </c>
      <c r="E1578" s="72" t="str">
        <f t="shared" si="4"/>
        <v>Q2</v>
      </c>
      <c r="F1578" s="72">
        <f t="shared" si="5"/>
        <v>2023</v>
      </c>
      <c r="G1578" s="89">
        <f t="shared" si="6"/>
        <v>45045</v>
      </c>
      <c r="H1578" s="72" t="str">
        <f t="shared" si="7"/>
        <v>Yes</v>
      </c>
    </row>
    <row r="1579" ht="15.75" customHeight="1">
      <c r="A1579" s="88">
        <f t="shared" si="8"/>
        <v>45043</v>
      </c>
      <c r="B1579" s="72" t="str">
        <f t="shared" si="1"/>
        <v>20230427</v>
      </c>
      <c r="C1579" s="72" t="str">
        <f t="shared" si="2"/>
        <v>Thursday</v>
      </c>
      <c r="D1579" s="72" t="str">
        <f t="shared" si="3"/>
        <v>April</v>
      </c>
      <c r="E1579" s="72" t="str">
        <f t="shared" si="4"/>
        <v>Q2</v>
      </c>
      <c r="F1579" s="72">
        <f t="shared" si="5"/>
        <v>2023</v>
      </c>
      <c r="G1579" s="89">
        <f t="shared" si="6"/>
        <v>45045</v>
      </c>
      <c r="H1579" s="72" t="str">
        <f t="shared" si="7"/>
        <v>Yes</v>
      </c>
    </row>
    <row r="1580" ht="15.75" customHeight="1">
      <c r="A1580" s="88">
        <f t="shared" si="8"/>
        <v>45044</v>
      </c>
      <c r="B1580" s="72" t="str">
        <f t="shared" si="1"/>
        <v>20230428</v>
      </c>
      <c r="C1580" s="72" t="str">
        <f t="shared" si="2"/>
        <v>Friday</v>
      </c>
      <c r="D1580" s="72" t="str">
        <f t="shared" si="3"/>
        <v>April</v>
      </c>
      <c r="E1580" s="72" t="str">
        <f t="shared" si="4"/>
        <v>Q2</v>
      </c>
      <c r="F1580" s="72">
        <f t="shared" si="5"/>
        <v>2023</v>
      </c>
      <c r="G1580" s="89">
        <f t="shared" si="6"/>
        <v>45045</v>
      </c>
      <c r="H1580" s="72" t="str">
        <f t="shared" si="7"/>
        <v>Yes</v>
      </c>
    </row>
    <row r="1581" ht="15.75" customHeight="1">
      <c r="A1581" s="88">
        <f t="shared" si="8"/>
        <v>45045</v>
      </c>
      <c r="B1581" s="72" t="str">
        <f t="shared" si="1"/>
        <v>20230429</v>
      </c>
      <c r="C1581" s="72" t="str">
        <f t="shared" si="2"/>
        <v>Saturday</v>
      </c>
      <c r="D1581" s="72" t="str">
        <f t="shared" si="3"/>
        <v>April</v>
      </c>
      <c r="E1581" s="72" t="str">
        <f t="shared" si="4"/>
        <v>Q2</v>
      </c>
      <c r="F1581" s="72">
        <f t="shared" si="5"/>
        <v>2023</v>
      </c>
      <c r="G1581" s="89">
        <f t="shared" si="6"/>
        <v>45045</v>
      </c>
      <c r="H1581" s="72" t="str">
        <f t="shared" si="7"/>
        <v>No</v>
      </c>
    </row>
    <row r="1582" ht="15.75" customHeight="1">
      <c r="A1582" s="88">
        <f t="shared" si="8"/>
        <v>45046</v>
      </c>
      <c r="B1582" s="72" t="str">
        <f t="shared" si="1"/>
        <v>20230430</v>
      </c>
      <c r="C1582" s="72" t="str">
        <f t="shared" si="2"/>
        <v>Sunday</v>
      </c>
      <c r="D1582" s="72" t="str">
        <f t="shared" si="3"/>
        <v>April</v>
      </c>
      <c r="E1582" s="72" t="str">
        <f t="shared" si="4"/>
        <v>Q2</v>
      </c>
      <c r="F1582" s="72">
        <f t="shared" si="5"/>
        <v>2023</v>
      </c>
      <c r="G1582" s="89">
        <f t="shared" si="6"/>
        <v>45052</v>
      </c>
      <c r="H1582" s="72" t="str">
        <f t="shared" si="7"/>
        <v>No</v>
      </c>
    </row>
    <row r="1583" ht="15.75" customHeight="1">
      <c r="A1583" s="88">
        <f t="shared" si="8"/>
        <v>45047</v>
      </c>
      <c r="B1583" s="72" t="str">
        <f t="shared" si="1"/>
        <v>20230501</v>
      </c>
      <c r="C1583" s="72" t="str">
        <f t="shared" si="2"/>
        <v>Monday</v>
      </c>
      <c r="D1583" s="72" t="str">
        <f t="shared" si="3"/>
        <v>May</v>
      </c>
      <c r="E1583" s="72" t="str">
        <f t="shared" si="4"/>
        <v>Q2</v>
      </c>
      <c r="F1583" s="72">
        <f t="shared" si="5"/>
        <v>2023</v>
      </c>
      <c r="G1583" s="89">
        <f t="shared" si="6"/>
        <v>45052</v>
      </c>
      <c r="H1583" s="72" t="str">
        <f t="shared" si="7"/>
        <v>Yes</v>
      </c>
    </row>
    <row r="1584" ht="15.75" customHeight="1">
      <c r="A1584" s="88">
        <f t="shared" si="8"/>
        <v>45048</v>
      </c>
      <c r="B1584" s="72" t="str">
        <f t="shared" si="1"/>
        <v>20230502</v>
      </c>
      <c r="C1584" s="72" t="str">
        <f t="shared" si="2"/>
        <v>Tuesday</v>
      </c>
      <c r="D1584" s="72" t="str">
        <f t="shared" si="3"/>
        <v>May</v>
      </c>
      <c r="E1584" s="72" t="str">
        <f t="shared" si="4"/>
        <v>Q2</v>
      </c>
      <c r="F1584" s="72">
        <f t="shared" si="5"/>
        <v>2023</v>
      </c>
      <c r="G1584" s="89">
        <f t="shared" si="6"/>
        <v>45052</v>
      </c>
      <c r="H1584" s="72" t="str">
        <f t="shared" si="7"/>
        <v>Yes</v>
      </c>
    </row>
    <row r="1585" ht="15.75" customHeight="1">
      <c r="A1585" s="88">
        <f t="shared" si="8"/>
        <v>45049</v>
      </c>
      <c r="B1585" s="72" t="str">
        <f t="shared" si="1"/>
        <v>20230503</v>
      </c>
      <c r="C1585" s="72" t="str">
        <f t="shared" si="2"/>
        <v>Wednesday</v>
      </c>
      <c r="D1585" s="72" t="str">
        <f t="shared" si="3"/>
        <v>May</v>
      </c>
      <c r="E1585" s="72" t="str">
        <f t="shared" si="4"/>
        <v>Q2</v>
      </c>
      <c r="F1585" s="72">
        <f t="shared" si="5"/>
        <v>2023</v>
      </c>
      <c r="G1585" s="89">
        <f t="shared" si="6"/>
        <v>45052</v>
      </c>
      <c r="H1585" s="72" t="str">
        <f t="shared" si="7"/>
        <v>Yes</v>
      </c>
    </row>
    <row r="1586" ht="15.75" customHeight="1">
      <c r="A1586" s="88">
        <f t="shared" si="8"/>
        <v>45050</v>
      </c>
      <c r="B1586" s="72" t="str">
        <f t="shared" si="1"/>
        <v>20230504</v>
      </c>
      <c r="C1586" s="72" t="str">
        <f t="shared" si="2"/>
        <v>Thursday</v>
      </c>
      <c r="D1586" s="72" t="str">
        <f t="shared" si="3"/>
        <v>May</v>
      </c>
      <c r="E1586" s="72" t="str">
        <f t="shared" si="4"/>
        <v>Q2</v>
      </c>
      <c r="F1586" s="72">
        <f t="shared" si="5"/>
        <v>2023</v>
      </c>
      <c r="G1586" s="89">
        <f t="shared" si="6"/>
        <v>45052</v>
      </c>
      <c r="H1586" s="72" t="str">
        <f t="shared" si="7"/>
        <v>Yes</v>
      </c>
    </row>
    <row r="1587" ht="15.75" customHeight="1">
      <c r="A1587" s="88">
        <f t="shared" si="8"/>
        <v>45051</v>
      </c>
      <c r="B1587" s="72" t="str">
        <f t="shared" si="1"/>
        <v>20230505</v>
      </c>
      <c r="C1587" s="72" t="str">
        <f t="shared" si="2"/>
        <v>Friday</v>
      </c>
      <c r="D1587" s="72" t="str">
        <f t="shared" si="3"/>
        <v>May</v>
      </c>
      <c r="E1587" s="72" t="str">
        <f t="shared" si="4"/>
        <v>Q2</v>
      </c>
      <c r="F1587" s="72">
        <f t="shared" si="5"/>
        <v>2023</v>
      </c>
      <c r="G1587" s="89">
        <f t="shared" si="6"/>
        <v>45052</v>
      </c>
      <c r="H1587" s="72" t="str">
        <f t="shared" si="7"/>
        <v>Yes</v>
      </c>
    </row>
    <row r="1588" ht="15.75" customHeight="1">
      <c r="A1588" s="88">
        <f t="shared" si="8"/>
        <v>45052</v>
      </c>
      <c r="B1588" s="72" t="str">
        <f t="shared" si="1"/>
        <v>20230506</v>
      </c>
      <c r="C1588" s="72" t="str">
        <f t="shared" si="2"/>
        <v>Saturday</v>
      </c>
      <c r="D1588" s="72" t="str">
        <f t="shared" si="3"/>
        <v>May</v>
      </c>
      <c r="E1588" s="72" t="str">
        <f t="shared" si="4"/>
        <v>Q2</v>
      </c>
      <c r="F1588" s="72">
        <f t="shared" si="5"/>
        <v>2023</v>
      </c>
      <c r="G1588" s="89">
        <f t="shared" si="6"/>
        <v>45052</v>
      </c>
      <c r="H1588" s="72" t="str">
        <f t="shared" si="7"/>
        <v>No</v>
      </c>
    </row>
    <row r="1589" ht="15.75" customHeight="1">
      <c r="A1589" s="88">
        <f t="shared" si="8"/>
        <v>45053</v>
      </c>
      <c r="B1589" s="72" t="str">
        <f t="shared" si="1"/>
        <v>20230507</v>
      </c>
      <c r="C1589" s="72" t="str">
        <f t="shared" si="2"/>
        <v>Sunday</v>
      </c>
      <c r="D1589" s="72" t="str">
        <f t="shared" si="3"/>
        <v>May</v>
      </c>
      <c r="E1589" s="72" t="str">
        <f t="shared" si="4"/>
        <v>Q2</v>
      </c>
      <c r="F1589" s="72">
        <f t="shared" si="5"/>
        <v>2023</v>
      </c>
      <c r="G1589" s="89">
        <f t="shared" si="6"/>
        <v>45059</v>
      </c>
      <c r="H1589" s="72" t="str">
        <f t="shared" si="7"/>
        <v>No</v>
      </c>
    </row>
    <row r="1590" ht="15.75" customHeight="1">
      <c r="A1590" s="88">
        <f t="shared" si="8"/>
        <v>45054</v>
      </c>
      <c r="B1590" s="72" t="str">
        <f t="shared" si="1"/>
        <v>20230508</v>
      </c>
      <c r="C1590" s="72" t="str">
        <f t="shared" si="2"/>
        <v>Monday</v>
      </c>
      <c r="D1590" s="72" t="str">
        <f t="shared" si="3"/>
        <v>May</v>
      </c>
      <c r="E1590" s="72" t="str">
        <f t="shared" si="4"/>
        <v>Q2</v>
      </c>
      <c r="F1590" s="72">
        <f t="shared" si="5"/>
        <v>2023</v>
      </c>
      <c r="G1590" s="89">
        <f t="shared" si="6"/>
        <v>45059</v>
      </c>
      <c r="H1590" s="72" t="str">
        <f t="shared" si="7"/>
        <v>Yes</v>
      </c>
    </row>
    <row r="1591" ht="15.75" customHeight="1">
      <c r="A1591" s="88">
        <f t="shared" si="8"/>
        <v>45055</v>
      </c>
      <c r="B1591" s="72" t="str">
        <f t="shared" si="1"/>
        <v>20230509</v>
      </c>
      <c r="C1591" s="72" t="str">
        <f t="shared" si="2"/>
        <v>Tuesday</v>
      </c>
      <c r="D1591" s="72" t="str">
        <f t="shared" si="3"/>
        <v>May</v>
      </c>
      <c r="E1591" s="72" t="str">
        <f t="shared" si="4"/>
        <v>Q2</v>
      </c>
      <c r="F1591" s="72">
        <f t="shared" si="5"/>
        <v>2023</v>
      </c>
      <c r="G1591" s="89">
        <f t="shared" si="6"/>
        <v>45059</v>
      </c>
      <c r="H1591" s="72" t="str">
        <f t="shared" si="7"/>
        <v>Yes</v>
      </c>
    </row>
    <row r="1592" ht="15.75" customHeight="1">
      <c r="A1592" s="88">
        <f t="shared" si="8"/>
        <v>45056</v>
      </c>
      <c r="B1592" s="72" t="str">
        <f t="shared" si="1"/>
        <v>20230510</v>
      </c>
      <c r="C1592" s="72" t="str">
        <f t="shared" si="2"/>
        <v>Wednesday</v>
      </c>
      <c r="D1592" s="72" t="str">
        <f t="shared" si="3"/>
        <v>May</v>
      </c>
      <c r="E1592" s="72" t="str">
        <f t="shared" si="4"/>
        <v>Q2</v>
      </c>
      <c r="F1592" s="72">
        <f t="shared" si="5"/>
        <v>2023</v>
      </c>
      <c r="G1592" s="89">
        <f t="shared" si="6"/>
        <v>45059</v>
      </c>
      <c r="H1592" s="72" t="str">
        <f t="shared" si="7"/>
        <v>Yes</v>
      </c>
    </row>
    <row r="1593" ht="15.75" customHeight="1">
      <c r="A1593" s="88">
        <f t="shared" si="8"/>
        <v>45057</v>
      </c>
      <c r="B1593" s="72" t="str">
        <f t="shared" si="1"/>
        <v>20230511</v>
      </c>
      <c r="C1593" s="72" t="str">
        <f t="shared" si="2"/>
        <v>Thursday</v>
      </c>
      <c r="D1593" s="72" t="str">
        <f t="shared" si="3"/>
        <v>May</v>
      </c>
      <c r="E1593" s="72" t="str">
        <f t="shared" si="4"/>
        <v>Q2</v>
      </c>
      <c r="F1593" s="72">
        <f t="shared" si="5"/>
        <v>2023</v>
      </c>
      <c r="G1593" s="89">
        <f t="shared" si="6"/>
        <v>45059</v>
      </c>
      <c r="H1593" s="72" t="str">
        <f t="shared" si="7"/>
        <v>Yes</v>
      </c>
    </row>
    <row r="1594" ht="15.75" customHeight="1">
      <c r="A1594" s="88">
        <f t="shared" si="8"/>
        <v>45058</v>
      </c>
      <c r="B1594" s="72" t="str">
        <f t="shared" si="1"/>
        <v>20230512</v>
      </c>
      <c r="C1594" s="72" t="str">
        <f t="shared" si="2"/>
        <v>Friday</v>
      </c>
      <c r="D1594" s="72" t="str">
        <f t="shared" si="3"/>
        <v>May</v>
      </c>
      <c r="E1594" s="72" t="str">
        <f t="shared" si="4"/>
        <v>Q2</v>
      </c>
      <c r="F1594" s="72">
        <f t="shared" si="5"/>
        <v>2023</v>
      </c>
      <c r="G1594" s="89">
        <f t="shared" si="6"/>
        <v>45059</v>
      </c>
      <c r="H1594" s="72" t="str">
        <f t="shared" si="7"/>
        <v>Yes</v>
      </c>
    </row>
    <row r="1595" ht="15.75" customHeight="1">
      <c r="A1595" s="88">
        <f t="shared" si="8"/>
        <v>45059</v>
      </c>
      <c r="B1595" s="72" t="str">
        <f t="shared" si="1"/>
        <v>20230513</v>
      </c>
      <c r="C1595" s="72" t="str">
        <f t="shared" si="2"/>
        <v>Saturday</v>
      </c>
      <c r="D1595" s="72" t="str">
        <f t="shared" si="3"/>
        <v>May</v>
      </c>
      <c r="E1595" s="72" t="str">
        <f t="shared" si="4"/>
        <v>Q2</v>
      </c>
      <c r="F1595" s="72">
        <f t="shared" si="5"/>
        <v>2023</v>
      </c>
      <c r="G1595" s="89">
        <f t="shared" si="6"/>
        <v>45059</v>
      </c>
      <c r="H1595" s="72" t="str">
        <f t="shared" si="7"/>
        <v>No</v>
      </c>
    </row>
    <row r="1596" ht="15.75" customHeight="1">
      <c r="A1596" s="88">
        <f t="shared" si="8"/>
        <v>45060</v>
      </c>
      <c r="B1596" s="72" t="str">
        <f t="shared" si="1"/>
        <v>20230514</v>
      </c>
      <c r="C1596" s="72" t="str">
        <f t="shared" si="2"/>
        <v>Sunday</v>
      </c>
      <c r="D1596" s="72" t="str">
        <f t="shared" si="3"/>
        <v>May</v>
      </c>
      <c r="E1596" s="72" t="str">
        <f t="shared" si="4"/>
        <v>Q2</v>
      </c>
      <c r="F1596" s="72">
        <f t="shared" si="5"/>
        <v>2023</v>
      </c>
      <c r="G1596" s="89">
        <f t="shared" si="6"/>
        <v>45066</v>
      </c>
      <c r="H1596" s="72" t="str">
        <f t="shared" si="7"/>
        <v>No</v>
      </c>
    </row>
    <row r="1597" ht="15.75" customHeight="1">
      <c r="A1597" s="88">
        <f t="shared" si="8"/>
        <v>45061</v>
      </c>
      <c r="B1597" s="72" t="str">
        <f t="shared" si="1"/>
        <v>20230515</v>
      </c>
      <c r="C1597" s="72" t="str">
        <f t="shared" si="2"/>
        <v>Monday</v>
      </c>
      <c r="D1597" s="72" t="str">
        <f t="shared" si="3"/>
        <v>May</v>
      </c>
      <c r="E1597" s="72" t="str">
        <f t="shared" si="4"/>
        <v>Q2</v>
      </c>
      <c r="F1597" s="72">
        <f t="shared" si="5"/>
        <v>2023</v>
      </c>
      <c r="G1597" s="89">
        <f t="shared" si="6"/>
        <v>45066</v>
      </c>
      <c r="H1597" s="72" t="str">
        <f t="shared" si="7"/>
        <v>Yes</v>
      </c>
    </row>
    <row r="1598" ht="15.75" customHeight="1">
      <c r="A1598" s="88">
        <f t="shared" si="8"/>
        <v>45062</v>
      </c>
      <c r="B1598" s="72" t="str">
        <f t="shared" si="1"/>
        <v>20230516</v>
      </c>
      <c r="C1598" s="72" t="str">
        <f t="shared" si="2"/>
        <v>Tuesday</v>
      </c>
      <c r="D1598" s="72" t="str">
        <f t="shared" si="3"/>
        <v>May</v>
      </c>
      <c r="E1598" s="72" t="str">
        <f t="shared" si="4"/>
        <v>Q2</v>
      </c>
      <c r="F1598" s="72">
        <f t="shared" si="5"/>
        <v>2023</v>
      </c>
      <c r="G1598" s="89">
        <f t="shared" si="6"/>
        <v>45066</v>
      </c>
      <c r="H1598" s="72" t="str">
        <f t="shared" si="7"/>
        <v>Yes</v>
      </c>
    </row>
    <row r="1599" ht="15.75" customHeight="1">
      <c r="A1599" s="88">
        <f t="shared" si="8"/>
        <v>45063</v>
      </c>
      <c r="B1599" s="72" t="str">
        <f t="shared" si="1"/>
        <v>20230517</v>
      </c>
      <c r="C1599" s="72" t="str">
        <f t="shared" si="2"/>
        <v>Wednesday</v>
      </c>
      <c r="D1599" s="72" t="str">
        <f t="shared" si="3"/>
        <v>May</v>
      </c>
      <c r="E1599" s="72" t="str">
        <f t="shared" si="4"/>
        <v>Q2</v>
      </c>
      <c r="F1599" s="72">
        <f t="shared" si="5"/>
        <v>2023</v>
      </c>
      <c r="G1599" s="89">
        <f t="shared" si="6"/>
        <v>45066</v>
      </c>
      <c r="H1599" s="72" t="str">
        <f t="shared" si="7"/>
        <v>Yes</v>
      </c>
    </row>
    <row r="1600" ht="15.75" customHeight="1">
      <c r="A1600" s="88">
        <f t="shared" si="8"/>
        <v>45064</v>
      </c>
      <c r="B1600" s="72" t="str">
        <f t="shared" si="1"/>
        <v>20230518</v>
      </c>
      <c r="C1600" s="72" t="str">
        <f t="shared" si="2"/>
        <v>Thursday</v>
      </c>
      <c r="D1600" s="72" t="str">
        <f t="shared" si="3"/>
        <v>May</v>
      </c>
      <c r="E1600" s="72" t="str">
        <f t="shared" si="4"/>
        <v>Q2</v>
      </c>
      <c r="F1600" s="72">
        <f t="shared" si="5"/>
        <v>2023</v>
      </c>
      <c r="G1600" s="89">
        <f t="shared" si="6"/>
        <v>45066</v>
      </c>
      <c r="H1600" s="72" t="str">
        <f t="shared" si="7"/>
        <v>Yes</v>
      </c>
    </row>
    <row r="1601" ht="15.75" customHeight="1">
      <c r="A1601" s="88">
        <f t="shared" si="8"/>
        <v>45065</v>
      </c>
      <c r="B1601" s="72" t="str">
        <f t="shared" si="1"/>
        <v>20230519</v>
      </c>
      <c r="C1601" s="72" t="str">
        <f t="shared" si="2"/>
        <v>Friday</v>
      </c>
      <c r="D1601" s="72" t="str">
        <f t="shared" si="3"/>
        <v>May</v>
      </c>
      <c r="E1601" s="72" t="str">
        <f t="shared" si="4"/>
        <v>Q2</v>
      </c>
      <c r="F1601" s="72">
        <f t="shared" si="5"/>
        <v>2023</v>
      </c>
      <c r="G1601" s="89">
        <f t="shared" si="6"/>
        <v>45066</v>
      </c>
      <c r="H1601" s="72" t="str">
        <f t="shared" si="7"/>
        <v>Yes</v>
      </c>
    </row>
    <row r="1602" ht="15.75" customHeight="1">
      <c r="A1602" s="88">
        <f t="shared" si="8"/>
        <v>45066</v>
      </c>
      <c r="B1602" s="72" t="str">
        <f t="shared" si="1"/>
        <v>20230520</v>
      </c>
      <c r="C1602" s="72" t="str">
        <f t="shared" si="2"/>
        <v>Saturday</v>
      </c>
      <c r="D1602" s="72" t="str">
        <f t="shared" si="3"/>
        <v>May</v>
      </c>
      <c r="E1602" s="72" t="str">
        <f t="shared" si="4"/>
        <v>Q2</v>
      </c>
      <c r="F1602" s="72">
        <f t="shared" si="5"/>
        <v>2023</v>
      </c>
      <c r="G1602" s="89">
        <f t="shared" si="6"/>
        <v>45066</v>
      </c>
      <c r="H1602" s="72" t="str">
        <f t="shared" si="7"/>
        <v>No</v>
      </c>
    </row>
    <row r="1603" ht="15.75" customHeight="1">
      <c r="A1603" s="88">
        <f t="shared" si="8"/>
        <v>45067</v>
      </c>
      <c r="B1603" s="72" t="str">
        <f t="shared" si="1"/>
        <v>20230521</v>
      </c>
      <c r="C1603" s="72" t="str">
        <f t="shared" si="2"/>
        <v>Sunday</v>
      </c>
      <c r="D1603" s="72" t="str">
        <f t="shared" si="3"/>
        <v>May</v>
      </c>
      <c r="E1603" s="72" t="str">
        <f t="shared" si="4"/>
        <v>Q2</v>
      </c>
      <c r="F1603" s="72">
        <f t="shared" si="5"/>
        <v>2023</v>
      </c>
      <c r="G1603" s="89">
        <f t="shared" si="6"/>
        <v>45073</v>
      </c>
      <c r="H1603" s="72" t="str">
        <f t="shared" si="7"/>
        <v>No</v>
      </c>
    </row>
    <row r="1604" ht="15.75" customHeight="1">
      <c r="A1604" s="88">
        <f t="shared" si="8"/>
        <v>45068</v>
      </c>
      <c r="B1604" s="72" t="str">
        <f t="shared" si="1"/>
        <v>20230522</v>
      </c>
      <c r="C1604" s="72" t="str">
        <f t="shared" si="2"/>
        <v>Monday</v>
      </c>
      <c r="D1604" s="72" t="str">
        <f t="shared" si="3"/>
        <v>May</v>
      </c>
      <c r="E1604" s="72" t="str">
        <f t="shared" si="4"/>
        <v>Q2</v>
      </c>
      <c r="F1604" s="72">
        <f t="shared" si="5"/>
        <v>2023</v>
      </c>
      <c r="G1604" s="89">
        <f t="shared" si="6"/>
        <v>45073</v>
      </c>
      <c r="H1604" s="72" t="str">
        <f t="shared" si="7"/>
        <v>Yes</v>
      </c>
    </row>
    <row r="1605" ht="15.75" customHeight="1">
      <c r="A1605" s="88">
        <f t="shared" si="8"/>
        <v>45069</v>
      </c>
      <c r="B1605" s="72" t="str">
        <f t="shared" si="1"/>
        <v>20230523</v>
      </c>
      <c r="C1605" s="72" t="str">
        <f t="shared" si="2"/>
        <v>Tuesday</v>
      </c>
      <c r="D1605" s="72" t="str">
        <f t="shared" si="3"/>
        <v>May</v>
      </c>
      <c r="E1605" s="72" t="str">
        <f t="shared" si="4"/>
        <v>Q2</v>
      </c>
      <c r="F1605" s="72">
        <f t="shared" si="5"/>
        <v>2023</v>
      </c>
      <c r="G1605" s="89">
        <f t="shared" si="6"/>
        <v>45073</v>
      </c>
      <c r="H1605" s="72" t="str">
        <f t="shared" si="7"/>
        <v>Yes</v>
      </c>
    </row>
    <row r="1606" ht="15.75" customHeight="1">
      <c r="A1606" s="88">
        <f t="shared" si="8"/>
        <v>45070</v>
      </c>
      <c r="B1606" s="72" t="str">
        <f t="shared" si="1"/>
        <v>20230524</v>
      </c>
      <c r="C1606" s="72" t="str">
        <f t="shared" si="2"/>
        <v>Wednesday</v>
      </c>
      <c r="D1606" s="72" t="str">
        <f t="shared" si="3"/>
        <v>May</v>
      </c>
      <c r="E1606" s="72" t="str">
        <f t="shared" si="4"/>
        <v>Q2</v>
      </c>
      <c r="F1606" s="72">
        <f t="shared" si="5"/>
        <v>2023</v>
      </c>
      <c r="G1606" s="89">
        <f t="shared" si="6"/>
        <v>45073</v>
      </c>
      <c r="H1606" s="72" t="str">
        <f t="shared" si="7"/>
        <v>Yes</v>
      </c>
    </row>
    <row r="1607" ht="15.75" customHeight="1">
      <c r="A1607" s="88">
        <f t="shared" si="8"/>
        <v>45071</v>
      </c>
      <c r="B1607" s="72" t="str">
        <f t="shared" si="1"/>
        <v>20230525</v>
      </c>
      <c r="C1607" s="72" t="str">
        <f t="shared" si="2"/>
        <v>Thursday</v>
      </c>
      <c r="D1607" s="72" t="str">
        <f t="shared" si="3"/>
        <v>May</v>
      </c>
      <c r="E1607" s="72" t="str">
        <f t="shared" si="4"/>
        <v>Q2</v>
      </c>
      <c r="F1607" s="72">
        <f t="shared" si="5"/>
        <v>2023</v>
      </c>
      <c r="G1607" s="89">
        <f t="shared" si="6"/>
        <v>45073</v>
      </c>
      <c r="H1607" s="72" t="str">
        <f t="shared" si="7"/>
        <v>Yes</v>
      </c>
    </row>
    <row r="1608" ht="15.75" customHeight="1">
      <c r="A1608" s="88">
        <f t="shared" si="8"/>
        <v>45072</v>
      </c>
      <c r="B1608" s="72" t="str">
        <f t="shared" si="1"/>
        <v>20230526</v>
      </c>
      <c r="C1608" s="72" t="str">
        <f t="shared" si="2"/>
        <v>Friday</v>
      </c>
      <c r="D1608" s="72" t="str">
        <f t="shared" si="3"/>
        <v>May</v>
      </c>
      <c r="E1608" s="72" t="str">
        <f t="shared" si="4"/>
        <v>Q2</v>
      </c>
      <c r="F1608" s="72">
        <f t="shared" si="5"/>
        <v>2023</v>
      </c>
      <c r="G1608" s="89">
        <f t="shared" si="6"/>
        <v>45073</v>
      </c>
      <c r="H1608" s="72" t="str">
        <f t="shared" si="7"/>
        <v>Yes</v>
      </c>
    </row>
    <row r="1609" ht="15.75" customHeight="1">
      <c r="A1609" s="88">
        <f t="shared" si="8"/>
        <v>45073</v>
      </c>
      <c r="B1609" s="72" t="str">
        <f t="shared" si="1"/>
        <v>20230527</v>
      </c>
      <c r="C1609" s="72" t="str">
        <f t="shared" si="2"/>
        <v>Saturday</v>
      </c>
      <c r="D1609" s="72" t="str">
        <f t="shared" si="3"/>
        <v>May</v>
      </c>
      <c r="E1609" s="72" t="str">
        <f t="shared" si="4"/>
        <v>Q2</v>
      </c>
      <c r="F1609" s="72">
        <f t="shared" si="5"/>
        <v>2023</v>
      </c>
      <c r="G1609" s="89">
        <f t="shared" si="6"/>
        <v>45073</v>
      </c>
      <c r="H1609" s="72" t="str">
        <f t="shared" si="7"/>
        <v>No</v>
      </c>
    </row>
    <row r="1610" ht="15.75" customHeight="1">
      <c r="A1610" s="88">
        <f t="shared" si="8"/>
        <v>45074</v>
      </c>
      <c r="B1610" s="72" t="str">
        <f t="shared" si="1"/>
        <v>20230528</v>
      </c>
      <c r="C1610" s="72" t="str">
        <f t="shared" si="2"/>
        <v>Sunday</v>
      </c>
      <c r="D1610" s="72" t="str">
        <f t="shared" si="3"/>
        <v>May</v>
      </c>
      <c r="E1610" s="72" t="str">
        <f t="shared" si="4"/>
        <v>Q2</v>
      </c>
      <c r="F1610" s="72">
        <f t="shared" si="5"/>
        <v>2023</v>
      </c>
      <c r="G1610" s="89">
        <f t="shared" si="6"/>
        <v>45080</v>
      </c>
      <c r="H1610" s="72" t="str">
        <f t="shared" si="7"/>
        <v>No</v>
      </c>
    </row>
    <row r="1611" ht="15.75" customHeight="1">
      <c r="A1611" s="88">
        <f t="shared" si="8"/>
        <v>45075</v>
      </c>
      <c r="B1611" s="72" t="str">
        <f t="shared" si="1"/>
        <v>20230529</v>
      </c>
      <c r="C1611" s="72" t="str">
        <f t="shared" si="2"/>
        <v>Monday</v>
      </c>
      <c r="D1611" s="72" t="str">
        <f t="shared" si="3"/>
        <v>May</v>
      </c>
      <c r="E1611" s="72" t="str">
        <f t="shared" si="4"/>
        <v>Q2</v>
      </c>
      <c r="F1611" s="72">
        <f t="shared" si="5"/>
        <v>2023</v>
      </c>
      <c r="G1611" s="89">
        <f t="shared" si="6"/>
        <v>45080</v>
      </c>
      <c r="H1611" s="72" t="str">
        <f t="shared" si="7"/>
        <v>Yes</v>
      </c>
    </row>
    <row r="1612" ht="15.75" customHeight="1">
      <c r="A1612" s="88">
        <f t="shared" si="8"/>
        <v>45076</v>
      </c>
      <c r="B1612" s="72" t="str">
        <f t="shared" si="1"/>
        <v>20230530</v>
      </c>
      <c r="C1612" s="72" t="str">
        <f t="shared" si="2"/>
        <v>Tuesday</v>
      </c>
      <c r="D1612" s="72" t="str">
        <f t="shared" si="3"/>
        <v>May</v>
      </c>
      <c r="E1612" s="72" t="str">
        <f t="shared" si="4"/>
        <v>Q2</v>
      </c>
      <c r="F1612" s="72">
        <f t="shared" si="5"/>
        <v>2023</v>
      </c>
      <c r="G1612" s="89">
        <f t="shared" si="6"/>
        <v>45080</v>
      </c>
      <c r="H1612" s="72" t="str">
        <f t="shared" si="7"/>
        <v>Yes</v>
      </c>
    </row>
    <row r="1613" ht="15.75" customHeight="1">
      <c r="A1613" s="88">
        <f t="shared" si="8"/>
        <v>45077</v>
      </c>
      <c r="B1613" s="72" t="str">
        <f t="shared" si="1"/>
        <v>20230531</v>
      </c>
      <c r="C1613" s="72" t="str">
        <f t="shared" si="2"/>
        <v>Wednesday</v>
      </c>
      <c r="D1613" s="72" t="str">
        <f t="shared" si="3"/>
        <v>May</v>
      </c>
      <c r="E1613" s="72" t="str">
        <f t="shared" si="4"/>
        <v>Q2</v>
      </c>
      <c r="F1613" s="72">
        <f t="shared" si="5"/>
        <v>2023</v>
      </c>
      <c r="G1613" s="89">
        <f t="shared" si="6"/>
        <v>45080</v>
      </c>
      <c r="H1613" s="72" t="str">
        <f t="shared" si="7"/>
        <v>Yes</v>
      </c>
    </row>
    <row r="1614" ht="15.75" customHeight="1">
      <c r="A1614" s="88">
        <f t="shared" si="8"/>
        <v>45078</v>
      </c>
      <c r="B1614" s="72" t="str">
        <f t="shared" si="1"/>
        <v>20230601</v>
      </c>
      <c r="C1614" s="72" t="str">
        <f t="shared" si="2"/>
        <v>Thursday</v>
      </c>
      <c r="D1614" s="72" t="str">
        <f t="shared" si="3"/>
        <v>June</v>
      </c>
      <c r="E1614" s="72" t="str">
        <f t="shared" si="4"/>
        <v>Q2</v>
      </c>
      <c r="F1614" s="72">
        <f t="shared" si="5"/>
        <v>2023</v>
      </c>
      <c r="G1614" s="89">
        <f t="shared" si="6"/>
        <v>45080</v>
      </c>
      <c r="H1614" s="72" t="str">
        <f t="shared" si="7"/>
        <v>Yes</v>
      </c>
    </row>
    <row r="1615" ht="15.75" customHeight="1">
      <c r="A1615" s="88">
        <f t="shared" si="8"/>
        <v>45079</v>
      </c>
      <c r="B1615" s="72" t="str">
        <f t="shared" si="1"/>
        <v>20230602</v>
      </c>
      <c r="C1615" s="72" t="str">
        <f t="shared" si="2"/>
        <v>Friday</v>
      </c>
      <c r="D1615" s="72" t="str">
        <f t="shared" si="3"/>
        <v>June</v>
      </c>
      <c r="E1615" s="72" t="str">
        <f t="shared" si="4"/>
        <v>Q2</v>
      </c>
      <c r="F1615" s="72">
        <f t="shared" si="5"/>
        <v>2023</v>
      </c>
      <c r="G1615" s="89">
        <f t="shared" si="6"/>
        <v>45080</v>
      </c>
      <c r="H1615" s="72" t="str">
        <f t="shared" si="7"/>
        <v>Yes</v>
      </c>
    </row>
    <row r="1616" ht="15.75" customHeight="1">
      <c r="A1616" s="88">
        <f t="shared" si="8"/>
        <v>45080</v>
      </c>
      <c r="B1616" s="72" t="str">
        <f t="shared" si="1"/>
        <v>20230603</v>
      </c>
      <c r="C1616" s="72" t="str">
        <f t="shared" si="2"/>
        <v>Saturday</v>
      </c>
      <c r="D1616" s="72" t="str">
        <f t="shared" si="3"/>
        <v>June</v>
      </c>
      <c r="E1616" s="72" t="str">
        <f t="shared" si="4"/>
        <v>Q2</v>
      </c>
      <c r="F1616" s="72">
        <f t="shared" si="5"/>
        <v>2023</v>
      </c>
      <c r="G1616" s="89">
        <f t="shared" si="6"/>
        <v>45080</v>
      </c>
      <c r="H1616" s="72" t="str">
        <f t="shared" si="7"/>
        <v>No</v>
      </c>
    </row>
    <row r="1617" ht="15.75" customHeight="1">
      <c r="A1617" s="88">
        <f t="shared" si="8"/>
        <v>45081</v>
      </c>
      <c r="B1617" s="72" t="str">
        <f t="shared" si="1"/>
        <v>20230604</v>
      </c>
      <c r="C1617" s="72" t="str">
        <f t="shared" si="2"/>
        <v>Sunday</v>
      </c>
      <c r="D1617" s="72" t="str">
        <f t="shared" si="3"/>
        <v>June</v>
      </c>
      <c r="E1617" s="72" t="str">
        <f t="shared" si="4"/>
        <v>Q2</v>
      </c>
      <c r="F1617" s="72">
        <f t="shared" si="5"/>
        <v>2023</v>
      </c>
      <c r="G1617" s="89">
        <f t="shared" si="6"/>
        <v>45087</v>
      </c>
      <c r="H1617" s="72" t="str">
        <f t="shared" si="7"/>
        <v>No</v>
      </c>
    </row>
    <row r="1618" ht="15.75" customHeight="1">
      <c r="A1618" s="88">
        <f t="shared" si="8"/>
        <v>45082</v>
      </c>
      <c r="B1618" s="72" t="str">
        <f t="shared" si="1"/>
        <v>20230605</v>
      </c>
      <c r="C1618" s="72" t="str">
        <f t="shared" si="2"/>
        <v>Monday</v>
      </c>
      <c r="D1618" s="72" t="str">
        <f t="shared" si="3"/>
        <v>June</v>
      </c>
      <c r="E1618" s="72" t="str">
        <f t="shared" si="4"/>
        <v>Q2</v>
      </c>
      <c r="F1618" s="72">
        <f t="shared" si="5"/>
        <v>2023</v>
      </c>
      <c r="G1618" s="89">
        <f t="shared" si="6"/>
        <v>45087</v>
      </c>
      <c r="H1618" s="72" t="str">
        <f t="shared" si="7"/>
        <v>Yes</v>
      </c>
    </row>
    <row r="1619" ht="15.75" customHeight="1">
      <c r="A1619" s="88">
        <f t="shared" si="8"/>
        <v>45083</v>
      </c>
      <c r="B1619" s="72" t="str">
        <f t="shared" si="1"/>
        <v>20230606</v>
      </c>
      <c r="C1619" s="72" t="str">
        <f t="shared" si="2"/>
        <v>Tuesday</v>
      </c>
      <c r="D1619" s="72" t="str">
        <f t="shared" si="3"/>
        <v>June</v>
      </c>
      <c r="E1619" s="72" t="str">
        <f t="shared" si="4"/>
        <v>Q2</v>
      </c>
      <c r="F1619" s="72">
        <f t="shared" si="5"/>
        <v>2023</v>
      </c>
      <c r="G1619" s="89">
        <f t="shared" si="6"/>
        <v>45087</v>
      </c>
      <c r="H1619" s="72" t="str">
        <f t="shared" si="7"/>
        <v>Yes</v>
      </c>
    </row>
    <row r="1620" ht="15.75" customHeight="1">
      <c r="A1620" s="88">
        <f t="shared" si="8"/>
        <v>45084</v>
      </c>
      <c r="B1620" s="72" t="str">
        <f t="shared" si="1"/>
        <v>20230607</v>
      </c>
      <c r="C1620" s="72" t="str">
        <f t="shared" si="2"/>
        <v>Wednesday</v>
      </c>
      <c r="D1620" s="72" t="str">
        <f t="shared" si="3"/>
        <v>June</v>
      </c>
      <c r="E1620" s="72" t="str">
        <f t="shared" si="4"/>
        <v>Q2</v>
      </c>
      <c r="F1620" s="72">
        <f t="shared" si="5"/>
        <v>2023</v>
      </c>
      <c r="G1620" s="89">
        <f t="shared" si="6"/>
        <v>45087</v>
      </c>
      <c r="H1620" s="72" t="str">
        <f t="shared" si="7"/>
        <v>Yes</v>
      </c>
    </row>
    <row r="1621" ht="15.75" customHeight="1">
      <c r="A1621" s="88">
        <f t="shared" si="8"/>
        <v>45085</v>
      </c>
      <c r="B1621" s="72" t="str">
        <f t="shared" si="1"/>
        <v>20230608</v>
      </c>
      <c r="C1621" s="72" t="str">
        <f t="shared" si="2"/>
        <v>Thursday</v>
      </c>
      <c r="D1621" s="72" t="str">
        <f t="shared" si="3"/>
        <v>June</v>
      </c>
      <c r="E1621" s="72" t="str">
        <f t="shared" si="4"/>
        <v>Q2</v>
      </c>
      <c r="F1621" s="72">
        <f t="shared" si="5"/>
        <v>2023</v>
      </c>
      <c r="G1621" s="89">
        <f t="shared" si="6"/>
        <v>45087</v>
      </c>
      <c r="H1621" s="72" t="str">
        <f t="shared" si="7"/>
        <v>Yes</v>
      </c>
    </row>
    <row r="1622" ht="15.75" customHeight="1">
      <c r="A1622" s="88">
        <f t="shared" si="8"/>
        <v>45086</v>
      </c>
      <c r="B1622" s="72" t="str">
        <f t="shared" si="1"/>
        <v>20230609</v>
      </c>
      <c r="C1622" s="72" t="str">
        <f t="shared" si="2"/>
        <v>Friday</v>
      </c>
      <c r="D1622" s="72" t="str">
        <f t="shared" si="3"/>
        <v>June</v>
      </c>
      <c r="E1622" s="72" t="str">
        <f t="shared" si="4"/>
        <v>Q2</v>
      </c>
      <c r="F1622" s="72">
        <f t="shared" si="5"/>
        <v>2023</v>
      </c>
      <c r="G1622" s="89">
        <f t="shared" si="6"/>
        <v>45087</v>
      </c>
      <c r="H1622" s="72" t="str">
        <f t="shared" si="7"/>
        <v>Yes</v>
      </c>
    </row>
    <row r="1623" ht="15.75" customHeight="1">
      <c r="A1623" s="88">
        <f t="shared" si="8"/>
        <v>45087</v>
      </c>
      <c r="B1623" s="72" t="str">
        <f t="shared" si="1"/>
        <v>20230610</v>
      </c>
      <c r="C1623" s="72" t="str">
        <f t="shared" si="2"/>
        <v>Saturday</v>
      </c>
      <c r="D1623" s="72" t="str">
        <f t="shared" si="3"/>
        <v>June</v>
      </c>
      <c r="E1623" s="72" t="str">
        <f t="shared" si="4"/>
        <v>Q2</v>
      </c>
      <c r="F1623" s="72">
        <f t="shared" si="5"/>
        <v>2023</v>
      </c>
      <c r="G1623" s="89">
        <f t="shared" si="6"/>
        <v>45087</v>
      </c>
      <c r="H1623" s="72" t="str">
        <f t="shared" si="7"/>
        <v>No</v>
      </c>
    </row>
    <row r="1624" ht="15.75" customHeight="1">
      <c r="A1624" s="88">
        <f t="shared" si="8"/>
        <v>45088</v>
      </c>
      <c r="B1624" s="72" t="str">
        <f t="shared" si="1"/>
        <v>20230611</v>
      </c>
      <c r="C1624" s="72" t="str">
        <f t="shared" si="2"/>
        <v>Sunday</v>
      </c>
      <c r="D1624" s="72" t="str">
        <f t="shared" si="3"/>
        <v>June</v>
      </c>
      <c r="E1624" s="72" t="str">
        <f t="shared" si="4"/>
        <v>Q2</v>
      </c>
      <c r="F1624" s="72">
        <f t="shared" si="5"/>
        <v>2023</v>
      </c>
      <c r="G1624" s="89">
        <f t="shared" si="6"/>
        <v>45094</v>
      </c>
      <c r="H1624" s="72" t="str">
        <f t="shared" si="7"/>
        <v>No</v>
      </c>
    </row>
    <row r="1625" ht="15.75" customHeight="1">
      <c r="A1625" s="88">
        <f t="shared" si="8"/>
        <v>45089</v>
      </c>
      <c r="B1625" s="72" t="str">
        <f t="shared" si="1"/>
        <v>20230612</v>
      </c>
      <c r="C1625" s="72" t="str">
        <f t="shared" si="2"/>
        <v>Monday</v>
      </c>
      <c r="D1625" s="72" t="str">
        <f t="shared" si="3"/>
        <v>June</v>
      </c>
      <c r="E1625" s="72" t="str">
        <f t="shared" si="4"/>
        <v>Q2</v>
      </c>
      <c r="F1625" s="72">
        <f t="shared" si="5"/>
        <v>2023</v>
      </c>
      <c r="G1625" s="89">
        <f t="shared" si="6"/>
        <v>45094</v>
      </c>
      <c r="H1625" s="72" t="str">
        <f t="shared" si="7"/>
        <v>Yes</v>
      </c>
    </row>
    <row r="1626" ht="15.75" customHeight="1">
      <c r="A1626" s="88">
        <f t="shared" si="8"/>
        <v>45090</v>
      </c>
      <c r="B1626" s="72" t="str">
        <f t="shared" si="1"/>
        <v>20230613</v>
      </c>
      <c r="C1626" s="72" t="str">
        <f t="shared" si="2"/>
        <v>Tuesday</v>
      </c>
      <c r="D1626" s="72" t="str">
        <f t="shared" si="3"/>
        <v>June</v>
      </c>
      <c r="E1626" s="72" t="str">
        <f t="shared" si="4"/>
        <v>Q2</v>
      </c>
      <c r="F1626" s="72">
        <f t="shared" si="5"/>
        <v>2023</v>
      </c>
      <c r="G1626" s="89">
        <f t="shared" si="6"/>
        <v>45094</v>
      </c>
      <c r="H1626" s="72" t="str">
        <f t="shared" si="7"/>
        <v>Yes</v>
      </c>
    </row>
    <row r="1627" ht="15.75" customHeight="1">
      <c r="A1627" s="88">
        <f t="shared" si="8"/>
        <v>45091</v>
      </c>
      <c r="B1627" s="72" t="str">
        <f t="shared" si="1"/>
        <v>20230614</v>
      </c>
      <c r="C1627" s="72" t="str">
        <f t="shared" si="2"/>
        <v>Wednesday</v>
      </c>
      <c r="D1627" s="72" t="str">
        <f t="shared" si="3"/>
        <v>June</v>
      </c>
      <c r="E1627" s="72" t="str">
        <f t="shared" si="4"/>
        <v>Q2</v>
      </c>
      <c r="F1627" s="72">
        <f t="shared" si="5"/>
        <v>2023</v>
      </c>
      <c r="G1627" s="89">
        <f t="shared" si="6"/>
        <v>45094</v>
      </c>
      <c r="H1627" s="72" t="str">
        <f t="shared" si="7"/>
        <v>Yes</v>
      </c>
    </row>
    <row r="1628" ht="15.75" customHeight="1">
      <c r="A1628" s="88">
        <f t="shared" si="8"/>
        <v>45092</v>
      </c>
      <c r="B1628" s="72" t="str">
        <f t="shared" si="1"/>
        <v>20230615</v>
      </c>
      <c r="C1628" s="72" t="str">
        <f t="shared" si="2"/>
        <v>Thursday</v>
      </c>
      <c r="D1628" s="72" t="str">
        <f t="shared" si="3"/>
        <v>June</v>
      </c>
      <c r="E1628" s="72" t="str">
        <f t="shared" si="4"/>
        <v>Q2</v>
      </c>
      <c r="F1628" s="72">
        <f t="shared" si="5"/>
        <v>2023</v>
      </c>
      <c r="G1628" s="89">
        <f t="shared" si="6"/>
        <v>45094</v>
      </c>
      <c r="H1628" s="72" t="str">
        <f t="shared" si="7"/>
        <v>Yes</v>
      </c>
    </row>
    <row r="1629" ht="15.75" customHeight="1">
      <c r="A1629" s="88">
        <f t="shared" si="8"/>
        <v>45093</v>
      </c>
      <c r="B1629" s="72" t="str">
        <f t="shared" si="1"/>
        <v>20230616</v>
      </c>
      <c r="C1629" s="72" t="str">
        <f t="shared" si="2"/>
        <v>Friday</v>
      </c>
      <c r="D1629" s="72" t="str">
        <f t="shared" si="3"/>
        <v>June</v>
      </c>
      <c r="E1629" s="72" t="str">
        <f t="shared" si="4"/>
        <v>Q2</v>
      </c>
      <c r="F1629" s="72">
        <f t="shared" si="5"/>
        <v>2023</v>
      </c>
      <c r="G1629" s="89">
        <f t="shared" si="6"/>
        <v>45094</v>
      </c>
      <c r="H1629" s="72" t="str">
        <f t="shared" si="7"/>
        <v>Yes</v>
      </c>
    </row>
    <row r="1630" ht="15.75" customHeight="1">
      <c r="A1630" s="88">
        <f t="shared" si="8"/>
        <v>45094</v>
      </c>
      <c r="B1630" s="72" t="str">
        <f t="shared" si="1"/>
        <v>20230617</v>
      </c>
      <c r="C1630" s="72" t="str">
        <f t="shared" si="2"/>
        <v>Saturday</v>
      </c>
      <c r="D1630" s="72" t="str">
        <f t="shared" si="3"/>
        <v>June</v>
      </c>
      <c r="E1630" s="72" t="str">
        <f t="shared" si="4"/>
        <v>Q2</v>
      </c>
      <c r="F1630" s="72">
        <f t="shared" si="5"/>
        <v>2023</v>
      </c>
      <c r="G1630" s="89">
        <f t="shared" si="6"/>
        <v>45094</v>
      </c>
      <c r="H1630" s="72" t="str">
        <f t="shared" si="7"/>
        <v>No</v>
      </c>
    </row>
    <row r="1631" ht="15.75" customHeight="1">
      <c r="A1631" s="88">
        <f t="shared" si="8"/>
        <v>45095</v>
      </c>
      <c r="B1631" s="72" t="str">
        <f t="shared" si="1"/>
        <v>20230618</v>
      </c>
      <c r="C1631" s="72" t="str">
        <f t="shared" si="2"/>
        <v>Sunday</v>
      </c>
      <c r="D1631" s="72" t="str">
        <f t="shared" si="3"/>
        <v>June</v>
      </c>
      <c r="E1631" s="72" t="str">
        <f t="shared" si="4"/>
        <v>Q2</v>
      </c>
      <c r="F1631" s="72">
        <f t="shared" si="5"/>
        <v>2023</v>
      </c>
      <c r="G1631" s="89">
        <f t="shared" si="6"/>
        <v>45101</v>
      </c>
      <c r="H1631" s="72" t="str">
        <f t="shared" si="7"/>
        <v>No</v>
      </c>
    </row>
    <row r="1632" ht="15.75" customHeight="1">
      <c r="A1632" s="88">
        <f t="shared" si="8"/>
        <v>45096</v>
      </c>
      <c r="B1632" s="72" t="str">
        <f t="shared" si="1"/>
        <v>20230619</v>
      </c>
      <c r="C1632" s="72" t="str">
        <f t="shared" si="2"/>
        <v>Monday</v>
      </c>
      <c r="D1632" s="72" t="str">
        <f t="shared" si="3"/>
        <v>June</v>
      </c>
      <c r="E1632" s="72" t="str">
        <f t="shared" si="4"/>
        <v>Q2</v>
      </c>
      <c r="F1632" s="72">
        <f t="shared" si="5"/>
        <v>2023</v>
      </c>
      <c r="G1632" s="89">
        <f t="shared" si="6"/>
        <v>45101</v>
      </c>
      <c r="H1632" s="72" t="str">
        <f t="shared" si="7"/>
        <v>Yes</v>
      </c>
    </row>
    <row r="1633" ht="15.75" customHeight="1">
      <c r="A1633" s="88">
        <f t="shared" si="8"/>
        <v>45097</v>
      </c>
      <c r="B1633" s="72" t="str">
        <f t="shared" si="1"/>
        <v>20230620</v>
      </c>
      <c r="C1633" s="72" t="str">
        <f t="shared" si="2"/>
        <v>Tuesday</v>
      </c>
      <c r="D1633" s="72" t="str">
        <f t="shared" si="3"/>
        <v>June</v>
      </c>
      <c r="E1633" s="72" t="str">
        <f t="shared" si="4"/>
        <v>Q2</v>
      </c>
      <c r="F1633" s="72">
        <f t="shared" si="5"/>
        <v>2023</v>
      </c>
      <c r="G1633" s="89">
        <f t="shared" si="6"/>
        <v>45101</v>
      </c>
      <c r="H1633" s="72" t="str">
        <f t="shared" si="7"/>
        <v>Yes</v>
      </c>
    </row>
    <row r="1634" ht="15.75" customHeight="1">
      <c r="A1634" s="88">
        <f t="shared" si="8"/>
        <v>45098</v>
      </c>
      <c r="B1634" s="72" t="str">
        <f t="shared" si="1"/>
        <v>20230621</v>
      </c>
      <c r="C1634" s="72" t="str">
        <f t="shared" si="2"/>
        <v>Wednesday</v>
      </c>
      <c r="D1634" s="72" t="str">
        <f t="shared" si="3"/>
        <v>June</v>
      </c>
      <c r="E1634" s="72" t="str">
        <f t="shared" si="4"/>
        <v>Q2</v>
      </c>
      <c r="F1634" s="72">
        <f t="shared" si="5"/>
        <v>2023</v>
      </c>
      <c r="G1634" s="89">
        <f t="shared" si="6"/>
        <v>45101</v>
      </c>
      <c r="H1634" s="72" t="str">
        <f t="shared" si="7"/>
        <v>Yes</v>
      </c>
    </row>
    <row r="1635" ht="15.75" customHeight="1">
      <c r="A1635" s="88">
        <f t="shared" si="8"/>
        <v>45099</v>
      </c>
      <c r="B1635" s="72" t="str">
        <f t="shared" si="1"/>
        <v>20230622</v>
      </c>
      <c r="C1635" s="72" t="str">
        <f t="shared" si="2"/>
        <v>Thursday</v>
      </c>
      <c r="D1635" s="72" t="str">
        <f t="shared" si="3"/>
        <v>June</v>
      </c>
      <c r="E1635" s="72" t="str">
        <f t="shared" si="4"/>
        <v>Q2</v>
      </c>
      <c r="F1635" s="72">
        <f t="shared" si="5"/>
        <v>2023</v>
      </c>
      <c r="G1635" s="89">
        <f t="shared" si="6"/>
        <v>45101</v>
      </c>
      <c r="H1635" s="72" t="str">
        <f t="shared" si="7"/>
        <v>Yes</v>
      </c>
    </row>
    <row r="1636" ht="15.75" customHeight="1">
      <c r="A1636" s="88">
        <f t="shared" si="8"/>
        <v>45100</v>
      </c>
      <c r="B1636" s="72" t="str">
        <f t="shared" si="1"/>
        <v>20230623</v>
      </c>
      <c r="C1636" s="72" t="str">
        <f t="shared" si="2"/>
        <v>Friday</v>
      </c>
      <c r="D1636" s="72" t="str">
        <f t="shared" si="3"/>
        <v>June</v>
      </c>
      <c r="E1636" s="72" t="str">
        <f t="shared" si="4"/>
        <v>Q2</v>
      </c>
      <c r="F1636" s="72">
        <f t="shared" si="5"/>
        <v>2023</v>
      </c>
      <c r="G1636" s="89">
        <f t="shared" si="6"/>
        <v>45101</v>
      </c>
      <c r="H1636" s="72" t="str">
        <f t="shared" si="7"/>
        <v>Yes</v>
      </c>
    </row>
    <row r="1637" ht="15.75" customHeight="1">
      <c r="A1637" s="88">
        <f t="shared" si="8"/>
        <v>45101</v>
      </c>
      <c r="B1637" s="72" t="str">
        <f t="shared" si="1"/>
        <v>20230624</v>
      </c>
      <c r="C1637" s="72" t="str">
        <f t="shared" si="2"/>
        <v>Saturday</v>
      </c>
      <c r="D1637" s="72" t="str">
        <f t="shared" si="3"/>
        <v>June</v>
      </c>
      <c r="E1637" s="72" t="str">
        <f t="shared" si="4"/>
        <v>Q2</v>
      </c>
      <c r="F1637" s="72">
        <f t="shared" si="5"/>
        <v>2023</v>
      </c>
      <c r="G1637" s="89">
        <f t="shared" si="6"/>
        <v>45101</v>
      </c>
      <c r="H1637" s="72" t="str">
        <f t="shared" si="7"/>
        <v>No</v>
      </c>
    </row>
    <row r="1638" ht="15.75" customHeight="1">
      <c r="A1638" s="88">
        <f t="shared" si="8"/>
        <v>45102</v>
      </c>
      <c r="B1638" s="72" t="str">
        <f t="shared" si="1"/>
        <v>20230625</v>
      </c>
      <c r="C1638" s="72" t="str">
        <f t="shared" si="2"/>
        <v>Sunday</v>
      </c>
      <c r="D1638" s="72" t="str">
        <f t="shared" si="3"/>
        <v>June</v>
      </c>
      <c r="E1638" s="72" t="str">
        <f t="shared" si="4"/>
        <v>Q2</v>
      </c>
      <c r="F1638" s="72">
        <f t="shared" si="5"/>
        <v>2023</v>
      </c>
      <c r="G1638" s="89">
        <f t="shared" si="6"/>
        <v>45108</v>
      </c>
      <c r="H1638" s="72" t="str">
        <f t="shared" si="7"/>
        <v>No</v>
      </c>
    </row>
    <row r="1639" ht="15.75" customHeight="1">
      <c r="A1639" s="88">
        <f t="shared" si="8"/>
        <v>45103</v>
      </c>
      <c r="B1639" s="72" t="str">
        <f t="shared" si="1"/>
        <v>20230626</v>
      </c>
      <c r="C1639" s="72" t="str">
        <f t="shared" si="2"/>
        <v>Monday</v>
      </c>
      <c r="D1639" s="72" t="str">
        <f t="shared" si="3"/>
        <v>June</v>
      </c>
      <c r="E1639" s="72" t="str">
        <f t="shared" si="4"/>
        <v>Q2</v>
      </c>
      <c r="F1639" s="72">
        <f t="shared" si="5"/>
        <v>2023</v>
      </c>
      <c r="G1639" s="89">
        <f t="shared" si="6"/>
        <v>45108</v>
      </c>
      <c r="H1639" s="72" t="str">
        <f t="shared" si="7"/>
        <v>Yes</v>
      </c>
    </row>
    <row r="1640" ht="15.75" customHeight="1">
      <c r="A1640" s="88">
        <f t="shared" si="8"/>
        <v>45104</v>
      </c>
      <c r="B1640" s="72" t="str">
        <f t="shared" si="1"/>
        <v>20230627</v>
      </c>
      <c r="C1640" s="72" t="str">
        <f t="shared" si="2"/>
        <v>Tuesday</v>
      </c>
      <c r="D1640" s="72" t="str">
        <f t="shared" si="3"/>
        <v>June</v>
      </c>
      <c r="E1640" s="72" t="str">
        <f t="shared" si="4"/>
        <v>Q2</v>
      </c>
      <c r="F1640" s="72">
        <f t="shared" si="5"/>
        <v>2023</v>
      </c>
      <c r="G1640" s="89">
        <f t="shared" si="6"/>
        <v>45108</v>
      </c>
      <c r="H1640" s="72" t="str">
        <f t="shared" si="7"/>
        <v>Yes</v>
      </c>
    </row>
    <row r="1641" ht="15.75" customHeight="1">
      <c r="A1641" s="88">
        <f t="shared" si="8"/>
        <v>45105</v>
      </c>
      <c r="B1641" s="72" t="str">
        <f t="shared" si="1"/>
        <v>20230628</v>
      </c>
      <c r="C1641" s="72" t="str">
        <f t="shared" si="2"/>
        <v>Wednesday</v>
      </c>
      <c r="D1641" s="72" t="str">
        <f t="shared" si="3"/>
        <v>June</v>
      </c>
      <c r="E1641" s="72" t="str">
        <f t="shared" si="4"/>
        <v>Q2</v>
      </c>
      <c r="F1641" s="72">
        <f t="shared" si="5"/>
        <v>2023</v>
      </c>
      <c r="G1641" s="89">
        <f t="shared" si="6"/>
        <v>45108</v>
      </c>
      <c r="H1641" s="72" t="str">
        <f t="shared" si="7"/>
        <v>Yes</v>
      </c>
    </row>
    <row r="1642" ht="15.75" customHeight="1">
      <c r="A1642" s="88">
        <f t="shared" si="8"/>
        <v>45106</v>
      </c>
      <c r="B1642" s="72" t="str">
        <f t="shared" si="1"/>
        <v>20230629</v>
      </c>
      <c r="C1642" s="72" t="str">
        <f t="shared" si="2"/>
        <v>Thursday</v>
      </c>
      <c r="D1642" s="72" t="str">
        <f t="shared" si="3"/>
        <v>June</v>
      </c>
      <c r="E1642" s="72" t="str">
        <f t="shared" si="4"/>
        <v>Q2</v>
      </c>
      <c r="F1642" s="72">
        <f t="shared" si="5"/>
        <v>2023</v>
      </c>
      <c r="G1642" s="89">
        <f t="shared" si="6"/>
        <v>45108</v>
      </c>
      <c r="H1642" s="72" t="str">
        <f t="shared" si="7"/>
        <v>Yes</v>
      </c>
    </row>
    <row r="1643" ht="15.75" customHeight="1">
      <c r="A1643" s="88">
        <f t="shared" si="8"/>
        <v>45107</v>
      </c>
      <c r="B1643" s="72" t="str">
        <f t="shared" si="1"/>
        <v>20230630</v>
      </c>
      <c r="C1643" s="72" t="str">
        <f t="shared" si="2"/>
        <v>Friday</v>
      </c>
      <c r="D1643" s="72" t="str">
        <f t="shared" si="3"/>
        <v>June</v>
      </c>
      <c r="E1643" s="72" t="str">
        <f t="shared" si="4"/>
        <v>Q2</v>
      </c>
      <c r="F1643" s="72">
        <f t="shared" si="5"/>
        <v>2023</v>
      </c>
      <c r="G1643" s="89">
        <f t="shared" si="6"/>
        <v>45108</v>
      </c>
      <c r="H1643" s="72" t="str">
        <f t="shared" si="7"/>
        <v>Yes</v>
      </c>
    </row>
    <row r="1644" ht="15.75" customHeight="1">
      <c r="A1644" s="88">
        <f t="shared" si="8"/>
        <v>45108</v>
      </c>
      <c r="B1644" s="72" t="str">
        <f t="shared" si="1"/>
        <v>20230701</v>
      </c>
      <c r="C1644" s="72" t="str">
        <f t="shared" si="2"/>
        <v>Saturday</v>
      </c>
      <c r="D1644" s="72" t="str">
        <f t="shared" si="3"/>
        <v>July</v>
      </c>
      <c r="E1644" s="72" t="str">
        <f t="shared" si="4"/>
        <v>Q3</v>
      </c>
      <c r="F1644" s="72">
        <f t="shared" si="5"/>
        <v>2023</v>
      </c>
      <c r="G1644" s="89">
        <f t="shared" si="6"/>
        <v>45108</v>
      </c>
      <c r="H1644" s="72" t="str">
        <f t="shared" si="7"/>
        <v>No</v>
      </c>
    </row>
    <row r="1645" ht="15.75" customHeight="1">
      <c r="A1645" s="88">
        <f t="shared" si="8"/>
        <v>45109</v>
      </c>
      <c r="B1645" s="72" t="str">
        <f t="shared" si="1"/>
        <v>20230702</v>
      </c>
      <c r="C1645" s="72" t="str">
        <f t="shared" si="2"/>
        <v>Sunday</v>
      </c>
      <c r="D1645" s="72" t="str">
        <f t="shared" si="3"/>
        <v>July</v>
      </c>
      <c r="E1645" s="72" t="str">
        <f t="shared" si="4"/>
        <v>Q3</v>
      </c>
      <c r="F1645" s="72">
        <f t="shared" si="5"/>
        <v>2023</v>
      </c>
      <c r="G1645" s="89">
        <f t="shared" si="6"/>
        <v>45115</v>
      </c>
      <c r="H1645" s="72" t="str">
        <f t="shared" si="7"/>
        <v>No</v>
      </c>
    </row>
    <row r="1646" ht="15.75" customHeight="1">
      <c r="A1646" s="88">
        <f t="shared" si="8"/>
        <v>45110</v>
      </c>
      <c r="B1646" s="72" t="str">
        <f t="shared" si="1"/>
        <v>20230703</v>
      </c>
      <c r="C1646" s="72" t="str">
        <f t="shared" si="2"/>
        <v>Monday</v>
      </c>
      <c r="D1646" s="72" t="str">
        <f t="shared" si="3"/>
        <v>July</v>
      </c>
      <c r="E1646" s="72" t="str">
        <f t="shared" si="4"/>
        <v>Q3</v>
      </c>
      <c r="F1646" s="72">
        <f t="shared" si="5"/>
        <v>2023</v>
      </c>
      <c r="G1646" s="89">
        <f t="shared" si="6"/>
        <v>45115</v>
      </c>
      <c r="H1646" s="72" t="str">
        <f t="shared" si="7"/>
        <v>Yes</v>
      </c>
    </row>
    <row r="1647" ht="15.75" customHeight="1">
      <c r="A1647" s="88">
        <f t="shared" si="8"/>
        <v>45111</v>
      </c>
      <c r="B1647" s="72" t="str">
        <f t="shared" si="1"/>
        <v>20230704</v>
      </c>
      <c r="C1647" s="72" t="str">
        <f t="shared" si="2"/>
        <v>Tuesday</v>
      </c>
      <c r="D1647" s="72" t="str">
        <f t="shared" si="3"/>
        <v>July</v>
      </c>
      <c r="E1647" s="72" t="str">
        <f t="shared" si="4"/>
        <v>Q3</v>
      </c>
      <c r="F1647" s="72">
        <f t="shared" si="5"/>
        <v>2023</v>
      </c>
      <c r="G1647" s="89">
        <f t="shared" si="6"/>
        <v>45115</v>
      </c>
      <c r="H1647" s="72" t="str">
        <f t="shared" si="7"/>
        <v>Yes</v>
      </c>
    </row>
    <row r="1648" ht="15.75" customHeight="1">
      <c r="A1648" s="88">
        <f t="shared" si="8"/>
        <v>45112</v>
      </c>
      <c r="B1648" s="72" t="str">
        <f t="shared" si="1"/>
        <v>20230705</v>
      </c>
      <c r="C1648" s="72" t="str">
        <f t="shared" si="2"/>
        <v>Wednesday</v>
      </c>
      <c r="D1648" s="72" t="str">
        <f t="shared" si="3"/>
        <v>July</v>
      </c>
      <c r="E1648" s="72" t="str">
        <f t="shared" si="4"/>
        <v>Q3</v>
      </c>
      <c r="F1648" s="72">
        <f t="shared" si="5"/>
        <v>2023</v>
      </c>
      <c r="G1648" s="89">
        <f t="shared" si="6"/>
        <v>45115</v>
      </c>
      <c r="H1648" s="72" t="str">
        <f t="shared" si="7"/>
        <v>Yes</v>
      </c>
    </row>
    <row r="1649" ht="15.75" customHeight="1">
      <c r="A1649" s="88">
        <f t="shared" si="8"/>
        <v>45113</v>
      </c>
      <c r="B1649" s="72" t="str">
        <f t="shared" si="1"/>
        <v>20230706</v>
      </c>
      <c r="C1649" s="72" t="str">
        <f t="shared" si="2"/>
        <v>Thursday</v>
      </c>
      <c r="D1649" s="72" t="str">
        <f t="shared" si="3"/>
        <v>July</v>
      </c>
      <c r="E1649" s="72" t="str">
        <f t="shared" si="4"/>
        <v>Q3</v>
      </c>
      <c r="F1649" s="72">
        <f t="shared" si="5"/>
        <v>2023</v>
      </c>
      <c r="G1649" s="89">
        <f t="shared" si="6"/>
        <v>45115</v>
      </c>
      <c r="H1649" s="72" t="str">
        <f t="shared" si="7"/>
        <v>Yes</v>
      </c>
    </row>
    <row r="1650" ht="15.75" customHeight="1">
      <c r="A1650" s="88">
        <f t="shared" si="8"/>
        <v>45114</v>
      </c>
      <c r="B1650" s="72" t="str">
        <f t="shared" si="1"/>
        <v>20230707</v>
      </c>
      <c r="C1650" s="72" t="str">
        <f t="shared" si="2"/>
        <v>Friday</v>
      </c>
      <c r="D1650" s="72" t="str">
        <f t="shared" si="3"/>
        <v>July</v>
      </c>
      <c r="E1650" s="72" t="str">
        <f t="shared" si="4"/>
        <v>Q3</v>
      </c>
      <c r="F1650" s="72">
        <f t="shared" si="5"/>
        <v>2023</v>
      </c>
      <c r="G1650" s="89">
        <f t="shared" si="6"/>
        <v>45115</v>
      </c>
      <c r="H1650" s="72" t="str">
        <f t="shared" si="7"/>
        <v>Yes</v>
      </c>
    </row>
    <row r="1651" ht="15.75" customHeight="1">
      <c r="A1651" s="88">
        <f t="shared" si="8"/>
        <v>45115</v>
      </c>
      <c r="B1651" s="72" t="str">
        <f t="shared" si="1"/>
        <v>20230708</v>
      </c>
      <c r="C1651" s="72" t="str">
        <f t="shared" si="2"/>
        <v>Saturday</v>
      </c>
      <c r="D1651" s="72" t="str">
        <f t="shared" si="3"/>
        <v>July</v>
      </c>
      <c r="E1651" s="72" t="str">
        <f t="shared" si="4"/>
        <v>Q3</v>
      </c>
      <c r="F1651" s="72">
        <f t="shared" si="5"/>
        <v>2023</v>
      </c>
      <c r="G1651" s="89">
        <f t="shared" si="6"/>
        <v>45115</v>
      </c>
      <c r="H1651" s="72" t="str">
        <f t="shared" si="7"/>
        <v>No</v>
      </c>
    </row>
    <row r="1652" ht="15.75" customHeight="1">
      <c r="A1652" s="88">
        <f t="shared" si="8"/>
        <v>45116</v>
      </c>
      <c r="B1652" s="72" t="str">
        <f t="shared" si="1"/>
        <v>20230709</v>
      </c>
      <c r="C1652" s="72" t="str">
        <f t="shared" si="2"/>
        <v>Sunday</v>
      </c>
      <c r="D1652" s="72" t="str">
        <f t="shared" si="3"/>
        <v>July</v>
      </c>
      <c r="E1652" s="72" t="str">
        <f t="shared" si="4"/>
        <v>Q3</v>
      </c>
      <c r="F1652" s="72">
        <f t="shared" si="5"/>
        <v>2023</v>
      </c>
      <c r="G1652" s="89">
        <f t="shared" si="6"/>
        <v>45122</v>
      </c>
      <c r="H1652" s="72" t="str">
        <f t="shared" si="7"/>
        <v>No</v>
      </c>
    </row>
    <row r="1653" ht="15.75" customHeight="1">
      <c r="A1653" s="88">
        <f t="shared" si="8"/>
        <v>45117</v>
      </c>
      <c r="B1653" s="72" t="str">
        <f t="shared" si="1"/>
        <v>20230710</v>
      </c>
      <c r="C1653" s="72" t="str">
        <f t="shared" si="2"/>
        <v>Monday</v>
      </c>
      <c r="D1653" s="72" t="str">
        <f t="shared" si="3"/>
        <v>July</v>
      </c>
      <c r="E1653" s="72" t="str">
        <f t="shared" si="4"/>
        <v>Q3</v>
      </c>
      <c r="F1653" s="72">
        <f t="shared" si="5"/>
        <v>2023</v>
      </c>
      <c r="G1653" s="89">
        <f t="shared" si="6"/>
        <v>45122</v>
      </c>
      <c r="H1653" s="72" t="str">
        <f t="shared" si="7"/>
        <v>Yes</v>
      </c>
    </row>
    <row r="1654" ht="15.75" customHeight="1">
      <c r="A1654" s="88">
        <f t="shared" si="8"/>
        <v>45118</v>
      </c>
      <c r="B1654" s="72" t="str">
        <f t="shared" si="1"/>
        <v>20230711</v>
      </c>
      <c r="C1654" s="72" t="str">
        <f t="shared" si="2"/>
        <v>Tuesday</v>
      </c>
      <c r="D1654" s="72" t="str">
        <f t="shared" si="3"/>
        <v>July</v>
      </c>
      <c r="E1654" s="72" t="str">
        <f t="shared" si="4"/>
        <v>Q3</v>
      </c>
      <c r="F1654" s="72">
        <f t="shared" si="5"/>
        <v>2023</v>
      </c>
      <c r="G1654" s="89">
        <f t="shared" si="6"/>
        <v>45122</v>
      </c>
      <c r="H1654" s="72" t="str">
        <f t="shared" si="7"/>
        <v>Yes</v>
      </c>
    </row>
    <row r="1655" ht="15.75" customHeight="1">
      <c r="A1655" s="88">
        <f t="shared" si="8"/>
        <v>45119</v>
      </c>
      <c r="B1655" s="72" t="str">
        <f t="shared" si="1"/>
        <v>20230712</v>
      </c>
      <c r="C1655" s="72" t="str">
        <f t="shared" si="2"/>
        <v>Wednesday</v>
      </c>
      <c r="D1655" s="72" t="str">
        <f t="shared" si="3"/>
        <v>July</v>
      </c>
      <c r="E1655" s="72" t="str">
        <f t="shared" si="4"/>
        <v>Q3</v>
      </c>
      <c r="F1655" s="72">
        <f t="shared" si="5"/>
        <v>2023</v>
      </c>
      <c r="G1655" s="89">
        <f t="shared" si="6"/>
        <v>45122</v>
      </c>
      <c r="H1655" s="72" t="str">
        <f t="shared" si="7"/>
        <v>Yes</v>
      </c>
    </row>
    <row r="1656" ht="15.75" customHeight="1">
      <c r="A1656" s="88">
        <f t="shared" si="8"/>
        <v>45120</v>
      </c>
      <c r="B1656" s="72" t="str">
        <f t="shared" si="1"/>
        <v>20230713</v>
      </c>
      <c r="C1656" s="72" t="str">
        <f t="shared" si="2"/>
        <v>Thursday</v>
      </c>
      <c r="D1656" s="72" t="str">
        <f t="shared" si="3"/>
        <v>July</v>
      </c>
      <c r="E1656" s="72" t="str">
        <f t="shared" si="4"/>
        <v>Q3</v>
      </c>
      <c r="F1656" s="72">
        <f t="shared" si="5"/>
        <v>2023</v>
      </c>
      <c r="G1656" s="89">
        <f t="shared" si="6"/>
        <v>45122</v>
      </c>
      <c r="H1656" s="72" t="str">
        <f t="shared" si="7"/>
        <v>Yes</v>
      </c>
    </row>
    <row r="1657" ht="15.75" customHeight="1">
      <c r="A1657" s="88">
        <f t="shared" si="8"/>
        <v>45121</v>
      </c>
      <c r="B1657" s="72" t="str">
        <f t="shared" si="1"/>
        <v>20230714</v>
      </c>
      <c r="C1657" s="72" t="str">
        <f t="shared" si="2"/>
        <v>Friday</v>
      </c>
      <c r="D1657" s="72" t="str">
        <f t="shared" si="3"/>
        <v>July</v>
      </c>
      <c r="E1657" s="72" t="str">
        <f t="shared" si="4"/>
        <v>Q3</v>
      </c>
      <c r="F1657" s="72">
        <f t="shared" si="5"/>
        <v>2023</v>
      </c>
      <c r="G1657" s="89">
        <f t="shared" si="6"/>
        <v>45122</v>
      </c>
      <c r="H1657" s="72" t="str">
        <f t="shared" si="7"/>
        <v>Yes</v>
      </c>
    </row>
    <row r="1658" ht="15.75" customHeight="1">
      <c r="A1658" s="88">
        <f t="shared" si="8"/>
        <v>45122</v>
      </c>
      <c r="B1658" s="72" t="str">
        <f t="shared" si="1"/>
        <v>20230715</v>
      </c>
      <c r="C1658" s="72" t="str">
        <f t="shared" si="2"/>
        <v>Saturday</v>
      </c>
      <c r="D1658" s="72" t="str">
        <f t="shared" si="3"/>
        <v>July</v>
      </c>
      <c r="E1658" s="72" t="str">
        <f t="shared" si="4"/>
        <v>Q3</v>
      </c>
      <c r="F1658" s="72">
        <f t="shared" si="5"/>
        <v>2023</v>
      </c>
      <c r="G1658" s="89">
        <f t="shared" si="6"/>
        <v>45122</v>
      </c>
      <c r="H1658" s="72" t="str">
        <f t="shared" si="7"/>
        <v>No</v>
      </c>
    </row>
    <row r="1659" ht="15.75" customHeight="1">
      <c r="A1659" s="88">
        <f t="shared" si="8"/>
        <v>45123</v>
      </c>
      <c r="B1659" s="72" t="str">
        <f t="shared" si="1"/>
        <v>20230716</v>
      </c>
      <c r="C1659" s="72" t="str">
        <f t="shared" si="2"/>
        <v>Sunday</v>
      </c>
      <c r="D1659" s="72" t="str">
        <f t="shared" si="3"/>
        <v>July</v>
      </c>
      <c r="E1659" s="72" t="str">
        <f t="shared" si="4"/>
        <v>Q3</v>
      </c>
      <c r="F1659" s="72">
        <f t="shared" si="5"/>
        <v>2023</v>
      </c>
      <c r="G1659" s="89">
        <f t="shared" si="6"/>
        <v>45129</v>
      </c>
      <c r="H1659" s="72" t="str">
        <f t="shared" si="7"/>
        <v>No</v>
      </c>
    </row>
    <row r="1660" ht="15.75" customHeight="1">
      <c r="A1660" s="88">
        <f t="shared" si="8"/>
        <v>45124</v>
      </c>
      <c r="B1660" s="72" t="str">
        <f t="shared" si="1"/>
        <v>20230717</v>
      </c>
      <c r="C1660" s="72" t="str">
        <f t="shared" si="2"/>
        <v>Monday</v>
      </c>
      <c r="D1660" s="72" t="str">
        <f t="shared" si="3"/>
        <v>July</v>
      </c>
      <c r="E1660" s="72" t="str">
        <f t="shared" si="4"/>
        <v>Q3</v>
      </c>
      <c r="F1660" s="72">
        <f t="shared" si="5"/>
        <v>2023</v>
      </c>
      <c r="G1660" s="89">
        <f t="shared" si="6"/>
        <v>45129</v>
      </c>
      <c r="H1660" s="72" t="str">
        <f t="shared" si="7"/>
        <v>Yes</v>
      </c>
    </row>
    <row r="1661" ht="15.75" customHeight="1">
      <c r="A1661" s="88">
        <f t="shared" si="8"/>
        <v>45125</v>
      </c>
      <c r="B1661" s="72" t="str">
        <f t="shared" si="1"/>
        <v>20230718</v>
      </c>
      <c r="C1661" s="72" t="str">
        <f t="shared" si="2"/>
        <v>Tuesday</v>
      </c>
      <c r="D1661" s="72" t="str">
        <f t="shared" si="3"/>
        <v>July</v>
      </c>
      <c r="E1661" s="72" t="str">
        <f t="shared" si="4"/>
        <v>Q3</v>
      </c>
      <c r="F1661" s="72">
        <f t="shared" si="5"/>
        <v>2023</v>
      </c>
      <c r="G1661" s="89">
        <f t="shared" si="6"/>
        <v>45129</v>
      </c>
      <c r="H1661" s="72" t="str">
        <f t="shared" si="7"/>
        <v>Yes</v>
      </c>
    </row>
    <row r="1662" ht="15.75" customHeight="1">
      <c r="A1662" s="88">
        <f t="shared" si="8"/>
        <v>45126</v>
      </c>
      <c r="B1662" s="72" t="str">
        <f t="shared" si="1"/>
        <v>20230719</v>
      </c>
      <c r="C1662" s="72" t="str">
        <f t="shared" si="2"/>
        <v>Wednesday</v>
      </c>
      <c r="D1662" s="72" t="str">
        <f t="shared" si="3"/>
        <v>July</v>
      </c>
      <c r="E1662" s="72" t="str">
        <f t="shared" si="4"/>
        <v>Q3</v>
      </c>
      <c r="F1662" s="72">
        <f t="shared" si="5"/>
        <v>2023</v>
      </c>
      <c r="G1662" s="89">
        <f t="shared" si="6"/>
        <v>45129</v>
      </c>
      <c r="H1662" s="72" t="str">
        <f t="shared" si="7"/>
        <v>Yes</v>
      </c>
    </row>
    <row r="1663" ht="15.75" customHeight="1">
      <c r="A1663" s="88">
        <f t="shared" si="8"/>
        <v>45127</v>
      </c>
      <c r="B1663" s="72" t="str">
        <f t="shared" si="1"/>
        <v>20230720</v>
      </c>
      <c r="C1663" s="72" t="str">
        <f t="shared" si="2"/>
        <v>Thursday</v>
      </c>
      <c r="D1663" s="72" t="str">
        <f t="shared" si="3"/>
        <v>July</v>
      </c>
      <c r="E1663" s="72" t="str">
        <f t="shared" si="4"/>
        <v>Q3</v>
      </c>
      <c r="F1663" s="72">
        <f t="shared" si="5"/>
        <v>2023</v>
      </c>
      <c r="G1663" s="89">
        <f t="shared" si="6"/>
        <v>45129</v>
      </c>
      <c r="H1663" s="72" t="str">
        <f t="shared" si="7"/>
        <v>Yes</v>
      </c>
    </row>
    <row r="1664" ht="15.75" customHeight="1">
      <c r="A1664" s="88">
        <f t="shared" si="8"/>
        <v>45128</v>
      </c>
      <c r="B1664" s="72" t="str">
        <f t="shared" si="1"/>
        <v>20230721</v>
      </c>
      <c r="C1664" s="72" t="str">
        <f t="shared" si="2"/>
        <v>Friday</v>
      </c>
      <c r="D1664" s="72" t="str">
        <f t="shared" si="3"/>
        <v>July</v>
      </c>
      <c r="E1664" s="72" t="str">
        <f t="shared" si="4"/>
        <v>Q3</v>
      </c>
      <c r="F1664" s="72">
        <f t="shared" si="5"/>
        <v>2023</v>
      </c>
      <c r="G1664" s="89">
        <f t="shared" si="6"/>
        <v>45129</v>
      </c>
      <c r="H1664" s="72" t="str">
        <f t="shared" si="7"/>
        <v>Yes</v>
      </c>
    </row>
    <row r="1665" ht="15.75" customHeight="1">
      <c r="A1665" s="88">
        <f t="shared" si="8"/>
        <v>45129</v>
      </c>
      <c r="B1665" s="72" t="str">
        <f t="shared" si="1"/>
        <v>20230722</v>
      </c>
      <c r="C1665" s="72" t="str">
        <f t="shared" si="2"/>
        <v>Saturday</v>
      </c>
      <c r="D1665" s="72" t="str">
        <f t="shared" si="3"/>
        <v>July</v>
      </c>
      <c r="E1665" s="72" t="str">
        <f t="shared" si="4"/>
        <v>Q3</v>
      </c>
      <c r="F1665" s="72">
        <f t="shared" si="5"/>
        <v>2023</v>
      </c>
      <c r="G1665" s="89">
        <f t="shared" si="6"/>
        <v>45129</v>
      </c>
      <c r="H1665" s="72" t="str">
        <f t="shared" si="7"/>
        <v>No</v>
      </c>
    </row>
    <row r="1666" ht="15.75" customHeight="1">
      <c r="A1666" s="88">
        <f t="shared" si="8"/>
        <v>45130</v>
      </c>
      <c r="B1666" s="72" t="str">
        <f t="shared" si="1"/>
        <v>20230723</v>
      </c>
      <c r="C1666" s="72" t="str">
        <f t="shared" si="2"/>
        <v>Sunday</v>
      </c>
      <c r="D1666" s="72" t="str">
        <f t="shared" si="3"/>
        <v>July</v>
      </c>
      <c r="E1666" s="72" t="str">
        <f t="shared" si="4"/>
        <v>Q3</v>
      </c>
      <c r="F1666" s="72">
        <f t="shared" si="5"/>
        <v>2023</v>
      </c>
      <c r="G1666" s="89">
        <f t="shared" si="6"/>
        <v>45136</v>
      </c>
      <c r="H1666" s="72" t="str">
        <f t="shared" si="7"/>
        <v>No</v>
      </c>
    </row>
    <row r="1667" ht="15.75" customHeight="1">
      <c r="A1667" s="88">
        <f t="shared" si="8"/>
        <v>45131</v>
      </c>
      <c r="B1667" s="72" t="str">
        <f t="shared" si="1"/>
        <v>20230724</v>
      </c>
      <c r="C1667" s="72" t="str">
        <f t="shared" si="2"/>
        <v>Monday</v>
      </c>
      <c r="D1667" s="72" t="str">
        <f t="shared" si="3"/>
        <v>July</v>
      </c>
      <c r="E1667" s="72" t="str">
        <f t="shared" si="4"/>
        <v>Q3</v>
      </c>
      <c r="F1667" s="72">
        <f t="shared" si="5"/>
        <v>2023</v>
      </c>
      <c r="G1667" s="89">
        <f t="shared" si="6"/>
        <v>45136</v>
      </c>
      <c r="H1667" s="72" t="str">
        <f t="shared" si="7"/>
        <v>Yes</v>
      </c>
    </row>
    <row r="1668" ht="15.75" customHeight="1">
      <c r="A1668" s="88">
        <f t="shared" si="8"/>
        <v>45132</v>
      </c>
      <c r="B1668" s="72" t="str">
        <f t="shared" si="1"/>
        <v>20230725</v>
      </c>
      <c r="C1668" s="72" t="str">
        <f t="shared" si="2"/>
        <v>Tuesday</v>
      </c>
      <c r="D1668" s="72" t="str">
        <f t="shared" si="3"/>
        <v>July</v>
      </c>
      <c r="E1668" s="72" t="str">
        <f t="shared" si="4"/>
        <v>Q3</v>
      </c>
      <c r="F1668" s="72">
        <f t="shared" si="5"/>
        <v>2023</v>
      </c>
      <c r="G1668" s="89">
        <f t="shared" si="6"/>
        <v>45136</v>
      </c>
      <c r="H1668" s="72" t="str">
        <f t="shared" si="7"/>
        <v>Yes</v>
      </c>
    </row>
    <row r="1669" ht="15.75" customHeight="1">
      <c r="A1669" s="88">
        <f t="shared" si="8"/>
        <v>45133</v>
      </c>
      <c r="B1669" s="72" t="str">
        <f t="shared" si="1"/>
        <v>20230726</v>
      </c>
      <c r="C1669" s="72" t="str">
        <f t="shared" si="2"/>
        <v>Wednesday</v>
      </c>
      <c r="D1669" s="72" t="str">
        <f t="shared" si="3"/>
        <v>July</v>
      </c>
      <c r="E1669" s="72" t="str">
        <f t="shared" si="4"/>
        <v>Q3</v>
      </c>
      <c r="F1669" s="72">
        <f t="shared" si="5"/>
        <v>2023</v>
      </c>
      <c r="G1669" s="89">
        <f t="shared" si="6"/>
        <v>45136</v>
      </c>
      <c r="H1669" s="72" t="str">
        <f t="shared" si="7"/>
        <v>Yes</v>
      </c>
    </row>
    <row r="1670" ht="15.75" customHeight="1">
      <c r="A1670" s="88">
        <f t="shared" si="8"/>
        <v>45134</v>
      </c>
      <c r="B1670" s="72" t="str">
        <f t="shared" si="1"/>
        <v>20230727</v>
      </c>
      <c r="C1670" s="72" t="str">
        <f t="shared" si="2"/>
        <v>Thursday</v>
      </c>
      <c r="D1670" s="72" t="str">
        <f t="shared" si="3"/>
        <v>July</v>
      </c>
      <c r="E1670" s="72" t="str">
        <f t="shared" si="4"/>
        <v>Q3</v>
      </c>
      <c r="F1670" s="72">
        <f t="shared" si="5"/>
        <v>2023</v>
      </c>
      <c r="G1670" s="89">
        <f t="shared" si="6"/>
        <v>45136</v>
      </c>
      <c r="H1670" s="72" t="str">
        <f t="shared" si="7"/>
        <v>Yes</v>
      </c>
    </row>
    <row r="1671" ht="15.75" customHeight="1">
      <c r="A1671" s="88">
        <f t="shared" si="8"/>
        <v>45135</v>
      </c>
      <c r="B1671" s="72" t="str">
        <f t="shared" si="1"/>
        <v>20230728</v>
      </c>
      <c r="C1671" s="72" t="str">
        <f t="shared" si="2"/>
        <v>Friday</v>
      </c>
      <c r="D1671" s="72" t="str">
        <f t="shared" si="3"/>
        <v>July</v>
      </c>
      <c r="E1671" s="72" t="str">
        <f t="shared" si="4"/>
        <v>Q3</v>
      </c>
      <c r="F1671" s="72">
        <f t="shared" si="5"/>
        <v>2023</v>
      </c>
      <c r="G1671" s="89">
        <f t="shared" si="6"/>
        <v>45136</v>
      </c>
      <c r="H1671" s="72" t="str">
        <f t="shared" si="7"/>
        <v>Yes</v>
      </c>
    </row>
    <row r="1672" ht="15.75" customHeight="1">
      <c r="A1672" s="88">
        <f t="shared" si="8"/>
        <v>45136</v>
      </c>
      <c r="B1672" s="72" t="str">
        <f t="shared" si="1"/>
        <v>20230729</v>
      </c>
      <c r="C1672" s="72" t="str">
        <f t="shared" si="2"/>
        <v>Saturday</v>
      </c>
      <c r="D1672" s="72" t="str">
        <f t="shared" si="3"/>
        <v>July</v>
      </c>
      <c r="E1672" s="72" t="str">
        <f t="shared" si="4"/>
        <v>Q3</v>
      </c>
      <c r="F1672" s="72">
        <f t="shared" si="5"/>
        <v>2023</v>
      </c>
      <c r="G1672" s="89">
        <f t="shared" si="6"/>
        <v>45136</v>
      </c>
      <c r="H1672" s="72" t="str">
        <f t="shared" si="7"/>
        <v>No</v>
      </c>
    </row>
    <row r="1673" ht="15.75" customHeight="1">
      <c r="A1673" s="88">
        <f t="shared" si="8"/>
        <v>45137</v>
      </c>
      <c r="B1673" s="72" t="str">
        <f t="shared" si="1"/>
        <v>20230730</v>
      </c>
      <c r="C1673" s="72" t="str">
        <f t="shared" si="2"/>
        <v>Sunday</v>
      </c>
      <c r="D1673" s="72" t="str">
        <f t="shared" si="3"/>
        <v>July</v>
      </c>
      <c r="E1673" s="72" t="str">
        <f t="shared" si="4"/>
        <v>Q3</v>
      </c>
      <c r="F1673" s="72">
        <f t="shared" si="5"/>
        <v>2023</v>
      </c>
      <c r="G1673" s="89">
        <f t="shared" si="6"/>
        <v>45143</v>
      </c>
      <c r="H1673" s="72" t="str">
        <f t="shared" si="7"/>
        <v>No</v>
      </c>
    </row>
    <row r="1674" ht="15.75" customHeight="1">
      <c r="A1674" s="88">
        <f t="shared" si="8"/>
        <v>45138</v>
      </c>
      <c r="B1674" s="72" t="str">
        <f t="shared" si="1"/>
        <v>20230731</v>
      </c>
      <c r="C1674" s="72" t="str">
        <f t="shared" si="2"/>
        <v>Monday</v>
      </c>
      <c r="D1674" s="72" t="str">
        <f t="shared" si="3"/>
        <v>July</v>
      </c>
      <c r="E1674" s="72" t="str">
        <f t="shared" si="4"/>
        <v>Q3</v>
      </c>
      <c r="F1674" s="72">
        <f t="shared" si="5"/>
        <v>2023</v>
      </c>
      <c r="G1674" s="89">
        <f t="shared" si="6"/>
        <v>45143</v>
      </c>
      <c r="H1674" s="72" t="str">
        <f t="shared" si="7"/>
        <v>Yes</v>
      </c>
    </row>
    <row r="1675" ht="15.75" customHeight="1">
      <c r="A1675" s="88">
        <f t="shared" si="8"/>
        <v>45139</v>
      </c>
      <c r="B1675" s="72" t="str">
        <f t="shared" si="1"/>
        <v>20230801</v>
      </c>
      <c r="C1675" s="72" t="str">
        <f t="shared" si="2"/>
        <v>Tuesday</v>
      </c>
      <c r="D1675" s="72" t="str">
        <f t="shared" si="3"/>
        <v>August</v>
      </c>
      <c r="E1675" s="72" t="str">
        <f t="shared" si="4"/>
        <v>Q3</v>
      </c>
      <c r="F1675" s="72">
        <f t="shared" si="5"/>
        <v>2023</v>
      </c>
      <c r="G1675" s="89">
        <f t="shared" si="6"/>
        <v>45143</v>
      </c>
      <c r="H1675" s="72" t="str">
        <f t="shared" si="7"/>
        <v>Yes</v>
      </c>
    </row>
    <row r="1676" ht="15.75" customHeight="1">
      <c r="A1676" s="88">
        <f t="shared" si="8"/>
        <v>45140</v>
      </c>
      <c r="B1676" s="72" t="str">
        <f t="shared" si="1"/>
        <v>20230802</v>
      </c>
      <c r="C1676" s="72" t="str">
        <f t="shared" si="2"/>
        <v>Wednesday</v>
      </c>
      <c r="D1676" s="72" t="str">
        <f t="shared" si="3"/>
        <v>August</v>
      </c>
      <c r="E1676" s="72" t="str">
        <f t="shared" si="4"/>
        <v>Q3</v>
      </c>
      <c r="F1676" s="72">
        <f t="shared" si="5"/>
        <v>2023</v>
      </c>
      <c r="G1676" s="89">
        <f t="shared" si="6"/>
        <v>45143</v>
      </c>
      <c r="H1676" s="72" t="str">
        <f t="shared" si="7"/>
        <v>Yes</v>
      </c>
    </row>
    <row r="1677" ht="15.75" customHeight="1">
      <c r="A1677" s="88">
        <f t="shared" si="8"/>
        <v>45141</v>
      </c>
      <c r="B1677" s="72" t="str">
        <f t="shared" si="1"/>
        <v>20230803</v>
      </c>
      <c r="C1677" s="72" t="str">
        <f t="shared" si="2"/>
        <v>Thursday</v>
      </c>
      <c r="D1677" s="72" t="str">
        <f t="shared" si="3"/>
        <v>August</v>
      </c>
      <c r="E1677" s="72" t="str">
        <f t="shared" si="4"/>
        <v>Q3</v>
      </c>
      <c r="F1677" s="72">
        <f t="shared" si="5"/>
        <v>2023</v>
      </c>
      <c r="G1677" s="89">
        <f t="shared" si="6"/>
        <v>45143</v>
      </c>
      <c r="H1677" s="72" t="str">
        <f t="shared" si="7"/>
        <v>Yes</v>
      </c>
    </row>
    <row r="1678" ht="15.75" customHeight="1">
      <c r="A1678" s="88">
        <f t="shared" si="8"/>
        <v>45142</v>
      </c>
      <c r="B1678" s="72" t="str">
        <f t="shared" si="1"/>
        <v>20230804</v>
      </c>
      <c r="C1678" s="72" t="str">
        <f t="shared" si="2"/>
        <v>Friday</v>
      </c>
      <c r="D1678" s="72" t="str">
        <f t="shared" si="3"/>
        <v>August</v>
      </c>
      <c r="E1678" s="72" t="str">
        <f t="shared" si="4"/>
        <v>Q3</v>
      </c>
      <c r="F1678" s="72">
        <f t="shared" si="5"/>
        <v>2023</v>
      </c>
      <c r="G1678" s="89">
        <f t="shared" si="6"/>
        <v>45143</v>
      </c>
      <c r="H1678" s="72" t="str">
        <f t="shared" si="7"/>
        <v>Yes</v>
      </c>
    </row>
    <row r="1679" ht="15.75" customHeight="1">
      <c r="A1679" s="88">
        <f t="shared" si="8"/>
        <v>45143</v>
      </c>
      <c r="B1679" s="72" t="str">
        <f t="shared" si="1"/>
        <v>20230805</v>
      </c>
      <c r="C1679" s="72" t="str">
        <f t="shared" si="2"/>
        <v>Saturday</v>
      </c>
      <c r="D1679" s="72" t="str">
        <f t="shared" si="3"/>
        <v>August</v>
      </c>
      <c r="E1679" s="72" t="str">
        <f t="shared" si="4"/>
        <v>Q3</v>
      </c>
      <c r="F1679" s="72">
        <f t="shared" si="5"/>
        <v>2023</v>
      </c>
      <c r="G1679" s="89">
        <f t="shared" si="6"/>
        <v>45143</v>
      </c>
      <c r="H1679" s="72" t="str">
        <f t="shared" si="7"/>
        <v>No</v>
      </c>
    </row>
    <row r="1680" ht="15.75" customHeight="1">
      <c r="A1680" s="88">
        <f t="shared" si="8"/>
        <v>45144</v>
      </c>
      <c r="B1680" s="72" t="str">
        <f t="shared" si="1"/>
        <v>20230806</v>
      </c>
      <c r="C1680" s="72" t="str">
        <f t="shared" si="2"/>
        <v>Sunday</v>
      </c>
      <c r="D1680" s="72" t="str">
        <f t="shared" si="3"/>
        <v>August</v>
      </c>
      <c r="E1680" s="72" t="str">
        <f t="shared" si="4"/>
        <v>Q3</v>
      </c>
      <c r="F1680" s="72">
        <f t="shared" si="5"/>
        <v>2023</v>
      </c>
      <c r="G1680" s="89">
        <f t="shared" si="6"/>
        <v>45150</v>
      </c>
      <c r="H1680" s="72" t="str">
        <f t="shared" si="7"/>
        <v>No</v>
      </c>
    </row>
    <row r="1681" ht="15.75" customHeight="1">
      <c r="A1681" s="88">
        <f t="shared" si="8"/>
        <v>45145</v>
      </c>
      <c r="B1681" s="72" t="str">
        <f t="shared" si="1"/>
        <v>20230807</v>
      </c>
      <c r="C1681" s="72" t="str">
        <f t="shared" si="2"/>
        <v>Monday</v>
      </c>
      <c r="D1681" s="72" t="str">
        <f t="shared" si="3"/>
        <v>August</v>
      </c>
      <c r="E1681" s="72" t="str">
        <f t="shared" si="4"/>
        <v>Q3</v>
      </c>
      <c r="F1681" s="72">
        <f t="shared" si="5"/>
        <v>2023</v>
      </c>
      <c r="G1681" s="89">
        <f t="shared" si="6"/>
        <v>45150</v>
      </c>
      <c r="H1681" s="72" t="str">
        <f t="shared" si="7"/>
        <v>Yes</v>
      </c>
    </row>
    <row r="1682" ht="15.75" customHeight="1">
      <c r="A1682" s="88">
        <f t="shared" si="8"/>
        <v>45146</v>
      </c>
      <c r="B1682" s="72" t="str">
        <f t="shared" si="1"/>
        <v>20230808</v>
      </c>
      <c r="C1682" s="72" t="str">
        <f t="shared" si="2"/>
        <v>Tuesday</v>
      </c>
      <c r="D1682" s="72" t="str">
        <f t="shared" si="3"/>
        <v>August</v>
      </c>
      <c r="E1682" s="72" t="str">
        <f t="shared" si="4"/>
        <v>Q3</v>
      </c>
      <c r="F1682" s="72">
        <f t="shared" si="5"/>
        <v>2023</v>
      </c>
      <c r="G1682" s="89">
        <f t="shared" si="6"/>
        <v>45150</v>
      </c>
      <c r="H1682" s="72" t="str">
        <f t="shared" si="7"/>
        <v>Yes</v>
      </c>
    </row>
    <row r="1683" ht="15.75" customHeight="1">
      <c r="A1683" s="88">
        <f t="shared" si="8"/>
        <v>45147</v>
      </c>
      <c r="B1683" s="72" t="str">
        <f t="shared" si="1"/>
        <v>20230809</v>
      </c>
      <c r="C1683" s="72" t="str">
        <f t="shared" si="2"/>
        <v>Wednesday</v>
      </c>
      <c r="D1683" s="72" t="str">
        <f t="shared" si="3"/>
        <v>August</v>
      </c>
      <c r="E1683" s="72" t="str">
        <f t="shared" si="4"/>
        <v>Q3</v>
      </c>
      <c r="F1683" s="72">
        <f t="shared" si="5"/>
        <v>2023</v>
      </c>
      <c r="G1683" s="89">
        <f t="shared" si="6"/>
        <v>45150</v>
      </c>
      <c r="H1683" s="72" t="str">
        <f t="shared" si="7"/>
        <v>Yes</v>
      </c>
    </row>
    <row r="1684" ht="15.75" customHeight="1">
      <c r="A1684" s="88">
        <f t="shared" si="8"/>
        <v>45148</v>
      </c>
      <c r="B1684" s="72" t="str">
        <f t="shared" si="1"/>
        <v>20230810</v>
      </c>
      <c r="C1684" s="72" t="str">
        <f t="shared" si="2"/>
        <v>Thursday</v>
      </c>
      <c r="D1684" s="72" t="str">
        <f t="shared" si="3"/>
        <v>August</v>
      </c>
      <c r="E1684" s="72" t="str">
        <f t="shared" si="4"/>
        <v>Q3</v>
      </c>
      <c r="F1684" s="72">
        <f t="shared" si="5"/>
        <v>2023</v>
      </c>
      <c r="G1684" s="89">
        <f t="shared" si="6"/>
        <v>45150</v>
      </c>
      <c r="H1684" s="72" t="str">
        <f t="shared" si="7"/>
        <v>Yes</v>
      </c>
    </row>
    <row r="1685" ht="15.75" customHeight="1">
      <c r="A1685" s="88">
        <f t="shared" si="8"/>
        <v>45149</v>
      </c>
      <c r="B1685" s="72" t="str">
        <f t="shared" si="1"/>
        <v>20230811</v>
      </c>
      <c r="C1685" s="72" t="str">
        <f t="shared" si="2"/>
        <v>Friday</v>
      </c>
      <c r="D1685" s="72" t="str">
        <f t="shared" si="3"/>
        <v>August</v>
      </c>
      <c r="E1685" s="72" t="str">
        <f t="shared" si="4"/>
        <v>Q3</v>
      </c>
      <c r="F1685" s="72">
        <f t="shared" si="5"/>
        <v>2023</v>
      </c>
      <c r="G1685" s="89">
        <f t="shared" si="6"/>
        <v>45150</v>
      </c>
      <c r="H1685" s="72" t="str">
        <f t="shared" si="7"/>
        <v>Yes</v>
      </c>
    </row>
    <row r="1686" ht="15.75" customHeight="1">
      <c r="A1686" s="88">
        <f t="shared" si="8"/>
        <v>45150</v>
      </c>
      <c r="B1686" s="72" t="str">
        <f t="shared" si="1"/>
        <v>20230812</v>
      </c>
      <c r="C1686" s="72" t="str">
        <f t="shared" si="2"/>
        <v>Saturday</v>
      </c>
      <c r="D1686" s="72" t="str">
        <f t="shared" si="3"/>
        <v>August</v>
      </c>
      <c r="E1686" s="72" t="str">
        <f t="shared" si="4"/>
        <v>Q3</v>
      </c>
      <c r="F1686" s="72">
        <f t="shared" si="5"/>
        <v>2023</v>
      </c>
      <c r="G1686" s="89">
        <f t="shared" si="6"/>
        <v>45150</v>
      </c>
      <c r="H1686" s="72" t="str">
        <f t="shared" si="7"/>
        <v>No</v>
      </c>
    </row>
    <row r="1687" ht="15.75" customHeight="1">
      <c r="A1687" s="88">
        <f t="shared" si="8"/>
        <v>45151</v>
      </c>
      <c r="B1687" s="72" t="str">
        <f t="shared" si="1"/>
        <v>20230813</v>
      </c>
      <c r="C1687" s="72" t="str">
        <f t="shared" si="2"/>
        <v>Sunday</v>
      </c>
      <c r="D1687" s="72" t="str">
        <f t="shared" si="3"/>
        <v>August</v>
      </c>
      <c r="E1687" s="72" t="str">
        <f t="shared" si="4"/>
        <v>Q3</v>
      </c>
      <c r="F1687" s="72">
        <f t="shared" si="5"/>
        <v>2023</v>
      </c>
      <c r="G1687" s="89">
        <f t="shared" si="6"/>
        <v>45157</v>
      </c>
      <c r="H1687" s="72" t="str">
        <f t="shared" si="7"/>
        <v>No</v>
      </c>
    </row>
    <row r="1688" ht="15.75" customHeight="1">
      <c r="A1688" s="88">
        <f t="shared" si="8"/>
        <v>45152</v>
      </c>
      <c r="B1688" s="72" t="str">
        <f t="shared" si="1"/>
        <v>20230814</v>
      </c>
      <c r="C1688" s="72" t="str">
        <f t="shared" si="2"/>
        <v>Monday</v>
      </c>
      <c r="D1688" s="72" t="str">
        <f t="shared" si="3"/>
        <v>August</v>
      </c>
      <c r="E1688" s="72" t="str">
        <f t="shared" si="4"/>
        <v>Q3</v>
      </c>
      <c r="F1688" s="72">
        <f t="shared" si="5"/>
        <v>2023</v>
      </c>
      <c r="G1688" s="89">
        <f t="shared" si="6"/>
        <v>45157</v>
      </c>
      <c r="H1688" s="72" t="str">
        <f t="shared" si="7"/>
        <v>Yes</v>
      </c>
    </row>
    <row r="1689" ht="15.75" customHeight="1">
      <c r="A1689" s="88">
        <f t="shared" si="8"/>
        <v>45153</v>
      </c>
      <c r="B1689" s="72" t="str">
        <f t="shared" si="1"/>
        <v>20230815</v>
      </c>
      <c r="C1689" s="72" t="str">
        <f t="shared" si="2"/>
        <v>Tuesday</v>
      </c>
      <c r="D1689" s="72" t="str">
        <f t="shared" si="3"/>
        <v>August</v>
      </c>
      <c r="E1689" s="72" t="str">
        <f t="shared" si="4"/>
        <v>Q3</v>
      </c>
      <c r="F1689" s="72">
        <f t="shared" si="5"/>
        <v>2023</v>
      </c>
      <c r="G1689" s="89">
        <f t="shared" si="6"/>
        <v>45157</v>
      </c>
      <c r="H1689" s="72" t="str">
        <f t="shared" si="7"/>
        <v>Yes</v>
      </c>
    </row>
    <row r="1690" ht="15.75" customHeight="1">
      <c r="A1690" s="88">
        <f t="shared" si="8"/>
        <v>45154</v>
      </c>
      <c r="B1690" s="72" t="str">
        <f t="shared" si="1"/>
        <v>20230816</v>
      </c>
      <c r="C1690" s="72" t="str">
        <f t="shared" si="2"/>
        <v>Wednesday</v>
      </c>
      <c r="D1690" s="72" t="str">
        <f t="shared" si="3"/>
        <v>August</v>
      </c>
      <c r="E1690" s="72" t="str">
        <f t="shared" si="4"/>
        <v>Q3</v>
      </c>
      <c r="F1690" s="72">
        <f t="shared" si="5"/>
        <v>2023</v>
      </c>
      <c r="G1690" s="89">
        <f t="shared" si="6"/>
        <v>45157</v>
      </c>
      <c r="H1690" s="72" t="str">
        <f t="shared" si="7"/>
        <v>Yes</v>
      </c>
    </row>
    <row r="1691" ht="15.75" customHeight="1">
      <c r="A1691" s="88">
        <f t="shared" si="8"/>
        <v>45155</v>
      </c>
      <c r="B1691" s="72" t="str">
        <f t="shared" si="1"/>
        <v>20230817</v>
      </c>
      <c r="C1691" s="72" t="str">
        <f t="shared" si="2"/>
        <v>Thursday</v>
      </c>
      <c r="D1691" s="72" t="str">
        <f t="shared" si="3"/>
        <v>August</v>
      </c>
      <c r="E1691" s="72" t="str">
        <f t="shared" si="4"/>
        <v>Q3</v>
      </c>
      <c r="F1691" s="72">
        <f t="shared" si="5"/>
        <v>2023</v>
      </c>
      <c r="G1691" s="89">
        <f t="shared" si="6"/>
        <v>45157</v>
      </c>
      <c r="H1691" s="72" t="str">
        <f t="shared" si="7"/>
        <v>Yes</v>
      </c>
    </row>
    <row r="1692" ht="15.75" customHeight="1">
      <c r="A1692" s="88">
        <f t="shared" si="8"/>
        <v>45156</v>
      </c>
      <c r="B1692" s="72" t="str">
        <f t="shared" si="1"/>
        <v>20230818</v>
      </c>
      <c r="C1692" s="72" t="str">
        <f t="shared" si="2"/>
        <v>Friday</v>
      </c>
      <c r="D1692" s="72" t="str">
        <f t="shared" si="3"/>
        <v>August</v>
      </c>
      <c r="E1692" s="72" t="str">
        <f t="shared" si="4"/>
        <v>Q3</v>
      </c>
      <c r="F1692" s="72">
        <f t="shared" si="5"/>
        <v>2023</v>
      </c>
      <c r="G1692" s="89">
        <f t="shared" si="6"/>
        <v>45157</v>
      </c>
      <c r="H1692" s="72" t="str">
        <f t="shared" si="7"/>
        <v>Yes</v>
      </c>
    </row>
    <row r="1693" ht="15.75" customHeight="1">
      <c r="A1693" s="88">
        <f t="shared" si="8"/>
        <v>45157</v>
      </c>
      <c r="B1693" s="72" t="str">
        <f t="shared" si="1"/>
        <v>20230819</v>
      </c>
      <c r="C1693" s="72" t="str">
        <f t="shared" si="2"/>
        <v>Saturday</v>
      </c>
      <c r="D1693" s="72" t="str">
        <f t="shared" si="3"/>
        <v>August</v>
      </c>
      <c r="E1693" s="72" t="str">
        <f t="shared" si="4"/>
        <v>Q3</v>
      </c>
      <c r="F1693" s="72">
        <f t="shared" si="5"/>
        <v>2023</v>
      </c>
      <c r="G1693" s="89">
        <f t="shared" si="6"/>
        <v>45157</v>
      </c>
      <c r="H1693" s="72" t="str">
        <f t="shared" si="7"/>
        <v>No</v>
      </c>
    </row>
    <row r="1694" ht="15.75" customHeight="1">
      <c r="A1694" s="88">
        <f t="shared" si="8"/>
        <v>45158</v>
      </c>
      <c r="B1694" s="72" t="str">
        <f t="shared" si="1"/>
        <v>20230820</v>
      </c>
      <c r="C1694" s="72" t="str">
        <f t="shared" si="2"/>
        <v>Sunday</v>
      </c>
      <c r="D1694" s="72" t="str">
        <f t="shared" si="3"/>
        <v>August</v>
      </c>
      <c r="E1694" s="72" t="str">
        <f t="shared" si="4"/>
        <v>Q3</v>
      </c>
      <c r="F1694" s="72">
        <f t="shared" si="5"/>
        <v>2023</v>
      </c>
      <c r="G1694" s="89">
        <f t="shared" si="6"/>
        <v>45164</v>
      </c>
      <c r="H1694" s="72" t="str">
        <f t="shared" si="7"/>
        <v>No</v>
      </c>
    </row>
    <row r="1695" ht="15.75" customHeight="1">
      <c r="A1695" s="88">
        <f t="shared" si="8"/>
        <v>45159</v>
      </c>
      <c r="B1695" s="72" t="str">
        <f t="shared" si="1"/>
        <v>20230821</v>
      </c>
      <c r="C1695" s="72" t="str">
        <f t="shared" si="2"/>
        <v>Monday</v>
      </c>
      <c r="D1695" s="72" t="str">
        <f t="shared" si="3"/>
        <v>August</v>
      </c>
      <c r="E1695" s="72" t="str">
        <f t="shared" si="4"/>
        <v>Q3</v>
      </c>
      <c r="F1695" s="72">
        <f t="shared" si="5"/>
        <v>2023</v>
      </c>
      <c r="G1695" s="89">
        <f t="shared" si="6"/>
        <v>45164</v>
      </c>
      <c r="H1695" s="72" t="str">
        <f t="shared" si="7"/>
        <v>Yes</v>
      </c>
    </row>
    <row r="1696" ht="15.75" customHeight="1">
      <c r="A1696" s="88">
        <f t="shared" si="8"/>
        <v>45160</v>
      </c>
      <c r="B1696" s="72" t="str">
        <f t="shared" si="1"/>
        <v>20230822</v>
      </c>
      <c r="C1696" s="72" t="str">
        <f t="shared" si="2"/>
        <v>Tuesday</v>
      </c>
      <c r="D1696" s="72" t="str">
        <f t="shared" si="3"/>
        <v>August</v>
      </c>
      <c r="E1696" s="72" t="str">
        <f t="shared" si="4"/>
        <v>Q3</v>
      </c>
      <c r="F1696" s="72">
        <f t="shared" si="5"/>
        <v>2023</v>
      </c>
      <c r="G1696" s="89">
        <f t="shared" si="6"/>
        <v>45164</v>
      </c>
      <c r="H1696" s="72" t="str">
        <f t="shared" si="7"/>
        <v>Yes</v>
      </c>
    </row>
    <row r="1697" ht="15.75" customHeight="1">
      <c r="A1697" s="88">
        <f t="shared" si="8"/>
        <v>45161</v>
      </c>
      <c r="B1697" s="72" t="str">
        <f t="shared" si="1"/>
        <v>20230823</v>
      </c>
      <c r="C1697" s="72" t="str">
        <f t="shared" si="2"/>
        <v>Wednesday</v>
      </c>
      <c r="D1697" s="72" t="str">
        <f t="shared" si="3"/>
        <v>August</v>
      </c>
      <c r="E1697" s="72" t="str">
        <f t="shared" si="4"/>
        <v>Q3</v>
      </c>
      <c r="F1697" s="72">
        <f t="shared" si="5"/>
        <v>2023</v>
      </c>
      <c r="G1697" s="89">
        <f t="shared" si="6"/>
        <v>45164</v>
      </c>
      <c r="H1697" s="72" t="str">
        <f t="shared" si="7"/>
        <v>Yes</v>
      </c>
    </row>
    <row r="1698" ht="15.75" customHeight="1">
      <c r="A1698" s="88">
        <f t="shared" si="8"/>
        <v>45162</v>
      </c>
      <c r="B1698" s="72" t="str">
        <f t="shared" si="1"/>
        <v>20230824</v>
      </c>
      <c r="C1698" s="72" t="str">
        <f t="shared" si="2"/>
        <v>Thursday</v>
      </c>
      <c r="D1698" s="72" t="str">
        <f t="shared" si="3"/>
        <v>August</v>
      </c>
      <c r="E1698" s="72" t="str">
        <f t="shared" si="4"/>
        <v>Q3</v>
      </c>
      <c r="F1698" s="72">
        <f t="shared" si="5"/>
        <v>2023</v>
      </c>
      <c r="G1698" s="89">
        <f t="shared" si="6"/>
        <v>45164</v>
      </c>
      <c r="H1698" s="72" t="str">
        <f t="shared" si="7"/>
        <v>Yes</v>
      </c>
    </row>
    <row r="1699" ht="15.75" customHeight="1">
      <c r="A1699" s="88">
        <f t="shared" si="8"/>
        <v>45163</v>
      </c>
      <c r="B1699" s="72" t="str">
        <f t="shared" si="1"/>
        <v>20230825</v>
      </c>
      <c r="C1699" s="72" t="str">
        <f t="shared" si="2"/>
        <v>Friday</v>
      </c>
      <c r="D1699" s="72" t="str">
        <f t="shared" si="3"/>
        <v>August</v>
      </c>
      <c r="E1699" s="72" t="str">
        <f t="shared" si="4"/>
        <v>Q3</v>
      </c>
      <c r="F1699" s="72">
        <f t="shared" si="5"/>
        <v>2023</v>
      </c>
      <c r="G1699" s="89">
        <f t="shared" si="6"/>
        <v>45164</v>
      </c>
      <c r="H1699" s="72" t="str">
        <f t="shared" si="7"/>
        <v>Yes</v>
      </c>
    </row>
    <row r="1700" ht="15.75" customHeight="1">
      <c r="A1700" s="88">
        <f t="shared" si="8"/>
        <v>45164</v>
      </c>
      <c r="B1700" s="72" t="str">
        <f t="shared" si="1"/>
        <v>20230826</v>
      </c>
      <c r="C1700" s="72" t="str">
        <f t="shared" si="2"/>
        <v>Saturday</v>
      </c>
      <c r="D1700" s="72" t="str">
        <f t="shared" si="3"/>
        <v>August</v>
      </c>
      <c r="E1700" s="72" t="str">
        <f t="shared" si="4"/>
        <v>Q3</v>
      </c>
      <c r="F1700" s="72">
        <f t="shared" si="5"/>
        <v>2023</v>
      </c>
      <c r="G1700" s="89">
        <f t="shared" si="6"/>
        <v>45164</v>
      </c>
      <c r="H1700" s="72" t="str">
        <f t="shared" si="7"/>
        <v>No</v>
      </c>
    </row>
    <row r="1701" ht="15.75" customHeight="1">
      <c r="A1701" s="88">
        <f t="shared" si="8"/>
        <v>45165</v>
      </c>
      <c r="B1701" s="72" t="str">
        <f t="shared" si="1"/>
        <v>20230827</v>
      </c>
      <c r="C1701" s="72" t="str">
        <f t="shared" si="2"/>
        <v>Sunday</v>
      </c>
      <c r="D1701" s="72" t="str">
        <f t="shared" si="3"/>
        <v>August</v>
      </c>
      <c r="E1701" s="72" t="str">
        <f t="shared" si="4"/>
        <v>Q3</v>
      </c>
      <c r="F1701" s="72">
        <f t="shared" si="5"/>
        <v>2023</v>
      </c>
      <c r="G1701" s="89">
        <f t="shared" si="6"/>
        <v>45171</v>
      </c>
      <c r="H1701" s="72" t="str">
        <f t="shared" si="7"/>
        <v>No</v>
      </c>
    </row>
    <row r="1702" ht="15.75" customHeight="1">
      <c r="A1702" s="88">
        <f t="shared" si="8"/>
        <v>45166</v>
      </c>
      <c r="B1702" s="72" t="str">
        <f t="shared" si="1"/>
        <v>20230828</v>
      </c>
      <c r="C1702" s="72" t="str">
        <f t="shared" si="2"/>
        <v>Monday</v>
      </c>
      <c r="D1702" s="72" t="str">
        <f t="shared" si="3"/>
        <v>August</v>
      </c>
      <c r="E1702" s="72" t="str">
        <f t="shared" si="4"/>
        <v>Q3</v>
      </c>
      <c r="F1702" s="72">
        <f t="shared" si="5"/>
        <v>2023</v>
      </c>
      <c r="G1702" s="89">
        <f t="shared" si="6"/>
        <v>45171</v>
      </c>
      <c r="H1702" s="72" t="str">
        <f t="shared" si="7"/>
        <v>Yes</v>
      </c>
    </row>
    <row r="1703" ht="15.75" customHeight="1">
      <c r="A1703" s="88">
        <f t="shared" si="8"/>
        <v>45167</v>
      </c>
      <c r="B1703" s="72" t="str">
        <f t="shared" si="1"/>
        <v>20230829</v>
      </c>
      <c r="C1703" s="72" t="str">
        <f t="shared" si="2"/>
        <v>Tuesday</v>
      </c>
      <c r="D1703" s="72" t="str">
        <f t="shared" si="3"/>
        <v>August</v>
      </c>
      <c r="E1703" s="72" t="str">
        <f t="shared" si="4"/>
        <v>Q3</v>
      </c>
      <c r="F1703" s="72">
        <f t="shared" si="5"/>
        <v>2023</v>
      </c>
      <c r="G1703" s="89">
        <f t="shared" si="6"/>
        <v>45171</v>
      </c>
      <c r="H1703" s="72" t="str">
        <f t="shared" si="7"/>
        <v>Yes</v>
      </c>
    </row>
    <row r="1704" ht="15.75" customHeight="1">
      <c r="A1704" s="88">
        <f t="shared" si="8"/>
        <v>45168</v>
      </c>
      <c r="B1704" s="72" t="str">
        <f t="shared" si="1"/>
        <v>20230830</v>
      </c>
      <c r="C1704" s="72" t="str">
        <f t="shared" si="2"/>
        <v>Wednesday</v>
      </c>
      <c r="D1704" s="72" t="str">
        <f t="shared" si="3"/>
        <v>August</v>
      </c>
      <c r="E1704" s="72" t="str">
        <f t="shared" si="4"/>
        <v>Q3</v>
      </c>
      <c r="F1704" s="72">
        <f t="shared" si="5"/>
        <v>2023</v>
      </c>
      <c r="G1704" s="89">
        <f t="shared" si="6"/>
        <v>45171</v>
      </c>
      <c r="H1704" s="72" t="str">
        <f t="shared" si="7"/>
        <v>Yes</v>
      </c>
    </row>
    <row r="1705" ht="15.75" customHeight="1">
      <c r="A1705" s="88">
        <f t="shared" si="8"/>
        <v>45169</v>
      </c>
      <c r="B1705" s="72" t="str">
        <f t="shared" si="1"/>
        <v>20230831</v>
      </c>
      <c r="C1705" s="72" t="str">
        <f t="shared" si="2"/>
        <v>Thursday</v>
      </c>
      <c r="D1705" s="72" t="str">
        <f t="shared" si="3"/>
        <v>August</v>
      </c>
      <c r="E1705" s="72" t="str">
        <f t="shared" si="4"/>
        <v>Q3</v>
      </c>
      <c r="F1705" s="72">
        <f t="shared" si="5"/>
        <v>2023</v>
      </c>
      <c r="G1705" s="89">
        <f t="shared" si="6"/>
        <v>45171</v>
      </c>
      <c r="H1705" s="72" t="str">
        <f t="shared" si="7"/>
        <v>Yes</v>
      </c>
    </row>
    <row r="1706" ht="15.75" customHeight="1">
      <c r="A1706" s="88">
        <f t="shared" si="8"/>
        <v>45170</v>
      </c>
      <c r="B1706" s="72" t="str">
        <f t="shared" si="1"/>
        <v>20230901</v>
      </c>
      <c r="C1706" s="72" t="str">
        <f t="shared" si="2"/>
        <v>Friday</v>
      </c>
      <c r="D1706" s="72" t="str">
        <f t="shared" si="3"/>
        <v>September</v>
      </c>
      <c r="E1706" s="72" t="str">
        <f t="shared" si="4"/>
        <v>Q3</v>
      </c>
      <c r="F1706" s="72">
        <f t="shared" si="5"/>
        <v>2023</v>
      </c>
      <c r="G1706" s="89">
        <f t="shared" si="6"/>
        <v>45171</v>
      </c>
      <c r="H1706" s="72" t="str">
        <f t="shared" si="7"/>
        <v>Yes</v>
      </c>
    </row>
    <row r="1707" ht="15.75" customHeight="1">
      <c r="A1707" s="88">
        <f t="shared" si="8"/>
        <v>45171</v>
      </c>
      <c r="B1707" s="72" t="str">
        <f t="shared" si="1"/>
        <v>20230902</v>
      </c>
      <c r="C1707" s="72" t="str">
        <f t="shared" si="2"/>
        <v>Saturday</v>
      </c>
      <c r="D1707" s="72" t="str">
        <f t="shared" si="3"/>
        <v>September</v>
      </c>
      <c r="E1707" s="72" t="str">
        <f t="shared" si="4"/>
        <v>Q3</v>
      </c>
      <c r="F1707" s="72">
        <f t="shared" si="5"/>
        <v>2023</v>
      </c>
      <c r="G1707" s="89">
        <f t="shared" si="6"/>
        <v>45171</v>
      </c>
      <c r="H1707" s="72" t="str">
        <f t="shared" si="7"/>
        <v>No</v>
      </c>
    </row>
    <row r="1708" ht="15.75" customHeight="1">
      <c r="A1708" s="88">
        <f t="shared" si="8"/>
        <v>45172</v>
      </c>
      <c r="B1708" s="72" t="str">
        <f t="shared" si="1"/>
        <v>20230903</v>
      </c>
      <c r="C1708" s="72" t="str">
        <f t="shared" si="2"/>
        <v>Sunday</v>
      </c>
      <c r="D1708" s="72" t="str">
        <f t="shared" si="3"/>
        <v>September</v>
      </c>
      <c r="E1708" s="72" t="str">
        <f t="shared" si="4"/>
        <v>Q3</v>
      </c>
      <c r="F1708" s="72">
        <f t="shared" si="5"/>
        <v>2023</v>
      </c>
      <c r="G1708" s="89">
        <f t="shared" si="6"/>
        <v>45178</v>
      </c>
      <c r="H1708" s="72" t="str">
        <f t="shared" si="7"/>
        <v>No</v>
      </c>
    </row>
    <row r="1709" ht="15.75" customHeight="1">
      <c r="A1709" s="88">
        <f t="shared" si="8"/>
        <v>45173</v>
      </c>
      <c r="B1709" s="72" t="str">
        <f t="shared" si="1"/>
        <v>20230904</v>
      </c>
      <c r="C1709" s="72" t="str">
        <f t="shared" si="2"/>
        <v>Monday</v>
      </c>
      <c r="D1709" s="72" t="str">
        <f t="shared" si="3"/>
        <v>September</v>
      </c>
      <c r="E1709" s="72" t="str">
        <f t="shared" si="4"/>
        <v>Q3</v>
      </c>
      <c r="F1709" s="72">
        <f t="shared" si="5"/>
        <v>2023</v>
      </c>
      <c r="G1709" s="89">
        <f t="shared" si="6"/>
        <v>45178</v>
      </c>
      <c r="H1709" s="72" t="str">
        <f t="shared" si="7"/>
        <v>Yes</v>
      </c>
    </row>
    <row r="1710" ht="15.75" customHeight="1">
      <c r="A1710" s="88">
        <f t="shared" si="8"/>
        <v>45174</v>
      </c>
      <c r="B1710" s="72" t="str">
        <f t="shared" si="1"/>
        <v>20230905</v>
      </c>
      <c r="C1710" s="72" t="str">
        <f t="shared" si="2"/>
        <v>Tuesday</v>
      </c>
      <c r="D1710" s="72" t="str">
        <f t="shared" si="3"/>
        <v>September</v>
      </c>
      <c r="E1710" s="72" t="str">
        <f t="shared" si="4"/>
        <v>Q3</v>
      </c>
      <c r="F1710" s="72">
        <f t="shared" si="5"/>
        <v>2023</v>
      </c>
      <c r="G1710" s="89">
        <f t="shared" si="6"/>
        <v>45178</v>
      </c>
      <c r="H1710" s="72" t="str">
        <f t="shared" si="7"/>
        <v>Yes</v>
      </c>
    </row>
    <row r="1711" ht="15.75" customHeight="1">
      <c r="A1711" s="88">
        <f t="shared" si="8"/>
        <v>45175</v>
      </c>
      <c r="B1711" s="72" t="str">
        <f t="shared" si="1"/>
        <v>20230906</v>
      </c>
      <c r="C1711" s="72" t="str">
        <f t="shared" si="2"/>
        <v>Wednesday</v>
      </c>
      <c r="D1711" s="72" t="str">
        <f t="shared" si="3"/>
        <v>September</v>
      </c>
      <c r="E1711" s="72" t="str">
        <f t="shared" si="4"/>
        <v>Q3</v>
      </c>
      <c r="F1711" s="72">
        <f t="shared" si="5"/>
        <v>2023</v>
      </c>
      <c r="G1711" s="89">
        <f t="shared" si="6"/>
        <v>45178</v>
      </c>
      <c r="H1711" s="72" t="str">
        <f t="shared" si="7"/>
        <v>Yes</v>
      </c>
    </row>
    <row r="1712" ht="15.75" customHeight="1">
      <c r="A1712" s="88">
        <f t="shared" si="8"/>
        <v>45176</v>
      </c>
      <c r="B1712" s="72" t="str">
        <f t="shared" si="1"/>
        <v>20230907</v>
      </c>
      <c r="C1712" s="72" t="str">
        <f t="shared" si="2"/>
        <v>Thursday</v>
      </c>
      <c r="D1712" s="72" t="str">
        <f t="shared" si="3"/>
        <v>September</v>
      </c>
      <c r="E1712" s="72" t="str">
        <f t="shared" si="4"/>
        <v>Q3</v>
      </c>
      <c r="F1712" s="72">
        <f t="shared" si="5"/>
        <v>2023</v>
      </c>
      <c r="G1712" s="89">
        <f t="shared" si="6"/>
        <v>45178</v>
      </c>
      <c r="H1712" s="72" t="str">
        <f t="shared" si="7"/>
        <v>Yes</v>
      </c>
    </row>
    <row r="1713" ht="15.75" customHeight="1">
      <c r="A1713" s="88">
        <f t="shared" si="8"/>
        <v>45177</v>
      </c>
      <c r="B1713" s="72" t="str">
        <f t="shared" si="1"/>
        <v>20230908</v>
      </c>
      <c r="C1713" s="72" t="str">
        <f t="shared" si="2"/>
        <v>Friday</v>
      </c>
      <c r="D1713" s="72" t="str">
        <f t="shared" si="3"/>
        <v>September</v>
      </c>
      <c r="E1713" s="72" t="str">
        <f t="shared" si="4"/>
        <v>Q3</v>
      </c>
      <c r="F1713" s="72">
        <f t="shared" si="5"/>
        <v>2023</v>
      </c>
      <c r="G1713" s="89">
        <f t="shared" si="6"/>
        <v>45178</v>
      </c>
      <c r="H1713" s="72" t="str">
        <f t="shared" si="7"/>
        <v>Yes</v>
      </c>
    </row>
    <row r="1714" ht="15.75" customHeight="1">
      <c r="A1714" s="88">
        <f t="shared" si="8"/>
        <v>45178</v>
      </c>
      <c r="B1714" s="72" t="str">
        <f t="shared" si="1"/>
        <v>20230909</v>
      </c>
      <c r="C1714" s="72" t="str">
        <f t="shared" si="2"/>
        <v>Saturday</v>
      </c>
      <c r="D1714" s="72" t="str">
        <f t="shared" si="3"/>
        <v>September</v>
      </c>
      <c r="E1714" s="72" t="str">
        <f t="shared" si="4"/>
        <v>Q3</v>
      </c>
      <c r="F1714" s="72">
        <f t="shared" si="5"/>
        <v>2023</v>
      </c>
      <c r="G1714" s="89">
        <f t="shared" si="6"/>
        <v>45178</v>
      </c>
      <c r="H1714" s="72" t="str">
        <f t="shared" si="7"/>
        <v>No</v>
      </c>
    </row>
    <row r="1715" ht="15.75" customHeight="1">
      <c r="A1715" s="88">
        <f t="shared" si="8"/>
        <v>45179</v>
      </c>
      <c r="B1715" s="72" t="str">
        <f t="shared" si="1"/>
        <v>20230910</v>
      </c>
      <c r="C1715" s="72" t="str">
        <f t="shared" si="2"/>
        <v>Sunday</v>
      </c>
      <c r="D1715" s="72" t="str">
        <f t="shared" si="3"/>
        <v>September</v>
      </c>
      <c r="E1715" s="72" t="str">
        <f t="shared" si="4"/>
        <v>Q3</v>
      </c>
      <c r="F1715" s="72">
        <f t="shared" si="5"/>
        <v>2023</v>
      </c>
      <c r="G1715" s="89">
        <f t="shared" si="6"/>
        <v>45185</v>
      </c>
      <c r="H1715" s="72" t="str">
        <f t="shared" si="7"/>
        <v>No</v>
      </c>
    </row>
    <row r="1716" ht="15.75" customHeight="1">
      <c r="A1716" s="88">
        <f t="shared" si="8"/>
        <v>45180</v>
      </c>
      <c r="B1716" s="72" t="str">
        <f t="shared" si="1"/>
        <v>20230911</v>
      </c>
      <c r="C1716" s="72" t="str">
        <f t="shared" si="2"/>
        <v>Monday</v>
      </c>
      <c r="D1716" s="72" t="str">
        <f t="shared" si="3"/>
        <v>September</v>
      </c>
      <c r="E1716" s="72" t="str">
        <f t="shared" si="4"/>
        <v>Q3</v>
      </c>
      <c r="F1716" s="72">
        <f t="shared" si="5"/>
        <v>2023</v>
      </c>
      <c r="G1716" s="89">
        <f t="shared" si="6"/>
        <v>45185</v>
      </c>
      <c r="H1716" s="72" t="str">
        <f t="shared" si="7"/>
        <v>Yes</v>
      </c>
    </row>
    <row r="1717" ht="15.75" customHeight="1">
      <c r="A1717" s="88">
        <f t="shared" si="8"/>
        <v>45181</v>
      </c>
      <c r="B1717" s="72" t="str">
        <f t="shared" si="1"/>
        <v>20230912</v>
      </c>
      <c r="C1717" s="72" t="str">
        <f t="shared" si="2"/>
        <v>Tuesday</v>
      </c>
      <c r="D1717" s="72" t="str">
        <f t="shared" si="3"/>
        <v>September</v>
      </c>
      <c r="E1717" s="72" t="str">
        <f t="shared" si="4"/>
        <v>Q3</v>
      </c>
      <c r="F1717" s="72">
        <f t="shared" si="5"/>
        <v>2023</v>
      </c>
      <c r="G1717" s="89">
        <f t="shared" si="6"/>
        <v>45185</v>
      </c>
      <c r="H1717" s="72" t="str">
        <f t="shared" si="7"/>
        <v>Yes</v>
      </c>
    </row>
    <row r="1718" ht="15.75" customHeight="1">
      <c r="A1718" s="88">
        <f t="shared" si="8"/>
        <v>45182</v>
      </c>
      <c r="B1718" s="72" t="str">
        <f t="shared" si="1"/>
        <v>20230913</v>
      </c>
      <c r="C1718" s="72" t="str">
        <f t="shared" si="2"/>
        <v>Wednesday</v>
      </c>
      <c r="D1718" s="72" t="str">
        <f t="shared" si="3"/>
        <v>September</v>
      </c>
      <c r="E1718" s="72" t="str">
        <f t="shared" si="4"/>
        <v>Q3</v>
      </c>
      <c r="F1718" s="72">
        <f t="shared" si="5"/>
        <v>2023</v>
      </c>
      <c r="G1718" s="89">
        <f t="shared" si="6"/>
        <v>45185</v>
      </c>
      <c r="H1718" s="72" t="str">
        <f t="shared" si="7"/>
        <v>Yes</v>
      </c>
    </row>
    <row r="1719" ht="15.75" customHeight="1">
      <c r="A1719" s="88">
        <f t="shared" si="8"/>
        <v>45183</v>
      </c>
      <c r="B1719" s="72" t="str">
        <f t="shared" si="1"/>
        <v>20230914</v>
      </c>
      <c r="C1719" s="72" t="str">
        <f t="shared" si="2"/>
        <v>Thursday</v>
      </c>
      <c r="D1719" s="72" t="str">
        <f t="shared" si="3"/>
        <v>September</v>
      </c>
      <c r="E1719" s="72" t="str">
        <f t="shared" si="4"/>
        <v>Q3</v>
      </c>
      <c r="F1719" s="72">
        <f t="shared" si="5"/>
        <v>2023</v>
      </c>
      <c r="G1719" s="89">
        <f t="shared" si="6"/>
        <v>45185</v>
      </c>
      <c r="H1719" s="72" t="str">
        <f t="shared" si="7"/>
        <v>Yes</v>
      </c>
    </row>
    <row r="1720" ht="15.75" customHeight="1">
      <c r="A1720" s="88">
        <f t="shared" si="8"/>
        <v>45184</v>
      </c>
      <c r="B1720" s="72" t="str">
        <f t="shared" si="1"/>
        <v>20230915</v>
      </c>
      <c r="C1720" s="72" t="str">
        <f t="shared" si="2"/>
        <v>Friday</v>
      </c>
      <c r="D1720" s="72" t="str">
        <f t="shared" si="3"/>
        <v>September</v>
      </c>
      <c r="E1720" s="72" t="str">
        <f t="shared" si="4"/>
        <v>Q3</v>
      </c>
      <c r="F1720" s="72">
        <f t="shared" si="5"/>
        <v>2023</v>
      </c>
      <c r="G1720" s="89">
        <f t="shared" si="6"/>
        <v>45185</v>
      </c>
      <c r="H1720" s="72" t="str">
        <f t="shared" si="7"/>
        <v>Yes</v>
      </c>
    </row>
    <row r="1721" ht="15.75" customHeight="1">
      <c r="A1721" s="88">
        <f t="shared" si="8"/>
        <v>45185</v>
      </c>
      <c r="B1721" s="72" t="str">
        <f t="shared" si="1"/>
        <v>20230916</v>
      </c>
      <c r="C1721" s="72" t="str">
        <f t="shared" si="2"/>
        <v>Saturday</v>
      </c>
      <c r="D1721" s="72" t="str">
        <f t="shared" si="3"/>
        <v>September</v>
      </c>
      <c r="E1721" s="72" t="str">
        <f t="shared" si="4"/>
        <v>Q3</v>
      </c>
      <c r="F1721" s="72">
        <f t="shared" si="5"/>
        <v>2023</v>
      </c>
      <c r="G1721" s="89">
        <f t="shared" si="6"/>
        <v>45185</v>
      </c>
      <c r="H1721" s="72" t="str">
        <f t="shared" si="7"/>
        <v>No</v>
      </c>
    </row>
    <row r="1722" ht="15.75" customHeight="1">
      <c r="A1722" s="88">
        <f t="shared" si="8"/>
        <v>45186</v>
      </c>
      <c r="B1722" s="72" t="str">
        <f t="shared" si="1"/>
        <v>20230917</v>
      </c>
      <c r="C1722" s="72" t="str">
        <f t="shared" si="2"/>
        <v>Sunday</v>
      </c>
      <c r="D1722" s="72" t="str">
        <f t="shared" si="3"/>
        <v>September</v>
      </c>
      <c r="E1722" s="72" t="str">
        <f t="shared" si="4"/>
        <v>Q3</v>
      </c>
      <c r="F1722" s="72">
        <f t="shared" si="5"/>
        <v>2023</v>
      </c>
      <c r="G1722" s="89">
        <f t="shared" si="6"/>
        <v>45192</v>
      </c>
      <c r="H1722" s="72" t="str">
        <f t="shared" si="7"/>
        <v>No</v>
      </c>
    </row>
    <row r="1723" ht="15.75" customHeight="1">
      <c r="A1723" s="88">
        <f t="shared" si="8"/>
        <v>45187</v>
      </c>
      <c r="B1723" s="72" t="str">
        <f t="shared" si="1"/>
        <v>20230918</v>
      </c>
      <c r="C1723" s="72" t="str">
        <f t="shared" si="2"/>
        <v>Monday</v>
      </c>
      <c r="D1723" s="72" t="str">
        <f t="shared" si="3"/>
        <v>September</v>
      </c>
      <c r="E1723" s="72" t="str">
        <f t="shared" si="4"/>
        <v>Q3</v>
      </c>
      <c r="F1723" s="72">
        <f t="shared" si="5"/>
        <v>2023</v>
      </c>
      <c r="G1723" s="89">
        <f t="shared" si="6"/>
        <v>45192</v>
      </c>
      <c r="H1723" s="72" t="str">
        <f t="shared" si="7"/>
        <v>Yes</v>
      </c>
    </row>
    <row r="1724" ht="15.75" customHeight="1">
      <c r="A1724" s="88">
        <f t="shared" si="8"/>
        <v>45188</v>
      </c>
      <c r="B1724" s="72" t="str">
        <f t="shared" si="1"/>
        <v>20230919</v>
      </c>
      <c r="C1724" s="72" t="str">
        <f t="shared" si="2"/>
        <v>Tuesday</v>
      </c>
      <c r="D1724" s="72" t="str">
        <f t="shared" si="3"/>
        <v>September</v>
      </c>
      <c r="E1724" s="72" t="str">
        <f t="shared" si="4"/>
        <v>Q3</v>
      </c>
      <c r="F1724" s="72">
        <f t="shared" si="5"/>
        <v>2023</v>
      </c>
      <c r="G1724" s="89">
        <f t="shared" si="6"/>
        <v>45192</v>
      </c>
      <c r="H1724" s="72" t="str">
        <f t="shared" si="7"/>
        <v>Yes</v>
      </c>
    </row>
    <row r="1725" ht="15.75" customHeight="1">
      <c r="A1725" s="88">
        <f t="shared" si="8"/>
        <v>45189</v>
      </c>
      <c r="B1725" s="72" t="str">
        <f t="shared" si="1"/>
        <v>20230920</v>
      </c>
      <c r="C1725" s="72" t="str">
        <f t="shared" si="2"/>
        <v>Wednesday</v>
      </c>
      <c r="D1725" s="72" t="str">
        <f t="shared" si="3"/>
        <v>September</v>
      </c>
      <c r="E1725" s="72" t="str">
        <f t="shared" si="4"/>
        <v>Q3</v>
      </c>
      <c r="F1725" s="72">
        <f t="shared" si="5"/>
        <v>2023</v>
      </c>
      <c r="G1725" s="89">
        <f t="shared" si="6"/>
        <v>45192</v>
      </c>
      <c r="H1725" s="72" t="str">
        <f t="shared" si="7"/>
        <v>Yes</v>
      </c>
    </row>
    <row r="1726" ht="15.75" customHeight="1">
      <c r="A1726" s="88">
        <f t="shared" si="8"/>
        <v>45190</v>
      </c>
      <c r="B1726" s="72" t="str">
        <f t="shared" si="1"/>
        <v>20230921</v>
      </c>
      <c r="C1726" s="72" t="str">
        <f t="shared" si="2"/>
        <v>Thursday</v>
      </c>
      <c r="D1726" s="72" t="str">
        <f t="shared" si="3"/>
        <v>September</v>
      </c>
      <c r="E1726" s="72" t="str">
        <f t="shared" si="4"/>
        <v>Q3</v>
      </c>
      <c r="F1726" s="72">
        <f t="shared" si="5"/>
        <v>2023</v>
      </c>
      <c r="G1726" s="89">
        <f t="shared" si="6"/>
        <v>45192</v>
      </c>
      <c r="H1726" s="72" t="str">
        <f t="shared" si="7"/>
        <v>Yes</v>
      </c>
    </row>
    <row r="1727" ht="15.75" customHeight="1">
      <c r="A1727" s="88">
        <f t="shared" si="8"/>
        <v>45191</v>
      </c>
      <c r="B1727" s="72" t="str">
        <f t="shared" si="1"/>
        <v>20230922</v>
      </c>
      <c r="C1727" s="72" t="str">
        <f t="shared" si="2"/>
        <v>Friday</v>
      </c>
      <c r="D1727" s="72" t="str">
        <f t="shared" si="3"/>
        <v>September</v>
      </c>
      <c r="E1727" s="72" t="str">
        <f t="shared" si="4"/>
        <v>Q3</v>
      </c>
      <c r="F1727" s="72">
        <f t="shared" si="5"/>
        <v>2023</v>
      </c>
      <c r="G1727" s="89">
        <f t="shared" si="6"/>
        <v>45192</v>
      </c>
      <c r="H1727" s="72" t="str">
        <f t="shared" si="7"/>
        <v>Yes</v>
      </c>
    </row>
    <row r="1728" ht="15.75" customHeight="1">
      <c r="A1728" s="88">
        <f t="shared" si="8"/>
        <v>45192</v>
      </c>
      <c r="B1728" s="72" t="str">
        <f t="shared" si="1"/>
        <v>20230923</v>
      </c>
      <c r="C1728" s="72" t="str">
        <f t="shared" si="2"/>
        <v>Saturday</v>
      </c>
      <c r="D1728" s="72" t="str">
        <f t="shared" si="3"/>
        <v>September</v>
      </c>
      <c r="E1728" s="72" t="str">
        <f t="shared" si="4"/>
        <v>Q3</v>
      </c>
      <c r="F1728" s="72">
        <f t="shared" si="5"/>
        <v>2023</v>
      </c>
      <c r="G1728" s="89">
        <f t="shared" si="6"/>
        <v>45192</v>
      </c>
      <c r="H1728" s="72" t="str">
        <f t="shared" si="7"/>
        <v>No</v>
      </c>
    </row>
    <row r="1729" ht="15.75" customHeight="1">
      <c r="A1729" s="88">
        <f t="shared" si="8"/>
        <v>45193</v>
      </c>
      <c r="B1729" s="72" t="str">
        <f t="shared" si="1"/>
        <v>20230924</v>
      </c>
      <c r="C1729" s="72" t="str">
        <f t="shared" si="2"/>
        <v>Sunday</v>
      </c>
      <c r="D1729" s="72" t="str">
        <f t="shared" si="3"/>
        <v>September</v>
      </c>
      <c r="E1729" s="72" t="str">
        <f t="shared" si="4"/>
        <v>Q3</v>
      </c>
      <c r="F1729" s="72">
        <f t="shared" si="5"/>
        <v>2023</v>
      </c>
      <c r="G1729" s="89">
        <f t="shared" si="6"/>
        <v>45199</v>
      </c>
      <c r="H1729" s="72" t="str">
        <f t="shared" si="7"/>
        <v>No</v>
      </c>
    </row>
    <row r="1730" ht="15.75" customHeight="1">
      <c r="A1730" s="88">
        <f t="shared" si="8"/>
        <v>45194</v>
      </c>
      <c r="B1730" s="72" t="str">
        <f t="shared" si="1"/>
        <v>20230925</v>
      </c>
      <c r="C1730" s="72" t="str">
        <f t="shared" si="2"/>
        <v>Monday</v>
      </c>
      <c r="D1730" s="72" t="str">
        <f t="shared" si="3"/>
        <v>September</v>
      </c>
      <c r="E1730" s="72" t="str">
        <f t="shared" si="4"/>
        <v>Q3</v>
      </c>
      <c r="F1730" s="72">
        <f t="shared" si="5"/>
        <v>2023</v>
      </c>
      <c r="G1730" s="89">
        <f t="shared" si="6"/>
        <v>45199</v>
      </c>
      <c r="H1730" s="72" t="str">
        <f t="shared" si="7"/>
        <v>Yes</v>
      </c>
    </row>
    <row r="1731" ht="15.75" customHeight="1">
      <c r="A1731" s="88">
        <f t="shared" si="8"/>
        <v>45195</v>
      </c>
      <c r="B1731" s="72" t="str">
        <f t="shared" si="1"/>
        <v>20230926</v>
      </c>
      <c r="C1731" s="72" t="str">
        <f t="shared" si="2"/>
        <v>Tuesday</v>
      </c>
      <c r="D1731" s="72" t="str">
        <f t="shared" si="3"/>
        <v>September</v>
      </c>
      <c r="E1731" s="72" t="str">
        <f t="shared" si="4"/>
        <v>Q3</v>
      </c>
      <c r="F1731" s="72">
        <f t="shared" si="5"/>
        <v>2023</v>
      </c>
      <c r="G1731" s="89">
        <f t="shared" si="6"/>
        <v>45199</v>
      </c>
      <c r="H1731" s="72" t="str">
        <f t="shared" si="7"/>
        <v>Yes</v>
      </c>
    </row>
    <row r="1732" ht="15.75" customHeight="1">
      <c r="A1732" s="88">
        <f t="shared" si="8"/>
        <v>45196</v>
      </c>
      <c r="B1732" s="72" t="str">
        <f t="shared" si="1"/>
        <v>20230927</v>
      </c>
      <c r="C1732" s="72" t="str">
        <f t="shared" si="2"/>
        <v>Wednesday</v>
      </c>
      <c r="D1732" s="72" t="str">
        <f t="shared" si="3"/>
        <v>September</v>
      </c>
      <c r="E1732" s="72" t="str">
        <f t="shared" si="4"/>
        <v>Q3</v>
      </c>
      <c r="F1732" s="72">
        <f t="shared" si="5"/>
        <v>2023</v>
      </c>
      <c r="G1732" s="89">
        <f t="shared" si="6"/>
        <v>45199</v>
      </c>
      <c r="H1732" s="72" t="str">
        <f t="shared" si="7"/>
        <v>Yes</v>
      </c>
    </row>
    <row r="1733" ht="15.75" customHeight="1">
      <c r="A1733" s="88">
        <f t="shared" si="8"/>
        <v>45197</v>
      </c>
      <c r="B1733" s="72" t="str">
        <f t="shared" si="1"/>
        <v>20230928</v>
      </c>
      <c r="C1733" s="72" t="str">
        <f t="shared" si="2"/>
        <v>Thursday</v>
      </c>
      <c r="D1733" s="72" t="str">
        <f t="shared" si="3"/>
        <v>September</v>
      </c>
      <c r="E1733" s="72" t="str">
        <f t="shared" si="4"/>
        <v>Q3</v>
      </c>
      <c r="F1733" s="72">
        <f t="shared" si="5"/>
        <v>2023</v>
      </c>
      <c r="G1733" s="89">
        <f t="shared" si="6"/>
        <v>45199</v>
      </c>
      <c r="H1733" s="72" t="str">
        <f t="shared" si="7"/>
        <v>Yes</v>
      </c>
    </row>
    <row r="1734" ht="15.75" customHeight="1">
      <c r="A1734" s="88">
        <f t="shared" si="8"/>
        <v>45198</v>
      </c>
      <c r="B1734" s="72" t="str">
        <f t="shared" si="1"/>
        <v>20230929</v>
      </c>
      <c r="C1734" s="72" t="str">
        <f t="shared" si="2"/>
        <v>Friday</v>
      </c>
      <c r="D1734" s="72" t="str">
        <f t="shared" si="3"/>
        <v>September</v>
      </c>
      <c r="E1734" s="72" t="str">
        <f t="shared" si="4"/>
        <v>Q3</v>
      </c>
      <c r="F1734" s="72">
        <f t="shared" si="5"/>
        <v>2023</v>
      </c>
      <c r="G1734" s="89">
        <f t="shared" si="6"/>
        <v>45199</v>
      </c>
      <c r="H1734" s="72" t="str">
        <f t="shared" si="7"/>
        <v>Yes</v>
      </c>
    </row>
    <row r="1735" ht="15.75" customHeight="1">
      <c r="A1735" s="88">
        <f t="shared" si="8"/>
        <v>45199</v>
      </c>
      <c r="B1735" s="72" t="str">
        <f t="shared" si="1"/>
        <v>20230930</v>
      </c>
      <c r="C1735" s="72" t="str">
        <f t="shared" si="2"/>
        <v>Saturday</v>
      </c>
      <c r="D1735" s="72" t="str">
        <f t="shared" si="3"/>
        <v>September</v>
      </c>
      <c r="E1735" s="72" t="str">
        <f t="shared" si="4"/>
        <v>Q3</v>
      </c>
      <c r="F1735" s="72">
        <f t="shared" si="5"/>
        <v>2023</v>
      </c>
      <c r="G1735" s="89">
        <f t="shared" si="6"/>
        <v>45199</v>
      </c>
      <c r="H1735" s="72" t="str">
        <f t="shared" si="7"/>
        <v>No</v>
      </c>
    </row>
    <row r="1736" ht="15.75" customHeight="1">
      <c r="A1736" s="88">
        <f t="shared" si="8"/>
        <v>45200</v>
      </c>
      <c r="B1736" s="72" t="str">
        <f t="shared" si="1"/>
        <v>20231001</v>
      </c>
      <c r="C1736" s="72" t="str">
        <f t="shared" si="2"/>
        <v>Sunday</v>
      </c>
      <c r="D1736" s="72" t="str">
        <f t="shared" si="3"/>
        <v>October</v>
      </c>
      <c r="E1736" s="72" t="str">
        <f t="shared" si="4"/>
        <v>Q4</v>
      </c>
      <c r="F1736" s="72">
        <f t="shared" si="5"/>
        <v>2023</v>
      </c>
      <c r="G1736" s="89">
        <f t="shared" si="6"/>
        <v>45206</v>
      </c>
      <c r="H1736" s="72" t="str">
        <f t="shared" si="7"/>
        <v>No</v>
      </c>
    </row>
    <row r="1737" ht="15.75" customHeight="1">
      <c r="A1737" s="88">
        <f t="shared" si="8"/>
        <v>45201</v>
      </c>
      <c r="B1737" s="72" t="str">
        <f t="shared" si="1"/>
        <v>20231002</v>
      </c>
      <c r="C1737" s="72" t="str">
        <f t="shared" si="2"/>
        <v>Monday</v>
      </c>
      <c r="D1737" s="72" t="str">
        <f t="shared" si="3"/>
        <v>October</v>
      </c>
      <c r="E1737" s="72" t="str">
        <f t="shared" si="4"/>
        <v>Q4</v>
      </c>
      <c r="F1737" s="72">
        <f t="shared" si="5"/>
        <v>2023</v>
      </c>
      <c r="G1737" s="89">
        <f t="shared" si="6"/>
        <v>45206</v>
      </c>
      <c r="H1737" s="72" t="str">
        <f t="shared" si="7"/>
        <v>Yes</v>
      </c>
    </row>
    <row r="1738" ht="15.75" customHeight="1">
      <c r="A1738" s="88">
        <f t="shared" si="8"/>
        <v>45202</v>
      </c>
      <c r="B1738" s="72" t="str">
        <f t="shared" si="1"/>
        <v>20231003</v>
      </c>
      <c r="C1738" s="72" t="str">
        <f t="shared" si="2"/>
        <v>Tuesday</v>
      </c>
      <c r="D1738" s="72" t="str">
        <f t="shared" si="3"/>
        <v>October</v>
      </c>
      <c r="E1738" s="72" t="str">
        <f t="shared" si="4"/>
        <v>Q4</v>
      </c>
      <c r="F1738" s="72">
        <f t="shared" si="5"/>
        <v>2023</v>
      </c>
      <c r="G1738" s="89">
        <f t="shared" si="6"/>
        <v>45206</v>
      </c>
      <c r="H1738" s="72" t="str">
        <f t="shared" si="7"/>
        <v>Yes</v>
      </c>
    </row>
    <row r="1739" ht="15.75" customHeight="1">
      <c r="A1739" s="88">
        <f t="shared" si="8"/>
        <v>45203</v>
      </c>
      <c r="B1739" s="72" t="str">
        <f t="shared" si="1"/>
        <v>20231004</v>
      </c>
      <c r="C1739" s="72" t="str">
        <f t="shared" si="2"/>
        <v>Wednesday</v>
      </c>
      <c r="D1739" s="72" t="str">
        <f t="shared" si="3"/>
        <v>October</v>
      </c>
      <c r="E1739" s="72" t="str">
        <f t="shared" si="4"/>
        <v>Q4</v>
      </c>
      <c r="F1739" s="72">
        <f t="shared" si="5"/>
        <v>2023</v>
      </c>
      <c r="G1739" s="89">
        <f t="shared" si="6"/>
        <v>45206</v>
      </c>
      <c r="H1739" s="72" t="str">
        <f t="shared" si="7"/>
        <v>Yes</v>
      </c>
    </row>
    <row r="1740" ht="15.75" customHeight="1">
      <c r="A1740" s="88">
        <f t="shared" si="8"/>
        <v>45204</v>
      </c>
      <c r="B1740" s="72" t="str">
        <f t="shared" si="1"/>
        <v>20231005</v>
      </c>
      <c r="C1740" s="72" t="str">
        <f t="shared" si="2"/>
        <v>Thursday</v>
      </c>
      <c r="D1740" s="72" t="str">
        <f t="shared" si="3"/>
        <v>October</v>
      </c>
      <c r="E1740" s="72" t="str">
        <f t="shared" si="4"/>
        <v>Q4</v>
      </c>
      <c r="F1740" s="72">
        <f t="shared" si="5"/>
        <v>2023</v>
      </c>
      <c r="G1740" s="89">
        <f t="shared" si="6"/>
        <v>45206</v>
      </c>
      <c r="H1740" s="72" t="str">
        <f t="shared" si="7"/>
        <v>Yes</v>
      </c>
    </row>
    <row r="1741" ht="15.75" customHeight="1">
      <c r="A1741" s="88">
        <f t="shared" si="8"/>
        <v>45205</v>
      </c>
      <c r="B1741" s="72" t="str">
        <f t="shared" si="1"/>
        <v>20231006</v>
      </c>
      <c r="C1741" s="72" t="str">
        <f t="shared" si="2"/>
        <v>Friday</v>
      </c>
      <c r="D1741" s="72" t="str">
        <f t="shared" si="3"/>
        <v>October</v>
      </c>
      <c r="E1741" s="72" t="str">
        <f t="shared" si="4"/>
        <v>Q4</v>
      </c>
      <c r="F1741" s="72">
        <f t="shared" si="5"/>
        <v>2023</v>
      </c>
      <c r="G1741" s="89">
        <f t="shared" si="6"/>
        <v>45206</v>
      </c>
      <c r="H1741" s="72" t="str">
        <f t="shared" si="7"/>
        <v>Yes</v>
      </c>
    </row>
    <row r="1742" ht="15.75" customHeight="1">
      <c r="A1742" s="88">
        <f t="shared" si="8"/>
        <v>45206</v>
      </c>
      <c r="B1742" s="72" t="str">
        <f t="shared" si="1"/>
        <v>20231007</v>
      </c>
      <c r="C1742" s="72" t="str">
        <f t="shared" si="2"/>
        <v>Saturday</v>
      </c>
      <c r="D1742" s="72" t="str">
        <f t="shared" si="3"/>
        <v>October</v>
      </c>
      <c r="E1742" s="72" t="str">
        <f t="shared" si="4"/>
        <v>Q4</v>
      </c>
      <c r="F1742" s="72">
        <f t="shared" si="5"/>
        <v>2023</v>
      </c>
      <c r="G1742" s="89">
        <f t="shared" si="6"/>
        <v>45206</v>
      </c>
      <c r="H1742" s="72" t="str">
        <f t="shared" si="7"/>
        <v>No</v>
      </c>
    </row>
    <row r="1743" ht="15.75" customHeight="1">
      <c r="A1743" s="88">
        <f t="shared" si="8"/>
        <v>45207</v>
      </c>
      <c r="B1743" s="72" t="str">
        <f t="shared" si="1"/>
        <v>20231008</v>
      </c>
      <c r="C1743" s="72" t="str">
        <f t="shared" si="2"/>
        <v>Sunday</v>
      </c>
      <c r="D1743" s="72" t="str">
        <f t="shared" si="3"/>
        <v>October</v>
      </c>
      <c r="E1743" s="72" t="str">
        <f t="shared" si="4"/>
        <v>Q4</v>
      </c>
      <c r="F1743" s="72">
        <f t="shared" si="5"/>
        <v>2023</v>
      </c>
      <c r="G1743" s="89">
        <f t="shared" si="6"/>
        <v>45213</v>
      </c>
      <c r="H1743" s="72" t="str">
        <f t="shared" si="7"/>
        <v>No</v>
      </c>
    </row>
    <row r="1744" ht="15.75" customHeight="1">
      <c r="A1744" s="88">
        <f t="shared" si="8"/>
        <v>45208</v>
      </c>
      <c r="B1744" s="72" t="str">
        <f t="shared" si="1"/>
        <v>20231009</v>
      </c>
      <c r="C1744" s="72" t="str">
        <f t="shared" si="2"/>
        <v>Monday</v>
      </c>
      <c r="D1744" s="72" t="str">
        <f t="shared" si="3"/>
        <v>October</v>
      </c>
      <c r="E1744" s="72" t="str">
        <f t="shared" si="4"/>
        <v>Q4</v>
      </c>
      <c r="F1744" s="72">
        <f t="shared" si="5"/>
        <v>2023</v>
      </c>
      <c r="G1744" s="89">
        <f t="shared" si="6"/>
        <v>45213</v>
      </c>
      <c r="H1744" s="72" t="str">
        <f t="shared" si="7"/>
        <v>Yes</v>
      </c>
    </row>
    <row r="1745" ht="15.75" customHeight="1">
      <c r="A1745" s="88">
        <f t="shared" si="8"/>
        <v>45209</v>
      </c>
      <c r="B1745" s="72" t="str">
        <f t="shared" si="1"/>
        <v>20231010</v>
      </c>
      <c r="C1745" s="72" t="str">
        <f t="shared" si="2"/>
        <v>Tuesday</v>
      </c>
      <c r="D1745" s="72" t="str">
        <f t="shared" si="3"/>
        <v>October</v>
      </c>
      <c r="E1745" s="72" t="str">
        <f t="shared" si="4"/>
        <v>Q4</v>
      </c>
      <c r="F1745" s="72">
        <f t="shared" si="5"/>
        <v>2023</v>
      </c>
      <c r="G1745" s="89">
        <f t="shared" si="6"/>
        <v>45213</v>
      </c>
      <c r="H1745" s="72" t="str">
        <f t="shared" si="7"/>
        <v>Yes</v>
      </c>
    </row>
    <row r="1746" ht="15.75" customHeight="1">
      <c r="A1746" s="88">
        <f t="shared" si="8"/>
        <v>45210</v>
      </c>
      <c r="B1746" s="72" t="str">
        <f t="shared" si="1"/>
        <v>20231011</v>
      </c>
      <c r="C1746" s="72" t="str">
        <f t="shared" si="2"/>
        <v>Wednesday</v>
      </c>
      <c r="D1746" s="72" t="str">
        <f t="shared" si="3"/>
        <v>October</v>
      </c>
      <c r="E1746" s="72" t="str">
        <f t="shared" si="4"/>
        <v>Q4</v>
      </c>
      <c r="F1746" s="72">
        <f t="shared" si="5"/>
        <v>2023</v>
      </c>
      <c r="G1746" s="89">
        <f t="shared" si="6"/>
        <v>45213</v>
      </c>
      <c r="H1746" s="72" t="str">
        <f t="shared" si="7"/>
        <v>Yes</v>
      </c>
    </row>
    <row r="1747" ht="15.75" customHeight="1">
      <c r="A1747" s="88">
        <f t="shared" si="8"/>
        <v>45211</v>
      </c>
      <c r="B1747" s="72" t="str">
        <f t="shared" si="1"/>
        <v>20231012</v>
      </c>
      <c r="C1747" s="72" t="str">
        <f t="shared" si="2"/>
        <v>Thursday</v>
      </c>
      <c r="D1747" s="72" t="str">
        <f t="shared" si="3"/>
        <v>October</v>
      </c>
      <c r="E1747" s="72" t="str">
        <f t="shared" si="4"/>
        <v>Q4</v>
      </c>
      <c r="F1747" s="72">
        <f t="shared" si="5"/>
        <v>2023</v>
      </c>
      <c r="G1747" s="89">
        <f t="shared" si="6"/>
        <v>45213</v>
      </c>
      <c r="H1747" s="72" t="str">
        <f t="shared" si="7"/>
        <v>Yes</v>
      </c>
    </row>
    <row r="1748" ht="15.75" customHeight="1">
      <c r="A1748" s="88">
        <f t="shared" si="8"/>
        <v>45212</v>
      </c>
      <c r="B1748" s="72" t="str">
        <f t="shared" si="1"/>
        <v>20231013</v>
      </c>
      <c r="C1748" s="72" t="str">
        <f t="shared" si="2"/>
        <v>Friday</v>
      </c>
      <c r="D1748" s="72" t="str">
        <f t="shared" si="3"/>
        <v>October</v>
      </c>
      <c r="E1748" s="72" t="str">
        <f t="shared" si="4"/>
        <v>Q4</v>
      </c>
      <c r="F1748" s="72">
        <f t="shared" si="5"/>
        <v>2023</v>
      </c>
      <c r="G1748" s="89">
        <f t="shared" si="6"/>
        <v>45213</v>
      </c>
      <c r="H1748" s="72" t="str">
        <f t="shared" si="7"/>
        <v>Yes</v>
      </c>
    </row>
    <row r="1749" ht="15.75" customHeight="1">
      <c r="A1749" s="88">
        <f t="shared" si="8"/>
        <v>45213</v>
      </c>
      <c r="B1749" s="72" t="str">
        <f t="shared" si="1"/>
        <v>20231014</v>
      </c>
      <c r="C1749" s="72" t="str">
        <f t="shared" si="2"/>
        <v>Saturday</v>
      </c>
      <c r="D1749" s="72" t="str">
        <f t="shared" si="3"/>
        <v>October</v>
      </c>
      <c r="E1749" s="72" t="str">
        <f t="shared" si="4"/>
        <v>Q4</v>
      </c>
      <c r="F1749" s="72">
        <f t="shared" si="5"/>
        <v>2023</v>
      </c>
      <c r="G1749" s="89">
        <f t="shared" si="6"/>
        <v>45213</v>
      </c>
      <c r="H1749" s="72" t="str">
        <f t="shared" si="7"/>
        <v>No</v>
      </c>
    </row>
    <row r="1750" ht="15.75" customHeight="1">
      <c r="A1750" s="88">
        <f t="shared" si="8"/>
        <v>45214</v>
      </c>
      <c r="B1750" s="72" t="str">
        <f t="shared" si="1"/>
        <v>20231015</v>
      </c>
      <c r="C1750" s="72" t="str">
        <f t="shared" si="2"/>
        <v>Sunday</v>
      </c>
      <c r="D1750" s="72" t="str">
        <f t="shared" si="3"/>
        <v>October</v>
      </c>
      <c r="E1750" s="72" t="str">
        <f t="shared" si="4"/>
        <v>Q4</v>
      </c>
      <c r="F1750" s="72">
        <f t="shared" si="5"/>
        <v>2023</v>
      </c>
      <c r="G1750" s="89">
        <f t="shared" si="6"/>
        <v>45220</v>
      </c>
      <c r="H1750" s="72" t="str">
        <f t="shared" si="7"/>
        <v>No</v>
      </c>
    </row>
    <row r="1751" ht="15.75" customHeight="1">
      <c r="A1751" s="88">
        <f t="shared" si="8"/>
        <v>45215</v>
      </c>
      <c r="B1751" s="72" t="str">
        <f t="shared" si="1"/>
        <v>20231016</v>
      </c>
      <c r="C1751" s="72" t="str">
        <f t="shared" si="2"/>
        <v>Monday</v>
      </c>
      <c r="D1751" s="72" t="str">
        <f t="shared" si="3"/>
        <v>October</v>
      </c>
      <c r="E1751" s="72" t="str">
        <f t="shared" si="4"/>
        <v>Q4</v>
      </c>
      <c r="F1751" s="72">
        <f t="shared" si="5"/>
        <v>2023</v>
      </c>
      <c r="G1751" s="89">
        <f t="shared" si="6"/>
        <v>45220</v>
      </c>
      <c r="H1751" s="72" t="str">
        <f t="shared" si="7"/>
        <v>Yes</v>
      </c>
    </row>
    <row r="1752" ht="15.75" customHeight="1">
      <c r="A1752" s="88">
        <f t="shared" si="8"/>
        <v>45216</v>
      </c>
      <c r="B1752" s="72" t="str">
        <f t="shared" si="1"/>
        <v>20231017</v>
      </c>
      <c r="C1752" s="72" t="str">
        <f t="shared" si="2"/>
        <v>Tuesday</v>
      </c>
      <c r="D1752" s="72" t="str">
        <f t="shared" si="3"/>
        <v>October</v>
      </c>
      <c r="E1752" s="72" t="str">
        <f t="shared" si="4"/>
        <v>Q4</v>
      </c>
      <c r="F1752" s="72">
        <f t="shared" si="5"/>
        <v>2023</v>
      </c>
      <c r="G1752" s="89">
        <f t="shared" si="6"/>
        <v>45220</v>
      </c>
      <c r="H1752" s="72" t="str">
        <f t="shared" si="7"/>
        <v>Yes</v>
      </c>
    </row>
    <row r="1753" ht="15.75" customHeight="1">
      <c r="A1753" s="88">
        <f t="shared" si="8"/>
        <v>45217</v>
      </c>
      <c r="B1753" s="72" t="str">
        <f t="shared" si="1"/>
        <v>20231018</v>
      </c>
      <c r="C1753" s="72" t="str">
        <f t="shared" si="2"/>
        <v>Wednesday</v>
      </c>
      <c r="D1753" s="72" t="str">
        <f t="shared" si="3"/>
        <v>October</v>
      </c>
      <c r="E1753" s="72" t="str">
        <f t="shared" si="4"/>
        <v>Q4</v>
      </c>
      <c r="F1753" s="72">
        <f t="shared" si="5"/>
        <v>2023</v>
      </c>
      <c r="G1753" s="89">
        <f t="shared" si="6"/>
        <v>45220</v>
      </c>
      <c r="H1753" s="72" t="str">
        <f t="shared" si="7"/>
        <v>Yes</v>
      </c>
    </row>
    <row r="1754" ht="15.75" customHeight="1">
      <c r="A1754" s="88">
        <f t="shared" si="8"/>
        <v>45218</v>
      </c>
      <c r="B1754" s="72" t="str">
        <f t="shared" si="1"/>
        <v>20231019</v>
      </c>
      <c r="C1754" s="72" t="str">
        <f t="shared" si="2"/>
        <v>Thursday</v>
      </c>
      <c r="D1754" s="72" t="str">
        <f t="shared" si="3"/>
        <v>October</v>
      </c>
      <c r="E1754" s="72" t="str">
        <f t="shared" si="4"/>
        <v>Q4</v>
      </c>
      <c r="F1754" s="72">
        <f t="shared" si="5"/>
        <v>2023</v>
      </c>
      <c r="G1754" s="89">
        <f t="shared" si="6"/>
        <v>45220</v>
      </c>
      <c r="H1754" s="72" t="str">
        <f t="shared" si="7"/>
        <v>Yes</v>
      </c>
    </row>
    <row r="1755" ht="15.75" customHeight="1">
      <c r="A1755" s="88">
        <f t="shared" si="8"/>
        <v>45219</v>
      </c>
      <c r="B1755" s="72" t="str">
        <f t="shared" si="1"/>
        <v>20231020</v>
      </c>
      <c r="C1755" s="72" t="str">
        <f t="shared" si="2"/>
        <v>Friday</v>
      </c>
      <c r="D1755" s="72" t="str">
        <f t="shared" si="3"/>
        <v>October</v>
      </c>
      <c r="E1755" s="72" t="str">
        <f t="shared" si="4"/>
        <v>Q4</v>
      </c>
      <c r="F1755" s="72">
        <f t="shared" si="5"/>
        <v>2023</v>
      </c>
      <c r="G1755" s="89">
        <f t="shared" si="6"/>
        <v>45220</v>
      </c>
      <c r="H1755" s="72" t="str">
        <f t="shared" si="7"/>
        <v>Yes</v>
      </c>
    </row>
    <row r="1756" ht="15.75" customHeight="1">
      <c r="A1756" s="88">
        <f t="shared" si="8"/>
        <v>45220</v>
      </c>
      <c r="B1756" s="72" t="str">
        <f t="shared" si="1"/>
        <v>20231021</v>
      </c>
      <c r="C1756" s="72" t="str">
        <f t="shared" si="2"/>
        <v>Saturday</v>
      </c>
      <c r="D1756" s="72" t="str">
        <f t="shared" si="3"/>
        <v>October</v>
      </c>
      <c r="E1756" s="72" t="str">
        <f t="shared" si="4"/>
        <v>Q4</v>
      </c>
      <c r="F1756" s="72">
        <f t="shared" si="5"/>
        <v>2023</v>
      </c>
      <c r="G1756" s="89">
        <f t="shared" si="6"/>
        <v>45220</v>
      </c>
      <c r="H1756" s="72" t="str">
        <f t="shared" si="7"/>
        <v>No</v>
      </c>
    </row>
    <row r="1757" ht="15.75" customHeight="1">
      <c r="A1757" s="88">
        <f t="shared" si="8"/>
        <v>45221</v>
      </c>
      <c r="B1757" s="72" t="str">
        <f t="shared" si="1"/>
        <v>20231022</v>
      </c>
      <c r="C1757" s="72" t="str">
        <f t="shared" si="2"/>
        <v>Sunday</v>
      </c>
      <c r="D1757" s="72" t="str">
        <f t="shared" si="3"/>
        <v>October</v>
      </c>
      <c r="E1757" s="72" t="str">
        <f t="shared" si="4"/>
        <v>Q4</v>
      </c>
      <c r="F1757" s="72">
        <f t="shared" si="5"/>
        <v>2023</v>
      </c>
      <c r="G1757" s="89">
        <f t="shared" si="6"/>
        <v>45227</v>
      </c>
      <c r="H1757" s="72" t="str">
        <f t="shared" si="7"/>
        <v>No</v>
      </c>
    </row>
    <row r="1758" ht="15.75" customHeight="1">
      <c r="A1758" s="88">
        <f t="shared" si="8"/>
        <v>45222</v>
      </c>
      <c r="B1758" s="72" t="str">
        <f t="shared" si="1"/>
        <v>20231023</v>
      </c>
      <c r="C1758" s="72" t="str">
        <f t="shared" si="2"/>
        <v>Monday</v>
      </c>
      <c r="D1758" s="72" t="str">
        <f t="shared" si="3"/>
        <v>October</v>
      </c>
      <c r="E1758" s="72" t="str">
        <f t="shared" si="4"/>
        <v>Q4</v>
      </c>
      <c r="F1758" s="72">
        <f t="shared" si="5"/>
        <v>2023</v>
      </c>
      <c r="G1758" s="89">
        <f t="shared" si="6"/>
        <v>45227</v>
      </c>
      <c r="H1758" s="72" t="str">
        <f t="shared" si="7"/>
        <v>Yes</v>
      </c>
    </row>
    <row r="1759" ht="15.75" customHeight="1">
      <c r="A1759" s="88">
        <f t="shared" si="8"/>
        <v>45223</v>
      </c>
      <c r="B1759" s="72" t="str">
        <f t="shared" si="1"/>
        <v>20231024</v>
      </c>
      <c r="C1759" s="72" t="str">
        <f t="shared" si="2"/>
        <v>Tuesday</v>
      </c>
      <c r="D1759" s="72" t="str">
        <f t="shared" si="3"/>
        <v>October</v>
      </c>
      <c r="E1759" s="72" t="str">
        <f t="shared" si="4"/>
        <v>Q4</v>
      </c>
      <c r="F1759" s="72">
        <f t="shared" si="5"/>
        <v>2023</v>
      </c>
      <c r="G1759" s="89">
        <f t="shared" si="6"/>
        <v>45227</v>
      </c>
      <c r="H1759" s="72" t="str">
        <f t="shared" si="7"/>
        <v>Yes</v>
      </c>
    </row>
    <row r="1760" ht="15.75" customHeight="1">
      <c r="A1760" s="88">
        <f t="shared" si="8"/>
        <v>45224</v>
      </c>
      <c r="B1760" s="72" t="str">
        <f t="shared" si="1"/>
        <v>20231025</v>
      </c>
      <c r="C1760" s="72" t="str">
        <f t="shared" si="2"/>
        <v>Wednesday</v>
      </c>
      <c r="D1760" s="72" t="str">
        <f t="shared" si="3"/>
        <v>October</v>
      </c>
      <c r="E1760" s="72" t="str">
        <f t="shared" si="4"/>
        <v>Q4</v>
      </c>
      <c r="F1760" s="72">
        <f t="shared" si="5"/>
        <v>2023</v>
      </c>
      <c r="G1760" s="89">
        <f t="shared" si="6"/>
        <v>45227</v>
      </c>
      <c r="H1760" s="72" t="str">
        <f t="shared" si="7"/>
        <v>Yes</v>
      </c>
    </row>
    <row r="1761" ht="15.75" customHeight="1">
      <c r="A1761" s="88">
        <f t="shared" si="8"/>
        <v>45225</v>
      </c>
      <c r="B1761" s="72" t="str">
        <f t="shared" si="1"/>
        <v>20231026</v>
      </c>
      <c r="C1761" s="72" t="str">
        <f t="shared" si="2"/>
        <v>Thursday</v>
      </c>
      <c r="D1761" s="72" t="str">
        <f t="shared" si="3"/>
        <v>October</v>
      </c>
      <c r="E1761" s="72" t="str">
        <f t="shared" si="4"/>
        <v>Q4</v>
      </c>
      <c r="F1761" s="72">
        <f t="shared" si="5"/>
        <v>2023</v>
      </c>
      <c r="G1761" s="89">
        <f t="shared" si="6"/>
        <v>45227</v>
      </c>
      <c r="H1761" s="72" t="str">
        <f t="shared" si="7"/>
        <v>Yes</v>
      </c>
    </row>
    <row r="1762" ht="15.75" customHeight="1">
      <c r="A1762" s="88">
        <f t="shared" si="8"/>
        <v>45226</v>
      </c>
      <c r="B1762" s="72" t="str">
        <f t="shared" si="1"/>
        <v>20231027</v>
      </c>
      <c r="C1762" s="72" t="str">
        <f t="shared" si="2"/>
        <v>Friday</v>
      </c>
      <c r="D1762" s="72" t="str">
        <f t="shared" si="3"/>
        <v>October</v>
      </c>
      <c r="E1762" s="72" t="str">
        <f t="shared" si="4"/>
        <v>Q4</v>
      </c>
      <c r="F1762" s="72">
        <f t="shared" si="5"/>
        <v>2023</v>
      </c>
      <c r="G1762" s="89">
        <f t="shared" si="6"/>
        <v>45227</v>
      </c>
      <c r="H1762" s="72" t="str">
        <f t="shared" si="7"/>
        <v>Yes</v>
      </c>
    </row>
    <row r="1763" ht="15.75" customHeight="1">
      <c r="A1763" s="88">
        <f t="shared" si="8"/>
        <v>45227</v>
      </c>
      <c r="B1763" s="72" t="str">
        <f t="shared" si="1"/>
        <v>20231028</v>
      </c>
      <c r="C1763" s="72" t="str">
        <f t="shared" si="2"/>
        <v>Saturday</v>
      </c>
      <c r="D1763" s="72" t="str">
        <f t="shared" si="3"/>
        <v>October</v>
      </c>
      <c r="E1763" s="72" t="str">
        <f t="shared" si="4"/>
        <v>Q4</v>
      </c>
      <c r="F1763" s="72">
        <f t="shared" si="5"/>
        <v>2023</v>
      </c>
      <c r="G1763" s="89">
        <f t="shared" si="6"/>
        <v>45227</v>
      </c>
      <c r="H1763" s="72" t="str">
        <f t="shared" si="7"/>
        <v>No</v>
      </c>
    </row>
    <row r="1764" ht="15.75" customHeight="1">
      <c r="A1764" s="88">
        <f t="shared" si="8"/>
        <v>45228</v>
      </c>
      <c r="B1764" s="72" t="str">
        <f t="shared" si="1"/>
        <v>20231029</v>
      </c>
      <c r="C1764" s="72" t="str">
        <f t="shared" si="2"/>
        <v>Sunday</v>
      </c>
      <c r="D1764" s="72" t="str">
        <f t="shared" si="3"/>
        <v>October</v>
      </c>
      <c r="E1764" s="72" t="str">
        <f t="shared" si="4"/>
        <v>Q4</v>
      </c>
      <c r="F1764" s="72">
        <f t="shared" si="5"/>
        <v>2023</v>
      </c>
      <c r="G1764" s="89">
        <f t="shared" si="6"/>
        <v>45234</v>
      </c>
      <c r="H1764" s="72" t="str">
        <f t="shared" si="7"/>
        <v>No</v>
      </c>
    </row>
    <row r="1765" ht="15.75" customHeight="1">
      <c r="A1765" s="88">
        <f t="shared" si="8"/>
        <v>45229</v>
      </c>
      <c r="B1765" s="72" t="str">
        <f t="shared" si="1"/>
        <v>20231030</v>
      </c>
      <c r="C1765" s="72" t="str">
        <f t="shared" si="2"/>
        <v>Monday</v>
      </c>
      <c r="D1765" s="72" t="str">
        <f t="shared" si="3"/>
        <v>October</v>
      </c>
      <c r="E1765" s="72" t="str">
        <f t="shared" si="4"/>
        <v>Q4</v>
      </c>
      <c r="F1765" s="72">
        <f t="shared" si="5"/>
        <v>2023</v>
      </c>
      <c r="G1765" s="89">
        <f t="shared" si="6"/>
        <v>45234</v>
      </c>
      <c r="H1765" s="72" t="str">
        <f t="shared" si="7"/>
        <v>Yes</v>
      </c>
    </row>
    <row r="1766" ht="15.75" customHeight="1">
      <c r="A1766" s="88">
        <f t="shared" si="8"/>
        <v>45230</v>
      </c>
      <c r="B1766" s="72" t="str">
        <f t="shared" si="1"/>
        <v>20231031</v>
      </c>
      <c r="C1766" s="72" t="str">
        <f t="shared" si="2"/>
        <v>Tuesday</v>
      </c>
      <c r="D1766" s="72" t="str">
        <f t="shared" si="3"/>
        <v>October</v>
      </c>
      <c r="E1766" s="72" t="str">
        <f t="shared" si="4"/>
        <v>Q4</v>
      </c>
      <c r="F1766" s="72">
        <f t="shared" si="5"/>
        <v>2023</v>
      </c>
      <c r="G1766" s="89">
        <f t="shared" si="6"/>
        <v>45234</v>
      </c>
      <c r="H1766" s="72" t="str">
        <f t="shared" si="7"/>
        <v>Yes</v>
      </c>
    </row>
    <row r="1767" ht="15.75" customHeight="1">
      <c r="A1767" s="88">
        <f t="shared" si="8"/>
        <v>45231</v>
      </c>
      <c r="B1767" s="72" t="str">
        <f t="shared" si="1"/>
        <v>20231101</v>
      </c>
      <c r="C1767" s="72" t="str">
        <f t="shared" si="2"/>
        <v>Wednesday</v>
      </c>
      <c r="D1767" s="72" t="str">
        <f t="shared" si="3"/>
        <v>November</v>
      </c>
      <c r="E1767" s="72" t="str">
        <f t="shared" si="4"/>
        <v>Q4</v>
      </c>
      <c r="F1767" s="72">
        <f t="shared" si="5"/>
        <v>2023</v>
      </c>
      <c r="G1767" s="89">
        <f t="shared" si="6"/>
        <v>45234</v>
      </c>
      <c r="H1767" s="72" t="str">
        <f t="shared" si="7"/>
        <v>Yes</v>
      </c>
    </row>
    <row r="1768" ht="15.75" customHeight="1">
      <c r="A1768" s="88">
        <f t="shared" si="8"/>
        <v>45232</v>
      </c>
      <c r="B1768" s="72" t="str">
        <f t="shared" si="1"/>
        <v>20231102</v>
      </c>
      <c r="C1768" s="72" t="str">
        <f t="shared" si="2"/>
        <v>Thursday</v>
      </c>
      <c r="D1768" s="72" t="str">
        <f t="shared" si="3"/>
        <v>November</v>
      </c>
      <c r="E1768" s="72" t="str">
        <f t="shared" si="4"/>
        <v>Q4</v>
      </c>
      <c r="F1768" s="72">
        <f t="shared" si="5"/>
        <v>2023</v>
      </c>
      <c r="G1768" s="89">
        <f t="shared" si="6"/>
        <v>45234</v>
      </c>
      <c r="H1768" s="72" t="str">
        <f t="shared" si="7"/>
        <v>Yes</v>
      </c>
    </row>
    <row r="1769" ht="15.75" customHeight="1">
      <c r="A1769" s="88">
        <f t="shared" si="8"/>
        <v>45233</v>
      </c>
      <c r="B1769" s="72" t="str">
        <f t="shared" si="1"/>
        <v>20231103</v>
      </c>
      <c r="C1769" s="72" t="str">
        <f t="shared" si="2"/>
        <v>Friday</v>
      </c>
      <c r="D1769" s="72" t="str">
        <f t="shared" si="3"/>
        <v>November</v>
      </c>
      <c r="E1769" s="72" t="str">
        <f t="shared" si="4"/>
        <v>Q4</v>
      </c>
      <c r="F1769" s="72">
        <f t="shared" si="5"/>
        <v>2023</v>
      </c>
      <c r="G1769" s="89">
        <f t="shared" si="6"/>
        <v>45234</v>
      </c>
      <c r="H1769" s="72" t="str">
        <f t="shared" si="7"/>
        <v>Yes</v>
      </c>
    </row>
    <row r="1770" ht="15.75" customHeight="1">
      <c r="A1770" s="88">
        <f t="shared" si="8"/>
        <v>45234</v>
      </c>
      <c r="B1770" s="72" t="str">
        <f t="shared" si="1"/>
        <v>20231104</v>
      </c>
      <c r="C1770" s="72" t="str">
        <f t="shared" si="2"/>
        <v>Saturday</v>
      </c>
      <c r="D1770" s="72" t="str">
        <f t="shared" si="3"/>
        <v>November</v>
      </c>
      <c r="E1770" s="72" t="str">
        <f t="shared" si="4"/>
        <v>Q4</v>
      </c>
      <c r="F1770" s="72">
        <f t="shared" si="5"/>
        <v>2023</v>
      </c>
      <c r="G1770" s="89">
        <f t="shared" si="6"/>
        <v>45234</v>
      </c>
      <c r="H1770" s="72" t="str">
        <f t="shared" si="7"/>
        <v>No</v>
      </c>
    </row>
    <row r="1771" ht="15.75" customHeight="1">
      <c r="A1771" s="88">
        <f t="shared" si="8"/>
        <v>45235</v>
      </c>
      <c r="B1771" s="72" t="str">
        <f t="shared" si="1"/>
        <v>20231105</v>
      </c>
      <c r="C1771" s="72" t="str">
        <f t="shared" si="2"/>
        <v>Sunday</v>
      </c>
      <c r="D1771" s="72" t="str">
        <f t="shared" si="3"/>
        <v>November</v>
      </c>
      <c r="E1771" s="72" t="str">
        <f t="shared" si="4"/>
        <v>Q4</v>
      </c>
      <c r="F1771" s="72">
        <f t="shared" si="5"/>
        <v>2023</v>
      </c>
      <c r="G1771" s="89">
        <f t="shared" si="6"/>
        <v>45241</v>
      </c>
      <c r="H1771" s="72" t="str">
        <f t="shared" si="7"/>
        <v>No</v>
      </c>
    </row>
    <row r="1772" ht="15.75" customHeight="1">
      <c r="A1772" s="88">
        <f t="shared" si="8"/>
        <v>45236</v>
      </c>
      <c r="B1772" s="72" t="str">
        <f t="shared" si="1"/>
        <v>20231106</v>
      </c>
      <c r="C1772" s="72" t="str">
        <f t="shared" si="2"/>
        <v>Monday</v>
      </c>
      <c r="D1772" s="72" t="str">
        <f t="shared" si="3"/>
        <v>November</v>
      </c>
      <c r="E1772" s="72" t="str">
        <f t="shared" si="4"/>
        <v>Q4</v>
      </c>
      <c r="F1772" s="72">
        <f t="shared" si="5"/>
        <v>2023</v>
      </c>
      <c r="G1772" s="89">
        <f t="shared" si="6"/>
        <v>45241</v>
      </c>
      <c r="H1772" s="72" t="str">
        <f t="shared" si="7"/>
        <v>Yes</v>
      </c>
    </row>
    <row r="1773" ht="15.75" customHeight="1">
      <c r="A1773" s="88">
        <f t="shared" si="8"/>
        <v>45237</v>
      </c>
      <c r="B1773" s="72" t="str">
        <f t="shared" si="1"/>
        <v>20231107</v>
      </c>
      <c r="C1773" s="72" t="str">
        <f t="shared" si="2"/>
        <v>Tuesday</v>
      </c>
      <c r="D1773" s="72" t="str">
        <f t="shared" si="3"/>
        <v>November</v>
      </c>
      <c r="E1773" s="72" t="str">
        <f t="shared" si="4"/>
        <v>Q4</v>
      </c>
      <c r="F1773" s="72">
        <f t="shared" si="5"/>
        <v>2023</v>
      </c>
      <c r="G1773" s="89">
        <f t="shared" si="6"/>
        <v>45241</v>
      </c>
      <c r="H1773" s="72" t="str">
        <f t="shared" si="7"/>
        <v>Yes</v>
      </c>
    </row>
    <row r="1774" ht="15.75" customHeight="1">
      <c r="A1774" s="88">
        <f t="shared" si="8"/>
        <v>45238</v>
      </c>
      <c r="B1774" s="72" t="str">
        <f t="shared" si="1"/>
        <v>20231108</v>
      </c>
      <c r="C1774" s="72" t="str">
        <f t="shared" si="2"/>
        <v>Wednesday</v>
      </c>
      <c r="D1774" s="72" t="str">
        <f t="shared" si="3"/>
        <v>November</v>
      </c>
      <c r="E1774" s="72" t="str">
        <f t="shared" si="4"/>
        <v>Q4</v>
      </c>
      <c r="F1774" s="72">
        <f t="shared" si="5"/>
        <v>2023</v>
      </c>
      <c r="G1774" s="89">
        <f t="shared" si="6"/>
        <v>45241</v>
      </c>
      <c r="H1774" s="72" t="str">
        <f t="shared" si="7"/>
        <v>Yes</v>
      </c>
    </row>
    <row r="1775" ht="15.75" customHeight="1">
      <c r="A1775" s="88">
        <f t="shared" si="8"/>
        <v>45239</v>
      </c>
      <c r="B1775" s="72" t="str">
        <f t="shared" si="1"/>
        <v>20231109</v>
      </c>
      <c r="C1775" s="72" t="str">
        <f t="shared" si="2"/>
        <v>Thursday</v>
      </c>
      <c r="D1775" s="72" t="str">
        <f t="shared" si="3"/>
        <v>November</v>
      </c>
      <c r="E1775" s="72" t="str">
        <f t="shared" si="4"/>
        <v>Q4</v>
      </c>
      <c r="F1775" s="72">
        <f t="shared" si="5"/>
        <v>2023</v>
      </c>
      <c r="G1775" s="89">
        <f t="shared" si="6"/>
        <v>45241</v>
      </c>
      <c r="H1775" s="72" t="str">
        <f t="shared" si="7"/>
        <v>Yes</v>
      </c>
    </row>
    <row r="1776" ht="15.75" customHeight="1">
      <c r="A1776" s="88">
        <f t="shared" si="8"/>
        <v>45240</v>
      </c>
      <c r="B1776" s="72" t="str">
        <f t="shared" si="1"/>
        <v>20231110</v>
      </c>
      <c r="C1776" s="72" t="str">
        <f t="shared" si="2"/>
        <v>Friday</v>
      </c>
      <c r="D1776" s="72" t="str">
        <f t="shared" si="3"/>
        <v>November</v>
      </c>
      <c r="E1776" s="72" t="str">
        <f t="shared" si="4"/>
        <v>Q4</v>
      </c>
      <c r="F1776" s="72">
        <f t="shared" si="5"/>
        <v>2023</v>
      </c>
      <c r="G1776" s="89">
        <f t="shared" si="6"/>
        <v>45241</v>
      </c>
      <c r="H1776" s="72" t="str">
        <f t="shared" si="7"/>
        <v>Yes</v>
      </c>
    </row>
    <row r="1777" ht="15.75" customHeight="1">
      <c r="A1777" s="88">
        <f t="shared" si="8"/>
        <v>45241</v>
      </c>
      <c r="B1777" s="72" t="str">
        <f t="shared" si="1"/>
        <v>20231111</v>
      </c>
      <c r="C1777" s="72" t="str">
        <f t="shared" si="2"/>
        <v>Saturday</v>
      </c>
      <c r="D1777" s="72" t="str">
        <f t="shared" si="3"/>
        <v>November</v>
      </c>
      <c r="E1777" s="72" t="str">
        <f t="shared" si="4"/>
        <v>Q4</v>
      </c>
      <c r="F1777" s="72">
        <f t="shared" si="5"/>
        <v>2023</v>
      </c>
      <c r="G1777" s="89">
        <f t="shared" si="6"/>
        <v>45241</v>
      </c>
      <c r="H1777" s="72" t="str">
        <f t="shared" si="7"/>
        <v>No</v>
      </c>
    </row>
    <row r="1778" ht="15.75" customHeight="1">
      <c r="A1778" s="88">
        <f t="shared" si="8"/>
        <v>45242</v>
      </c>
      <c r="B1778" s="72" t="str">
        <f t="shared" si="1"/>
        <v>20231112</v>
      </c>
      <c r="C1778" s="72" t="str">
        <f t="shared" si="2"/>
        <v>Sunday</v>
      </c>
      <c r="D1778" s="72" t="str">
        <f t="shared" si="3"/>
        <v>November</v>
      </c>
      <c r="E1778" s="72" t="str">
        <f t="shared" si="4"/>
        <v>Q4</v>
      </c>
      <c r="F1778" s="72">
        <f t="shared" si="5"/>
        <v>2023</v>
      </c>
      <c r="G1778" s="89">
        <f t="shared" si="6"/>
        <v>45248</v>
      </c>
      <c r="H1778" s="72" t="str">
        <f t="shared" si="7"/>
        <v>No</v>
      </c>
    </row>
    <row r="1779" ht="15.75" customHeight="1">
      <c r="A1779" s="88">
        <f t="shared" si="8"/>
        <v>45243</v>
      </c>
      <c r="B1779" s="72" t="str">
        <f t="shared" si="1"/>
        <v>20231113</v>
      </c>
      <c r="C1779" s="72" t="str">
        <f t="shared" si="2"/>
        <v>Monday</v>
      </c>
      <c r="D1779" s="72" t="str">
        <f t="shared" si="3"/>
        <v>November</v>
      </c>
      <c r="E1779" s="72" t="str">
        <f t="shared" si="4"/>
        <v>Q4</v>
      </c>
      <c r="F1779" s="72">
        <f t="shared" si="5"/>
        <v>2023</v>
      </c>
      <c r="G1779" s="89">
        <f t="shared" si="6"/>
        <v>45248</v>
      </c>
      <c r="H1779" s="72" t="str">
        <f t="shared" si="7"/>
        <v>Yes</v>
      </c>
    </row>
    <row r="1780" ht="15.75" customHeight="1">
      <c r="A1780" s="88">
        <f t="shared" si="8"/>
        <v>45244</v>
      </c>
      <c r="B1780" s="72" t="str">
        <f t="shared" si="1"/>
        <v>20231114</v>
      </c>
      <c r="C1780" s="72" t="str">
        <f t="shared" si="2"/>
        <v>Tuesday</v>
      </c>
      <c r="D1780" s="72" t="str">
        <f t="shared" si="3"/>
        <v>November</v>
      </c>
      <c r="E1780" s="72" t="str">
        <f t="shared" si="4"/>
        <v>Q4</v>
      </c>
      <c r="F1780" s="72">
        <f t="shared" si="5"/>
        <v>2023</v>
      </c>
      <c r="G1780" s="89">
        <f t="shared" si="6"/>
        <v>45248</v>
      </c>
      <c r="H1780" s="72" t="str">
        <f t="shared" si="7"/>
        <v>Yes</v>
      </c>
    </row>
    <row r="1781" ht="15.75" customHeight="1">
      <c r="A1781" s="88">
        <f t="shared" si="8"/>
        <v>45245</v>
      </c>
      <c r="B1781" s="72" t="str">
        <f t="shared" si="1"/>
        <v>20231115</v>
      </c>
      <c r="C1781" s="72" t="str">
        <f t="shared" si="2"/>
        <v>Wednesday</v>
      </c>
      <c r="D1781" s="72" t="str">
        <f t="shared" si="3"/>
        <v>November</v>
      </c>
      <c r="E1781" s="72" t="str">
        <f t="shared" si="4"/>
        <v>Q4</v>
      </c>
      <c r="F1781" s="72">
        <f t="shared" si="5"/>
        <v>2023</v>
      </c>
      <c r="G1781" s="89">
        <f t="shared" si="6"/>
        <v>45248</v>
      </c>
      <c r="H1781" s="72" t="str">
        <f t="shared" si="7"/>
        <v>Yes</v>
      </c>
    </row>
    <row r="1782" ht="15.75" customHeight="1">
      <c r="A1782" s="88">
        <f t="shared" si="8"/>
        <v>45246</v>
      </c>
      <c r="B1782" s="72" t="str">
        <f t="shared" si="1"/>
        <v>20231116</v>
      </c>
      <c r="C1782" s="72" t="str">
        <f t="shared" si="2"/>
        <v>Thursday</v>
      </c>
      <c r="D1782" s="72" t="str">
        <f t="shared" si="3"/>
        <v>November</v>
      </c>
      <c r="E1782" s="72" t="str">
        <f t="shared" si="4"/>
        <v>Q4</v>
      </c>
      <c r="F1782" s="72">
        <f t="shared" si="5"/>
        <v>2023</v>
      </c>
      <c r="G1782" s="89">
        <f t="shared" si="6"/>
        <v>45248</v>
      </c>
      <c r="H1782" s="72" t="str">
        <f t="shared" si="7"/>
        <v>Yes</v>
      </c>
    </row>
    <row r="1783" ht="15.75" customHeight="1">
      <c r="A1783" s="88">
        <f t="shared" si="8"/>
        <v>45247</v>
      </c>
      <c r="B1783" s="72" t="str">
        <f t="shared" si="1"/>
        <v>20231117</v>
      </c>
      <c r="C1783" s="72" t="str">
        <f t="shared" si="2"/>
        <v>Friday</v>
      </c>
      <c r="D1783" s="72" t="str">
        <f t="shared" si="3"/>
        <v>November</v>
      </c>
      <c r="E1783" s="72" t="str">
        <f t="shared" si="4"/>
        <v>Q4</v>
      </c>
      <c r="F1783" s="72">
        <f t="shared" si="5"/>
        <v>2023</v>
      </c>
      <c r="G1783" s="89">
        <f t="shared" si="6"/>
        <v>45248</v>
      </c>
      <c r="H1783" s="72" t="str">
        <f t="shared" si="7"/>
        <v>Yes</v>
      </c>
    </row>
    <row r="1784" ht="15.75" customHeight="1">
      <c r="A1784" s="88">
        <f t="shared" si="8"/>
        <v>45248</v>
      </c>
      <c r="B1784" s="72" t="str">
        <f t="shared" si="1"/>
        <v>20231118</v>
      </c>
      <c r="C1784" s="72" t="str">
        <f t="shared" si="2"/>
        <v>Saturday</v>
      </c>
      <c r="D1784" s="72" t="str">
        <f t="shared" si="3"/>
        <v>November</v>
      </c>
      <c r="E1784" s="72" t="str">
        <f t="shared" si="4"/>
        <v>Q4</v>
      </c>
      <c r="F1784" s="72">
        <f t="shared" si="5"/>
        <v>2023</v>
      </c>
      <c r="G1784" s="89">
        <f t="shared" si="6"/>
        <v>45248</v>
      </c>
      <c r="H1784" s="72" t="str">
        <f t="shared" si="7"/>
        <v>No</v>
      </c>
    </row>
    <row r="1785" ht="15.75" customHeight="1">
      <c r="A1785" s="88">
        <f t="shared" si="8"/>
        <v>45249</v>
      </c>
      <c r="B1785" s="72" t="str">
        <f t="shared" si="1"/>
        <v>20231119</v>
      </c>
      <c r="C1785" s="72" t="str">
        <f t="shared" si="2"/>
        <v>Sunday</v>
      </c>
      <c r="D1785" s="72" t="str">
        <f t="shared" si="3"/>
        <v>November</v>
      </c>
      <c r="E1785" s="72" t="str">
        <f t="shared" si="4"/>
        <v>Q4</v>
      </c>
      <c r="F1785" s="72">
        <f t="shared" si="5"/>
        <v>2023</v>
      </c>
      <c r="G1785" s="89">
        <f t="shared" si="6"/>
        <v>45255</v>
      </c>
      <c r="H1785" s="72" t="str">
        <f t="shared" si="7"/>
        <v>No</v>
      </c>
    </row>
    <row r="1786" ht="15.75" customHeight="1">
      <c r="A1786" s="88">
        <f t="shared" si="8"/>
        <v>45250</v>
      </c>
      <c r="B1786" s="72" t="str">
        <f t="shared" si="1"/>
        <v>20231120</v>
      </c>
      <c r="C1786" s="72" t="str">
        <f t="shared" si="2"/>
        <v>Monday</v>
      </c>
      <c r="D1786" s="72" t="str">
        <f t="shared" si="3"/>
        <v>November</v>
      </c>
      <c r="E1786" s="72" t="str">
        <f t="shared" si="4"/>
        <v>Q4</v>
      </c>
      <c r="F1786" s="72">
        <f t="shared" si="5"/>
        <v>2023</v>
      </c>
      <c r="G1786" s="89">
        <f t="shared" si="6"/>
        <v>45255</v>
      </c>
      <c r="H1786" s="72" t="str">
        <f t="shared" si="7"/>
        <v>Yes</v>
      </c>
    </row>
    <row r="1787" ht="15.75" customHeight="1">
      <c r="A1787" s="88">
        <f t="shared" si="8"/>
        <v>45251</v>
      </c>
      <c r="B1787" s="72" t="str">
        <f t="shared" si="1"/>
        <v>20231121</v>
      </c>
      <c r="C1787" s="72" t="str">
        <f t="shared" si="2"/>
        <v>Tuesday</v>
      </c>
      <c r="D1787" s="72" t="str">
        <f t="shared" si="3"/>
        <v>November</v>
      </c>
      <c r="E1787" s="72" t="str">
        <f t="shared" si="4"/>
        <v>Q4</v>
      </c>
      <c r="F1787" s="72">
        <f t="shared" si="5"/>
        <v>2023</v>
      </c>
      <c r="G1787" s="89">
        <f t="shared" si="6"/>
        <v>45255</v>
      </c>
      <c r="H1787" s="72" t="str">
        <f t="shared" si="7"/>
        <v>Yes</v>
      </c>
    </row>
    <row r="1788" ht="15.75" customHeight="1">
      <c r="A1788" s="88">
        <f t="shared" si="8"/>
        <v>45252</v>
      </c>
      <c r="B1788" s="72" t="str">
        <f t="shared" si="1"/>
        <v>20231122</v>
      </c>
      <c r="C1788" s="72" t="str">
        <f t="shared" si="2"/>
        <v>Wednesday</v>
      </c>
      <c r="D1788" s="72" t="str">
        <f t="shared" si="3"/>
        <v>November</v>
      </c>
      <c r="E1788" s="72" t="str">
        <f t="shared" si="4"/>
        <v>Q4</v>
      </c>
      <c r="F1788" s="72">
        <f t="shared" si="5"/>
        <v>2023</v>
      </c>
      <c r="G1788" s="89">
        <f t="shared" si="6"/>
        <v>45255</v>
      </c>
      <c r="H1788" s="72" t="str">
        <f t="shared" si="7"/>
        <v>Yes</v>
      </c>
    </row>
    <row r="1789" ht="15.75" customHeight="1">
      <c r="A1789" s="88">
        <f t="shared" si="8"/>
        <v>45253</v>
      </c>
      <c r="B1789" s="72" t="str">
        <f t="shared" si="1"/>
        <v>20231123</v>
      </c>
      <c r="C1789" s="72" t="str">
        <f t="shared" si="2"/>
        <v>Thursday</v>
      </c>
      <c r="D1789" s="72" t="str">
        <f t="shared" si="3"/>
        <v>November</v>
      </c>
      <c r="E1789" s="72" t="str">
        <f t="shared" si="4"/>
        <v>Q4</v>
      </c>
      <c r="F1789" s="72">
        <f t="shared" si="5"/>
        <v>2023</v>
      </c>
      <c r="G1789" s="89">
        <f t="shared" si="6"/>
        <v>45255</v>
      </c>
      <c r="H1789" s="72" t="str">
        <f t="shared" si="7"/>
        <v>Yes</v>
      </c>
    </row>
    <row r="1790" ht="15.75" customHeight="1">
      <c r="A1790" s="88">
        <f t="shared" si="8"/>
        <v>45254</v>
      </c>
      <c r="B1790" s="72" t="str">
        <f t="shared" si="1"/>
        <v>20231124</v>
      </c>
      <c r="C1790" s="72" t="str">
        <f t="shared" si="2"/>
        <v>Friday</v>
      </c>
      <c r="D1790" s="72" t="str">
        <f t="shared" si="3"/>
        <v>November</v>
      </c>
      <c r="E1790" s="72" t="str">
        <f t="shared" si="4"/>
        <v>Q4</v>
      </c>
      <c r="F1790" s="72">
        <f t="shared" si="5"/>
        <v>2023</v>
      </c>
      <c r="G1790" s="89">
        <f t="shared" si="6"/>
        <v>45255</v>
      </c>
      <c r="H1790" s="72" t="str">
        <f t="shared" si="7"/>
        <v>Yes</v>
      </c>
    </row>
    <row r="1791" ht="15.75" customHeight="1">
      <c r="A1791" s="88">
        <f t="shared" si="8"/>
        <v>45255</v>
      </c>
      <c r="B1791" s="72" t="str">
        <f t="shared" si="1"/>
        <v>20231125</v>
      </c>
      <c r="C1791" s="72" t="str">
        <f t="shared" si="2"/>
        <v>Saturday</v>
      </c>
      <c r="D1791" s="72" t="str">
        <f t="shared" si="3"/>
        <v>November</v>
      </c>
      <c r="E1791" s="72" t="str">
        <f t="shared" si="4"/>
        <v>Q4</v>
      </c>
      <c r="F1791" s="72">
        <f t="shared" si="5"/>
        <v>2023</v>
      </c>
      <c r="G1791" s="89">
        <f t="shared" si="6"/>
        <v>45255</v>
      </c>
      <c r="H1791" s="72" t="str">
        <f t="shared" si="7"/>
        <v>No</v>
      </c>
    </row>
    <row r="1792" ht="15.75" customHeight="1">
      <c r="A1792" s="88">
        <f t="shared" si="8"/>
        <v>45256</v>
      </c>
      <c r="B1792" s="72" t="str">
        <f t="shared" si="1"/>
        <v>20231126</v>
      </c>
      <c r="C1792" s="72" t="str">
        <f t="shared" si="2"/>
        <v>Sunday</v>
      </c>
      <c r="D1792" s="72" t="str">
        <f t="shared" si="3"/>
        <v>November</v>
      </c>
      <c r="E1792" s="72" t="str">
        <f t="shared" si="4"/>
        <v>Q4</v>
      </c>
      <c r="F1792" s="72">
        <f t="shared" si="5"/>
        <v>2023</v>
      </c>
      <c r="G1792" s="89">
        <f t="shared" si="6"/>
        <v>45262</v>
      </c>
      <c r="H1792" s="72" t="str">
        <f t="shared" si="7"/>
        <v>No</v>
      </c>
    </row>
    <row r="1793" ht="15.75" customHeight="1">
      <c r="A1793" s="88">
        <f t="shared" si="8"/>
        <v>45257</v>
      </c>
      <c r="B1793" s="72" t="str">
        <f t="shared" si="1"/>
        <v>20231127</v>
      </c>
      <c r="C1793" s="72" t="str">
        <f t="shared" si="2"/>
        <v>Monday</v>
      </c>
      <c r="D1793" s="72" t="str">
        <f t="shared" si="3"/>
        <v>November</v>
      </c>
      <c r="E1793" s="72" t="str">
        <f t="shared" si="4"/>
        <v>Q4</v>
      </c>
      <c r="F1793" s="72">
        <f t="shared" si="5"/>
        <v>2023</v>
      </c>
      <c r="G1793" s="89">
        <f t="shared" si="6"/>
        <v>45262</v>
      </c>
      <c r="H1793" s="72" t="str">
        <f t="shared" si="7"/>
        <v>Yes</v>
      </c>
    </row>
    <row r="1794" ht="15.75" customHeight="1">
      <c r="A1794" s="88">
        <f t="shared" si="8"/>
        <v>45258</v>
      </c>
      <c r="B1794" s="72" t="str">
        <f t="shared" si="1"/>
        <v>20231128</v>
      </c>
      <c r="C1794" s="72" t="str">
        <f t="shared" si="2"/>
        <v>Tuesday</v>
      </c>
      <c r="D1794" s="72" t="str">
        <f t="shared" si="3"/>
        <v>November</v>
      </c>
      <c r="E1794" s="72" t="str">
        <f t="shared" si="4"/>
        <v>Q4</v>
      </c>
      <c r="F1794" s="72">
        <f t="shared" si="5"/>
        <v>2023</v>
      </c>
      <c r="G1794" s="89">
        <f t="shared" si="6"/>
        <v>45262</v>
      </c>
      <c r="H1794" s="72" t="str">
        <f t="shared" si="7"/>
        <v>Yes</v>
      </c>
    </row>
    <row r="1795" ht="15.75" customHeight="1">
      <c r="A1795" s="88">
        <f t="shared" si="8"/>
        <v>45259</v>
      </c>
      <c r="B1795" s="72" t="str">
        <f t="shared" si="1"/>
        <v>20231129</v>
      </c>
      <c r="C1795" s="72" t="str">
        <f t="shared" si="2"/>
        <v>Wednesday</v>
      </c>
      <c r="D1795" s="72" t="str">
        <f t="shared" si="3"/>
        <v>November</v>
      </c>
      <c r="E1795" s="72" t="str">
        <f t="shared" si="4"/>
        <v>Q4</v>
      </c>
      <c r="F1795" s="72">
        <f t="shared" si="5"/>
        <v>2023</v>
      </c>
      <c r="G1795" s="89">
        <f t="shared" si="6"/>
        <v>45262</v>
      </c>
      <c r="H1795" s="72" t="str">
        <f t="shared" si="7"/>
        <v>Yes</v>
      </c>
    </row>
    <row r="1796" ht="15.75" customHeight="1">
      <c r="A1796" s="88">
        <f t="shared" si="8"/>
        <v>45260</v>
      </c>
      <c r="B1796" s="72" t="str">
        <f t="shared" si="1"/>
        <v>20231130</v>
      </c>
      <c r="C1796" s="72" t="str">
        <f t="shared" si="2"/>
        <v>Thursday</v>
      </c>
      <c r="D1796" s="72" t="str">
        <f t="shared" si="3"/>
        <v>November</v>
      </c>
      <c r="E1796" s="72" t="str">
        <f t="shared" si="4"/>
        <v>Q4</v>
      </c>
      <c r="F1796" s="72">
        <f t="shared" si="5"/>
        <v>2023</v>
      </c>
      <c r="G1796" s="89">
        <f t="shared" si="6"/>
        <v>45262</v>
      </c>
      <c r="H1796" s="72" t="str">
        <f t="shared" si="7"/>
        <v>Yes</v>
      </c>
    </row>
    <row r="1797" ht="15.75" customHeight="1">
      <c r="A1797" s="88">
        <f t="shared" si="8"/>
        <v>45261</v>
      </c>
      <c r="B1797" s="72" t="str">
        <f t="shared" si="1"/>
        <v>20231201</v>
      </c>
      <c r="C1797" s="72" t="str">
        <f t="shared" si="2"/>
        <v>Friday</v>
      </c>
      <c r="D1797" s="72" t="str">
        <f t="shared" si="3"/>
        <v>December</v>
      </c>
      <c r="E1797" s="72" t="str">
        <f t="shared" si="4"/>
        <v>Q4</v>
      </c>
      <c r="F1797" s="72">
        <f t="shared" si="5"/>
        <v>2023</v>
      </c>
      <c r="G1797" s="89">
        <f t="shared" si="6"/>
        <v>45262</v>
      </c>
      <c r="H1797" s="72" t="str">
        <f t="shared" si="7"/>
        <v>Yes</v>
      </c>
    </row>
    <row r="1798" ht="15.75" customHeight="1">
      <c r="A1798" s="88">
        <f t="shared" si="8"/>
        <v>45262</v>
      </c>
      <c r="B1798" s="72" t="str">
        <f t="shared" si="1"/>
        <v>20231202</v>
      </c>
      <c r="C1798" s="72" t="str">
        <f t="shared" si="2"/>
        <v>Saturday</v>
      </c>
      <c r="D1798" s="72" t="str">
        <f t="shared" si="3"/>
        <v>December</v>
      </c>
      <c r="E1798" s="72" t="str">
        <f t="shared" si="4"/>
        <v>Q4</v>
      </c>
      <c r="F1798" s="72">
        <f t="shared" si="5"/>
        <v>2023</v>
      </c>
      <c r="G1798" s="89">
        <f t="shared" si="6"/>
        <v>45262</v>
      </c>
      <c r="H1798" s="72" t="str">
        <f t="shared" si="7"/>
        <v>No</v>
      </c>
    </row>
    <row r="1799" ht="15.75" customHeight="1">
      <c r="A1799" s="88">
        <f t="shared" si="8"/>
        <v>45263</v>
      </c>
      <c r="B1799" s="72" t="str">
        <f t="shared" si="1"/>
        <v>20231203</v>
      </c>
      <c r="C1799" s="72" t="str">
        <f t="shared" si="2"/>
        <v>Sunday</v>
      </c>
      <c r="D1799" s="72" t="str">
        <f t="shared" si="3"/>
        <v>December</v>
      </c>
      <c r="E1799" s="72" t="str">
        <f t="shared" si="4"/>
        <v>Q4</v>
      </c>
      <c r="F1799" s="72">
        <f t="shared" si="5"/>
        <v>2023</v>
      </c>
      <c r="G1799" s="89">
        <f t="shared" si="6"/>
        <v>45269</v>
      </c>
      <c r="H1799" s="72" t="str">
        <f t="shared" si="7"/>
        <v>No</v>
      </c>
    </row>
    <row r="1800" ht="15.75" customHeight="1">
      <c r="A1800" s="88">
        <f t="shared" si="8"/>
        <v>45264</v>
      </c>
      <c r="B1800" s="72" t="str">
        <f t="shared" si="1"/>
        <v>20231204</v>
      </c>
      <c r="C1800" s="72" t="str">
        <f t="shared" si="2"/>
        <v>Monday</v>
      </c>
      <c r="D1800" s="72" t="str">
        <f t="shared" si="3"/>
        <v>December</v>
      </c>
      <c r="E1800" s="72" t="str">
        <f t="shared" si="4"/>
        <v>Q4</v>
      </c>
      <c r="F1800" s="72">
        <f t="shared" si="5"/>
        <v>2023</v>
      </c>
      <c r="G1800" s="89">
        <f t="shared" si="6"/>
        <v>45269</v>
      </c>
      <c r="H1800" s="72" t="str">
        <f t="shared" si="7"/>
        <v>Yes</v>
      </c>
    </row>
    <row r="1801" ht="15.75" customHeight="1">
      <c r="A1801" s="88">
        <f t="shared" si="8"/>
        <v>45265</v>
      </c>
      <c r="B1801" s="72" t="str">
        <f t="shared" si="1"/>
        <v>20231205</v>
      </c>
      <c r="C1801" s="72" t="str">
        <f t="shared" si="2"/>
        <v>Tuesday</v>
      </c>
      <c r="D1801" s="72" t="str">
        <f t="shared" si="3"/>
        <v>December</v>
      </c>
      <c r="E1801" s="72" t="str">
        <f t="shared" si="4"/>
        <v>Q4</v>
      </c>
      <c r="F1801" s="72">
        <f t="shared" si="5"/>
        <v>2023</v>
      </c>
      <c r="G1801" s="89">
        <f t="shared" si="6"/>
        <v>45269</v>
      </c>
      <c r="H1801" s="72" t="str">
        <f t="shared" si="7"/>
        <v>Yes</v>
      </c>
    </row>
    <row r="1802" ht="15.75" customHeight="1">
      <c r="A1802" s="88">
        <f t="shared" si="8"/>
        <v>45266</v>
      </c>
      <c r="B1802" s="72" t="str">
        <f t="shared" si="1"/>
        <v>20231206</v>
      </c>
      <c r="C1802" s="72" t="str">
        <f t="shared" si="2"/>
        <v>Wednesday</v>
      </c>
      <c r="D1802" s="72" t="str">
        <f t="shared" si="3"/>
        <v>December</v>
      </c>
      <c r="E1802" s="72" t="str">
        <f t="shared" si="4"/>
        <v>Q4</v>
      </c>
      <c r="F1802" s="72">
        <f t="shared" si="5"/>
        <v>2023</v>
      </c>
      <c r="G1802" s="89">
        <f t="shared" si="6"/>
        <v>45269</v>
      </c>
      <c r="H1802" s="72" t="str">
        <f t="shared" si="7"/>
        <v>Yes</v>
      </c>
    </row>
    <row r="1803" ht="15.75" customHeight="1">
      <c r="A1803" s="88">
        <f t="shared" si="8"/>
        <v>45267</v>
      </c>
      <c r="B1803" s="72" t="str">
        <f t="shared" si="1"/>
        <v>20231207</v>
      </c>
      <c r="C1803" s="72" t="str">
        <f t="shared" si="2"/>
        <v>Thursday</v>
      </c>
      <c r="D1803" s="72" t="str">
        <f t="shared" si="3"/>
        <v>December</v>
      </c>
      <c r="E1803" s="72" t="str">
        <f t="shared" si="4"/>
        <v>Q4</v>
      </c>
      <c r="F1803" s="72">
        <f t="shared" si="5"/>
        <v>2023</v>
      </c>
      <c r="G1803" s="89">
        <f t="shared" si="6"/>
        <v>45269</v>
      </c>
      <c r="H1803" s="72" t="str">
        <f t="shared" si="7"/>
        <v>Yes</v>
      </c>
    </row>
    <row r="1804" ht="15.75" customHeight="1">
      <c r="A1804" s="88">
        <f t="shared" si="8"/>
        <v>45268</v>
      </c>
      <c r="B1804" s="72" t="str">
        <f t="shared" si="1"/>
        <v>20231208</v>
      </c>
      <c r="C1804" s="72" t="str">
        <f t="shared" si="2"/>
        <v>Friday</v>
      </c>
      <c r="D1804" s="72" t="str">
        <f t="shared" si="3"/>
        <v>December</v>
      </c>
      <c r="E1804" s="72" t="str">
        <f t="shared" si="4"/>
        <v>Q4</v>
      </c>
      <c r="F1804" s="72">
        <f t="shared" si="5"/>
        <v>2023</v>
      </c>
      <c r="G1804" s="89">
        <f t="shared" si="6"/>
        <v>45269</v>
      </c>
      <c r="H1804" s="72" t="str">
        <f t="shared" si="7"/>
        <v>Yes</v>
      </c>
    </row>
    <row r="1805" ht="15.75" customHeight="1">
      <c r="A1805" s="88">
        <f t="shared" si="8"/>
        <v>45269</v>
      </c>
      <c r="B1805" s="72" t="str">
        <f t="shared" si="1"/>
        <v>20231209</v>
      </c>
      <c r="C1805" s="72" t="str">
        <f t="shared" si="2"/>
        <v>Saturday</v>
      </c>
      <c r="D1805" s="72" t="str">
        <f t="shared" si="3"/>
        <v>December</v>
      </c>
      <c r="E1805" s="72" t="str">
        <f t="shared" si="4"/>
        <v>Q4</v>
      </c>
      <c r="F1805" s="72">
        <f t="shared" si="5"/>
        <v>2023</v>
      </c>
      <c r="G1805" s="89">
        <f t="shared" si="6"/>
        <v>45269</v>
      </c>
      <c r="H1805" s="72" t="str">
        <f t="shared" si="7"/>
        <v>No</v>
      </c>
    </row>
    <row r="1806" ht="15.75" customHeight="1">
      <c r="A1806" s="88">
        <f t="shared" si="8"/>
        <v>45270</v>
      </c>
      <c r="B1806" s="72" t="str">
        <f t="shared" si="1"/>
        <v>20231210</v>
      </c>
      <c r="C1806" s="72" t="str">
        <f t="shared" si="2"/>
        <v>Sunday</v>
      </c>
      <c r="D1806" s="72" t="str">
        <f t="shared" si="3"/>
        <v>December</v>
      </c>
      <c r="E1806" s="72" t="str">
        <f t="shared" si="4"/>
        <v>Q4</v>
      </c>
      <c r="F1806" s="72">
        <f t="shared" si="5"/>
        <v>2023</v>
      </c>
      <c r="G1806" s="89">
        <f t="shared" si="6"/>
        <v>45276</v>
      </c>
      <c r="H1806" s="72" t="str">
        <f t="shared" si="7"/>
        <v>No</v>
      </c>
    </row>
    <row r="1807" ht="15.75" customHeight="1">
      <c r="A1807" s="88">
        <f t="shared" si="8"/>
        <v>45271</v>
      </c>
      <c r="B1807" s="72" t="str">
        <f t="shared" si="1"/>
        <v>20231211</v>
      </c>
      <c r="C1807" s="72" t="str">
        <f t="shared" si="2"/>
        <v>Monday</v>
      </c>
      <c r="D1807" s="72" t="str">
        <f t="shared" si="3"/>
        <v>December</v>
      </c>
      <c r="E1807" s="72" t="str">
        <f t="shared" si="4"/>
        <v>Q4</v>
      </c>
      <c r="F1807" s="72">
        <f t="shared" si="5"/>
        <v>2023</v>
      </c>
      <c r="G1807" s="89">
        <f t="shared" si="6"/>
        <v>45276</v>
      </c>
      <c r="H1807" s="72" t="str">
        <f t="shared" si="7"/>
        <v>Yes</v>
      </c>
    </row>
    <row r="1808" ht="15.75" customHeight="1">
      <c r="A1808" s="88">
        <f t="shared" si="8"/>
        <v>45272</v>
      </c>
      <c r="B1808" s="72" t="str">
        <f t="shared" si="1"/>
        <v>20231212</v>
      </c>
      <c r="C1808" s="72" t="str">
        <f t="shared" si="2"/>
        <v>Tuesday</v>
      </c>
      <c r="D1808" s="72" t="str">
        <f t="shared" si="3"/>
        <v>December</v>
      </c>
      <c r="E1808" s="72" t="str">
        <f t="shared" si="4"/>
        <v>Q4</v>
      </c>
      <c r="F1808" s="72">
        <f t="shared" si="5"/>
        <v>2023</v>
      </c>
      <c r="G1808" s="89">
        <f t="shared" si="6"/>
        <v>45276</v>
      </c>
      <c r="H1808" s="72" t="str">
        <f t="shared" si="7"/>
        <v>Yes</v>
      </c>
    </row>
    <row r="1809" ht="15.75" customHeight="1">
      <c r="A1809" s="88">
        <f t="shared" si="8"/>
        <v>45273</v>
      </c>
      <c r="B1809" s="72" t="str">
        <f t="shared" si="1"/>
        <v>20231213</v>
      </c>
      <c r="C1809" s="72" t="str">
        <f t="shared" si="2"/>
        <v>Wednesday</v>
      </c>
      <c r="D1809" s="72" t="str">
        <f t="shared" si="3"/>
        <v>December</v>
      </c>
      <c r="E1809" s="72" t="str">
        <f t="shared" si="4"/>
        <v>Q4</v>
      </c>
      <c r="F1809" s="72">
        <f t="shared" si="5"/>
        <v>2023</v>
      </c>
      <c r="G1809" s="89">
        <f t="shared" si="6"/>
        <v>45276</v>
      </c>
      <c r="H1809" s="72" t="str">
        <f t="shared" si="7"/>
        <v>Yes</v>
      </c>
    </row>
    <row r="1810" ht="15.75" customHeight="1">
      <c r="A1810" s="88">
        <f t="shared" si="8"/>
        <v>45274</v>
      </c>
      <c r="B1810" s="72" t="str">
        <f t="shared" si="1"/>
        <v>20231214</v>
      </c>
      <c r="C1810" s="72" t="str">
        <f t="shared" si="2"/>
        <v>Thursday</v>
      </c>
      <c r="D1810" s="72" t="str">
        <f t="shared" si="3"/>
        <v>December</v>
      </c>
      <c r="E1810" s="72" t="str">
        <f t="shared" si="4"/>
        <v>Q4</v>
      </c>
      <c r="F1810" s="72">
        <f t="shared" si="5"/>
        <v>2023</v>
      </c>
      <c r="G1810" s="89">
        <f t="shared" si="6"/>
        <v>45276</v>
      </c>
      <c r="H1810" s="72" t="str">
        <f t="shared" si="7"/>
        <v>Yes</v>
      </c>
    </row>
    <row r="1811" ht="15.75" customHeight="1">
      <c r="A1811" s="88">
        <f t="shared" si="8"/>
        <v>45275</v>
      </c>
      <c r="B1811" s="72" t="str">
        <f t="shared" si="1"/>
        <v>20231215</v>
      </c>
      <c r="C1811" s="72" t="str">
        <f t="shared" si="2"/>
        <v>Friday</v>
      </c>
      <c r="D1811" s="72" t="str">
        <f t="shared" si="3"/>
        <v>December</v>
      </c>
      <c r="E1811" s="72" t="str">
        <f t="shared" si="4"/>
        <v>Q4</v>
      </c>
      <c r="F1811" s="72">
        <f t="shared" si="5"/>
        <v>2023</v>
      </c>
      <c r="G1811" s="89">
        <f t="shared" si="6"/>
        <v>45276</v>
      </c>
      <c r="H1811" s="72" t="str">
        <f t="shared" si="7"/>
        <v>Yes</v>
      </c>
    </row>
    <row r="1812" ht="15.75" customHeight="1">
      <c r="A1812" s="88">
        <f t="shared" si="8"/>
        <v>45276</v>
      </c>
      <c r="B1812" s="72" t="str">
        <f t="shared" si="1"/>
        <v>20231216</v>
      </c>
      <c r="C1812" s="72" t="str">
        <f t="shared" si="2"/>
        <v>Saturday</v>
      </c>
      <c r="D1812" s="72" t="str">
        <f t="shared" si="3"/>
        <v>December</v>
      </c>
      <c r="E1812" s="72" t="str">
        <f t="shared" si="4"/>
        <v>Q4</v>
      </c>
      <c r="F1812" s="72">
        <f t="shared" si="5"/>
        <v>2023</v>
      </c>
      <c r="G1812" s="89">
        <f t="shared" si="6"/>
        <v>45276</v>
      </c>
      <c r="H1812" s="72" t="str">
        <f t="shared" si="7"/>
        <v>No</v>
      </c>
    </row>
    <row r="1813" ht="15.75" customHeight="1">
      <c r="A1813" s="88">
        <f t="shared" si="8"/>
        <v>45277</v>
      </c>
      <c r="B1813" s="72" t="str">
        <f t="shared" si="1"/>
        <v>20231217</v>
      </c>
      <c r="C1813" s="72" t="str">
        <f t="shared" si="2"/>
        <v>Sunday</v>
      </c>
      <c r="D1813" s="72" t="str">
        <f t="shared" si="3"/>
        <v>December</v>
      </c>
      <c r="E1813" s="72" t="str">
        <f t="shared" si="4"/>
        <v>Q4</v>
      </c>
      <c r="F1813" s="72">
        <f t="shared" si="5"/>
        <v>2023</v>
      </c>
      <c r="G1813" s="89">
        <f t="shared" si="6"/>
        <v>45283</v>
      </c>
      <c r="H1813" s="72" t="str">
        <f t="shared" si="7"/>
        <v>No</v>
      </c>
    </row>
    <row r="1814" ht="15.75" customHeight="1">
      <c r="A1814" s="88">
        <f t="shared" si="8"/>
        <v>45278</v>
      </c>
      <c r="B1814" s="72" t="str">
        <f t="shared" si="1"/>
        <v>20231218</v>
      </c>
      <c r="C1814" s="72" t="str">
        <f t="shared" si="2"/>
        <v>Monday</v>
      </c>
      <c r="D1814" s="72" t="str">
        <f t="shared" si="3"/>
        <v>December</v>
      </c>
      <c r="E1814" s="72" t="str">
        <f t="shared" si="4"/>
        <v>Q4</v>
      </c>
      <c r="F1814" s="72">
        <f t="shared" si="5"/>
        <v>2023</v>
      </c>
      <c r="G1814" s="89">
        <f t="shared" si="6"/>
        <v>45283</v>
      </c>
      <c r="H1814" s="72" t="str">
        <f t="shared" si="7"/>
        <v>Yes</v>
      </c>
    </row>
    <row r="1815" ht="15.75" customHeight="1">
      <c r="A1815" s="88">
        <f t="shared" si="8"/>
        <v>45279</v>
      </c>
      <c r="B1815" s="72" t="str">
        <f t="shared" si="1"/>
        <v>20231219</v>
      </c>
      <c r="C1815" s="72" t="str">
        <f t="shared" si="2"/>
        <v>Tuesday</v>
      </c>
      <c r="D1815" s="72" t="str">
        <f t="shared" si="3"/>
        <v>December</v>
      </c>
      <c r="E1815" s="72" t="str">
        <f t="shared" si="4"/>
        <v>Q4</v>
      </c>
      <c r="F1815" s="72">
        <f t="shared" si="5"/>
        <v>2023</v>
      </c>
      <c r="G1815" s="89">
        <f t="shared" si="6"/>
        <v>45283</v>
      </c>
      <c r="H1815" s="72" t="str">
        <f t="shared" si="7"/>
        <v>Yes</v>
      </c>
    </row>
    <row r="1816" ht="15.75" customHeight="1">
      <c r="A1816" s="88">
        <f t="shared" si="8"/>
        <v>45280</v>
      </c>
      <c r="B1816" s="72" t="str">
        <f t="shared" si="1"/>
        <v>20231220</v>
      </c>
      <c r="C1816" s="72" t="str">
        <f t="shared" si="2"/>
        <v>Wednesday</v>
      </c>
      <c r="D1816" s="72" t="str">
        <f t="shared" si="3"/>
        <v>December</v>
      </c>
      <c r="E1816" s="72" t="str">
        <f t="shared" si="4"/>
        <v>Q4</v>
      </c>
      <c r="F1816" s="72">
        <f t="shared" si="5"/>
        <v>2023</v>
      </c>
      <c r="G1816" s="89">
        <f t="shared" si="6"/>
        <v>45283</v>
      </c>
      <c r="H1816" s="72" t="str">
        <f t="shared" si="7"/>
        <v>Yes</v>
      </c>
    </row>
    <row r="1817" ht="15.75" customHeight="1">
      <c r="A1817" s="88">
        <f t="shared" si="8"/>
        <v>45281</v>
      </c>
      <c r="B1817" s="72" t="str">
        <f t="shared" si="1"/>
        <v>20231221</v>
      </c>
      <c r="C1817" s="72" t="str">
        <f t="shared" si="2"/>
        <v>Thursday</v>
      </c>
      <c r="D1817" s="72" t="str">
        <f t="shared" si="3"/>
        <v>December</v>
      </c>
      <c r="E1817" s="72" t="str">
        <f t="shared" si="4"/>
        <v>Q4</v>
      </c>
      <c r="F1817" s="72">
        <f t="shared" si="5"/>
        <v>2023</v>
      </c>
      <c r="G1817" s="89">
        <f t="shared" si="6"/>
        <v>45283</v>
      </c>
      <c r="H1817" s="72" t="str">
        <f t="shared" si="7"/>
        <v>Yes</v>
      </c>
    </row>
    <row r="1818" ht="15.75" customHeight="1">
      <c r="A1818" s="88">
        <f t="shared" si="8"/>
        <v>45282</v>
      </c>
      <c r="B1818" s="72" t="str">
        <f t="shared" si="1"/>
        <v>20231222</v>
      </c>
      <c r="C1818" s="72" t="str">
        <f t="shared" si="2"/>
        <v>Friday</v>
      </c>
      <c r="D1818" s="72" t="str">
        <f t="shared" si="3"/>
        <v>December</v>
      </c>
      <c r="E1818" s="72" t="str">
        <f t="shared" si="4"/>
        <v>Q4</v>
      </c>
      <c r="F1818" s="72">
        <f t="shared" si="5"/>
        <v>2023</v>
      </c>
      <c r="G1818" s="89">
        <f t="shared" si="6"/>
        <v>45283</v>
      </c>
      <c r="H1818" s="72" t="str">
        <f t="shared" si="7"/>
        <v>Yes</v>
      </c>
    </row>
    <row r="1819" ht="15.75" customHeight="1">
      <c r="A1819" s="88">
        <f t="shared" si="8"/>
        <v>45283</v>
      </c>
      <c r="B1819" s="72" t="str">
        <f t="shared" si="1"/>
        <v>20231223</v>
      </c>
      <c r="C1819" s="72" t="str">
        <f t="shared" si="2"/>
        <v>Saturday</v>
      </c>
      <c r="D1819" s="72" t="str">
        <f t="shared" si="3"/>
        <v>December</v>
      </c>
      <c r="E1819" s="72" t="str">
        <f t="shared" si="4"/>
        <v>Q4</v>
      </c>
      <c r="F1819" s="72">
        <f t="shared" si="5"/>
        <v>2023</v>
      </c>
      <c r="G1819" s="89">
        <f t="shared" si="6"/>
        <v>45283</v>
      </c>
      <c r="H1819" s="72" t="str">
        <f t="shared" si="7"/>
        <v>No</v>
      </c>
    </row>
    <row r="1820" ht="15.75" customHeight="1">
      <c r="A1820" s="88">
        <f t="shared" si="8"/>
        <v>45284</v>
      </c>
      <c r="B1820" s="72" t="str">
        <f t="shared" si="1"/>
        <v>20231224</v>
      </c>
      <c r="C1820" s="72" t="str">
        <f t="shared" si="2"/>
        <v>Sunday</v>
      </c>
      <c r="D1820" s="72" t="str">
        <f t="shared" si="3"/>
        <v>December</v>
      </c>
      <c r="E1820" s="72" t="str">
        <f t="shared" si="4"/>
        <v>Q4</v>
      </c>
      <c r="F1820" s="72">
        <f t="shared" si="5"/>
        <v>2023</v>
      </c>
      <c r="G1820" s="89">
        <f t="shared" si="6"/>
        <v>45290</v>
      </c>
      <c r="H1820" s="72" t="str">
        <f t="shared" si="7"/>
        <v>No</v>
      </c>
    </row>
    <row r="1821" ht="15.75" customHeight="1">
      <c r="A1821" s="88">
        <f t="shared" si="8"/>
        <v>45285</v>
      </c>
      <c r="B1821" s="72" t="str">
        <f t="shared" si="1"/>
        <v>20231225</v>
      </c>
      <c r="C1821" s="72" t="str">
        <f t="shared" si="2"/>
        <v>Monday</v>
      </c>
      <c r="D1821" s="72" t="str">
        <f t="shared" si="3"/>
        <v>December</v>
      </c>
      <c r="E1821" s="72" t="str">
        <f t="shared" si="4"/>
        <v>Q4</v>
      </c>
      <c r="F1821" s="72">
        <f t="shared" si="5"/>
        <v>2023</v>
      </c>
      <c r="G1821" s="89">
        <f t="shared" si="6"/>
        <v>45290</v>
      </c>
      <c r="H1821" s="72" t="str">
        <f t="shared" si="7"/>
        <v>Yes</v>
      </c>
    </row>
    <row r="1822" ht="15.75" customHeight="1">
      <c r="A1822" s="88">
        <f t="shared" si="8"/>
        <v>45286</v>
      </c>
      <c r="B1822" s="72" t="str">
        <f t="shared" si="1"/>
        <v>20231226</v>
      </c>
      <c r="C1822" s="72" t="str">
        <f t="shared" si="2"/>
        <v>Tuesday</v>
      </c>
      <c r="D1822" s="72" t="str">
        <f t="shared" si="3"/>
        <v>December</v>
      </c>
      <c r="E1822" s="72" t="str">
        <f t="shared" si="4"/>
        <v>Q4</v>
      </c>
      <c r="F1822" s="72">
        <f t="shared" si="5"/>
        <v>2023</v>
      </c>
      <c r="G1822" s="89">
        <f t="shared" si="6"/>
        <v>45290</v>
      </c>
      <c r="H1822" s="72" t="str">
        <f t="shared" si="7"/>
        <v>Yes</v>
      </c>
    </row>
    <row r="1823" ht="15.75" customHeight="1">
      <c r="A1823" s="88">
        <f t="shared" si="8"/>
        <v>45287</v>
      </c>
      <c r="B1823" s="72" t="str">
        <f t="shared" si="1"/>
        <v>20231227</v>
      </c>
      <c r="C1823" s="72" t="str">
        <f t="shared" si="2"/>
        <v>Wednesday</v>
      </c>
      <c r="D1823" s="72" t="str">
        <f t="shared" si="3"/>
        <v>December</v>
      </c>
      <c r="E1823" s="72" t="str">
        <f t="shared" si="4"/>
        <v>Q4</v>
      </c>
      <c r="F1823" s="72">
        <f t="shared" si="5"/>
        <v>2023</v>
      </c>
      <c r="G1823" s="89">
        <f t="shared" si="6"/>
        <v>45290</v>
      </c>
      <c r="H1823" s="72" t="str">
        <f t="shared" si="7"/>
        <v>Yes</v>
      </c>
    </row>
    <row r="1824" ht="15.75" customHeight="1">
      <c r="A1824" s="88">
        <f t="shared" si="8"/>
        <v>45288</v>
      </c>
      <c r="B1824" s="72" t="str">
        <f t="shared" si="1"/>
        <v>20231228</v>
      </c>
      <c r="C1824" s="72" t="str">
        <f t="shared" si="2"/>
        <v>Thursday</v>
      </c>
      <c r="D1824" s="72" t="str">
        <f t="shared" si="3"/>
        <v>December</v>
      </c>
      <c r="E1824" s="72" t="str">
        <f t="shared" si="4"/>
        <v>Q4</v>
      </c>
      <c r="F1824" s="72">
        <f t="shared" si="5"/>
        <v>2023</v>
      </c>
      <c r="G1824" s="89">
        <f t="shared" si="6"/>
        <v>45290</v>
      </c>
      <c r="H1824" s="72" t="str">
        <f t="shared" si="7"/>
        <v>Yes</v>
      </c>
    </row>
    <row r="1825" ht="15.75" customHeight="1">
      <c r="A1825" s="88">
        <f t="shared" si="8"/>
        <v>45289</v>
      </c>
      <c r="B1825" s="72" t="str">
        <f t="shared" si="1"/>
        <v>20231229</v>
      </c>
      <c r="C1825" s="72" t="str">
        <f t="shared" si="2"/>
        <v>Friday</v>
      </c>
      <c r="D1825" s="72" t="str">
        <f t="shared" si="3"/>
        <v>December</v>
      </c>
      <c r="E1825" s="72" t="str">
        <f t="shared" si="4"/>
        <v>Q4</v>
      </c>
      <c r="F1825" s="72">
        <f t="shared" si="5"/>
        <v>2023</v>
      </c>
      <c r="G1825" s="89">
        <f t="shared" si="6"/>
        <v>45290</v>
      </c>
      <c r="H1825" s="72" t="str">
        <f t="shared" si="7"/>
        <v>Yes</v>
      </c>
    </row>
    <row r="1826" ht="15.75" customHeight="1">
      <c r="A1826" s="88">
        <f t="shared" si="8"/>
        <v>45290</v>
      </c>
      <c r="B1826" s="72" t="str">
        <f t="shared" si="1"/>
        <v>20231230</v>
      </c>
      <c r="C1826" s="72" t="str">
        <f t="shared" si="2"/>
        <v>Saturday</v>
      </c>
      <c r="D1826" s="72" t="str">
        <f t="shared" si="3"/>
        <v>December</v>
      </c>
      <c r="E1826" s="72" t="str">
        <f t="shared" si="4"/>
        <v>Q4</v>
      </c>
      <c r="F1826" s="72">
        <f t="shared" si="5"/>
        <v>2023</v>
      </c>
      <c r="G1826" s="89">
        <f t="shared" si="6"/>
        <v>45290</v>
      </c>
      <c r="H1826" s="72" t="str">
        <f t="shared" si="7"/>
        <v>No</v>
      </c>
    </row>
    <row r="1827" ht="15.75" customHeight="1">
      <c r="A1827" s="88">
        <f t="shared" si="8"/>
        <v>45291</v>
      </c>
      <c r="B1827" s="72" t="str">
        <f t="shared" si="1"/>
        <v>20231231</v>
      </c>
      <c r="C1827" s="72" t="str">
        <f t="shared" si="2"/>
        <v>Sunday</v>
      </c>
      <c r="D1827" s="72" t="str">
        <f t="shared" si="3"/>
        <v>December</v>
      </c>
      <c r="E1827" s="72" t="str">
        <f t="shared" si="4"/>
        <v>Q4</v>
      </c>
      <c r="F1827" s="72">
        <f t="shared" si="5"/>
        <v>2023</v>
      </c>
      <c r="G1827" s="89">
        <f t="shared" si="6"/>
        <v>45297</v>
      </c>
      <c r="H1827" s="72" t="str">
        <f t="shared" si="7"/>
        <v>No</v>
      </c>
    </row>
    <row r="1828" ht="15.75" customHeight="1">
      <c r="A1828" s="88">
        <f t="shared" si="8"/>
        <v>45292</v>
      </c>
      <c r="B1828" s="72" t="str">
        <f t="shared" si="1"/>
        <v>20240101</v>
      </c>
      <c r="C1828" s="72" t="str">
        <f t="shared" si="2"/>
        <v>Monday</v>
      </c>
      <c r="D1828" s="72" t="str">
        <f t="shared" si="3"/>
        <v>January</v>
      </c>
      <c r="E1828" s="72" t="str">
        <f t="shared" si="4"/>
        <v>Q1</v>
      </c>
      <c r="F1828" s="72">
        <f t="shared" si="5"/>
        <v>2024</v>
      </c>
      <c r="G1828" s="89">
        <f t="shared" si="6"/>
        <v>45297</v>
      </c>
      <c r="H1828" s="72" t="str">
        <f t="shared" si="7"/>
        <v>Yes</v>
      </c>
    </row>
    <row r="1829" ht="15.75" customHeight="1">
      <c r="A1829" s="88">
        <f t="shared" si="8"/>
        <v>45293</v>
      </c>
      <c r="B1829" s="72" t="str">
        <f t="shared" si="1"/>
        <v>20240102</v>
      </c>
      <c r="C1829" s="72" t="str">
        <f t="shared" si="2"/>
        <v>Tuesday</v>
      </c>
      <c r="D1829" s="72" t="str">
        <f t="shared" si="3"/>
        <v>January</v>
      </c>
      <c r="E1829" s="72" t="str">
        <f t="shared" si="4"/>
        <v>Q1</v>
      </c>
      <c r="F1829" s="72">
        <f t="shared" si="5"/>
        <v>2024</v>
      </c>
      <c r="G1829" s="89">
        <f t="shared" si="6"/>
        <v>45297</v>
      </c>
      <c r="H1829" s="72" t="str">
        <f t="shared" si="7"/>
        <v>Yes</v>
      </c>
    </row>
    <row r="1830" ht="15.75" customHeight="1">
      <c r="A1830" s="88">
        <f t="shared" si="8"/>
        <v>45294</v>
      </c>
      <c r="B1830" s="72" t="str">
        <f t="shared" si="1"/>
        <v>20240103</v>
      </c>
      <c r="C1830" s="72" t="str">
        <f t="shared" si="2"/>
        <v>Wednesday</v>
      </c>
      <c r="D1830" s="72" t="str">
        <f t="shared" si="3"/>
        <v>January</v>
      </c>
      <c r="E1830" s="72" t="str">
        <f t="shared" si="4"/>
        <v>Q1</v>
      </c>
      <c r="F1830" s="72">
        <f t="shared" si="5"/>
        <v>2024</v>
      </c>
      <c r="G1830" s="89">
        <f t="shared" si="6"/>
        <v>45297</v>
      </c>
      <c r="H1830" s="72" t="str">
        <f t="shared" si="7"/>
        <v>Yes</v>
      </c>
    </row>
    <row r="1831" ht="15.75" customHeight="1">
      <c r="A1831" s="88">
        <f t="shared" si="8"/>
        <v>45295</v>
      </c>
      <c r="B1831" s="72" t="str">
        <f t="shared" si="1"/>
        <v>20240104</v>
      </c>
      <c r="C1831" s="72" t="str">
        <f t="shared" si="2"/>
        <v>Thursday</v>
      </c>
      <c r="D1831" s="72" t="str">
        <f t="shared" si="3"/>
        <v>January</v>
      </c>
      <c r="E1831" s="72" t="str">
        <f t="shared" si="4"/>
        <v>Q1</v>
      </c>
      <c r="F1831" s="72">
        <f t="shared" si="5"/>
        <v>2024</v>
      </c>
      <c r="G1831" s="89">
        <f t="shared" si="6"/>
        <v>45297</v>
      </c>
      <c r="H1831" s="72" t="str">
        <f t="shared" si="7"/>
        <v>Yes</v>
      </c>
    </row>
    <row r="1832" ht="15.75" customHeight="1">
      <c r="A1832" s="88">
        <f t="shared" si="8"/>
        <v>45296</v>
      </c>
      <c r="B1832" s="72" t="str">
        <f t="shared" si="1"/>
        <v>20240105</v>
      </c>
      <c r="C1832" s="72" t="str">
        <f t="shared" si="2"/>
        <v>Friday</v>
      </c>
      <c r="D1832" s="72" t="str">
        <f t="shared" si="3"/>
        <v>January</v>
      </c>
      <c r="E1832" s="72" t="str">
        <f t="shared" si="4"/>
        <v>Q1</v>
      </c>
      <c r="F1832" s="72">
        <f t="shared" si="5"/>
        <v>2024</v>
      </c>
      <c r="G1832" s="89">
        <f t="shared" si="6"/>
        <v>45297</v>
      </c>
      <c r="H1832" s="72" t="str">
        <f t="shared" si="7"/>
        <v>Yes</v>
      </c>
    </row>
    <row r="1833" ht="15.75" customHeight="1">
      <c r="A1833" s="88">
        <f t="shared" si="8"/>
        <v>45297</v>
      </c>
      <c r="B1833" s="72" t="str">
        <f t="shared" si="1"/>
        <v>20240106</v>
      </c>
      <c r="C1833" s="72" t="str">
        <f t="shared" si="2"/>
        <v>Saturday</v>
      </c>
      <c r="D1833" s="72" t="str">
        <f t="shared" si="3"/>
        <v>January</v>
      </c>
      <c r="E1833" s="72" t="str">
        <f t="shared" si="4"/>
        <v>Q1</v>
      </c>
      <c r="F1833" s="72">
        <f t="shared" si="5"/>
        <v>2024</v>
      </c>
      <c r="G1833" s="89">
        <f t="shared" si="6"/>
        <v>45297</v>
      </c>
      <c r="H1833" s="72" t="str">
        <f t="shared" si="7"/>
        <v>No</v>
      </c>
    </row>
    <row r="1834" ht="15.75" customHeight="1">
      <c r="A1834" s="88">
        <f t="shared" si="8"/>
        <v>45298</v>
      </c>
      <c r="B1834" s="72" t="str">
        <f t="shared" si="1"/>
        <v>20240107</v>
      </c>
      <c r="C1834" s="72" t="str">
        <f t="shared" si="2"/>
        <v>Sunday</v>
      </c>
      <c r="D1834" s="72" t="str">
        <f t="shared" si="3"/>
        <v>January</v>
      </c>
      <c r="E1834" s="72" t="str">
        <f t="shared" si="4"/>
        <v>Q1</v>
      </c>
      <c r="F1834" s="72">
        <f t="shared" si="5"/>
        <v>2024</v>
      </c>
      <c r="G1834" s="89">
        <f t="shared" si="6"/>
        <v>45304</v>
      </c>
      <c r="H1834" s="72" t="str">
        <f t="shared" si="7"/>
        <v>No</v>
      </c>
    </row>
    <row r="1835" ht="15.75" customHeight="1">
      <c r="A1835" s="88">
        <f t="shared" si="8"/>
        <v>45299</v>
      </c>
      <c r="B1835" s="72" t="str">
        <f t="shared" si="1"/>
        <v>20240108</v>
      </c>
      <c r="C1835" s="72" t="str">
        <f t="shared" si="2"/>
        <v>Monday</v>
      </c>
      <c r="D1835" s="72" t="str">
        <f t="shared" si="3"/>
        <v>January</v>
      </c>
      <c r="E1835" s="72" t="str">
        <f t="shared" si="4"/>
        <v>Q1</v>
      </c>
      <c r="F1835" s="72">
        <f t="shared" si="5"/>
        <v>2024</v>
      </c>
      <c r="G1835" s="89">
        <f t="shared" si="6"/>
        <v>45304</v>
      </c>
      <c r="H1835" s="72" t="str">
        <f t="shared" si="7"/>
        <v>Yes</v>
      </c>
    </row>
    <row r="1836" ht="15.75" customHeight="1">
      <c r="A1836" s="88">
        <f t="shared" si="8"/>
        <v>45300</v>
      </c>
      <c r="B1836" s="72" t="str">
        <f t="shared" si="1"/>
        <v>20240109</v>
      </c>
      <c r="C1836" s="72" t="str">
        <f t="shared" si="2"/>
        <v>Tuesday</v>
      </c>
      <c r="D1836" s="72" t="str">
        <f t="shared" si="3"/>
        <v>January</v>
      </c>
      <c r="E1836" s="72" t="str">
        <f t="shared" si="4"/>
        <v>Q1</v>
      </c>
      <c r="F1836" s="72">
        <f t="shared" si="5"/>
        <v>2024</v>
      </c>
      <c r="G1836" s="89">
        <f t="shared" si="6"/>
        <v>45304</v>
      </c>
      <c r="H1836" s="72" t="str">
        <f t="shared" si="7"/>
        <v>Yes</v>
      </c>
    </row>
    <row r="1837" ht="15.75" customHeight="1">
      <c r="A1837" s="88">
        <f t="shared" si="8"/>
        <v>45301</v>
      </c>
      <c r="B1837" s="72" t="str">
        <f t="shared" si="1"/>
        <v>20240110</v>
      </c>
      <c r="C1837" s="72" t="str">
        <f t="shared" si="2"/>
        <v>Wednesday</v>
      </c>
      <c r="D1837" s="72" t="str">
        <f t="shared" si="3"/>
        <v>January</v>
      </c>
      <c r="E1837" s="72" t="str">
        <f t="shared" si="4"/>
        <v>Q1</v>
      </c>
      <c r="F1837" s="72">
        <f t="shared" si="5"/>
        <v>2024</v>
      </c>
      <c r="G1837" s="89">
        <f t="shared" si="6"/>
        <v>45304</v>
      </c>
      <c r="H1837" s="72" t="str">
        <f t="shared" si="7"/>
        <v>Yes</v>
      </c>
    </row>
    <row r="1838" ht="15.75" customHeight="1">
      <c r="A1838" s="88">
        <f t="shared" si="8"/>
        <v>45302</v>
      </c>
      <c r="B1838" s="72" t="str">
        <f t="shared" si="1"/>
        <v>20240111</v>
      </c>
      <c r="C1838" s="72" t="str">
        <f t="shared" si="2"/>
        <v>Thursday</v>
      </c>
      <c r="D1838" s="72" t="str">
        <f t="shared" si="3"/>
        <v>January</v>
      </c>
      <c r="E1838" s="72" t="str">
        <f t="shared" si="4"/>
        <v>Q1</v>
      </c>
      <c r="F1838" s="72">
        <f t="shared" si="5"/>
        <v>2024</v>
      </c>
      <c r="G1838" s="89">
        <f t="shared" si="6"/>
        <v>45304</v>
      </c>
      <c r="H1838" s="72" t="str">
        <f t="shared" si="7"/>
        <v>Yes</v>
      </c>
    </row>
    <row r="1839" ht="15.75" customHeight="1">
      <c r="A1839" s="88">
        <f t="shared" si="8"/>
        <v>45303</v>
      </c>
      <c r="B1839" s="72" t="str">
        <f t="shared" si="1"/>
        <v>20240112</v>
      </c>
      <c r="C1839" s="72" t="str">
        <f t="shared" si="2"/>
        <v>Friday</v>
      </c>
      <c r="D1839" s="72" t="str">
        <f t="shared" si="3"/>
        <v>January</v>
      </c>
      <c r="E1839" s="72" t="str">
        <f t="shared" si="4"/>
        <v>Q1</v>
      </c>
      <c r="F1839" s="72">
        <f t="shared" si="5"/>
        <v>2024</v>
      </c>
      <c r="G1839" s="89">
        <f t="shared" si="6"/>
        <v>45304</v>
      </c>
      <c r="H1839" s="72" t="str">
        <f t="shared" si="7"/>
        <v>Yes</v>
      </c>
    </row>
    <row r="1840" ht="15.75" customHeight="1">
      <c r="A1840" s="88">
        <f t="shared" si="8"/>
        <v>45304</v>
      </c>
      <c r="B1840" s="72" t="str">
        <f t="shared" si="1"/>
        <v>20240113</v>
      </c>
      <c r="C1840" s="72" t="str">
        <f t="shared" si="2"/>
        <v>Saturday</v>
      </c>
      <c r="D1840" s="72" t="str">
        <f t="shared" si="3"/>
        <v>January</v>
      </c>
      <c r="E1840" s="72" t="str">
        <f t="shared" si="4"/>
        <v>Q1</v>
      </c>
      <c r="F1840" s="72">
        <f t="shared" si="5"/>
        <v>2024</v>
      </c>
      <c r="G1840" s="89">
        <f t="shared" si="6"/>
        <v>45304</v>
      </c>
      <c r="H1840" s="72" t="str">
        <f t="shared" si="7"/>
        <v>No</v>
      </c>
    </row>
    <row r="1841" ht="15.75" customHeight="1">
      <c r="A1841" s="88">
        <f t="shared" si="8"/>
        <v>45305</v>
      </c>
      <c r="B1841" s="72" t="str">
        <f t="shared" si="1"/>
        <v>20240114</v>
      </c>
      <c r="C1841" s="72" t="str">
        <f t="shared" si="2"/>
        <v>Sunday</v>
      </c>
      <c r="D1841" s="72" t="str">
        <f t="shared" si="3"/>
        <v>January</v>
      </c>
      <c r="E1841" s="72" t="str">
        <f t="shared" si="4"/>
        <v>Q1</v>
      </c>
      <c r="F1841" s="72">
        <f t="shared" si="5"/>
        <v>2024</v>
      </c>
      <c r="G1841" s="89">
        <f t="shared" si="6"/>
        <v>45311</v>
      </c>
      <c r="H1841" s="72" t="str">
        <f t="shared" si="7"/>
        <v>No</v>
      </c>
    </row>
    <row r="1842" ht="15.75" customHeight="1">
      <c r="A1842" s="88">
        <f t="shared" si="8"/>
        <v>45306</v>
      </c>
      <c r="B1842" s="72" t="str">
        <f t="shared" si="1"/>
        <v>20240115</v>
      </c>
      <c r="C1842" s="72" t="str">
        <f t="shared" si="2"/>
        <v>Monday</v>
      </c>
      <c r="D1842" s="72" t="str">
        <f t="shared" si="3"/>
        <v>January</v>
      </c>
      <c r="E1842" s="72" t="str">
        <f t="shared" si="4"/>
        <v>Q1</v>
      </c>
      <c r="F1842" s="72">
        <f t="shared" si="5"/>
        <v>2024</v>
      </c>
      <c r="G1842" s="89">
        <f t="shared" si="6"/>
        <v>45311</v>
      </c>
      <c r="H1842" s="72" t="str">
        <f t="shared" si="7"/>
        <v>Yes</v>
      </c>
    </row>
    <row r="1843" ht="15.75" customHeight="1">
      <c r="A1843" s="88">
        <f t="shared" si="8"/>
        <v>45307</v>
      </c>
      <c r="B1843" s="72" t="str">
        <f t="shared" si="1"/>
        <v>20240116</v>
      </c>
      <c r="C1843" s="72" t="str">
        <f t="shared" si="2"/>
        <v>Tuesday</v>
      </c>
      <c r="D1843" s="72" t="str">
        <f t="shared" si="3"/>
        <v>January</v>
      </c>
      <c r="E1843" s="72" t="str">
        <f t="shared" si="4"/>
        <v>Q1</v>
      </c>
      <c r="F1843" s="72">
        <f t="shared" si="5"/>
        <v>2024</v>
      </c>
      <c r="G1843" s="89">
        <f t="shared" si="6"/>
        <v>45311</v>
      </c>
      <c r="H1843" s="72" t="str">
        <f t="shared" si="7"/>
        <v>Yes</v>
      </c>
    </row>
    <row r="1844" ht="15.75" customHeight="1">
      <c r="A1844" s="88">
        <f t="shared" si="8"/>
        <v>45308</v>
      </c>
      <c r="B1844" s="72" t="str">
        <f t="shared" si="1"/>
        <v>20240117</v>
      </c>
      <c r="C1844" s="72" t="str">
        <f t="shared" si="2"/>
        <v>Wednesday</v>
      </c>
      <c r="D1844" s="72" t="str">
        <f t="shared" si="3"/>
        <v>January</v>
      </c>
      <c r="E1844" s="72" t="str">
        <f t="shared" si="4"/>
        <v>Q1</v>
      </c>
      <c r="F1844" s="72">
        <f t="shared" si="5"/>
        <v>2024</v>
      </c>
      <c r="G1844" s="89">
        <f t="shared" si="6"/>
        <v>45311</v>
      </c>
      <c r="H1844" s="72" t="str">
        <f t="shared" si="7"/>
        <v>Yes</v>
      </c>
    </row>
    <row r="1845" ht="15.75" customHeight="1">
      <c r="A1845" s="88">
        <f t="shared" si="8"/>
        <v>45309</v>
      </c>
      <c r="B1845" s="72" t="str">
        <f t="shared" si="1"/>
        <v>20240118</v>
      </c>
      <c r="C1845" s="72" t="str">
        <f t="shared" si="2"/>
        <v>Thursday</v>
      </c>
      <c r="D1845" s="72" t="str">
        <f t="shared" si="3"/>
        <v>January</v>
      </c>
      <c r="E1845" s="72" t="str">
        <f t="shared" si="4"/>
        <v>Q1</v>
      </c>
      <c r="F1845" s="72">
        <f t="shared" si="5"/>
        <v>2024</v>
      </c>
      <c r="G1845" s="89">
        <f t="shared" si="6"/>
        <v>45311</v>
      </c>
      <c r="H1845" s="72" t="str">
        <f t="shared" si="7"/>
        <v>Yes</v>
      </c>
    </row>
    <row r="1846" ht="15.75" customHeight="1">
      <c r="A1846" s="88">
        <f t="shared" si="8"/>
        <v>45310</v>
      </c>
      <c r="B1846" s="72" t="str">
        <f t="shared" si="1"/>
        <v>20240119</v>
      </c>
      <c r="C1846" s="72" t="str">
        <f t="shared" si="2"/>
        <v>Friday</v>
      </c>
      <c r="D1846" s="72" t="str">
        <f t="shared" si="3"/>
        <v>January</v>
      </c>
      <c r="E1846" s="72" t="str">
        <f t="shared" si="4"/>
        <v>Q1</v>
      </c>
      <c r="F1846" s="72">
        <f t="shared" si="5"/>
        <v>2024</v>
      </c>
      <c r="G1846" s="89">
        <f t="shared" si="6"/>
        <v>45311</v>
      </c>
      <c r="H1846" s="72" t="str">
        <f t="shared" si="7"/>
        <v>Yes</v>
      </c>
    </row>
    <row r="1847" ht="15.75" customHeight="1">
      <c r="A1847" s="88">
        <f t="shared" si="8"/>
        <v>45311</v>
      </c>
      <c r="B1847" s="72" t="str">
        <f t="shared" si="1"/>
        <v>20240120</v>
      </c>
      <c r="C1847" s="72" t="str">
        <f t="shared" si="2"/>
        <v>Saturday</v>
      </c>
      <c r="D1847" s="72" t="str">
        <f t="shared" si="3"/>
        <v>January</v>
      </c>
      <c r="E1847" s="72" t="str">
        <f t="shared" si="4"/>
        <v>Q1</v>
      </c>
      <c r="F1847" s="72">
        <f t="shared" si="5"/>
        <v>2024</v>
      </c>
      <c r="G1847" s="89">
        <f t="shared" si="6"/>
        <v>45311</v>
      </c>
      <c r="H1847" s="72" t="str">
        <f t="shared" si="7"/>
        <v>No</v>
      </c>
    </row>
    <row r="1848" ht="15.75" customHeight="1">
      <c r="A1848" s="88">
        <f t="shared" si="8"/>
        <v>45312</v>
      </c>
      <c r="B1848" s="72" t="str">
        <f t="shared" si="1"/>
        <v>20240121</v>
      </c>
      <c r="C1848" s="72" t="str">
        <f t="shared" si="2"/>
        <v>Sunday</v>
      </c>
      <c r="D1848" s="72" t="str">
        <f t="shared" si="3"/>
        <v>January</v>
      </c>
      <c r="E1848" s="72" t="str">
        <f t="shared" si="4"/>
        <v>Q1</v>
      </c>
      <c r="F1848" s="72">
        <f t="shared" si="5"/>
        <v>2024</v>
      </c>
      <c r="G1848" s="89">
        <f t="shared" si="6"/>
        <v>45318</v>
      </c>
      <c r="H1848" s="72" t="str">
        <f t="shared" si="7"/>
        <v>No</v>
      </c>
    </row>
    <row r="1849" ht="15.75" customHeight="1">
      <c r="A1849" s="88">
        <f t="shared" si="8"/>
        <v>45313</v>
      </c>
      <c r="B1849" s="72" t="str">
        <f t="shared" si="1"/>
        <v>20240122</v>
      </c>
      <c r="C1849" s="72" t="str">
        <f t="shared" si="2"/>
        <v>Monday</v>
      </c>
      <c r="D1849" s="72" t="str">
        <f t="shared" si="3"/>
        <v>January</v>
      </c>
      <c r="E1849" s="72" t="str">
        <f t="shared" si="4"/>
        <v>Q1</v>
      </c>
      <c r="F1849" s="72">
        <f t="shared" si="5"/>
        <v>2024</v>
      </c>
      <c r="G1849" s="89">
        <f t="shared" si="6"/>
        <v>45318</v>
      </c>
      <c r="H1849" s="72" t="str">
        <f t="shared" si="7"/>
        <v>Yes</v>
      </c>
    </row>
    <row r="1850" ht="15.75" customHeight="1">
      <c r="A1850" s="88">
        <f t="shared" si="8"/>
        <v>45314</v>
      </c>
      <c r="B1850" s="72" t="str">
        <f t="shared" si="1"/>
        <v>20240123</v>
      </c>
      <c r="C1850" s="72" t="str">
        <f t="shared" si="2"/>
        <v>Tuesday</v>
      </c>
      <c r="D1850" s="72" t="str">
        <f t="shared" si="3"/>
        <v>January</v>
      </c>
      <c r="E1850" s="72" t="str">
        <f t="shared" si="4"/>
        <v>Q1</v>
      </c>
      <c r="F1850" s="72">
        <f t="shared" si="5"/>
        <v>2024</v>
      </c>
      <c r="G1850" s="89">
        <f t="shared" si="6"/>
        <v>45318</v>
      </c>
      <c r="H1850" s="72" t="str">
        <f t="shared" si="7"/>
        <v>Yes</v>
      </c>
    </row>
    <row r="1851" ht="15.75" customHeight="1">
      <c r="A1851" s="88">
        <f t="shared" si="8"/>
        <v>45315</v>
      </c>
      <c r="B1851" s="72" t="str">
        <f t="shared" si="1"/>
        <v>20240124</v>
      </c>
      <c r="C1851" s="72" t="str">
        <f t="shared" si="2"/>
        <v>Wednesday</v>
      </c>
      <c r="D1851" s="72" t="str">
        <f t="shared" si="3"/>
        <v>January</v>
      </c>
      <c r="E1851" s="72" t="str">
        <f t="shared" si="4"/>
        <v>Q1</v>
      </c>
      <c r="F1851" s="72">
        <f t="shared" si="5"/>
        <v>2024</v>
      </c>
      <c r="G1851" s="89">
        <f t="shared" si="6"/>
        <v>45318</v>
      </c>
      <c r="H1851" s="72" t="str">
        <f t="shared" si="7"/>
        <v>Yes</v>
      </c>
    </row>
    <row r="1852" ht="15.75" customHeight="1">
      <c r="A1852" s="88">
        <f t="shared" si="8"/>
        <v>45316</v>
      </c>
      <c r="B1852" s="72" t="str">
        <f t="shared" si="1"/>
        <v>20240125</v>
      </c>
      <c r="C1852" s="72" t="str">
        <f t="shared" si="2"/>
        <v>Thursday</v>
      </c>
      <c r="D1852" s="72" t="str">
        <f t="shared" si="3"/>
        <v>January</v>
      </c>
      <c r="E1852" s="72" t="str">
        <f t="shared" si="4"/>
        <v>Q1</v>
      </c>
      <c r="F1852" s="72">
        <f t="shared" si="5"/>
        <v>2024</v>
      </c>
      <c r="G1852" s="89">
        <f t="shared" si="6"/>
        <v>45318</v>
      </c>
      <c r="H1852" s="72" t="str">
        <f t="shared" si="7"/>
        <v>Yes</v>
      </c>
    </row>
    <row r="1853" ht="15.75" customHeight="1">
      <c r="A1853" s="88">
        <f t="shared" si="8"/>
        <v>45317</v>
      </c>
      <c r="B1853" s="72" t="str">
        <f t="shared" si="1"/>
        <v>20240126</v>
      </c>
      <c r="C1853" s="72" t="str">
        <f t="shared" si="2"/>
        <v>Friday</v>
      </c>
      <c r="D1853" s="72" t="str">
        <f t="shared" si="3"/>
        <v>January</v>
      </c>
      <c r="E1853" s="72" t="str">
        <f t="shared" si="4"/>
        <v>Q1</v>
      </c>
      <c r="F1853" s="72">
        <f t="shared" si="5"/>
        <v>2024</v>
      </c>
      <c r="G1853" s="89">
        <f t="shared" si="6"/>
        <v>45318</v>
      </c>
      <c r="H1853" s="72" t="str">
        <f t="shared" si="7"/>
        <v>Yes</v>
      </c>
    </row>
    <row r="1854" ht="15.75" customHeight="1">
      <c r="A1854" s="88">
        <f t="shared" si="8"/>
        <v>45318</v>
      </c>
      <c r="B1854" s="72" t="str">
        <f t="shared" si="1"/>
        <v>20240127</v>
      </c>
      <c r="C1854" s="72" t="str">
        <f t="shared" si="2"/>
        <v>Saturday</v>
      </c>
      <c r="D1854" s="72" t="str">
        <f t="shared" si="3"/>
        <v>January</v>
      </c>
      <c r="E1854" s="72" t="str">
        <f t="shared" si="4"/>
        <v>Q1</v>
      </c>
      <c r="F1854" s="72">
        <f t="shared" si="5"/>
        <v>2024</v>
      </c>
      <c r="G1854" s="89">
        <f t="shared" si="6"/>
        <v>45318</v>
      </c>
      <c r="H1854" s="72" t="str">
        <f t="shared" si="7"/>
        <v>No</v>
      </c>
    </row>
    <row r="1855" ht="15.75" customHeight="1">
      <c r="A1855" s="88">
        <f t="shared" si="8"/>
        <v>45319</v>
      </c>
      <c r="B1855" s="72" t="str">
        <f t="shared" si="1"/>
        <v>20240128</v>
      </c>
      <c r="C1855" s="72" t="str">
        <f t="shared" si="2"/>
        <v>Sunday</v>
      </c>
      <c r="D1855" s="72" t="str">
        <f t="shared" si="3"/>
        <v>January</v>
      </c>
      <c r="E1855" s="72" t="str">
        <f t="shared" si="4"/>
        <v>Q1</v>
      </c>
      <c r="F1855" s="72">
        <f t="shared" si="5"/>
        <v>2024</v>
      </c>
      <c r="G1855" s="89">
        <f t="shared" si="6"/>
        <v>45325</v>
      </c>
      <c r="H1855" s="72" t="str">
        <f t="shared" si="7"/>
        <v>No</v>
      </c>
    </row>
    <row r="1856" ht="15.75" customHeight="1">
      <c r="A1856" s="88">
        <f t="shared" si="8"/>
        <v>45320</v>
      </c>
      <c r="B1856" s="72" t="str">
        <f t="shared" si="1"/>
        <v>20240129</v>
      </c>
      <c r="C1856" s="72" t="str">
        <f t="shared" si="2"/>
        <v>Monday</v>
      </c>
      <c r="D1856" s="72" t="str">
        <f t="shared" si="3"/>
        <v>January</v>
      </c>
      <c r="E1856" s="72" t="str">
        <f t="shared" si="4"/>
        <v>Q1</v>
      </c>
      <c r="F1856" s="72">
        <f t="shared" si="5"/>
        <v>2024</v>
      </c>
      <c r="G1856" s="89">
        <f t="shared" si="6"/>
        <v>45325</v>
      </c>
      <c r="H1856" s="72" t="str">
        <f t="shared" si="7"/>
        <v>Yes</v>
      </c>
    </row>
    <row r="1857" ht="15.75" customHeight="1">
      <c r="A1857" s="88">
        <f t="shared" si="8"/>
        <v>45321</v>
      </c>
      <c r="B1857" s="72" t="str">
        <f t="shared" si="1"/>
        <v>20240130</v>
      </c>
      <c r="C1857" s="72" t="str">
        <f t="shared" si="2"/>
        <v>Tuesday</v>
      </c>
      <c r="D1857" s="72" t="str">
        <f t="shared" si="3"/>
        <v>January</v>
      </c>
      <c r="E1857" s="72" t="str">
        <f t="shared" si="4"/>
        <v>Q1</v>
      </c>
      <c r="F1857" s="72">
        <f t="shared" si="5"/>
        <v>2024</v>
      </c>
      <c r="G1857" s="89">
        <f t="shared" si="6"/>
        <v>45325</v>
      </c>
      <c r="H1857" s="72" t="str">
        <f t="shared" si="7"/>
        <v>Yes</v>
      </c>
    </row>
    <row r="1858" ht="15.75" customHeight="1">
      <c r="A1858" s="88">
        <f t="shared" si="8"/>
        <v>45322</v>
      </c>
      <c r="B1858" s="72" t="str">
        <f t="shared" si="1"/>
        <v>20240131</v>
      </c>
      <c r="C1858" s="72" t="str">
        <f t="shared" si="2"/>
        <v>Wednesday</v>
      </c>
      <c r="D1858" s="72" t="str">
        <f t="shared" si="3"/>
        <v>January</v>
      </c>
      <c r="E1858" s="72" t="str">
        <f t="shared" si="4"/>
        <v>Q1</v>
      </c>
      <c r="F1858" s="72">
        <f t="shared" si="5"/>
        <v>2024</v>
      </c>
      <c r="G1858" s="89">
        <f t="shared" si="6"/>
        <v>45325</v>
      </c>
      <c r="H1858" s="72" t="str">
        <f t="shared" si="7"/>
        <v>Yes</v>
      </c>
    </row>
    <row r="1859" ht="15.75" customHeight="1">
      <c r="A1859" s="88">
        <f t="shared" si="8"/>
        <v>45323</v>
      </c>
      <c r="B1859" s="72" t="str">
        <f t="shared" si="1"/>
        <v>20240201</v>
      </c>
      <c r="C1859" s="72" t="str">
        <f t="shared" si="2"/>
        <v>Thursday</v>
      </c>
      <c r="D1859" s="72" t="str">
        <f t="shared" si="3"/>
        <v>February</v>
      </c>
      <c r="E1859" s="72" t="str">
        <f t="shared" si="4"/>
        <v>Q1</v>
      </c>
      <c r="F1859" s="72">
        <f t="shared" si="5"/>
        <v>2024</v>
      </c>
      <c r="G1859" s="89">
        <f t="shared" si="6"/>
        <v>45325</v>
      </c>
      <c r="H1859" s="72" t="str">
        <f t="shared" si="7"/>
        <v>Yes</v>
      </c>
    </row>
    <row r="1860" ht="15.75" customHeight="1">
      <c r="A1860" s="88">
        <f t="shared" si="8"/>
        <v>45324</v>
      </c>
      <c r="B1860" s="72" t="str">
        <f t="shared" si="1"/>
        <v>20240202</v>
      </c>
      <c r="C1860" s="72" t="str">
        <f t="shared" si="2"/>
        <v>Friday</v>
      </c>
      <c r="D1860" s="72" t="str">
        <f t="shared" si="3"/>
        <v>February</v>
      </c>
      <c r="E1860" s="72" t="str">
        <f t="shared" si="4"/>
        <v>Q1</v>
      </c>
      <c r="F1860" s="72">
        <f t="shared" si="5"/>
        <v>2024</v>
      </c>
      <c r="G1860" s="89">
        <f t="shared" si="6"/>
        <v>45325</v>
      </c>
      <c r="H1860" s="72" t="str">
        <f t="shared" si="7"/>
        <v>Yes</v>
      </c>
    </row>
    <row r="1861" ht="15.75" customHeight="1">
      <c r="A1861" s="88">
        <f t="shared" si="8"/>
        <v>45325</v>
      </c>
      <c r="B1861" s="72" t="str">
        <f t="shared" si="1"/>
        <v>20240203</v>
      </c>
      <c r="C1861" s="72" t="str">
        <f t="shared" si="2"/>
        <v>Saturday</v>
      </c>
      <c r="D1861" s="72" t="str">
        <f t="shared" si="3"/>
        <v>February</v>
      </c>
      <c r="E1861" s="72" t="str">
        <f t="shared" si="4"/>
        <v>Q1</v>
      </c>
      <c r="F1861" s="72">
        <f t="shared" si="5"/>
        <v>2024</v>
      </c>
      <c r="G1861" s="89">
        <f t="shared" si="6"/>
        <v>45325</v>
      </c>
      <c r="H1861" s="72" t="str">
        <f t="shared" si="7"/>
        <v>No</v>
      </c>
    </row>
    <row r="1862" ht="15.75" customHeight="1">
      <c r="A1862" s="88">
        <f t="shared" si="8"/>
        <v>45326</v>
      </c>
      <c r="B1862" s="72" t="str">
        <f t="shared" si="1"/>
        <v>20240204</v>
      </c>
      <c r="C1862" s="72" t="str">
        <f t="shared" si="2"/>
        <v>Sunday</v>
      </c>
      <c r="D1862" s="72" t="str">
        <f t="shared" si="3"/>
        <v>February</v>
      </c>
      <c r="E1862" s="72" t="str">
        <f t="shared" si="4"/>
        <v>Q1</v>
      </c>
      <c r="F1862" s="72">
        <f t="shared" si="5"/>
        <v>2024</v>
      </c>
      <c r="G1862" s="89">
        <f t="shared" si="6"/>
        <v>45332</v>
      </c>
      <c r="H1862" s="72" t="str">
        <f t="shared" si="7"/>
        <v>No</v>
      </c>
    </row>
    <row r="1863" ht="15.75" customHeight="1">
      <c r="A1863" s="88">
        <f t="shared" si="8"/>
        <v>45327</v>
      </c>
      <c r="B1863" s="72" t="str">
        <f t="shared" si="1"/>
        <v>20240205</v>
      </c>
      <c r="C1863" s="72" t="str">
        <f t="shared" si="2"/>
        <v>Monday</v>
      </c>
      <c r="D1863" s="72" t="str">
        <f t="shared" si="3"/>
        <v>February</v>
      </c>
      <c r="E1863" s="72" t="str">
        <f t="shared" si="4"/>
        <v>Q1</v>
      </c>
      <c r="F1863" s="72">
        <f t="shared" si="5"/>
        <v>2024</v>
      </c>
      <c r="G1863" s="89">
        <f t="shared" si="6"/>
        <v>45332</v>
      </c>
      <c r="H1863" s="72" t="str">
        <f t="shared" si="7"/>
        <v>Yes</v>
      </c>
    </row>
    <row r="1864" ht="15.75" customHeight="1">
      <c r="A1864" s="88">
        <f t="shared" si="8"/>
        <v>45328</v>
      </c>
      <c r="B1864" s="72" t="str">
        <f t="shared" si="1"/>
        <v>20240206</v>
      </c>
      <c r="C1864" s="72" t="str">
        <f t="shared" si="2"/>
        <v>Tuesday</v>
      </c>
      <c r="D1864" s="72" t="str">
        <f t="shared" si="3"/>
        <v>February</v>
      </c>
      <c r="E1864" s="72" t="str">
        <f t="shared" si="4"/>
        <v>Q1</v>
      </c>
      <c r="F1864" s="72">
        <f t="shared" si="5"/>
        <v>2024</v>
      </c>
      <c r="G1864" s="89">
        <f t="shared" si="6"/>
        <v>45332</v>
      </c>
      <c r="H1864" s="72" t="str">
        <f t="shared" si="7"/>
        <v>Yes</v>
      </c>
    </row>
    <row r="1865" ht="15.75" customHeight="1">
      <c r="A1865" s="88">
        <f t="shared" si="8"/>
        <v>45329</v>
      </c>
      <c r="B1865" s="72" t="str">
        <f t="shared" si="1"/>
        <v>20240207</v>
      </c>
      <c r="C1865" s="72" t="str">
        <f t="shared" si="2"/>
        <v>Wednesday</v>
      </c>
      <c r="D1865" s="72" t="str">
        <f t="shared" si="3"/>
        <v>February</v>
      </c>
      <c r="E1865" s="72" t="str">
        <f t="shared" si="4"/>
        <v>Q1</v>
      </c>
      <c r="F1865" s="72">
        <f t="shared" si="5"/>
        <v>2024</v>
      </c>
      <c r="G1865" s="89">
        <f t="shared" si="6"/>
        <v>45332</v>
      </c>
      <c r="H1865" s="72" t="str">
        <f t="shared" si="7"/>
        <v>Yes</v>
      </c>
    </row>
    <row r="1866" ht="15.75" customHeight="1">
      <c r="A1866" s="88">
        <f t="shared" si="8"/>
        <v>45330</v>
      </c>
      <c r="B1866" s="72" t="str">
        <f t="shared" si="1"/>
        <v>20240208</v>
      </c>
      <c r="C1866" s="72" t="str">
        <f t="shared" si="2"/>
        <v>Thursday</v>
      </c>
      <c r="D1866" s="72" t="str">
        <f t="shared" si="3"/>
        <v>February</v>
      </c>
      <c r="E1866" s="72" t="str">
        <f t="shared" si="4"/>
        <v>Q1</v>
      </c>
      <c r="F1866" s="72">
        <f t="shared" si="5"/>
        <v>2024</v>
      </c>
      <c r="G1866" s="89">
        <f t="shared" si="6"/>
        <v>45332</v>
      </c>
      <c r="H1866" s="72" t="str">
        <f t="shared" si="7"/>
        <v>Yes</v>
      </c>
    </row>
    <row r="1867" ht="15.75" customHeight="1">
      <c r="A1867" s="88">
        <f t="shared" si="8"/>
        <v>45331</v>
      </c>
      <c r="B1867" s="72" t="str">
        <f t="shared" si="1"/>
        <v>20240209</v>
      </c>
      <c r="C1867" s="72" t="str">
        <f t="shared" si="2"/>
        <v>Friday</v>
      </c>
      <c r="D1867" s="72" t="str">
        <f t="shared" si="3"/>
        <v>February</v>
      </c>
      <c r="E1867" s="72" t="str">
        <f t="shared" si="4"/>
        <v>Q1</v>
      </c>
      <c r="F1867" s="72">
        <f t="shared" si="5"/>
        <v>2024</v>
      </c>
      <c r="G1867" s="89">
        <f t="shared" si="6"/>
        <v>45332</v>
      </c>
      <c r="H1867" s="72" t="str">
        <f t="shared" si="7"/>
        <v>Yes</v>
      </c>
    </row>
    <row r="1868" ht="15.75" customHeight="1">
      <c r="A1868" s="88">
        <f t="shared" si="8"/>
        <v>45332</v>
      </c>
      <c r="B1868" s="72" t="str">
        <f t="shared" si="1"/>
        <v>20240210</v>
      </c>
      <c r="C1868" s="72" t="str">
        <f t="shared" si="2"/>
        <v>Saturday</v>
      </c>
      <c r="D1868" s="72" t="str">
        <f t="shared" si="3"/>
        <v>February</v>
      </c>
      <c r="E1868" s="72" t="str">
        <f t="shared" si="4"/>
        <v>Q1</v>
      </c>
      <c r="F1868" s="72">
        <f t="shared" si="5"/>
        <v>2024</v>
      </c>
      <c r="G1868" s="89">
        <f t="shared" si="6"/>
        <v>45332</v>
      </c>
      <c r="H1868" s="72" t="str">
        <f t="shared" si="7"/>
        <v>No</v>
      </c>
    </row>
    <row r="1869" ht="15.75" customHeight="1">
      <c r="A1869" s="88">
        <f t="shared" si="8"/>
        <v>45333</v>
      </c>
      <c r="B1869" s="72" t="str">
        <f t="shared" si="1"/>
        <v>20240211</v>
      </c>
      <c r="C1869" s="72" t="str">
        <f t="shared" si="2"/>
        <v>Sunday</v>
      </c>
      <c r="D1869" s="72" t="str">
        <f t="shared" si="3"/>
        <v>February</v>
      </c>
      <c r="E1869" s="72" t="str">
        <f t="shared" si="4"/>
        <v>Q1</v>
      </c>
      <c r="F1869" s="72">
        <f t="shared" si="5"/>
        <v>2024</v>
      </c>
      <c r="G1869" s="89">
        <f t="shared" si="6"/>
        <v>45339</v>
      </c>
      <c r="H1869" s="72" t="str">
        <f t="shared" si="7"/>
        <v>No</v>
      </c>
    </row>
    <row r="1870" ht="15.75" customHeight="1">
      <c r="A1870" s="88">
        <f t="shared" si="8"/>
        <v>45334</v>
      </c>
      <c r="B1870" s="72" t="str">
        <f t="shared" si="1"/>
        <v>20240212</v>
      </c>
      <c r="C1870" s="72" t="str">
        <f t="shared" si="2"/>
        <v>Monday</v>
      </c>
      <c r="D1870" s="72" t="str">
        <f t="shared" si="3"/>
        <v>February</v>
      </c>
      <c r="E1870" s="72" t="str">
        <f t="shared" si="4"/>
        <v>Q1</v>
      </c>
      <c r="F1870" s="72">
        <f t="shared" si="5"/>
        <v>2024</v>
      </c>
      <c r="G1870" s="89">
        <f t="shared" si="6"/>
        <v>45339</v>
      </c>
      <c r="H1870" s="72" t="str">
        <f t="shared" si="7"/>
        <v>Yes</v>
      </c>
    </row>
    <row r="1871" ht="15.75" customHeight="1">
      <c r="A1871" s="88">
        <f t="shared" si="8"/>
        <v>45335</v>
      </c>
      <c r="B1871" s="72" t="str">
        <f t="shared" si="1"/>
        <v>20240213</v>
      </c>
      <c r="C1871" s="72" t="str">
        <f t="shared" si="2"/>
        <v>Tuesday</v>
      </c>
      <c r="D1871" s="72" t="str">
        <f t="shared" si="3"/>
        <v>February</v>
      </c>
      <c r="E1871" s="72" t="str">
        <f t="shared" si="4"/>
        <v>Q1</v>
      </c>
      <c r="F1871" s="72">
        <f t="shared" si="5"/>
        <v>2024</v>
      </c>
      <c r="G1871" s="89">
        <f t="shared" si="6"/>
        <v>45339</v>
      </c>
      <c r="H1871" s="72" t="str">
        <f t="shared" si="7"/>
        <v>Yes</v>
      </c>
    </row>
    <row r="1872" ht="15.75" customHeight="1">
      <c r="A1872" s="88">
        <f t="shared" si="8"/>
        <v>45336</v>
      </c>
      <c r="B1872" s="72" t="str">
        <f t="shared" si="1"/>
        <v>20240214</v>
      </c>
      <c r="C1872" s="72" t="str">
        <f t="shared" si="2"/>
        <v>Wednesday</v>
      </c>
      <c r="D1872" s="72" t="str">
        <f t="shared" si="3"/>
        <v>February</v>
      </c>
      <c r="E1872" s="72" t="str">
        <f t="shared" si="4"/>
        <v>Q1</v>
      </c>
      <c r="F1872" s="72">
        <f t="shared" si="5"/>
        <v>2024</v>
      </c>
      <c r="G1872" s="89">
        <f t="shared" si="6"/>
        <v>45339</v>
      </c>
      <c r="H1872" s="72" t="str">
        <f t="shared" si="7"/>
        <v>Yes</v>
      </c>
    </row>
    <row r="1873" ht="15.75" customHeight="1">
      <c r="A1873" s="88">
        <f t="shared" si="8"/>
        <v>45337</v>
      </c>
      <c r="B1873" s="72" t="str">
        <f t="shared" si="1"/>
        <v>20240215</v>
      </c>
      <c r="C1873" s="72" t="str">
        <f t="shared" si="2"/>
        <v>Thursday</v>
      </c>
      <c r="D1873" s="72" t="str">
        <f t="shared" si="3"/>
        <v>February</v>
      </c>
      <c r="E1873" s="72" t="str">
        <f t="shared" si="4"/>
        <v>Q1</v>
      </c>
      <c r="F1873" s="72">
        <f t="shared" si="5"/>
        <v>2024</v>
      </c>
      <c r="G1873" s="89">
        <f t="shared" si="6"/>
        <v>45339</v>
      </c>
      <c r="H1873" s="72" t="str">
        <f t="shared" si="7"/>
        <v>Yes</v>
      </c>
    </row>
    <row r="1874" ht="15.75" customHeight="1">
      <c r="A1874" s="88">
        <f t="shared" si="8"/>
        <v>45338</v>
      </c>
      <c r="B1874" s="72" t="str">
        <f t="shared" si="1"/>
        <v>20240216</v>
      </c>
      <c r="C1874" s="72" t="str">
        <f t="shared" si="2"/>
        <v>Friday</v>
      </c>
      <c r="D1874" s="72" t="str">
        <f t="shared" si="3"/>
        <v>February</v>
      </c>
      <c r="E1874" s="72" t="str">
        <f t="shared" si="4"/>
        <v>Q1</v>
      </c>
      <c r="F1874" s="72">
        <f t="shared" si="5"/>
        <v>2024</v>
      </c>
      <c r="G1874" s="89">
        <f t="shared" si="6"/>
        <v>45339</v>
      </c>
      <c r="H1874" s="72" t="str">
        <f t="shared" si="7"/>
        <v>Yes</v>
      </c>
    </row>
    <row r="1875" ht="15.75" customHeight="1">
      <c r="A1875" s="88">
        <f t="shared" si="8"/>
        <v>45339</v>
      </c>
      <c r="B1875" s="72" t="str">
        <f t="shared" si="1"/>
        <v>20240217</v>
      </c>
      <c r="C1875" s="72" t="str">
        <f t="shared" si="2"/>
        <v>Saturday</v>
      </c>
      <c r="D1875" s="72" t="str">
        <f t="shared" si="3"/>
        <v>February</v>
      </c>
      <c r="E1875" s="72" t="str">
        <f t="shared" si="4"/>
        <v>Q1</v>
      </c>
      <c r="F1875" s="72">
        <f t="shared" si="5"/>
        <v>2024</v>
      </c>
      <c r="G1875" s="89">
        <f t="shared" si="6"/>
        <v>45339</v>
      </c>
      <c r="H1875" s="72" t="str">
        <f t="shared" si="7"/>
        <v>No</v>
      </c>
    </row>
    <row r="1876" ht="15.75" customHeight="1">
      <c r="A1876" s="88">
        <f t="shared" si="8"/>
        <v>45340</v>
      </c>
      <c r="B1876" s="72" t="str">
        <f t="shared" si="1"/>
        <v>20240218</v>
      </c>
      <c r="C1876" s="72" t="str">
        <f t="shared" si="2"/>
        <v>Sunday</v>
      </c>
      <c r="D1876" s="72" t="str">
        <f t="shared" si="3"/>
        <v>February</v>
      </c>
      <c r="E1876" s="72" t="str">
        <f t="shared" si="4"/>
        <v>Q1</v>
      </c>
      <c r="F1876" s="72">
        <f t="shared" si="5"/>
        <v>2024</v>
      </c>
      <c r="G1876" s="89">
        <f t="shared" si="6"/>
        <v>45346</v>
      </c>
      <c r="H1876" s="72" t="str">
        <f t="shared" si="7"/>
        <v>No</v>
      </c>
    </row>
    <row r="1877" ht="15.75" customHeight="1">
      <c r="A1877" s="88">
        <f t="shared" si="8"/>
        <v>45341</v>
      </c>
      <c r="B1877" s="72" t="str">
        <f t="shared" si="1"/>
        <v>20240219</v>
      </c>
      <c r="C1877" s="72" t="str">
        <f t="shared" si="2"/>
        <v>Monday</v>
      </c>
      <c r="D1877" s="72" t="str">
        <f t="shared" si="3"/>
        <v>February</v>
      </c>
      <c r="E1877" s="72" t="str">
        <f t="shared" si="4"/>
        <v>Q1</v>
      </c>
      <c r="F1877" s="72">
        <f t="shared" si="5"/>
        <v>2024</v>
      </c>
      <c r="G1877" s="89">
        <f t="shared" si="6"/>
        <v>45346</v>
      </c>
      <c r="H1877" s="72" t="str">
        <f t="shared" si="7"/>
        <v>Yes</v>
      </c>
    </row>
    <row r="1878" ht="15.75" customHeight="1">
      <c r="A1878" s="88">
        <f t="shared" si="8"/>
        <v>45342</v>
      </c>
      <c r="B1878" s="72" t="str">
        <f t="shared" si="1"/>
        <v>20240220</v>
      </c>
      <c r="C1878" s="72" t="str">
        <f t="shared" si="2"/>
        <v>Tuesday</v>
      </c>
      <c r="D1878" s="72" t="str">
        <f t="shared" si="3"/>
        <v>February</v>
      </c>
      <c r="E1878" s="72" t="str">
        <f t="shared" si="4"/>
        <v>Q1</v>
      </c>
      <c r="F1878" s="72">
        <f t="shared" si="5"/>
        <v>2024</v>
      </c>
      <c r="G1878" s="89">
        <f t="shared" si="6"/>
        <v>45346</v>
      </c>
      <c r="H1878" s="72" t="str">
        <f t="shared" si="7"/>
        <v>Yes</v>
      </c>
    </row>
    <row r="1879" ht="15.75" customHeight="1">
      <c r="A1879" s="88">
        <f t="shared" si="8"/>
        <v>45343</v>
      </c>
      <c r="B1879" s="72" t="str">
        <f t="shared" si="1"/>
        <v>20240221</v>
      </c>
      <c r="C1879" s="72" t="str">
        <f t="shared" si="2"/>
        <v>Wednesday</v>
      </c>
      <c r="D1879" s="72" t="str">
        <f t="shared" si="3"/>
        <v>February</v>
      </c>
      <c r="E1879" s="72" t="str">
        <f t="shared" si="4"/>
        <v>Q1</v>
      </c>
      <c r="F1879" s="72">
        <f t="shared" si="5"/>
        <v>2024</v>
      </c>
      <c r="G1879" s="89">
        <f t="shared" si="6"/>
        <v>45346</v>
      </c>
      <c r="H1879" s="72" t="str">
        <f t="shared" si="7"/>
        <v>Yes</v>
      </c>
    </row>
    <row r="1880" ht="15.75" customHeight="1">
      <c r="A1880" s="88">
        <f t="shared" si="8"/>
        <v>45344</v>
      </c>
      <c r="B1880" s="72" t="str">
        <f t="shared" si="1"/>
        <v>20240222</v>
      </c>
      <c r="C1880" s="72" t="str">
        <f t="shared" si="2"/>
        <v>Thursday</v>
      </c>
      <c r="D1880" s="72" t="str">
        <f t="shared" si="3"/>
        <v>February</v>
      </c>
      <c r="E1880" s="72" t="str">
        <f t="shared" si="4"/>
        <v>Q1</v>
      </c>
      <c r="F1880" s="72">
        <f t="shared" si="5"/>
        <v>2024</v>
      </c>
      <c r="G1880" s="89">
        <f t="shared" si="6"/>
        <v>45346</v>
      </c>
      <c r="H1880" s="72" t="str">
        <f t="shared" si="7"/>
        <v>Yes</v>
      </c>
    </row>
    <row r="1881" ht="15.75" customHeight="1">
      <c r="A1881" s="88">
        <f t="shared" si="8"/>
        <v>45345</v>
      </c>
      <c r="B1881" s="72" t="str">
        <f t="shared" si="1"/>
        <v>20240223</v>
      </c>
      <c r="C1881" s="72" t="str">
        <f t="shared" si="2"/>
        <v>Friday</v>
      </c>
      <c r="D1881" s="72" t="str">
        <f t="shared" si="3"/>
        <v>February</v>
      </c>
      <c r="E1881" s="72" t="str">
        <f t="shared" si="4"/>
        <v>Q1</v>
      </c>
      <c r="F1881" s="72">
        <f t="shared" si="5"/>
        <v>2024</v>
      </c>
      <c r="G1881" s="89">
        <f t="shared" si="6"/>
        <v>45346</v>
      </c>
      <c r="H1881" s="72" t="str">
        <f t="shared" si="7"/>
        <v>Yes</v>
      </c>
    </row>
    <row r="1882" ht="15.75" customHeight="1">
      <c r="A1882" s="88">
        <f t="shared" si="8"/>
        <v>45346</v>
      </c>
      <c r="B1882" s="72" t="str">
        <f t="shared" si="1"/>
        <v>20240224</v>
      </c>
      <c r="C1882" s="72" t="str">
        <f t="shared" si="2"/>
        <v>Saturday</v>
      </c>
      <c r="D1882" s="72" t="str">
        <f t="shared" si="3"/>
        <v>February</v>
      </c>
      <c r="E1882" s="72" t="str">
        <f t="shared" si="4"/>
        <v>Q1</v>
      </c>
      <c r="F1882" s="72">
        <f t="shared" si="5"/>
        <v>2024</v>
      </c>
      <c r="G1882" s="89">
        <f t="shared" si="6"/>
        <v>45346</v>
      </c>
      <c r="H1882" s="72" t="str">
        <f t="shared" si="7"/>
        <v>No</v>
      </c>
    </row>
    <row r="1883" ht="15.75" customHeight="1">
      <c r="A1883" s="88">
        <f t="shared" si="8"/>
        <v>45347</v>
      </c>
      <c r="B1883" s="72" t="str">
        <f t="shared" si="1"/>
        <v>20240225</v>
      </c>
      <c r="C1883" s="72" t="str">
        <f t="shared" si="2"/>
        <v>Sunday</v>
      </c>
      <c r="D1883" s="72" t="str">
        <f t="shared" si="3"/>
        <v>February</v>
      </c>
      <c r="E1883" s="72" t="str">
        <f t="shared" si="4"/>
        <v>Q1</v>
      </c>
      <c r="F1883" s="72">
        <f t="shared" si="5"/>
        <v>2024</v>
      </c>
      <c r="G1883" s="89">
        <f t="shared" si="6"/>
        <v>45353</v>
      </c>
      <c r="H1883" s="72" t="str">
        <f t="shared" si="7"/>
        <v>No</v>
      </c>
    </row>
    <row r="1884" ht="15.75" customHeight="1">
      <c r="A1884" s="88">
        <f t="shared" si="8"/>
        <v>45348</v>
      </c>
      <c r="B1884" s="72" t="str">
        <f t="shared" si="1"/>
        <v>20240226</v>
      </c>
      <c r="C1884" s="72" t="str">
        <f t="shared" si="2"/>
        <v>Monday</v>
      </c>
      <c r="D1884" s="72" t="str">
        <f t="shared" si="3"/>
        <v>February</v>
      </c>
      <c r="E1884" s="72" t="str">
        <f t="shared" si="4"/>
        <v>Q1</v>
      </c>
      <c r="F1884" s="72">
        <f t="shared" si="5"/>
        <v>2024</v>
      </c>
      <c r="G1884" s="89">
        <f t="shared" si="6"/>
        <v>45353</v>
      </c>
      <c r="H1884" s="72" t="str">
        <f t="shared" si="7"/>
        <v>Yes</v>
      </c>
    </row>
    <row r="1885" ht="15.75" customHeight="1">
      <c r="A1885" s="88">
        <f t="shared" si="8"/>
        <v>45349</v>
      </c>
      <c r="B1885" s="72" t="str">
        <f t="shared" si="1"/>
        <v>20240227</v>
      </c>
      <c r="C1885" s="72" t="str">
        <f t="shared" si="2"/>
        <v>Tuesday</v>
      </c>
      <c r="D1885" s="72" t="str">
        <f t="shared" si="3"/>
        <v>February</v>
      </c>
      <c r="E1885" s="72" t="str">
        <f t="shared" si="4"/>
        <v>Q1</v>
      </c>
      <c r="F1885" s="72">
        <f t="shared" si="5"/>
        <v>2024</v>
      </c>
      <c r="G1885" s="89">
        <f t="shared" si="6"/>
        <v>45353</v>
      </c>
      <c r="H1885" s="72" t="str">
        <f t="shared" si="7"/>
        <v>Yes</v>
      </c>
    </row>
    <row r="1886" ht="15.75" customHeight="1">
      <c r="A1886" s="88">
        <f t="shared" si="8"/>
        <v>45350</v>
      </c>
      <c r="B1886" s="72" t="str">
        <f t="shared" si="1"/>
        <v>20240228</v>
      </c>
      <c r="C1886" s="72" t="str">
        <f t="shared" si="2"/>
        <v>Wednesday</v>
      </c>
      <c r="D1886" s="72" t="str">
        <f t="shared" si="3"/>
        <v>February</v>
      </c>
      <c r="E1886" s="72" t="str">
        <f t="shared" si="4"/>
        <v>Q1</v>
      </c>
      <c r="F1886" s="72">
        <f t="shared" si="5"/>
        <v>2024</v>
      </c>
      <c r="G1886" s="89">
        <f t="shared" si="6"/>
        <v>45353</v>
      </c>
      <c r="H1886" s="72" t="str">
        <f t="shared" si="7"/>
        <v>Yes</v>
      </c>
    </row>
    <row r="1887" ht="15.75" customHeight="1">
      <c r="A1887" s="88">
        <f t="shared" si="8"/>
        <v>45351</v>
      </c>
      <c r="B1887" s="72" t="str">
        <f t="shared" si="1"/>
        <v>20240229</v>
      </c>
      <c r="C1887" s="72" t="str">
        <f t="shared" si="2"/>
        <v>Thursday</v>
      </c>
      <c r="D1887" s="72" t="str">
        <f t="shared" si="3"/>
        <v>February</v>
      </c>
      <c r="E1887" s="72" t="str">
        <f t="shared" si="4"/>
        <v>Q1</v>
      </c>
      <c r="F1887" s="72">
        <f t="shared" si="5"/>
        <v>2024</v>
      </c>
      <c r="G1887" s="89">
        <f t="shared" si="6"/>
        <v>45353</v>
      </c>
      <c r="H1887" s="72" t="str">
        <f t="shared" si="7"/>
        <v>Yes</v>
      </c>
    </row>
    <row r="1888" ht="15.75" customHeight="1">
      <c r="A1888" s="88">
        <f t="shared" si="8"/>
        <v>45352</v>
      </c>
      <c r="B1888" s="72" t="str">
        <f t="shared" si="1"/>
        <v>20240301</v>
      </c>
      <c r="C1888" s="72" t="str">
        <f t="shared" si="2"/>
        <v>Friday</v>
      </c>
      <c r="D1888" s="72" t="str">
        <f t="shared" si="3"/>
        <v>March</v>
      </c>
      <c r="E1888" s="72" t="str">
        <f t="shared" si="4"/>
        <v>Q1</v>
      </c>
      <c r="F1888" s="72">
        <f t="shared" si="5"/>
        <v>2024</v>
      </c>
      <c r="G1888" s="89">
        <f t="shared" si="6"/>
        <v>45353</v>
      </c>
      <c r="H1888" s="72" t="str">
        <f t="shared" si="7"/>
        <v>Yes</v>
      </c>
    </row>
    <row r="1889" ht="15.75" customHeight="1">
      <c r="A1889" s="88">
        <f t="shared" si="8"/>
        <v>45353</v>
      </c>
      <c r="B1889" s="72" t="str">
        <f t="shared" si="1"/>
        <v>20240302</v>
      </c>
      <c r="C1889" s="72" t="str">
        <f t="shared" si="2"/>
        <v>Saturday</v>
      </c>
      <c r="D1889" s="72" t="str">
        <f t="shared" si="3"/>
        <v>March</v>
      </c>
      <c r="E1889" s="72" t="str">
        <f t="shared" si="4"/>
        <v>Q1</v>
      </c>
      <c r="F1889" s="72">
        <f t="shared" si="5"/>
        <v>2024</v>
      </c>
      <c r="G1889" s="89">
        <f t="shared" si="6"/>
        <v>45353</v>
      </c>
      <c r="H1889" s="72" t="str">
        <f t="shared" si="7"/>
        <v>No</v>
      </c>
    </row>
    <row r="1890" ht="15.75" customHeight="1">
      <c r="A1890" s="88">
        <f t="shared" si="8"/>
        <v>45354</v>
      </c>
      <c r="B1890" s="72" t="str">
        <f t="shared" si="1"/>
        <v>20240303</v>
      </c>
      <c r="C1890" s="72" t="str">
        <f t="shared" si="2"/>
        <v>Sunday</v>
      </c>
      <c r="D1890" s="72" t="str">
        <f t="shared" si="3"/>
        <v>March</v>
      </c>
      <c r="E1890" s="72" t="str">
        <f t="shared" si="4"/>
        <v>Q1</v>
      </c>
      <c r="F1890" s="72">
        <f t="shared" si="5"/>
        <v>2024</v>
      </c>
      <c r="G1890" s="89">
        <f t="shared" si="6"/>
        <v>45360</v>
      </c>
      <c r="H1890" s="72" t="str">
        <f t="shared" si="7"/>
        <v>No</v>
      </c>
    </row>
    <row r="1891" ht="15.75" customHeight="1">
      <c r="A1891" s="88">
        <f t="shared" si="8"/>
        <v>45355</v>
      </c>
      <c r="B1891" s="72" t="str">
        <f t="shared" si="1"/>
        <v>20240304</v>
      </c>
      <c r="C1891" s="72" t="str">
        <f t="shared" si="2"/>
        <v>Monday</v>
      </c>
      <c r="D1891" s="72" t="str">
        <f t="shared" si="3"/>
        <v>March</v>
      </c>
      <c r="E1891" s="72" t="str">
        <f t="shared" si="4"/>
        <v>Q1</v>
      </c>
      <c r="F1891" s="72">
        <f t="shared" si="5"/>
        <v>2024</v>
      </c>
      <c r="G1891" s="89">
        <f t="shared" si="6"/>
        <v>45360</v>
      </c>
      <c r="H1891" s="72" t="str">
        <f t="shared" si="7"/>
        <v>Yes</v>
      </c>
    </row>
    <row r="1892" ht="15.75" customHeight="1">
      <c r="A1892" s="88">
        <f t="shared" si="8"/>
        <v>45356</v>
      </c>
      <c r="B1892" s="72" t="str">
        <f t="shared" si="1"/>
        <v>20240305</v>
      </c>
      <c r="C1892" s="72" t="str">
        <f t="shared" si="2"/>
        <v>Tuesday</v>
      </c>
      <c r="D1892" s="72" t="str">
        <f t="shared" si="3"/>
        <v>March</v>
      </c>
      <c r="E1892" s="72" t="str">
        <f t="shared" si="4"/>
        <v>Q1</v>
      </c>
      <c r="F1892" s="72">
        <f t="shared" si="5"/>
        <v>2024</v>
      </c>
      <c r="G1892" s="89">
        <f t="shared" si="6"/>
        <v>45360</v>
      </c>
      <c r="H1892" s="72" t="str">
        <f t="shared" si="7"/>
        <v>Yes</v>
      </c>
    </row>
    <row r="1893" ht="15.75" customHeight="1">
      <c r="A1893" s="88">
        <f t="shared" si="8"/>
        <v>45357</v>
      </c>
      <c r="B1893" s="72" t="str">
        <f t="shared" si="1"/>
        <v>20240306</v>
      </c>
      <c r="C1893" s="72" t="str">
        <f t="shared" si="2"/>
        <v>Wednesday</v>
      </c>
      <c r="D1893" s="72" t="str">
        <f t="shared" si="3"/>
        <v>March</v>
      </c>
      <c r="E1893" s="72" t="str">
        <f t="shared" si="4"/>
        <v>Q1</v>
      </c>
      <c r="F1893" s="72">
        <f t="shared" si="5"/>
        <v>2024</v>
      </c>
      <c r="G1893" s="89">
        <f t="shared" si="6"/>
        <v>45360</v>
      </c>
      <c r="H1893" s="72" t="str">
        <f t="shared" si="7"/>
        <v>Yes</v>
      </c>
    </row>
    <row r="1894" ht="15.75" customHeight="1">
      <c r="A1894" s="88">
        <f t="shared" si="8"/>
        <v>45358</v>
      </c>
      <c r="B1894" s="72" t="str">
        <f t="shared" si="1"/>
        <v>20240307</v>
      </c>
      <c r="C1894" s="72" t="str">
        <f t="shared" si="2"/>
        <v>Thursday</v>
      </c>
      <c r="D1894" s="72" t="str">
        <f t="shared" si="3"/>
        <v>March</v>
      </c>
      <c r="E1894" s="72" t="str">
        <f t="shared" si="4"/>
        <v>Q1</v>
      </c>
      <c r="F1894" s="72">
        <f t="shared" si="5"/>
        <v>2024</v>
      </c>
      <c r="G1894" s="89">
        <f t="shared" si="6"/>
        <v>45360</v>
      </c>
      <c r="H1894" s="72" t="str">
        <f t="shared" si="7"/>
        <v>Yes</v>
      </c>
    </row>
    <row r="1895" ht="15.75" customHeight="1">
      <c r="A1895" s="88">
        <f t="shared" si="8"/>
        <v>45359</v>
      </c>
      <c r="B1895" s="72" t="str">
        <f t="shared" si="1"/>
        <v>20240308</v>
      </c>
      <c r="C1895" s="72" t="str">
        <f t="shared" si="2"/>
        <v>Friday</v>
      </c>
      <c r="D1895" s="72" t="str">
        <f t="shared" si="3"/>
        <v>March</v>
      </c>
      <c r="E1895" s="72" t="str">
        <f t="shared" si="4"/>
        <v>Q1</v>
      </c>
      <c r="F1895" s="72">
        <f t="shared" si="5"/>
        <v>2024</v>
      </c>
      <c r="G1895" s="89">
        <f t="shared" si="6"/>
        <v>45360</v>
      </c>
      <c r="H1895" s="72" t="str">
        <f t="shared" si="7"/>
        <v>Yes</v>
      </c>
    </row>
    <row r="1896" ht="15.75" customHeight="1">
      <c r="A1896" s="88">
        <f t="shared" si="8"/>
        <v>45360</v>
      </c>
      <c r="B1896" s="72" t="str">
        <f t="shared" si="1"/>
        <v>20240309</v>
      </c>
      <c r="C1896" s="72" t="str">
        <f t="shared" si="2"/>
        <v>Saturday</v>
      </c>
      <c r="D1896" s="72" t="str">
        <f t="shared" si="3"/>
        <v>March</v>
      </c>
      <c r="E1896" s="72" t="str">
        <f t="shared" si="4"/>
        <v>Q1</v>
      </c>
      <c r="F1896" s="72">
        <f t="shared" si="5"/>
        <v>2024</v>
      </c>
      <c r="G1896" s="89">
        <f t="shared" si="6"/>
        <v>45360</v>
      </c>
      <c r="H1896" s="72" t="str">
        <f t="shared" si="7"/>
        <v>No</v>
      </c>
    </row>
    <row r="1897" ht="15.75" customHeight="1">
      <c r="A1897" s="88">
        <f t="shared" si="8"/>
        <v>45361</v>
      </c>
      <c r="B1897" s="72" t="str">
        <f t="shared" si="1"/>
        <v>20240310</v>
      </c>
      <c r="C1897" s="72" t="str">
        <f t="shared" si="2"/>
        <v>Sunday</v>
      </c>
      <c r="D1897" s="72" t="str">
        <f t="shared" si="3"/>
        <v>March</v>
      </c>
      <c r="E1897" s="72" t="str">
        <f t="shared" si="4"/>
        <v>Q1</v>
      </c>
      <c r="F1897" s="72">
        <f t="shared" si="5"/>
        <v>2024</v>
      </c>
      <c r="G1897" s="89">
        <f t="shared" si="6"/>
        <v>45367</v>
      </c>
      <c r="H1897" s="72" t="str">
        <f t="shared" si="7"/>
        <v>No</v>
      </c>
    </row>
    <row r="1898" ht="15.75" customHeight="1">
      <c r="A1898" s="88">
        <f t="shared" si="8"/>
        <v>45362</v>
      </c>
      <c r="B1898" s="72" t="str">
        <f t="shared" si="1"/>
        <v>20240311</v>
      </c>
      <c r="C1898" s="72" t="str">
        <f t="shared" si="2"/>
        <v>Monday</v>
      </c>
      <c r="D1898" s="72" t="str">
        <f t="shared" si="3"/>
        <v>March</v>
      </c>
      <c r="E1898" s="72" t="str">
        <f t="shared" si="4"/>
        <v>Q1</v>
      </c>
      <c r="F1898" s="72">
        <f t="shared" si="5"/>
        <v>2024</v>
      </c>
      <c r="G1898" s="89">
        <f t="shared" si="6"/>
        <v>45367</v>
      </c>
      <c r="H1898" s="72" t="str">
        <f t="shared" si="7"/>
        <v>Yes</v>
      </c>
    </row>
    <row r="1899" ht="15.75" customHeight="1">
      <c r="A1899" s="88">
        <f t="shared" si="8"/>
        <v>45363</v>
      </c>
      <c r="B1899" s="72" t="str">
        <f t="shared" si="1"/>
        <v>20240312</v>
      </c>
      <c r="C1899" s="72" t="str">
        <f t="shared" si="2"/>
        <v>Tuesday</v>
      </c>
      <c r="D1899" s="72" t="str">
        <f t="shared" si="3"/>
        <v>March</v>
      </c>
      <c r="E1899" s="72" t="str">
        <f t="shared" si="4"/>
        <v>Q1</v>
      </c>
      <c r="F1899" s="72">
        <f t="shared" si="5"/>
        <v>2024</v>
      </c>
      <c r="G1899" s="89">
        <f t="shared" si="6"/>
        <v>45367</v>
      </c>
      <c r="H1899" s="72" t="str">
        <f t="shared" si="7"/>
        <v>Yes</v>
      </c>
    </row>
    <row r="1900" ht="15.75" customHeight="1">
      <c r="A1900" s="88">
        <f t="shared" si="8"/>
        <v>45364</v>
      </c>
      <c r="B1900" s="72" t="str">
        <f t="shared" si="1"/>
        <v>20240313</v>
      </c>
      <c r="C1900" s="72" t="str">
        <f t="shared" si="2"/>
        <v>Wednesday</v>
      </c>
      <c r="D1900" s="72" t="str">
        <f t="shared" si="3"/>
        <v>March</v>
      </c>
      <c r="E1900" s="72" t="str">
        <f t="shared" si="4"/>
        <v>Q1</v>
      </c>
      <c r="F1900" s="72">
        <f t="shared" si="5"/>
        <v>2024</v>
      </c>
      <c r="G1900" s="89">
        <f t="shared" si="6"/>
        <v>45367</v>
      </c>
      <c r="H1900" s="72" t="str">
        <f t="shared" si="7"/>
        <v>Yes</v>
      </c>
    </row>
    <row r="1901" ht="15.75" customHeight="1">
      <c r="A1901" s="88">
        <f t="shared" si="8"/>
        <v>45365</v>
      </c>
      <c r="B1901" s="72" t="str">
        <f t="shared" si="1"/>
        <v>20240314</v>
      </c>
      <c r="C1901" s="72" t="str">
        <f t="shared" si="2"/>
        <v>Thursday</v>
      </c>
      <c r="D1901" s="72" t="str">
        <f t="shared" si="3"/>
        <v>March</v>
      </c>
      <c r="E1901" s="72" t="str">
        <f t="shared" si="4"/>
        <v>Q1</v>
      </c>
      <c r="F1901" s="72">
        <f t="shared" si="5"/>
        <v>2024</v>
      </c>
      <c r="G1901" s="89">
        <f t="shared" si="6"/>
        <v>45367</v>
      </c>
      <c r="H1901" s="72" t="str">
        <f t="shared" si="7"/>
        <v>Yes</v>
      </c>
    </row>
    <row r="1902" ht="15.75" customHeight="1">
      <c r="A1902" s="88">
        <f t="shared" si="8"/>
        <v>45366</v>
      </c>
      <c r="B1902" s="72" t="str">
        <f t="shared" si="1"/>
        <v>20240315</v>
      </c>
      <c r="C1902" s="72" t="str">
        <f t="shared" si="2"/>
        <v>Friday</v>
      </c>
      <c r="D1902" s="72" t="str">
        <f t="shared" si="3"/>
        <v>March</v>
      </c>
      <c r="E1902" s="72" t="str">
        <f t="shared" si="4"/>
        <v>Q1</v>
      </c>
      <c r="F1902" s="72">
        <f t="shared" si="5"/>
        <v>2024</v>
      </c>
      <c r="G1902" s="89">
        <f t="shared" si="6"/>
        <v>45367</v>
      </c>
      <c r="H1902" s="72" t="str">
        <f t="shared" si="7"/>
        <v>Yes</v>
      </c>
    </row>
    <row r="1903" ht="15.75" customHeight="1">
      <c r="A1903" s="88">
        <f t="shared" si="8"/>
        <v>45367</v>
      </c>
      <c r="B1903" s="72" t="str">
        <f t="shared" si="1"/>
        <v>20240316</v>
      </c>
      <c r="C1903" s="72" t="str">
        <f t="shared" si="2"/>
        <v>Saturday</v>
      </c>
      <c r="D1903" s="72" t="str">
        <f t="shared" si="3"/>
        <v>March</v>
      </c>
      <c r="E1903" s="72" t="str">
        <f t="shared" si="4"/>
        <v>Q1</v>
      </c>
      <c r="F1903" s="72">
        <f t="shared" si="5"/>
        <v>2024</v>
      </c>
      <c r="G1903" s="89">
        <f t="shared" si="6"/>
        <v>45367</v>
      </c>
      <c r="H1903" s="72" t="str">
        <f t="shared" si="7"/>
        <v>No</v>
      </c>
    </row>
    <row r="1904" ht="15.75" customHeight="1">
      <c r="A1904" s="88">
        <f t="shared" si="8"/>
        <v>45368</v>
      </c>
      <c r="B1904" s="72" t="str">
        <f t="shared" si="1"/>
        <v>20240317</v>
      </c>
      <c r="C1904" s="72" t="str">
        <f t="shared" si="2"/>
        <v>Sunday</v>
      </c>
      <c r="D1904" s="72" t="str">
        <f t="shared" si="3"/>
        <v>March</v>
      </c>
      <c r="E1904" s="72" t="str">
        <f t="shared" si="4"/>
        <v>Q1</v>
      </c>
      <c r="F1904" s="72">
        <f t="shared" si="5"/>
        <v>2024</v>
      </c>
      <c r="G1904" s="89">
        <f t="shared" si="6"/>
        <v>45374</v>
      </c>
      <c r="H1904" s="72" t="str">
        <f t="shared" si="7"/>
        <v>No</v>
      </c>
    </row>
    <row r="1905" ht="15.75" customHeight="1">
      <c r="A1905" s="88">
        <f t="shared" si="8"/>
        <v>45369</v>
      </c>
      <c r="B1905" s="72" t="str">
        <f t="shared" si="1"/>
        <v>20240318</v>
      </c>
      <c r="C1905" s="72" t="str">
        <f t="shared" si="2"/>
        <v>Monday</v>
      </c>
      <c r="D1905" s="72" t="str">
        <f t="shared" si="3"/>
        <v>March</v>
      </c>
      <c r="E1905" s="72" t="str">
        <f t="shared" si="4"/>
        <v>Q1</v>
      </c>
      <c r="F1905" s="72">
        <f t="shared" si="5"/>
        <v>2024</v>
      </c>
      <c r="G1905" s="89">
        <f t="shared" si="6"/>
        <v>45374</v>
      </c>
      <c r="H1905" s="72" t="str">
        <f t="shared" si="7"/>
        <v>Yes</v>
      </c>
    </row>
    <row r="1906" ht="15.75" customHeight="1">
      <c r="A1906" s="88">
        <f t="shared" si="8"/>
        <v>45370</v>
      </c>
      <c r="B1906" s="72" t="str">
        <f t="shared" si="1"/>
        <v>20240319</v>
      </c>
      <c r="C1906" s="72" t="str">
        <f t="shared" si="2"/>
        <v>Tuesday</v>
      </c>
      <c r="D1906" s="72" t="str">
        <f t="shared" si="3"/>
        <v>March</v>
      </c>
      <c r="E1906" s="72" t="str">
        <f t="shared" si="4"/>
        <v>Q1</v>
      </c>
      <c r="F1906" s="72">
        <f t="shared" si="5"/>
        <v>2024</v>
      </c>
      <c r="G1906" s="89">
        <f t="shared" si="6"/>
        <v>45374</v>
      </c>
      <c r="H1906" s="72" t="str">
        <f t="shared" si="7"/>
        <v>Yes</v>
      </c>
    </row>
    <row r="1907" ht="15.75" customHeight="1">
      <c r="A1907" s="88">
        <f t="shared" si="8"/>
        <v>45371</v>
      </c>
      <c r="B1907" s="72" t="str">
        <f t="shared" si="1"/>
        <v>20240320</v>
      </c>
      <c r="C1907" s="72" t="str">
        <f t="shared" si="2"/>
        <v>Wednesday</v>
      </c>
      <c r="D1907" s="72" t="str">
        <f t="shared" si="3"/>
        <v>March</v>
      </c>
      <c r="E1907" s="72" t="str">
        <f t="shared" si="4"/>
        <v>Q1</v>
      </c>
      <c r="F1907" s="72">
        <f t="shared" si="5"/>
        <v>2024</v>
      </c>
      <c r="G1907" s="89">
        <f t="shared" si="6"/>
        <v>45374</v>
      </c>
      <c r="H1907" s="72" t="str">
        <f t="shared" si="7"/>
        <v>Yes</v>
      </c>
    </row>
    <row r="1908" ht="15.75" customHeight="1">
      <c r="A1908" s="88">
        <f t="shared" si="8"/>
        <v>45372</v>
      </c>
      <c r="B1908" s="72" t="str">
        <f t="shared" si="1"/>
        <v>20240321</v>
      </c>
      <c r="C1908" s="72" t="str">
        <f t="shared" si="2"/>
        <v>Thursday</v>
      </c>
      <c r="D1908" s="72" t="str">
        <f t="shared" si="3"/>
        <v>March</v>
      </c>
      <c r="E1908" s="72" t="str">
        <f t="shared" si="4"/>
        <v>Q1</v>
      </c>
      <c r="F1908" s="72">
        <f t="shared" si="5"/>
        <v>2024</v>
      </c>
      <c r="G1908" s="89">
        <f t="shared" si="6"/>
        <v>45374</v>
      </c>
      <c r="H1908" s="72" t="str">
        <f t="shared" si="7"/>
        <v>Yes</v>
      </c>
    </row>
    <row r="1909" ht="15.75" customHeight="1">
      <c r="A1909" s="88">
        <f t="shared" si="8"/>
        <v>45373</v>
      </c>
      <c r="B1909" s="72" t="str">
        <f t="shared" si="1"/>
        <v>20240322</v>
      </c>
      <c r="C1909" s="72" t="str">
        <f t="shared" si="2"/>
        <v>Friday</v>
      </c>
      <c r="D1909" s="72" t="str">
        <f t="shared" si="3"/>
        <v>March</v>
      </c>
      <c r="E1909" s="72" t="str">
        <f t="shared" si="4"/>
        <v>Q1</v>
      </c>
      <c r="F1909" s="72">
        <f t="shared" si="5"/>
        <v>2024</v>
      </c>
      <c r="G1909" s="89">
        <f t="shared" si="6"/>
        <v>45374</v>
      </c>
      <c r="H1909" s="72" t="str">
        <f t="shared" si="7"/>
        <v>Yes</v>
      </c>
    </row>
    <row r="1910" ht="15.75" customHeight="1">
      <c r="A1910" s="88">
        <f t="shared" si="8"/>
        <v>45374</v>
      </c>
      <c r="B1910" s="72" t="str">
        <f t="shared" si="1"/>
        <v>20240323</v>
      </c>
      <c r="C1910" s="72" t="str">
        <f t="shared" si="2"/>
        <v>Saturday</v>
      </c>
      <c r="D1910" s="72" t="str">
        <f t="shared" si="3"/>
        <v>March</v>
      </c>
      <c r="E1910" s="72" t="str">
        <f t="shared" si="4"/>
        <v>Q1</v>
      </c>
      <c r="F1910" s="72">
        <f t="shared" si="5"/>
        <v>2024</v>
      </c>
      <c r="G1910" s="89">
        <f t="shared" si="6"/>
        <v>45374</v>
      </c>
      <c r="H1910" s="72" t="str">
        <f t="shared" si="7"/>
        <v>No</v>
      </c>
    </row>
    <row r="1911" ht="15.75" customHeight="1">
      <c r="A1911" s="88">
        <f t="shared" si="8"/>
        <v>45375</v>
      </c>
      <c r="B1911" s="72" t="str">
        <f t="shared" si="1"/>
        <v>20240324</v>
      </c>
      <c r="C1911" s="72" t="str">
        <f t="shared" si="2"/>
        <v>Sunday</v>
      </c>
      <c r="D1911" s="72" t="str">
        <f t="shared" si="3"/>
        <v>March</v>
      </c>
      <c r="E1911" s="72" t="str">
        <f t="shared" si="4"/>
        <v>Q1</v>
      </c>
      <c r="F1911" s="72">
        <f t="shared" si="5"/>
        <v>2024</v>
      </c>
      <c r="G1911" s="89">
        <f t="shared" si="6"/>
        <v>45381</v>
      </c>
      <c r="H1911" s="72" t="str">
        <f t="shared" si="7"/>
        <v>No</v>
      </c>
    </row>
    <row r="1912" ht="15.75" customHeight="1">
      <c r="A1912" s="88">
        <f t="shared" si="8"/>
        <v>45376</v>
      </c>
      <c r="B1912" s="72" t="str">
        <f t="shared" si="1"/>
        <v>20240325</v>
      </c>
      <c r="C1912" s="72" t="str">
        <f t="shared" si="2"/>
        <v>Monday</v>
      </c>
      <c r="D1912" s="72" t="str">
        <f t="shared" si="3"/>
        <v>March</v>
      </c>
      <c r="E1912" s="72" t="str">
        <f t="shared" si="4"/>
        <v>Q1</v>
      </c>
      <c r="F1912" s="72">
        <f t="shared" si="5"/>
        <v>2024</v>
      </c>
      <c r="G1912" s="89">
        <f t="shared" si="6"/>
        <v>45381</v>
      </c>
      <c r="H1912" s="72" t="str">
        <f t="shared" si="7"/>
        <v>Yes</v>
      </c>
    </row>
    <row r="1913" ht="15.75" customHeight="1">
      <c r="A1913" s="88">
        <f t="shared" si="8"/>
        <v>45377</v>
      </c>
      <c r="B1913" s="72" t="str">
        <f t="shared" si="1"/>
        <v>20240326</v>
      </c>
      <c r="C1913" s="72" t="str">
        <f t="shared" si="2"/>
        <v>Tuesday</v>
      </c>
      <c r="D1913" s="72" t="str">
        <f t="shared" si="3"/>
        <v>March</v>
      </c>
      <c r="E1913" s="72" t="str">
        <f t="shared" si="4"/>
        <v>Q1</v>
      </c>
      <c r="F1913" s="72">
        <f t="shared" si="5"/>
        <v>2024</v>
      </c>
      <c r="G1913" s="89">
        <f t="shared" si="6"/>
        <v>45381</v>
      </c>
      <c r="H1913" s="72" t="str">
        <f t="shared" si="7"/>
        <v>Yes</v>
      </c>
    </row>
    <row r="1914" ht="15.75" customHeight="1">
      <c r="A1914" s="88">
        <f t="shared" si="8"/>
        <v>45378</v>
      </c>
      <c r="B1914" s="72" t="str">
        <f t="shared" si="1"/>
        <v>20240327</v>
      </c>
      <c r="C1914" s="72" t="str">
        <f t="shared" si="2"/>
        <v>Wednesday</v>
      </c>
      <c r="D1914" s="72" t="str">
        <f t="shared" si="3"/>
        <v>March</v>
      </c>
      <c r="E1914" s="72" t="str">
        <f t="shared" si="4"/>
        <v>Q1</v>
      </c>
      <c r="F1914" s="72">
        <f t="shared" si="5"/>
        <v>2024</v>
      </c>
      <c r="G1914" s="89">
        <f t="shared" si="6"/>
        <v>45381</v>
      </c>
      <c r="H1914" s="72" t="str">
        <f t="shared" si="7"/>
        <v>Yes</v>
      </c>
    </row>
    <row r="1915" ht="15.75" customHeight="1">
      <c r="A1915" s="88">
        <f t="shared" si="8"/>
        <v>45379</v>
      </c>
      <c r="B1915" s="72" t="str">
        <f t="shared" si="1"/>
        <v>20240328</v>
      </c>
      <c r="C1915" s="72" t="str">
        <f t="shared" si="2"/>
        <v>Thursday</v>
      </c>
      <c r="D1915" s="72" t="str">
        <f t="shared" si="3"/>
        <v>March</v>
      </c>
      <c r="E1915" s="72" t="str">
        <f t="shared" si="4"/>
        <v>Q1</v>
      </c>
      <c r="F1915" s="72">
        <f t="shared" si="5"/>
        <v>2024</v>
      </c>
      <c r="G1915" s="89">
        <f t="shared" si="6"/>
        <v>45381</v>
      </c>
      <c r="H1915" s="72" t="str">
        <f t="shared" si="7"/>
        <v>Yes</v>
      </c>
    </row>
    <row r="1916" ht="15.75" customHeight="1">
      <c r="A1916" s="88">
        <f t="shared" si="8"/>
        <v>45380</v>
      </c>
      <c r="B1916" s="72" t="str">
        <f t="shared" si="1"/>
        <v>20240329</v>
      </c>
      <c r="C1916" s="72" t="str">
        <f t="shared" si="2"/>
        <v>Friday</v>
      </c>
      <c r="D1916" s="72" t="str">
        <f t="shared" si="3"/>
        <v>March</v>
      </c>
      <c r="E1916" s="72" t="str">
        <f t="shared" si="4"/>
        <v>Q1</v>
      </c>
      <c r="F1916" s="72">
        <f t="shared" si="5"/>
        <v>2024</v>
      </c>
      <c r="G1916" s="89">
        <f t="shared" si="6"/>
        <v>45381</v>
      </c>
      <c r="H1916" s="72" t="str">
        <f t="shared" si="7"/>
        <v>Yes</v>
      </c>
    </row>
    <row r="1917" ht="15.75" customHeight="1">
      <c r="A1917" s="88">
        <f t="shared" si="8"/>
        <v>45381</v>
      </c>
      <c r="B1917" s="72" t="str">
        <f t="shared" si="1"/>
        <v>20240330</v>
      </c>
      <c r="C1917" s="72" t="str">
        <f t="shared" si="2"/>
        <v>Saturday</v>
      </c>
      <c r="D1917" s="72" t="str">
        <f t="shared" si="3"/>
        <v>March</v>
      </c>
      <c r="E1917" s="72" t="str">
        <f t="shared" si="4"/>
        <v>Q1</v>
      </c>
      <c r="F1917" s="72">
        <f t="shared" si="5"/>
        <v>2024</v>
      </c>
      <c r="G1917" s="89">
        <f t="shared" si="6"/>
        <v>45381</v>
      </c>
      <c r="H1917" s="72" t="str">
        <f t="shared" si="7"/>
        <v>No</v>
      </c>
    </row>
    <row r="1918" ht="15.75" customHeight="1">
      <c r="A1918" s="88">
        <f t="shared" si="8"/>
        <v>45382</v>
      </c>
      <c r="B1918" s="72" t="str">
        <f t="shared" si="1"/>
        <v>20240331</v>
      </c>
      <c r="C1918" s="72" t="str">
        <f t="shared" si="2"/>
        <v>Sunday</v>
      </c>
      <c r="D1918" s="72" t="str">
        <f t="shared" si="3"/>
        <v>March</v>
      </c>
      <c r="E1918" s="72" t="str">
        <f t="shared" si="4"/>
        <v>Q1</v>
      </c>
      <c r="F1918" s="72">
        <f t="shared" si="5"/>
        <v>2024</v>
      </c>
      <c r="G1918" s="89">
        <f t="shared" si="6"/>
        <v>45388</v>
      </c>
      <c r="H1918" s="72" t="str">
        <f t="shared" si="7"/>
        <v>No</v>
      </c>
    </row>
    <row r="1919" ht="15.75" customHeight="1">
      <c r="A1919" s="88">
        <f t="shared" si="8"/>
        <v>45383</v>
      </c>
      <c r="B1919" s="72" t="str">
        <f t="shared" si="1"/>
        <v>20240401</v>
      </c>
      <c r="C1919" s="72" t="str">
        <f t="shared" si="2"/>
        <v>Monday</v>
      </c>
      <c r="D1919" s="72" t="str">
        <f t="shared" si="3"/>
        <v>April</v>
      </c>
      <c r="E1919" s="72" t="str">
        <f t="shared" si="4"/>
        <v>Q2</v>
      </c>
      <c r="F1919" s="72">
        <f t="shared" si="5"/>
        <v>2024</v>
      </c>
      <c r="G1919" s="89">
        <f t="shared" si="6"/>
        <v>45388</v>
      </c>
      <c r="H1919" s="72" t="str">
        <f t="shared" si="7"/>
        <v>Yes</v>
      </c>
    </row>
    <row r="1920" ht="15.75" customHeight="1">
      <c r="A1920" s="88">
        <f t="shared" si="8"/>
        <v>45384</v>
      </c>
      <c r="B1920" s="72" t="str">
        <f t="shared" si="1"/>
        <v>20240402</v>
      </c>
      <c r="C1920" s="72" t="str">
        <f t="shared" si="2"/>
        <v>Tuesday</v>
      </c>
      <c r="D1920" s="72" t="str">
        <f t="shared" si="3"/>
        <v>April</v>
      </c>
      <c r="E1920" s="72" t="str">
        <f t="shared" si="4"/>
        <v>Q2</v>
      </c>
      <c r="F1920" s="72">
        <f t="shared" si="5"/>
        <v>2024</v>
      </c>
      <c r="G1920" s="89">
        <f t="shared" si="6"/>
        <v>45388</v>
      </c>
      <c r="H1920" s="72" t="str">
        <f t="shared" si="7"/>
        <v>Yes</v>
      </c>
    </row>
    <row r="1921" ht="15.75" customHeight="1">
      <c r="A1921" s="88">
        <f t="shared" si="8"/>
        <v>45385</v>
      </c>
      <c r="B1921" s="72" t="str">
        <f t="shared" si="1"/>
        <v>20240403</v>
      </c>
      <c r="C1921" s="72" t="str">
        <f t="shared" si="2"/>
        <v>Wednesday</v>
      </c>
      <c r="D1921" s="72" t="str">
        <f t="shared" si="3"/>
        <v>April</v>
      </c>
      <c r="E1921" s="72" t="str">
        <f t="shared" si="4"/>
        <v>Q2</v>
      </c>
      <c r="F1921" s="72">
        <f t="shared" si="5"/>
        <v>2024</v>
      </c>
      <c r="G1921" s="89">
        <f t="shared" si="6"/>
        <v>45388</v>
      </c>
      <c r="H1921" s="72" t="str">
        <f t="shared" si="7"/>
        <v>Yes</v>
      </c>
    </row>
    <row r="1922" ht="15.75" customHeight="1">
      <c r="A1922" s="88">
        <f t="shared" si="8"/>
        <v>45386</v>
      </c>
      <c r="B1922" s="72" t="str">
        <f t="shared" si="1"/>
        <v>20240404</v>
      </c>
      <c r="C1922" s="72" t="str">
        <f t="shared" si="2"/>
        <v>Thursday</v>
      </c>
      <c r="D1922" s="72" t="str">
        <f t="shared" si="3"/>
        <v>April</v>
      </c>
      <c r="E1922" s="72" t="str">
        <f t="shared" si="4"/>
        <v>Q2</v>
      </c>
      <c r="F1922" s="72">
        <f t="shared" si="5"/>
        <v>2024</v>
      </c>
      <c r="G1922" s="89">
        <f t="shared" si="6"/>
        <v>45388</v>
      </c>
      <c r="H1922" s="72" t="str">
        <f t="shared" si="7"/>
        <v>Yes</v>
      </c>
    </row>
    <row r="1923" ht="15.75" customHeight="1">
      <c r="A1923" s="88">
        <f t="shared" si="8"/>
        <v>45387</v>
      </c>
      <c r="B1923" s="72" t="str">
        <f t="shared" si="1"/>
        <v>20240405</v>
      </c>
      <c r="C1923" s="72" t="str">
        <f t="shared" si="2"/>
        <v>Friday</v>
      </c>
      <c r="D1923" s="72" t="str">
        <f t="shared" si="3"/>
        <v>April</v>
      </c>
      <c r="E1923" s="72" t="str">
        <f t="shared" si="4"/>
        <v>Q2</v>
      </c>
      <c r="F1923" s="72">
        <f t="shared" si="5"/>
        <v>2024</v>
      </c>
      <c r="G1923" s="89">
        <f t="shared" si="6"/>
        <v>45388</v>
      </c>
      <c r="H1923" s="72" t="str">
        <f t="shared" si="7"/>
        <v>Yes</v>
      </c>
    </row>
    <row r="1924" ht="15.75" customHeight="1">
      <c r="A1924" s="88">
        <f t="shared" si="8"/>
        <v>45388</v>
      </c>
      <c r="B1924" s="72" t="str">
        <f t="shared" si="1"/>
        <v>20240406</v>
      </c>
      <c r="C1924" s="72" t="str">
        <f t="shared" si="2"/>
        <v>Saturday</v>
      </c>
      <c r="D1924" s="72" t="str">
        <f t="shared" si="3"/>
        <v>April</v>
      </c>
      <c r="E1924" s="72" t="str">
        <f t="shared" si="4"/>
        <v>Q2</v>
      </c>
      <c r="F1924" s="72">
        <f t="shared" si="5"/>
        <v>2024</v>
      </c>
      <c r="G1924" s="89">
        <f t="shared" si="6"/>
        <v>45388</v>
      </c>
      <c r="H1924" s="72" t="str">
        <f t="shared" si="7"/>
        <v>No</v>
      </c>
    </row>
    <row r="1925" ht="15.75" customHeight="1">
      <c r="A1925" s="88">
        <f t="shared" si="8"/>
        <v>45389</v>
      </c>
      <c r="B1925" s="72" t="str">
        <f t="shared" si="1"/>
        <v>20240407</v>
      </c>
      <c r="C1925" s="72" t="str">
        <f t="shared" si="2"/>
        <v>Sunday</v>
      </c>
      <c r="D1925" s="72" t="str">
        <f t="shared" si="3"/>
        <v>April</v>
      </c>
      <c r="E1925" s="72" t="str">
        <f t="shared" si="4"/>
        <v>Q2</v>
      </c>
      <c r="F1925" s="72">
        <f t="shared" si="5"/>
        <v>2024</v>
      </c>
      <c r="G1925" s="89">
        <f t="shared" si="6"/>
        <v>45395</v>
      </c>
      <c r="H1925" s="72" t="str">
        <f t="shared" si="7"/>
        <v>No</v>
      </c>
    </row>
    <row r="1926" ht="15.75" customHeight="1">
      <c r="A1926" s="88">
        <f t="shared" si="8"/>
        <v>45390</v>
      </c>
      <c r="B1926" s="72" t="str">
        <f t="shared" si="1"/>
        <v>20240408</v>
      </c>
      <c r="C1926" s="72" t="str">
        <f t="shared" si="2"/>
        <v>Monday</v>
      </c>
      <c r="D1926" s="72" t="str">
        <f t="shared" si="3"/>
        <v>April</v>
      </c>
      <c r="E1926" s="72" t="str">
        <f t="shared" si="4"/>
        <v>Q2</v>
      </c>
      <c r="F1926" s="72">
        <f t="shared" si="5"/>
        <v>2024</v>
      </c>
      <c r="G1926" s="89">
        <f t="shared" si="6"/>
        <v>45395</v>
      </c>
      <c r="H1926" s="72" t="str">
        <f t="shared" si="7"/>
        <v>Yes</v>
      </c>
    </row>
    <row r="1927" ht="15.75" customHeight="1">
      <c r="A1927" s="88">
        <f t="shared" si="8"/>
        <v>45391</v>
      </c>
      <c r="B1927" s="72" t="str">
        <f t="shared" si="1"/>
        <v>20240409</v>
      </c>
      <c r="C1927" s="72" t="str">
        <f t="shared" si="2"/>
        <v>Tuesday</v>
      </c>
      <c r="D1927" s="72" t="str">
        <f t="shared" si="3"/>
        <v>April</v>
      </c>
      <c r="E1927" s="72" t="str">
        <f t="shared" si="4"/>
        <v>Q2</v>
      </c>
      <c r="F1927" s="72">
        <f t="shared" si="5"/>
        <v>2024</v>
      </c>
      <c r="G1927" s="89">
        <f t="shared" si="6"/>
        <v>45395</v>
      </c>
      <c r="H1927" s="72" t="str">
        <f t="shared" si="7"/>
        <v>Yes</v>
      </c>
    </row>
    <row r="1928" ht="15.75" customHeight="1">
      <c r="A1928" s="88">
        <f t="shared" si="8"/>
        <v>45392</v>
      </c>
      <c r="B1928" s="72" t="str">
        <f t="shared" si="1"/>
        <v>20240410</v>
      </c>
      <c r="C1928" s="72" t="str">
        <f t="shared" si="2"/>
        <v>Wednesday</v>
      </c>
      <c r="D1928" s="72" t="str">
        <f t="shared" si="3"/>
        <v>April</v>
      </c>
      <c r="E1928" s="72" t="str">
        <f t="shared" si="4"/>
        <v>Q2</v>
      </c>
      <c r="F1928" s="72">
        <f t="shared" si="5"/>
        <v>2024</v>
      </c>
      <c r="G1928" s="89">
        <f t="shared" si="6"/>
        <v>45395</v>
      </c>
      <c r="H1928" s="72" t="str">
        <f t="shared" si="7"/>
        <v>Yes</v>
      </c>
    </row>
    <row r="1929" ht="15.75" customHeight="1">
      <c r="A1929" s="88">
        <f t="shared" si="8"/>
        <v>45393</v>
      </c>
      <c r="B1929" s="72" t="str">
        <f t="shared" si="1"/>
        <v>20240411</v>
      </c>
      <c r="C1929" s="72" t="str">
        <f t="shared" si="2"/>
        <v>Thursday</v>
      </c>
      <c r="D1929" s="72" t="str">
        <f t="shared" si="3"/>
        <v>April</v>
      </c>
      <c r="E1929" s="72" t="str">
        <f t="shared" si="4"/>
        <v>Q2</v>
      </c>
      <c r="F1929" s="72">
        <f t="shared" si="5"/>
        <v>2024</v>
      </c>
      <c r="G1929" s="89">
        <f t="shared" si="6"/>
        <v>45395</v>
      </c>
      <c r="H1929" s="72" t="str">
        <f t="shared" si="7"/>
        <v>Yes</v>
      </c>
    </row>
    <row r="1930" ht="15.75" customHeight="1">
      <c r="A1930" s="88">
        <f t="shared" si="8"/>
        <v>45394</v>
      </c>
      <c r="B1930" s="72" t="str">
        <f t="shared" si="1"/>
        <v>20240412</v>
      </c>
      <c r="C1930" s="72" t="str">
        <f t="shared" si="2"/>
        <v>Friday</v>
      </c>
      <c r="D1930" s="72" t="str">
        <f t="shared" si="3"/>
        <v>April</v>
      </c>
      <c r="E1930" s="72" t="str">
        <f t="shared" si="4"/>
        <v>Q2</v>
      </c>
      <c r="F1930" s="72">
        <f t="shared" si="5"/>
        <v>2024</v>
      </c>
      <c r="G1930" s="89">
        <f t="shared" si="6"/>
        <v>45395</v>
      </c>
      <c r="H1930" s="72" t="str">
        <f t="shared" si="7"/>
        <v>Yes</v>
      </c>
    </row>
    <row r="1931" ht="15.75" customHeight="1">
      <c r="A1931" s="88">
        <f t="shared" si="8"/>
        <v>45395</v>
      </c>
      <c r="B1931" s="72" t="str">
        <f t="shared" si="1"/>
        <v>20240413</v>
      </c>
      <c r="C1931" s="72" t="str">
        <f t="shared" si="2"/>
        <v>Saturday</v>
      </c>
      <c r="D1931" s="72" t="str">
        <f t="shared" si="3"/>
        <v>April</v>
      </c>
      <c r="E1931" s="72" t="str">
        <f t="shared" si="4"/>
        <v>Q2</v>
      </c>
      <c r="F1931" s="72">
        <f t="shared" si="5"/>
        <v>2024</v>
      </c>
      <c r="G1931" s="89">
        <f t="shared" si="6"/>
        <v>45395</v>
      </c>
      <c r="H1931" s="72" t="str">
        <f t="shared" si="7"/>
        <v>No</v>
      </c>
    </row>
    <row r="1932" ht="15.75" customHeight="1">
      <c r="A1932" s="88">
        <f t="shared" si="8"/>
        <v>45396</v>
      </c>
      <c r="B1932" s="72" t="str">
        <f t="shared" si="1"/>
        <v>20240414</v>
      </c>
      <c r="C1932" s="72" t="str">
        <f t="shared" si="2"/>
        <v>Sunday</v>
      </c>
      <c r="D1932" s="72" t="str">
        <f t="shared" si="3"/>
        <v>April</v>
      </c>
      <c r="E1932" s="72" t="str">
        <f t="shared" si="4"/>
        <v>Q2</v>
      </c>
      <c r="F1932" s="72">
        <f t="shared" si="5"/>
        <v>2024</v>
      </c>
      <c r="G1932" s="89">
        <f t="shared" si="6"/>
        <v>45402</v>
      </c>
      <c r="H1932" s="72" t="str">
        <f t="shared" si="7"/>
        <v>No</v>
      </c>
    </row>
    <row r="1933" ht="15.75" customHeight="1">
      <c r="A1933" s="88">
        <f t="shared" si="8"/>
        <v>45397</v>
      </c>
      <c r="B1933" s="72" t="str">
        <f t="shared" si="1"/>
        <v>20240415</v>
      </c>
      <c r="C1933" s="72" t="str">
        <f t="shared" si="2"/>
        <v>Monday</v>
      </c>
      <c r="D1933" s="72" t="str">
        <f t="shared" si="3"/>
        <v>April</v>
      </c>
      <c r="E1933" s="72" t="str">
        <f t="shared" si="4"/>
        <v>Q2</v>
      </c>
      <c r="F1933" s="72">
        <f t="shared" si="5"/>
        <v>2024</v>
      </c>
      <c r="G1933" s="89">
        <f t="shared" si="6"/>
        <v>45402</v>
      </c>
      <c r="H1933" s="72" t="str">
        <f t="shared" si="7"/>
        <v>Yes</v>
      </c>
    </row>
    <row r="1934" ht="15.75" customHeight="1">
      <c r="A1934" s="88">
        <f t="shared" si="8"/>
        <v>45398</v>
      </c>
      <c r="B1934" s="72" t="str">
        <f t="shared" si="1"/>
        <v>20240416</v>
      </c>
      <c r="C1934" s="72" t="str">
        <f t="shared" si="2"/>
        <v>Tuesday</v>
      </c>
      <c r="D1934" s="72" t="str">
        <f t="shared" si="3"/>
        <v>April</v>
      </c>
      <c r="E1934" s="72" t="str">
        <f t="shared" si="4"/>
        <v>Q2</v>
      </c>
      <c r="F1934" s="72">
        <f t="shared" si="5"/>
        <v>2024</v>
      </c>
      <c r="G1934" s="89">
        <f t="shared" si="6"/>
        <v>45402</v>
      </c>
      <c r="H1934" s="72" t="str">
        <f t="shared" si="7"/>
        <v>Yes</v>
      </c>
    </row>
    <row r="1935" ht="15.75" customHeight="1">
      <c r="A1935" s="88">
        <f t="shared" si="8"/>
        <v>45399</v>
      </c>
      <c r="B1935" s="72" t="str">
        <f t="shared" si="1"/>
        <v>20240417</v>
      </c>
      <c r="C1935" s="72" t="str">
        <f t="shared" si="2"/>
        <v>Wednesday</v>
      </c>
      <c r="D1935" s="72" t="str">
        <f t="shared" si="3"/>
        <v>April</v>
      </c>
      <c r="E1935" s="72" t="str">
        <f t="shared" si="4"/>
        <v>Q2</v>
      </c>
      <c r="F1935" s="72">
        <f t="shared" si="5"/>
        <v>2024</v>
      </c>
      <c r="G1935" s="89">
        <f t="shared" si="6"/>
        <v>45402</v>
      </c>
      <c r="H1935" s="72" t="str">
        <f t="shared" si="7"/>
        <v>Yes</v>
      </c>
    </row>
    <row r="1936" ht="15.75" customHeight="1">
      <c r="A1936" s="88">
        <f t="shared" si="8"/>
        <v>45400</v>
      </c>
      <c r="B1936" s="72" t="str">
        <f t="shared" si="1"/>
        <v>20240418</v>
      </c>
      <c r="C1936" s="72" t="str">
        <f t="shared" si="2"/>
        <v>Thursday</v>
      </c>
      <c r="D1936" s="72" t="str">
        <f t="shared" si="3"/>
        <v>April</v>
      </c>
      <c r="E1936" s="72" t="str">
        <f t="shared" si="4"/>
        <v>Q2</v>
      </c>
      <c r="F1936" s="72">
        <f t="shared" si="5"/>
        <v>2024</v>
      </c>
      <c r="G1936" s="89">
        <f t="shared" si="6"/>
        <v>45402</v>
      </c>
      <c r="H1936" s="72" t="str">
        <f t="shared" si="7"/>
        <v>Yes</v>
      </c>
    </row>
    <row r="1937" ht="15.75" customHeight="1">
      <c r="A1937" s="88">
        <f t="shared" si="8"/>
        <v>45401</v>
      </c>
      <c r="B1937" s="72" t="str">
        <f t="shared" si="1"/>
        <v>20240419</v>
      </c>
      <c r="C1937" s="72" t="str">
        <f t="shared" si="2"/>
        <v>Friday</v>
      </c>
      <c r="D1937" s="72" t="str">
        <f t="shared" si="3"/>
        <v>April</v>
      </c>
      <c r="E1937" s="72" t="str">
        <f t="shared" si="4"/>
        <v>Q2</v>
      </c>
      <c r="F1937" s="72">
        <f t="shared" si="5"/>
        <v>2024</v>
      </c>
      <c r="G1937" s="89">
        <f t="shared" si="6"/>
        <v>45402</v>
      </c>
      <c r="H1937" s="72" t="str">
        <f t="shared" si="7"/>
        <v>Yes</v>
      </c>
    </row>
    <row r="1938" ht="15.75" customHeight="1">
      <c r="A1938" s="88">
        <f t="shared" si="8"/>
        <v>45402</v>
      </c>
      <c r="B1938" s="72" t="str">
        <f t="shared" si="1"/>
        <v>20240420</v>
      </c>
      <c r="C1938" s="72" t="str">
        <f t="shared" si="2"/>
        <v>Saturday</v>
      </c>
      <c r="D1938" s="72" t="str">
        <f t="shared" si="3"/>
        <v>April</v>
      </c>
      <c r="E1938" s="72" t="str">
        <f t="shared" si="4"/>
        <v>Q2</v>
      </c>
      <c r="F1938" s="72">
        <f t="shared" si="5"/>
        <v>2024</v>
      </c>
      <c r="G1938" s="89">
        <f t="shared" si="6"/>
        <v>45402</v>
      </c>
      <c r="H1938" s="72" t="str">
        <f t="shared" si="7"/>
        <v>No</v>
      </c>
    </row>
    <row r="1939" ht="15.75" customHeight="1">
      <c r="A1939" s="88">
        <f t="shared" si="8"/>
        <v>45403</v>
      </c>
      <c r="B1939" s="72" t="str">
        <f t="shared" si="1"/>
        <v>20240421</v>
      </c>
      <c r="C1939" s="72" t="str">
        <f t="shared" si="2"/>
        <v>Sunday</v>
      </c>
      <c r="D1939" s="72" t="str">
        <f t="shared" si="3"/>
        <v>April</v>
      </c>
      <c r="E1939" s="72" t="str">
        <f t="shared" si="4"/>
        <v>Q2</v>
      </c>
      <c r="F1939" s="72">
        <f t="shared" si="5"/>
        <v>2024</v>
      </c>
      <c r="G1939" s="89">
        <f t="shared" si="6"/>
        <v>45409</v>
      </c>
      <c r="H1939" s="72" t="str">
        <f t="shared" si="7"/>
        <v>No</v>
      </c>
    </row>
    <row r="1940" ht="15.75" customHeight="1">
      <c r="A1940" s="88">
        <f t="shared" si="8"/>
        <v>45404</v>
      </c>
      <c r="B1940" s="72" t="str">
        <f t="shared" si="1"/>
        <v>20240422</v>
      </c>
      <c r="C1940" s="72" t="str">
        <f t="shared" si="2"/>
        <v>Monday</v>
      </c>
      <c r="D1940" s="72" t="str">
        <f t="shared" si="3"/>
        <v>April</v>
      </c>
      <c r="E1940" s="72" t="str">
        <f t="shared" si="4"/>
        <v>Q2</v>
      </c>
      <c r="F1940" s="72">
        <f t="shared" si="5"/>
        <v>2024</v>
      </c>
      <c r="G1940" s="89">
        <f t="shared" si="6"/>
        <v>45409</v>
      </c>
      <c r="H1940" s="72" t="str">
        <f t="shared" si="7"/>
        <v>Yes</v>
      </c>
    </row>
    <row r="1941" ht="15.75" customHeight="1">
      <c r="A1941" s="88">
        <f t="shared" si="8"/>
        <v>45405</v>
      </c>
      <c r="B1941" s="72" t="str">
        <f t="shared" si="1"/>
        <v>20240423</v>
      </c>
      <c r="C1941" s="72" t="str">
        <f t="shared" si="2"/>
        <v>Tuesday</v>
      </c>
      <c r="D1941" s="72" t="str">
        <f t="shared" si="3"/>
        <v>April</v>
      </c>
      <c r="E1941" s="72" t="str">
        <f t="shared" si="4"/>
        <v>Q2</v>
      </c>
      <c r="F1941" s="72">
        <f t="shared" si="5"/>
        <v>2024</v>
      </c>
      <c r="G1941" s="89">
        <f t="shared" si="6"/>
        <v>45409</v>
      </c>
      <c r="H1941" s="72" t="str">
        <f t="shared" si="7"/>
        <v>Yes</v>
      </c>
    </row>
    <row r="1942" ht="15.75" customHeight="1">
      <c r="A1942" s="88">
        <f t="shared" si="8"/>
        <v>45406</v>
      </c>
      <c r="B1942" s="72" t="str">
        <f t="shared" si="1"/>
        <v>20240424</v>
      </c>
      <c r="C1942" s="72" t="str">
        <f t="shared" si="2"/>
        <v>Wednesday</v>
      </c>
      <c r="D1942" s="72" t="str">
        <f t="shared" si="3"/>
        <v>April</v>
      </c>
      <c r="E1942" s="72" t="str">
        <f t="shared" si="4"/>
        <v>Q2</v>
      </c>
      <c r="F1942" s="72">
        <f t="shared" si="5"/>
        <v>2024</v>
      </c>
      <c r="G1942" s="89">
        <f t="shared" si="6"/>
        <v>45409</v>
      </c>
      <c r="H1942" s="72" t="str">
        <f t="shared" si="7"/>
        <v>Yes</v>
      </c>
    </row>
    <row r="1943" ht="15.75" customHeight="1">
      <c r="A1943" s="88">
        <f t="shared" si="8"/>
        <v>45407</v>
      </c>
      <c r="B1943" s="72" t="str">
        <f t="shared" si="1"/>
        <v>20240425</v>
      </c>
      <c r="C1943" s="72" t="str">
        <f t="shared" si="2"/>
        <v>Thursday</v>
      </c>
      <c r="D1943" s="72" t="str">
        <f t="shared" si="3"/>
        <v>April</v>
      </c>
      <c r="E1943" s="72" t="str">
        <f t="shared" si="4"/>
        <v>Q2</v>
      </c>
      <c r="F1943" s="72">
        <f t="shared" si="5"/>
        <v>2024</v>
      </c>
      <c r="G1943" s="89">
        <f t="shared" si="6"/>
        <v>45409</v>
      </c>
      <c r="H1943" s="72" t="str">
        <f t="shared" si="7"/>
        <v>Yes</v>
      </c>
    </row>
    <row r="1944" ht="15.75" customHeight="1">
      <c r="A1944" s="88">
        <f t="shared" si="8"/>
        <v>45408</v>
      </c>
      <c r="B1944" s="72" t="str">
        <f t="shared" si="1"/>
        <v>20240426</v>
      </c>
      <c r="C1944" s="72" t="str">
        <f t="shared" si="2"/>
        <v>Friday</v>
      </c>
      <c r="D1944" s="72" t="str">
        <f t="shared" si="3"/>
        <v>April</v>
      </c>
      <c r="E1944" s="72" t="str">
        <f t="shared" si="4"/>
        <v>Q2</v>
      </c>
      <c r="F1944" s="72">
        <f t="shared" si="5"/>
        <v>2024</v>
      </c>
      <c r="G1944" s="89">
        <f t="shared" si="6"/>
        <v>45409</v>
      </c>
      <c r="H1944" s="72" t="str">
        <f t="shared" si="7"/>
        <v>Yes</v>
      </c>
    </row>
    <row r="1945" ht="15.75" customHeight="1">
      <c r="A1945" s="88">
        <f t="shared" si="8"/>
        <v>45409</v>
      </c>
      <c r="B1945" s="72" t="str">
        <f t="shared" si="1"/>
        <v>20240427</v>
      </c>
      <c r="C1945" s="72" t="str">
        <f t="shared" si="2"/>
        <v>Saturday</v>
      </c>
      <c r="D1945" s="72" t="str">
        <f t="shared" si="3"/>
        <v>April</v>
      </c>
      <c r="E1945" s="72" t="str">
        <f t="shared" si="4"/>
        <v>Q2</v>
      </c>
      <c r="F1945" s="72">
        <f t="shared" si="5"/>
        <v>2024</v>
      </c>
      <c r="G1945" s="89">
        <f t="shared" si="6"/>
        <v>45409</v>
      </c>
      <c r="H1945" s="72" t="str">
        <f t="shared" si="7"/>
        <v>No</v>
      </c>
    </row>
    <row r="1946" ht="15.75" customHeight="1">
      <c r="A1946" s="88">
        <f t="shared" si="8"/>
        <v>45410</v>
      </c>
      <c r="B1946" s="72" t="str">
        <f t="shared" si="1"/>
        <v>20240428</v>
      </c>
      <c r="C1946" s="72" t="str">
        <f t="shared" si="2"/>
        <v>Sunday</v>
      </c>
      <c r="D1946" s="72" t="str">
        <f t="shared" si="3"/>
        <v>April</v>
      </c>
      <c r="E1946" s="72" t="str">
        <f t="shared" si="4"/>
        <v>Q2</v>
      </c>
      <c r="F1946" s="72">
        <f t="shared" si="5"/>
        <v>2024</v>
      </c>
      <c r="G1946" s="89">
        <f t="shared" si="6"/>
        <v>45416</v>
      </c>
      <c r="H1946" s="72" t="str">
        <f t="shared" si="7"/>
        <v>No</v>
      </c>
    </row>
    <row r="1947" ht="15.75" customHeight="1">
      <c r="A1947" s="88">
        <f t="shared" si="8"/>
        <v>45411</v>
      </c>
      <c r="B1947" s="72" t="str">
        <f t="shared" si="1"/>
        <v>20240429</v>
      </c>
      <c r="C1947" s="72" t="str">
        <f t="shared" si="2"/>
        <v>Monday</v>
      </c>
      <c r="D1947" s="72" t="str">
        <f t="shared" si="3"/>
        <v>April</v>
      </c>
      <c r="E1947" s="72" t="str">
        <f t="shared" si="4"/>
        <v>Q2</v>
      </c>
      <c r="F1947" s="72">
        <f t="shared" si="5"/>
        <v>2024</v>
      </c>
      <c r="G1947" s="89">
        <f t="shared" si="6"/>
        <v>45416</v>
      </c>
      <c r="H1947" s="72" t="str">
        <f t="shared" si="7"/>
        <v>Yes</v>
      </c>
    </row>
    <row r="1948" ht="15.75" customHeight="1">
      <c r="A1948" s="88">
        <f t="shared" si="8"/>
        <v>45412</v>
      </c>
      <c r="B1948" s="72" t="str">
        <f t="shared" si="1"/>
        <v>20240430</v>
      </c>
      <c r="C1948" s="72" t="str">
        <f t="shared" si="2"/>
        <v>Tuesday</v>
      </c>
      <c r="D1948" s="72" t="str">
        <f t="shared" si="3"/>
        <v>April</v>
      </c>
      <c r="E1948" s="72" t="str">
        <f t="shared" si="4"/>
        <v>Q2</v>
      </c>
      <c r="F1948" s="72">
        <f t="shared" si="5"/>
        <v>2024</v>
      </c>
      <c r="G1948" s="89">
        <f t="shared" si="6"/>
        <v>45416</v>
      </c>
      <c r="H1948" s="72" t="str">
        <f t="shared" si="7"/>
        <v>Yes</v>
      </c>
    </row>
    <row r="1949" ht="15.75" customHeight="1">
      <c r="A1949" s="88">
        <f t="shared" si="8"/>
        <v>45413</v>
      </c>
      <c r="B1949" s="72" t="str">
        <f t="shared" si="1"/>
        <v>20240501</v>
      </c>
      <c r="C1949" s="72" t="str">
        <f t="shared" si="2"/>
        <v>Wednesday</v>
      </c>
      <c r="D1949" s="72" t="str">
        <f t="shared" si="3"/>
        <v>May</v>
      </c>
      <c r="E1949" s="72" t="str">
        <f t="shared" si="4"/>
        <v>Q2</v>
      </c>
      <c r="F1949" s="72">
        <f t="shared" si="5"/>
        <v>2024</v>
      </c>
      <c r="G1949" s="89">
        <f t="shared" si="6"/>
        <v>45416</v>
      </c>
      <c r="H1949" s="72" t="str">
        <f t="shared" si="7"/>
        <v>Yes</v>
      </c>
    </row>
    <row r="1950" ht="15.75" customHeight="1">
      <c r="A1950" s="88">
        <f t="shared" si="8"/>
        <v>45414</v>
      </c>
      <c r="B1950" s="72" t="str">
        <f t="shared" si="1"/>
        <v>20240502</v>
      </c>
      <c r="C1950" s="72" t="str">
        <f t="shared" si="2"/>
        <v>Thursday</v>
      </c>
      <c r="D1950" s="72" t="str">
        <f t="shared" si="3"/>
        <v>May</v>
      </c>
      <c r="E1950" s="72" t="str">
        <f t="shared" si="4"/>
        <v>Q2</v>
      </c>
      <c r="F1950" s="72">
        <f t="shared" si="5"/>
        <v>2024</v>
      </c>
      <c r="G1950" s="89">
        <f t="shared" si="6"/>
        <v>45416</v>
      </c>
      <c r="H1950" s="72" t="str">
        <f t="shared" si="7"/>
        <v>Yes</v>
      </c>
    </row>
    <row r="1951" ht="15.75" customHeight="1">
      <c r="A1951" s="88">
        <f t="shared" si="8"/>
        <v>45415</v>
      </c>
      <c r="B1951" s="72" t="str">
        <f t="shared" si="1"/>
        <v>20240503</v>
      </c>
      <c r="C1951" s="72" t="str">
        <f t="shared" si="2"/>
        <v>Friday</v>
      </c>
      <c r="D1951" s="72" t="str">
        <f t="shared" si="3"/>
        <v>May</v>
      </c>
      <c r="E1951" s="72" t="str">
        <f t="shared" si="4"/>
        <v>Q2</v>
      </c>
      <c r="F1951" s="72">
        <f t="shared" si="5"/>
        <v>2024</v>
      </c>
      <c r="G1951" s="89">
        <f t="shared" si="6"/>
        <v>45416</v>
      </c>
      <c r="H1951" s="72" t="str">
        <f t="shared" si="7"/>
        <v>Yes</v>
      </c>
    </row>
    <row r="1952" ht="15.75" customHeight="1">
      <c r="A1952" s="88">
        <f t="shared" si="8"/>
        <v>45416</v>
      </c>
      <c r="B1952" s="72" t="str">
        <f t="shared" si="1"/>
        <v>20240504</v>
      </c>
      <c r="C1952" s="72" t="str">
        <f t="shared" si="2"/>
        <v>Saturday</v>
      </c>
      <c r="D1952" s="72" t="str">
        <f t="shared" si="3"/>
        <v>May</v>
      </c>
      <c r="E1952" s="72" t="str">
        <f t="shared" si="4"/>
        <v>Q2</v>
      </c>
      <c r="F1952" s="72">
        <f t="shared" si="5"/>
        <v>2024</v>
      </c>
      <c r="G1952" s="89">
        <f t="shared" si="6"/>
        <v>45416</v>
      </c>
      <c r="H1952" s="72" t="str">
        <f t="shared" si="7"/>
        <v>No</v>
      </c>
    </row>
    <row r="1953" ht="15.75" customHeight="1">
      <c r="A1953" s="88">
        <f t="shared" si="8"/>
        <v>45417</v>
      </c>
      <c r="B1953" s="72" t="str">
        <f t="shared" si="1"/>
        <v>20240505</v>
      </c>
      <c r="C1953" s="72" t="str">
        <f t="shared" si="2"/>
        <v>Sunday</v>
      </c>
      <c r="D1953" s="72" t="str">
        <f t="shared" si="3"/>
        <v>May</v>
      </c>
      <c r="E1953" s="72" t="str">
        <f t="shared" si="4"/>
        <v>Q2</v>
      </c>
      <c r="F1953" s="72">
        <f t="shared" si="5"/>
        <v>2024</v>
      </c>
      <c r="G1953" s="89">
        <f t="shared" si="6"/>
        <v>45423</v>
      </c>
      <c r="H1953" s="72" t="str">
        <f t="shared" si="7"/>
        <v>No</v>
      </c>
    </row>
    <row r="1954" ht="15.75" customHeight="1">
      <c r="A1954" s="88">
        <f t="shared" si="8"/>
        <v>45418</v>
      </c>
      <c r="B1954" s="72" t="str">
        <f t="shared" si="1"/>
        <v>20240506</v>
      </c>
      <c r="C1954" s="72" t="str">
        <f t="shared" si="2"/>
        <v>Monday</v>
      </c>
      <c r="D1954" s="72" t="str">
        <f t="shared" si="3"/>
        <v>May</v>
      </c>
      <c r="E1954" s="72" t="str">
        <f t="shared" si="4"/>
        <v>Q2</v>
      </c>
      <c r="F1954" s="72">
        <f t="shared" si="5"/>
        <v>2024</v>
      </c>
      <c r="G1954" s="89">
        <f t="shared" si="6"/>
        <v>45423</v>
      </c>
      <c r="H1954" s="72" t="str">
        <f t="shared" si="7"/>
        <v>Yes</v>
      </c>
    </row>
    <row r="1955" ht="15.75" customHeight="1">
      <c r="A1955" s="88">
        <f t="shared" si="8"/>
        <v>45419</v>
      </c>
      <c r="B1955" s="72" t="str">
        <f t="shared" si="1"/>
        <v>20240507</v>
      </c>
      <c r="C1955" s="72" t="str">
        <f t="shared" si="2"/>
        <v>Tuesday</v>
      </c>
      <c r="D1955" s="72" t="str">
        <f t="shared" si="3"/>
        <v>May</v>
      </c>
      <c r="E1955" s="72" t="str">
        <f t="shared" si="4"/>
        <v>Q2</v>
      </c>
      <c r="F1955" s="72">
        <f t="shared" si="5"/>
        <v>2024</v>
      </c>
      <c r="G1955" s="89">
        <f t="shared" si="6"/>
        <v>45423</v>
      </c>
      <c r="H1955" s="72" t="str">
        <f t="shared" si="7"/>
        <v>Yes</v>
      </c>
    </row>
    <row r="1956" ht="15.75" customHeight="1">
      <c r="A1956" s="88">
        <f t="shared" si="8"/>
        <v>45420</v>
      </c>
      <c r="B1956" s="72" t="str">
        <f t="shared" si="1"/>
        <v>20240508</v>
      </c>
      <c r="C1956" s="72" t="str">
        <f t="shared" si="2"/>
        <v>Wednesday</v>
      </c>
      <c r="D1956" s="72" t="str">
        <f t="shared" si="3"/>
        <v>May</v>
      </c>
      <c r="E1956" s="72" t="str">
        <f t="shared" si="4"/>
        <v>Q2</v>
      </c>
      <c r="F1956" s="72">
        <f t="shared" si="5"/>
        <v>2024</v>
      </c>
      <c r="G1956" s="89">
        <f t="shared" si="6"/>
        <v>45423</v>
      </c>
      <c r="H1956" s="72" t="str">
        <f t="shared" si="7"/>
        <v>Yes</v>
      </c>
    </row>
    <row r="1957" ht="15.75" customHeight="1">
      <c r="A1957" s="88">
        <f t="shared" si="8"/>
        <v>45421</v>
      </c>
      <c r="B1957" s="72" t="str">
        <f t="shared" si="1"/>
        <v>20240509</v>
      </c>
      <c r="C1957" s="72" t="str">
        <f t="shared" si="2"/>
        <v>Thursday</v>
      </c>
      <c r="D1957" s="72" t="str">
        <f t="shared" si="3"/>
        <v>May</v>
      </c>
      <c r="E1957" s="72" t="str">
        <f t="shared" si="4"/>
        <v>Q2</v>
      </c>
      <c r="F1957" s="72">
        <f t="shared" si="5"/>
        <v>2024</v>
      </c>
      <c r="G1957" s="89">
        <f t="shared" si="6"/>
        <v>45423</v>
      </c>
      <c r="H1957" s="72" t="str">
        <f t="shared" si="7"/>
        <v>Yes</v>
      </c>
    </row>
    <row r="1958" ht="15.75" customHeight="1">
      <c r="A1958" s="88">
        <f t="shared" si="8"/>
        <v>45422</v>
      </c>
      <c r="B1958" s="72" t="str">
        <f t="shared" si="1"/>
        <v>20240510</v>
      </c>
      <c r="C1958" s="72" t="str">
        <f t="shared" si="2"/>
        <v>Friday</v>
      </c>
      <c r="D1958" s="72" t="str">
        <f t="shared" si="3"/>
        <v>May</v>
      </c>
      <c r="E1958" s="72" t="str">
        <f t="shared" si="4"/>
        <v>Q2</v>
      </c>
      <c r="F1958" s="72">
        <f t="shared" si="5"/>
        <v>2024</v>
      </c>
      <c r="G1958" s="89">
        <f t="shared" si="6"/>
        <v>45423</v>
      </c>
      <c r="H1958" s="72" t="str">
        <f t="shared" si="7"/>
        <v>Yes</v>
      </c>
    </row>
    <row r="1959" ht="15.75" customHeight="1">
      <c r="A1959" s="88">
        <f t="shared" si="8"/>
        <v>45423</v>
      </c>
      <c r="B1959" s="72" t="str">
        <f t="shared" si="1"/>
        <v>20240511</v>
      </c>
      <c r="C1959" s="72" t="str">
        <f t="shared" si="2"/>
        <v>Saturday</v>
      </c>
      <c r="D1959" s="72" t="str">
        <f t="shared" si="3"/>
        <v>May</v>
      </c>
      <c r="E1959" s="72" t="str">
        <f t="shared" si="4"/>
        <v>Q2</v>
      </c>
      <c r="F1959" s="72">
        <f t="shared" si="5"/>
        <v>2024</v>
      </c>
      <c r="G1959" s="89">
        <f t="shared" si="6"/>
        <v>45423</v>
      </c>
      <c r="H1959" s="72" t="str">
        <f t="shared" si="7"/>
        <v>No</v>
      </c>
    </row>
    <row r="1960" ht="15.75" customHeight="1">
      <c r="A1960" s="88">
        <f t="shared" si="8"/>
        <v>45424</v>
      </c>
      <c r="B1960" s="72" t="str">
        <f t="shared" si="1"/>
        <v>20240512</v>
      </c>
      <c r="C1960" s="72" t="str">
        <f t="shared" si="2"/>
        <v>Sunday</v>
      </c>
      <c r="D1960" s="72" t="str">
        <f t="shared" si="3"/>
        <v>May</v>
      </c>
      <c r="E1960" s="72" t="str">
        <f t="shared" si="4"/>
        <v>Q2</v>
      </c>
      <c r="F1960" s="72">
        <f t="shared" si="5"/>
        <v>2024</v>
      </c>
      <c r="G1960" s="89">
        <f t="shared" si="6"/>
        <v>45430</v>
      </c>
      <c r="H1960" s="72" t="str">
        <f t="shared" si="7"/>
        <v>No</v>
      </c>
    </row>
    <row r="1961" ht="15.75" customHeight="1">
      <c r="A1961" s="88">
        <f t="shared" si="8"/>
        <v>45425</v>
      </c>
      <c r="B1961" s="72" t="str">
        <f t="shared" si="1"/>
        <v>20240513</v>
      </c>
      <c r="C1961" s="72" t="str">
        <f t="shared" si="2"/>
        <v>Monday</v>
      </c>
      <c r="D1961" s="72" t="str">
        <f t="shared" si="3"/>
        <v>May</v>
      </c>
      <c r="E1961" s="72" t="str">
        <f t="shared" si="4"/>
        <v>Q2</v>
      </c>
      <c r="F1961" s="72">
        <f t="shared" si="5"/>
        <v>2024</v>
      </c>
      <c r="G1961" s="89">
        <f t="shared" si="6"/>
        <v>45430</v>
      </c>
      <c r="H1961" s="72" t="str">
        <f t="shared" si="7"/>
        <v>Yes</v>
      </c>
    </row>
    <row r="1962" ht="15.75" customHeight="1">
      <c r="A1962" s="88">
        <f t="shared" si="8"/>
        <v>45426</v>
      </c>
      <c r="B1962" s="72" t="str">
        <f t="shared" si="1"/>
        <v>20240514</v>
      </c>
      <c r="C1962" s="72" t="str">
        <f t="shared" si="2"/>
        <v>Tuesday</v>
      </c>
      <c r="D1962" s="72" t="str">
        <f t="shared" si="3"/>
        <v>May</v>
      </c>
      <c r="E1962" s="72" t="str">
        <f t="shared" si="4"/>
        <v>Q2</v>
      </c>
      <c r="F1962" s="72">
        <f t="shared" si="5"/>
        <v>2024</v>
      </c>
      <c r="G1962" s="89">
        <f t="shared" si="6"/>
        <v>45430</v>
      </c>
      <c r="H1962" s="72" t="str">
        <f t="shared" si="7"/>
        <v>Yes</v>
      </c>
    </row>
    <row r="1963" ht="15.75" customHeight="1">
      <c r="A1963" s="88">
        <f t="shared" si="8"/>
        <v>45427</v>
      </c>
      <c r="B1963" s="72" t="str">
        <f t="shared" si="1"/>
        <v>20240515</v>
      </c>
      <c r="C1963" s="72" t="str">
        <f t="shared" si="2"/>
        <v>Wednesday</v>
      </c>
      <c r="D1963" s="72" t="str">
        <f t="shared" si="3"/>
        <v>May</v>
      </c>
      <c r="E1963" s="72" t="str">
        <f t="shared" si="4"/>
        <v>Q2</v>
      </c>
      <c r="F1963" s="72">
        <f t="shared" si="5"/>
        <v>2024</v>
      </c>
      <c r="G1963" s="89">
        <f t="shared" si="6"/>
        <v>45430</v>
      </c>
      <c r="H1963" s="72" t="str">
        <f t="shared" si="7"/>
        <v>Yes</v>
      </c>
    </row>
    <row r="1964" ht="15.75" customHeight="1">
      <c r="A1964" s="88">
        <f t="shared" si="8"/>
        <v>45428</v>
      </c>
      <c r="B1964" s="72" t="str">
        <f t="shared" si="1"/>
        <v>20240516</v>
      </c>
      <c r="C1964" s="72" t="str">
        <f t="shared" si="2"/>
        <v>Thursday</v>
      </c>
      <c r="D1964" s="72" t="str">
        <f t="shared" si="3"/>
        <v>May</v>
      </c>
      <c r="E1964" s="72" t="str">
        <f t="shared" si="4"/>
        <v>Q2</v>
      </c>
      <c r="F1964" s="72">
        <f t="shared" si="5"/>
        <v>2024</v>
      </c>
      <c r="G1964" s="89">
        <f t="shared" si="6"/>
        <v>45430</v>
      </c>
      <c r="H1964" s="72" t="str">
        <f t="shared" si="7"/>
        <v>Yes</v>
      </c>
    </row>
    <row r="1965" ht="15.75" customHeight="1">
      <c r="A1965" s="88">
        <f t="shared" si="8"/>
        <v>45429</v>
      </c>
      <c r="B1965" s="72" t="str">
        <f t="shared" si="1"/>
        <v>20240517</v>
      </c>
      <c r="C1965" s="72" t="str">
        <f t="shared" si="2"/>
        <v>Friday</v>
      </c>
      <c r="D1965" s="72" t="str">
        <f t="shared" si="3"/>
        <v>May</v>
      </c>
      <c r="E1965" s="72" t="str">
        <f t="shared" si="4"/>
        <v>Q2</v>
      </c>
      <c r="F1965" s="72">
        <f t="shared" si="5"/>
        <v>2024</v>
      </c>
      <c r="G1965" s="89">
        <f t="shared" si="6"/>
        <v>45430</v>
      </c>
      <c r="H1965" s="72" t="str">
        <f t="shared" si="7"/>
        <v>Yes</v>
      </c>
    </row>
    <row r="1966" ht="15.75" customHeight="1">
      <c r="A1966" s="88">
        <f t="shared" si="8"/>
        <v>45430</v>
      </c>
      <c r="B1966" s="72" t="str">
        <f t="shared" si="1"/>
        <v>20240518</v>
      </c>
      <c r="C1966" s="72" t="str">
        <f t="shared" si="2"/>
        <v>Saturday</v>
      </c>
      <c r="D1966" s="72" t="str">
        <f t="shared" si="3"/>
        <v>May</v>
      </c>
      <c r="E1966" s="72" t="str">
        <f t="shared" si="4"/>
        <v>Q2</v>
      </c>
      <c r="F1966" s="72">
        <f t="shared" si="5"/>
        <v>2024</v>
      </c>
      <c r="G1966" s="89">
        <f t="shared" si="6"/>
        <v>45430</v>
      </c>
      <c r="H1966" s="72" t="str">
        <f t="shared" si="7"/>
        <v>No</v>
      </c>
    </row>
    <row r="1967" ht="15.75" customHeight="1">
      <c r="A1967" s="88">
        <f t="shared" si="8"/>
        <v>45431</v>
      </c>
      <c r="B1967" s="72" t="str">
        <f t="shared" si="1"/>
        <v>20240519</v>
      </c>
      <c r="C1967" s="72" t="str">
        <f t="shared" si="2"/>
        <v>Sunday</v>
      </c>
      <c r="D1967" s="72" t="str">
        <f t="shared" si="3"/>
        <v>May</v>
      </c>
      <c r="E1967" s="72" t="str">
        <f t="shared" si="4"/>
        <v>Q2</v>
      </c>
      <c r="F1967" s="72">
        <f t="shared" si="5"/>
        <v>2024</v>
      </c>
      <c r="G1967" s="89">
        <f t="shared" si="6"/>
        <v>45437</v>
      </c>
      <c r="H1967" s="72" t="str">
        <f t="shared" si="7"/>
        <v>No</v>
      </c>
    </row>
    <row r="1968" ht="15.75" customHeight="1">
      <c r="A1968" s="88">
        <f t="shared" si="8"/>
        <v>45432</v>
      </c>
      <c r="B1968" s="72" t="str">
        <f t="shared" si="1"/>
        <v>20240520</v>
      </c>
      <c r="C1968" s="72" t="str">
        <f t="shared" si="2"/>
        <v>Monday</v>
      </c>
      <c r="D1968" s="72" t="str">
        <f t="shared" si="3"/>
        <v>May</v>
      </c>
      <c r="E1968" s="72" t="str">
        <f t="shared" si="4"/>
        <v>Q2</v>
      </c>
      <c r="F1968" s="72">
        <f t="shared" si="5"/>
        <v>2024</v>
      </c>
      <c r="G1968" s="89">
        <f t="shared" si="6"/>
        <v>45437</v>
      </c>
      <c r="H1968" s="72" t="str">
        <f t="shared" si="7"/>
        <v>Yes</v>
      </c>
    </row>
    <row r="1969" ht="15.75" customHeight="1">
      <c r="A1969" s="88">
        <f t="shared" si="8"/>
        <v>45433</v>
      </c>
      <c r="B1969" s="72" t="str">
        <f t="shared" si="1"/>
        <v>20240521</v>
      </c>
      <c r="C1969" s="72" t="str">
        <f t="shared" si="2"/>
        <v>Tuesday</v>
      </c>
      <c r="D1969" s="72" t="str">
        <f t="shared" si="3"/>
        <v>May</v>
      </c>
      <c r="E1969" s="72" t="str">
        <f t="shared" si="4"/>
        <v>Q2</v>
      </c>
      <c r="F1969" s="72">
        <f t="shared" si="5"/>
        <v>2024</v>
      </c>
      <c r="G1969" s="89">
        <f t="shared" si="6"/>
        <v>45437</v>
      </c>
      <c r="H1969" s="72" t="str">
        <f t="shared" si="7"/>
        <v>Yes</v>
      </c>
    </row>
    <row r="1970" ht="15.75" customHeight="1">
      <c r="A1970" s="88">
        <f t="shared" si="8"/>
        <v>45434</v>
      </c>
      <c r="B1970" s="72" t="str">
        <f t="shared" si="1"/>
        <v>20240522</v>
      </c>
      <c r="C1970" s="72" t="str">
        <f t="shared" si="2"/>
        <v>Wednesday</v>
      </c>
      <c r="D1970" s="72" t="str">
        <f t="shared" si="3"/>
        <v>May</v>
      </c>
      <c r="E1970" s="72" t="str">
        <f t="shared" si="4"/>
        <v>Q2</v>
      </c>
      <c r="F1970" s="72">
        <f t="shared" si="5"/>
        <v>2024</v>
      </c>
      <c r="G1970" s="89">
        <f t="shared" si="6"/>
        <v>45437</v>
      </c>
      <c r="H1970" s="72" t="str">
        <f t="shared" si="7"/>
        <v>Yes</v>
      </c>
    </row>
    <row r="1971" ht="15.75" customHeight="1">
      <c r="A1971" s="88">
        <f t="shared" si="8"/>
        <v>45435</v>
      </c>
      <c r="B1971" s="72" t="str">
        <f t="shared" si="1"/>
        <v>20240523</v>
      </c>
      <c r="C1971" s="72" t="str">
        <f t="shared" si="2"/>
        <v>Thursday</v>
      </c>
      <c r="D1971" s="72" t="str">
        <f t="shared" si="3"/>
        <v>May</v>
      </c>
      <c r="E1971" s="72" t="str">
        <f t="shared" si="4"/>
        <v>Q2</v>
      </c>
      <c r="F1971" s="72">
        <f t="shared" si="5"/>
        <v>2024</v>
      </c>
      <c r="G1971" s="89">
        <f t="shared" si="6"/>
        <v>45437</v>
      </c>
      <c r="H1971" s="72" t="str">
        <f t="shared" si="7"/>
        <v>Yes</v>
      </c>
    </row>
    <row r="1972" ht="15.75" customHeight="1">
      <c r="A1972" s="88">
        <f t="shared" si="8"/>
        <v>45436</v>
      </c>
      <c r="B1972" s="72" t="str">
        <f t="shared" si="1"/>
        <v>20240524</v>
      </c>
      <c r="C1972" s="72" t="str">
        <f t="shared" si="2"/>
        <v>Friday</v>
      </c>
      <c r="D1972" s="72" t="str">
        <f t="shared" si="3"/>
        <v>May</v>
      </c>
      <c r="E1972" s="72" t="str">
        <f t="shared" si="4"/>
        <v>Q2</v>
      </c>
      <c r="F1972" s="72">
        <f t="shared" si="5"/>
        <v>2024</v>
      </c>
      <c r="G1972" s="89">
        <f t="shared" si="6"/>
        <v>45437</v>
      </c>
      <c r="H1972" s="72" t="str">
        <f t="shared" si="7"/>
        <v>Yes</v>
      </c>
    </row>
    <row r="1973" ht="15.75" customHeight="1">
      <c r="A1973" s="88">
        <f t="shared" si="8"/>
        <v>45437</v>
      </c>
      <c r="B1973" s="72" t="str">
        <f t="shared" si="1"/>
        <v>20240525</v>
      </c>
      <c r="C1973" s="72" t="str">
        <f t="shared" si="2"/>
        <v>Saturday</v>
      </c>
      <c r="D1973" s="72" t="str">
        <f t="shared" si="3"/>
        <v>May</v>
      </c>
      <c r="E1973" s="72" t="str">
        <f t="shared" si="4"/>
        <v>Q2</v>
      </c>
      <c r="F1973" s="72">
        <f t="shared" si="5"/>
        <v>2024</v>
      </c>
      <c r="G1973" s="89">
        <f t="shared" si="6"/>
        <v>45437</v>
      </c>
      <c r="H1973" s="72" t="str">
        <f t="shared" si="7"/>
        <v>No</v>
      </c>
    </row>
    <row r="1974" ht="15.75" customHeight="1">
      <c r="A1974" s="88">
        <f t="shared" si="8"/>
        <v>45438</v>
      </c>
      <c r="B1974" s="72" t="str">
        <f t="shared" si="1"/>
        <v>20240526</v>
      </c>
      <c r="C1974" s="72" t="str">
        <f t="shared" si="2"/>
        <v>Sunday</v>
      </c>
      <c r="D1974" s="72" t="str">
        <f t="shared" si="3"/>
        <v>May</v>
      </c>
      <c r="E1974" s="72" t="str">
        <f t="shared" si="4"/>
        <v>Q2</v>
      </c>
      <c r="F1974" s="72">
        <f t="shared" si="5"/>
        <v>2024</v>
      </c>
      <c r="G1974" s="89">
        <f t="shared" si="6"/>
        <v>45444</v>
      </c>
      <c r="H1974" s="72" t="str">
        <f t="shared" si="7"/>
        <v>No</v>
      </c>
    </row>
    <row r="1975" ht="15.75" customHeight="1">
      <c r="A1975" s="88">
        <f t="shared" si="8"/>
        <v>45439</v>
      </c>
      <c r="B1975" s="72" t="str">
        <f t="shared" si="1"/>
        <v>20240527</v>
      </c>
      <c r="C1975" s="72" t="str">
        <f t="shared" si="2"/>
        <v>Monday</v>
      </c>
      <c r="D1975" s="72" t="str">
        <f t="shared" si="3"/>
        <v>May</v>
      </c>
      <c r="E1975" s="72" t="str">
        <f t="shared" si="4"/>
        <v>Q2</v>
      </c>
      <c r="F1975" s="72">
        <f t="shared" si="5"/>
        <v>2024</v>
      </c>
      <c r="G1975" s="89">
        <f t="shared" si="6"/>
        <v>45444</v>
      </c>
      <c r="H1975" s="72" t="str">
        <f t="shared" si="7"/>
        <v>Yes</v>
      </c>
    </row>
    <row r="1976" ht="15.75" customHeight="1">
      <c r="A1976" s="88">
        <f t="shared" si="8"/>
        <v>45440</v>
      </c>
      <c r="B1976" s="72" t="str">
        <f t="shared" si="1"/>
        <v>20240528</v>
      </c>
      <c r="C1976" s="72" t="str">
        <f t="shared" si="2"/>
        <v>Tuesday</v>
      </c>
      <c r="D1976" s="72" t="str">
        <f t="shared" si="3"/>
        <v>May</v>
      </c>
      <c r="E1976" s="72" t="str">
        <f t="shared" si="4"/>
        <v>Q2</v>
      </c>
      <c r="F1976" s="72">
        <f t="shared" si="5"/>
        <v>2024</v>
      </c>
      <c r="G1976" s="89">
        <f t="shared" si="6"/>
        <v>45444</v>
      </c>
      <c r="H1976" s="72" t="str">
        <f t="shared" si="7"/>
        <v>Yes</v>
      </c>
    </row>
    <row r="1977" ht="15.75" customHeight="1">
      <c r="A1977" s="88">
        <f t="shared" si="8"/>
        <v>45441</v>
      </c>
      <c r="B1977" s="72" t="str">
        <f t="shared" si="1"/>
        <v>20240529</v>
      </c>
      <c r="C1977" s="72" t="str">
        <f t="shared" si="2"/>
        <v>Wednesday</v>
      </c>
      <c r="D1977" s="72" t="str">
        <f t="shared" si="3"/>
        <v>May</v>
      </c>
      <c r="E1977" s="72" t="str">
        <f t="shared" si="4"/>
        <v>Q2</v>
      </c>
      <c r="F1977" s="72">
        <f t="shared" si="5"/>
        <v>2024</v>
      </c>
      <c r="G1977" s="89">
        <f t="shared" si="6"/>
        <v>45444</v>
      </c>
      <c r="H1977" s="72" t="str">
        <f t="shared" si="7"/>
        <v>Yes</v>
      </c>
    </row>
    <row r="1978" ht="15.75" customHeight="1">
      <c r="A1978" s="88">
        <f t="shared" si="8"/>
        <v>45442</v>
      </c>
      <c r="B1978" s="72" t="str">
        <f t="shared" si="1"/>
        <v>20240530</v>
      </c>
      <c r="C1978" s="72" t="str">
        <f t="shared" si="2"/>
        <v>Thursday</v>
      </c>
      <c r="D1978" s="72" t="str">
        <f t="shared" si="3"/>
        <v>May</v>
      </c>
      <c r="E1978" s="72" t="str">
        <f t="shared" si="4"/>
        <v>Q2</v>
      </c>
      <c r="F1978" s="72">
        <f t="shared" si="5"/>
        <v>2024</v>
      </c>
      <c r="G1978" s="89">
        <f t="shared" si="6"/>
        <v>45444</v>
      </c>
      <c r="H1978" s="72" t="str">
        <f t="shared" si="7"/>
        <v>Yes</v>
      </c>
    </row>
    <row r="1979" ht="15.75" customHeight="1">
      <c r="A1979" s="88">
        <f t="shared" si="8"/>
        <v>45443</v>
      </c>
      <c r="B1979" s="72" t="str">
        <f t="shared" si="1"/>
        <v>20240531</v>
      </c>
      <c r="C1979" s="72" t="str">
        <f t="shared" si="2"/>
        <v>Friday</v>
      </c>
      <c r="D1979" s="72" t="str">
        <f t="shared" si="3"/>
        <v>May</v>
      </c>
      <c r="E1979" s="72" t="str">
        <f t="shared" si="4"/>
        <v>Q2</v>
      </c>
      <c r="F1979" s="72">
        <f t="shared" si="5"/>
        <v>2024</v>
      </c>
      <c r="G1979" s="89">
        <f t="shared" si="6"/>
        <v>45444</v>
      </c>
      <c r="H1979" s="72" t="str">
        <f t="shared" si="7"/>
        <v>Yes</v>
      </c>
    </row>
    <row r="1980" ht="15.75" customHeight="1">
      <c r="A1980" s="88">
        <f t="shared" si="8"/>
        <v>45444</v>
      </c>
      <c r="B1980" s="72" t="str">
        <f t="shared" si="1"/>
        <v>20240601</v>
      </c>
      <c r="C1980" s="72" t="str">
        <f t="shared" si="2"/>
        <v>Saturday</v>
      </c>
      <c r="D1980" s="72" t="str">
        <f t="shared" si="3"/>
        <v>June</v>
      </c>
      <c r="E1980" s="72" t="str">
        <f t="shared" si="4"/>
        <v>Q2</v>
      </c>
      <c r="F1980" s="72">
        <f t="shared" si="5"/>
        <v>2024</v>
      </c>
      <c r="G1980" s="89">
        <f t="shared" si="6"/>
        <v>45444</v>
      </c>
      <c r="H1980" s="72" t="str">
        <f t="shared" si="7"/>
        <v>No</v>
      </c>
    </row>
    <row r="1981" ht="15.75" customHeight="1">
      <c r="A1981" s="88">
        <f t="shared" si="8"/>
        <v>45445</v>
      </c>
      <c r="B1981" s="72" t="str">
        <f t="shared" si="1"/>
        <v>20240602</v>
      </c>
      <c r="C1981" s="72" t="str">
        <f t="shared" si="2"/>
        <v>Sunday</v>
      </c>
      <c r="D1981" s="72" t="str">
        <f t="shared" si="3"/>
        <v>June</v>
      </c>
      <c r="E1981" s="72" t="str">
        <f t="shared" si="4"/>
        <v>Q2</v>
      </c>
      <c r="F1981" s="72">
        <f t="shared" si="5"/>
        <v>2024</v>
      </c>
      <c r="G1981" s="89">
        <f t="shared" si="6"/>
        <v>45451</v>
      </c>
      <c r="H1981" s="72" t="str">
        <f t="shared" si="7"/>
        <v>No</v>
      </c>
    </row>
    <row r="1982" ht="15.75" customHeight="1">
      <c r="A1982" s="88">
        <f t="shared" si="8"/>
        <v>45446</v>
      </c>
      <c r="B1982" s="72" t="str">
        <f t="shared" si="1"/>
        <v>20240603</v>
      </c>
      <c r="C1982" s="72" t="str">
        <f t="shared" si="2"/>
        <v>Monday</v>
      </c>
      <c r="D1982" s="72" t="str">
        <f t="shared" si="3"/>
        <v>June</v>
      </c>
      <c r="E1982" s="72" t="str">
        <f t="shared" si="4"/>
        <v>Q2</v>
      </c>
      <c r="F1982" s="72">
        <f t="shared" si="5"/>
        <v>2024</v>
      </c>
      <c r="G1982" s="89">
        <f t="shared" si="6"/>
        <v>45451</v>
      </c>
      <c r="H1982" s="72" t="str">
        <f t="shared" si="7"/>
        <v>Yes</v>
      </c>
    </row>
    <row r="1983" ht="15.75" customHeight="1">
      <c r="A1983" s="88">
        <f t="shared" si="8"/>
        <v>45447</v>
      </c>
      <c r="B1983" s="72" t="str">
        <f t="shared" si="1"/>
        <v>20240604</v>
      </c>
      <c r="C1983" s="72" t="str">
        <f t="shared" si="2"/>
        <v>Tuesday</v>
      </c>
      <c r="D1983" s="72" t="str">
        <f t="shared" si="3"/>
        <v>June</v>
      </c>
      <c r="E1983" s="72" t="str">
        <f t="shared" si="4"/>
        <v>Q2</v>
      </c>
      <c r="F1983" s="72">
        <f t="shared" si="5"/>
        <v>2024</v>
      </c>
      <c r="G1983" s="89">
        <f t="shared" si="6"/>
        <v>45451</v>
      </c>
      <c r="H1983" s="72" t="str">
        <f t="shared" si="7"/>
        <v>Yes</v>
      </c>
    </row>
    <row r="1984" ht="15.75" customHeight="1">
      <c r="A1984" s="88">
        <f t="shared" si="8"/>
        <v>45448</v>
      </c>
      <c r="B1984" s="72" t="str">
        <f t="shared" si="1"/>
        <v>20240605</v>
      </c>
      <c r="C1984" s="72" t="str">
        <f t="shared" si="2"/>
        <v>Wednesday</v>
      </c>
      <c r="D1984" s="72" t="str">
        <f t="shared" si="3"/>
        <v>June</v>
      </c>
      <c r="E1984" s="72" t="str">
        <f t="shared" si="4"/>
        <v>Q2</v>
      </c>
      <c r="F1984" s="72">
        <f t="shared" si="5"/>
        <v>2024</v>
      </c>
      <c r="G1984" s="89">
        <f t="shared" si="6"/>
        <v>45451</v>
      </c>
      <c r="H1984" s="72" t="str">
        <f t="shared" si="7"/>
        <v>Yes</v>
      </c>
    </row>
    <row r="1985" ht="15.75" customHeight="1">
      <c r="A1985" s="88">
        <f t="shared" si="8"/>
        <v>45449</v>
      </c>
      <c r="B1985" s="72" t="str">
        <f t="shared" si="1"/>
        <v>20240606</v>
      </c>
      <c r="C1985" s="72" t="str">
        <f t="shared" si="2"/>
        <v>Thursday</v>
      </c>
      <c r="D1985" s="72" t="str">
        <f t="shared" si="3"/>
        <v>June</v>
      </c>
      <c r="E1985" s="72" t="str">
        <f t="shared" si="4"/>
        <v>Q2</v>
      </c>
      <c r="F1985" s="72">
        <f t="shared" si="5"/>
        <v>2024</v>
      </c>
      <c r="G1985" s="89">
        <f t="shared" si="6"/>
        <v>45451</v>
      </c>
      <c r="H1985" s="72" t="str">
        <f t="shared" si="7"/>
        <v>Yes</v>
      </c>
    </row>
    <row r="1986" ht="15.75" customHeight="1">
      <c r="A1986" s="88">
        <f t="shared" si="8"/>
        <v>45450</v>
      </c>
      <c r="B1986" s="72" t="str">
        <f t="shared" si="1"/>
        <v>20240607</v>
      </c>
      <c r="C1986" s="72" t="str">
        <f t="shared" si="2"/>
        <v>Friday</v>
      </c>
      <c r="D1986" s="72" t="str">
        <f t="shared" si="3"/>
        <v>June</v>
      </c>
      <c r="E1986" s="72" t="str">
        <f t="shared" si="4"/>
        <v>Q2</v>
      </c>
      <c r="F1986" s="72">
        <f t="shared" si="5"/>
        <v>2024</v>
      </c>
      <c r="G1986" s="89">
        <f t="shared" si="6"/>
        <v>45451</v>
      </c>
      <c r="H1986" s="72" t="str">
        <f t="shared" si="7"/>
        <v>Yes</v>
      </c>
    </row>
    <row r="1987" ht="15.75" customHeight="1">
      <c r="A1987" s="88">
        <f t="shared" si="8"/>
        <v>45451</v>
      </c>
      <c r="B1987" s="72" t="str">
        <f t="shared" si="1"/>
        <v>20240608</v>
      </c>
      <c r="C1987" s="72" t="str">
        <f t="shared" si="2"/>
        <v>Saturday</v>
      </c>
      <c r="D1987" s="72" t="str">
        <f t="shared" si="3"/>
        <v>June</v>
      </c>
      <c r="E1987" s="72" t="str">
        <f t="shared" si="4"/>
        <v>Q2</v>
      </c>
      <c r="F1987" s="72">
        <f t="shared" si="5"/>
        <v>2024</v>
      </c>
      <c r="G1987" s="89">
        <f t="shared" si="6"/>
        <v>45451</v>
      </c>
      <c r="H1987" s="72" t="str">
        <f t="shared" si="7"/>
        <v>No</v>
      </c>
    </row>
    <row r="1988" ht="15.75" customHeight="1">
      <c r="A1988" s="88">
        <f t="shared" si="8"/>
        <v>45452</v>
      </c>
      <c r="B1988" s="72" t="str">
        <f t="shared" si="1"/>
        <v>20240609</v>
      </c>
      <c r="C1988" s="72" t="str">
        <f t="shared" si="2"/>
        <v>Sunday</v>
      </c>
      <c r="D1988" s="72" t="str">
        <f t="shared" si="3"/>
        <v>June</v>
      </c>
      <c r="E1988" s="72" t="str">
        <f t="shared" si="4"/>
        <v>Q2</v>
      </c>
      <c r="F1988" s="72">
        <f t="shared" si="5"/>
        <v>2024</v>
      </c>
      <c r="G1988" s="89">
        <f t="shared" si="6"/>
        <v>45458</v>
      </c>
      <c r="H1988" s="72" t="str">
        <f t="shared" si="7"/>
        <v>No</v>
      </c>
    </row>
    <row r="1989" ht="15.75" customHeight="1">
      <c r="A1989" s="88">
        <f t="shared" si="8"/>
        <v>45453</v>
      </c>
      <c r="B1989" s="72" t="str">
        <f t="shared" si="1"/>
        <v>20240610</v>
      </c>
      <c r="C1989" s="72" t="str">
        <f t="shared" si="2"/>
        <v>Monday</v>
      </c>
      <c r="D1989" s="72" t="str">
        <f t="shared" si="3"/>
        <v>June</v>
      </c>
      <c r="E1989" s="72" t="str">
        <f t="shared" si="4"/>
        <v>Q2</v>
      </c>
      <c r="F1989" s="72">
        <f t="shared" si="5"/>
        <v>2024</v>
      </c>
      <c r="G1989" s="89">
        <f t="shared" si="6"/>
        <v>45458</v>
      </c>
      <c r="H1989" s="72" t="str">
        <f t="shared" si="7"/>
        <v>Yes</v>
      </c>
    </row>
    <row r="1990" ht="15.75" customHeight="1">
      <c r="A1990" s="88">
        <f t="shared" si="8"/>
        <v>45454</v>
      </c>
      <c r="B1990" s="72" t="str">
        <f t="shared" si="1"/>
        <v>20240611</v>
      </c>
      <c r="C1990" s="72" t="str">
        <f t="shared" si="2"/>
        <v>Tuesday</v>
      </c>
      <c r="D1990" s="72" t="str">
        <f t="shared" si="3"/>
        <v>June</v>
      </c>
      <c r="E1990" s="72" t="str">
        <f t="shared" si="4"/>
        <v>Q2</v>
      </c>
      <c r="F1990" s="72">
        <f t="shared" si="5"/>
        <v>2024</v>
      </c>
      <c r="G1990" s="89">
        <f t="shared" si="6"/>
        <v>45458</v>
      </c>
      <c r="H1990" s="72" t="str">
        <f t="shared" si="7"/>
        <v>Yes</v>
      </c>
    </row>
    <row r="1991" ht="15.75" customHeight="1">
      <c r="A1991" s="88">
        <f t="shared" si="8"/>
        <v>45455</v>
      </c>
      <c r="B1991" s="72" t="str">
        <f t="shared" si="1"/>
        <v>20240612</v>
      </c>
      <c r="C1991" s="72" t="str">
        <f t="shared" si="2"/>
        <v>Wednesday</v>
      </c>
      <c r="D1991" s="72" t="str">
        <f t="shared" si="3"/>
        <v>June</v>
      </c>
      <c r="E1991" s="72" t="str">
        <f t="shared" si="4"/>
        <v>Q2</v>
      </c>
      <c r="F1991" s="72">
        <f t="shared" si="5"/>
        <v>2024</v>
      </c>
      <c r="G1991" s="89">
        <f t="shared" si="6"/>
        <v>45458</v>
      </c>
      <c r="H1991" s="72" t="str">
        <f t="shared" si="7"/>
        <v>Yes</v>
      </c>
    </row>
    <row r="1992" ht="15.75" customHeight="1">
      <c r="A1992" s="88">
        <f t="shared" si="8"/>
        <v>45456</v>
      </c>
      <c r="B1992" s="72" t="str">
        <f t="shared" si="1"/>
        <v>20240613</v>
      </c>
      <c r="C1992" s="72" t="str">
        <f t="shared" si="2"/>
        <v>Thursday</v>
      </c>
      <c r="D1992" s="72" t="str">
        <f t="shared" si="3"/>
        <v>June</v>
      </c>
      <c r="E1992" s="72" t="str">
        <f t="shared" si="4"/>
        <v>Q2</v>
      </c>
      <c r="F1992" s="72">
        <f t="shared" si="5"/>
        <v>2024</v>
      </c>
      <c r="G1992" s="89">
        <f t="shared" si="6"/>
        <v>45458</v>
      </c>
      <c r="H1992" s="72" t="str">
        <f t="shared" si="7"/>
        <v>Yes</v>
      </c>
    </row>
    <row r="1993" ht="15.75" customHeight="1">
      <c r="A1993" s="88">
        <f t="shared" si="8"/>
        <v>45457</v>
      </c>
      <c r="B1993" s="72" t="str">
        <f t="shared" si="1"/>
        <v>20240614</v>
      </c>
      <c r="C1993" s="72" t="str">
        <f t="shared" si="2"/>
        <v>Friday</v>
      </c>
      <c r="D1993" s="72" t="str">
        <f t="shared" si="3"/>
        <v>June</v>
      </c>
      <c r="E1993" s="72" t="str">
        <f t="shared" si="4"/>
        <v>Q2</v>
      </c>
      <c r="F1993" s="72">
        <f t="shared" si="5"/>
        <v>2024</v>
      </c>
      <c r="G1993" s="89">
        <f t="shared" si="6"/>
        <v>45458</v>
      </c>
      <c r="H1993" s="72" t="str">
        <f t="shared" si="7"/>
        <v>Yes</v>
      </c>
    </row>
    <row r="1994" ht="15.75" customHeight="1">
      <c r="A1994" s="88">
        <f t="shared" si="8"/>
        <v>45458</v>
      </c>
      <c r="B1994" s="72" t="str">
        <f t="shared" si="1"/>
        <v>20240615</v>
      </c>
      <c r="C1994" s="72" t="str">
        <f t="shared" si="2"/>
        <v>Saturday</v>
      </c>
      <c r="D1994" s="72" t="str">
        <f t="shared" si="3"/>
        <v>June</v>
      </c>
      <c r="E1994" s="72" t="str">
        <f t="shared" si="4"/>
        <v>Q2</v>
      </c>
      <c r="F1994" s="72">
        <f t="shared" si="5"/>
        <v>2024</v>
      </c>
      <c r="G1994" s="89">
        <f t="shared" si="6"/>
        <v>45458</v>
      </c>
      <c r="H1994" s="72" t="str">
        <f t="shared" si="7"/>
        <v>No</v>
      </c>
    </row>
    <row r="1995" ht="15.75" customHeight="1">
      <c r="A1995" s="88">
        <f t="shared" si="8"/>
        <v>45459</v>
      </c>
      <c r="B1995" s="72" t="str">
        <f t="shared" si="1"/>
        <v>20240616</v>
      </c>
      <c r="C1995" s="72" t="str">
        <f t="shared" si="2"/>
        <v>Sunday</v>
      </c>
      <c r="D1995" s="72" t="str">
        <f t="shared" si="3"/>
        <v>June</v>
      </c>
      <c r="E1995" s="72" t="str">
        <f t="shared" si="4"/>
        <v>Q2</v>
      </c>
      <c r="F1995" s="72">
        <f t="shared" si="5"/>
        <v>2024</v>
      </c>
      <c r="G1995" s="89">
        <f t="shared" si="6"/>
        <v>45465</v>
      </c>
      <c r="H1995" s="72" t="str">
        <f t="shared" si="7"/>
        <v>No</v>
      </c>
    </row>
    <row r="1996" ht="15.75" customHeight="1">
      <c r="A1996" s="88">
        <f t="shared" si="8"/>
        <v>45460</v>
      </c>
      <c r="B1996" s="72" t="str">
        <f t="shared" si="1"/>
        <v>20240617</v>
      </c>
      <c r="C1996" s="72" t="str">
        <f t="shared" si="2"/>
        <v>Monday</v>
      </c>
      <c r="D1996" s="72" t="str">
        <f t="shared" si="3"/>
        <v>June</v>
      </c>
      <c r="E1996" s="72" t="str">
        <f t="shared" si="4"/>
        <v>Q2</v>
      </c>
      <c r="F1996" s="72">
        <f t="shared" si="5"/>
        <v>2024</v>
      </c>
      <c r="G1996" s="89">
        <f t="shared" si="6"/>
        <v>45465</v>
      </c>
      <c r="H1996" s="72" t="str">
        <f t="shared" si="7"/>
        <v>Yes</v>
      </c>
    </row>
    <row r="1997" ht="15.75" customHeight="1">
      <c r="A1997" s="88">
        <f t="shared" si="8"/>
        <v>45461</v>
      </c>
      <c r="B1997" s="72" t="str">
        <f t="shared" si="1"/>
        <v>20240618</v>
      </c>
      <c r="C1997" s="72" t="str">
        <f t="shared" si="2"/>
        <v>Tuesday</v>
      </c>
      <c r="D1997" s="72" t="str">
        <f t="shared" si="3"/>
        <v>June</v>
      </c>
      <c r="E1997" s="72" t="str">
        <f t="shared" si="4"/>
        <v>Q2</v>
      </c>
      <c r="F1997" s="72">
        <f t="shared" si="5"/>
        <v>2024</v>
      </c>
      <c r="G1997" s="89">
        <f t="shared" si="6"/>
        <v>45465</v>
      </c>
      <c r="H1997" s="72" t="str">
        <f t="shared" si="7"/>
        <v>Yes</v>
      </c>
    </row>
    <row r="1998" ht="15.75" customHeight="1">
      <c r="A1998" s="88">
        <f t="shared" si="8"/>
        <v>45462</v>
      </c>
      <c r="B1998" s="72" t="str">
        <f t="shared" si="1"/>
        <v>20240619</v>
      </c>
      <c r="C1998" s="72" t="str">
        <f t="shared" si="2"/>
        <v>Wednesday</v>
      </c>
      <c r="D1998" s="72" t="str">
        <f t="shared" si="3"/>
        <v>June</v>
      </c>
      <c r="E1998" s="72" t="str">
        <f t="shared" si="4"/>
        <v>Q2</v>
      </c>
      <c r="F1998" s="72">
        <f t="shared" si="5"/>
        <v>2024</v>
      </c>
      <c r="G1998" s="89">
        <f t="shared" si="6"/>
        <v>45465</v>
      </c>
      <c r="H1998" s="72" t="str">
        <f t="shared" si="7"/>
        <v>Yes</v>
      </c>
    </row>
    <row r="1999" ht="15.75" customHeight="1">
      <c r="A1999" s="88">
        <f t="shared" si="8"/>
        <v>45463</v>
      </c>
      <c r="B1999" s="72" t="str">
        <f t="shared" si="1"/>
        <v>20240620</v>
      </c>
      <c r="C1999" s="72" t="str">
        <f t="shared" si="2"/>
        <v>Thursday</v>
      </c>
      <c r="D1999" s="72" t="str">
        <f t="shared" si="3"/>
        <v>June</v>
      </c>
      <c r="E1999" s="72" t="str">
        <f t="shared" si="4"/>
        <v>Q2</v>
      </c>
      <c r="F1999" s="72">
        <f t="shared" si="5"/>
        <v>2024</v>
      </c>
      <c r="G1999" s="89">
        <f t="shared" si="6"/>
        <v>45465</v>
      </c>
      <c r="H1999" s="72" t="str">
        <f t="shared" si="7"/>
        <v>Yes</v>
      </c>
    </row>
    <row r="2000" ht="15.75" customHeight="1">
      <c r="A2000" s="88">
        <f t="shared" si="8"/>
        <v>45464</v>
      </c>
      <c r="B2000" s="72" t="str">
        <f t="shared" si="1"/>
        <v>20240621</v>
      </c>
      <c r="C2000" s="72" t="str">
        <f t="shared" si="2"/>
        <v>Friday</v>
      </c>
      <c r="D2000" s="72" t="str">
        <f t="shared" si="3"/>
        <v>June</v>
      </c>
      <c r="E2000" s="72" t="str">
        <f t="shared" si="4"/>
        <v>Q2</v>
      </c>
      <c r="F2000" s="72">
        <f t="shared" si="5"/>
        <v>2024</v>
      </c>
      <c r="G2000" s="89">
        <f t="shared" si="6"/>
        <v>45465</v>
      </c>
      <c r="H2000" s="72" t="str">
        <f t="shared" si="7"/>
        <v>Yes</v>
      </c>
    </row>
    <row r="2001" ht="15.75" customHeight="1">
      <c r="A2001" s="88">
        <f t="shared" si="8"/>
        <v>45465</v>
      </c>
      <c r="B2001" s="72" t="str">
        <f t="shared" si="1"/>
        <v>20240622</v>
      </c>
      <c r="C2001" s="72" t="str">
        <f t="shared" si="2"/>
        <v>Saturday</v>
      </c>
      <c r="D2001" s="72" t="str">
        <f t="shared" si="3"/>
        <v>June</v>
      </c>
      <c r="E2001" s="72" t="str">
        <f t="shared" si="4"/>
        <v>Q2</v>
      </c>
      <c r="F2001" s="72">
        <f t="shared" si="5"/>
        <v>2024</v>
      </c>
      <c r="G2001" s="89">
        <f t="shared" si="6"/>
        <v>45465</v>
      </c>
      <c r="H2001" s="72" t="str">
        <f t="shared" si="7"/>
        <v>No</v>
      </c>
    </row>
    <row r="2002" ht="15.75" customHeight="1">
      <c r="A2002" s="88">
        <f t="shared" si="8"/>
        <v>45466</v>
      </c>
      <c r="B2002" s="72" t="str">
        <f t="shared" si="1"/>
        <v>20240623</v>
      </c>
      <c r="C2002" s="72" t="str">
        <f t="shared" si="2"/>
        <v>Sunday</v>
      </c>
      <c r="D2002" s="72" t="str">
        <f t="shared" si="3"/>
        <v>June</v>
      </c>
      <c r="E2002" s="72" t="str">
        <f t="shared" si="4"/>
        <v>Q2</v>
      </c>
      <c r="F2002" s="72">
        <f t="shared" si="5"/>
        <v>2024</v>
      </c>
      <c r="G2002" s="89">
        <f t="shared" si="6"/>
        <v>45472</v>
      </c>
      <c r="H2002" s="72" t="str">
        <f t="shared" si="7"/>
        <v>No</v>
      </c>
    </row>
    <row r="2003" ht="15.75" customHeight="1">
      <c r="A2003" s="88">
        <f t="shared" si="8"/>
        <v>45467</v>
      </c>
      <c r="B2003" s="72" t="str">
        <f t="shared" si="1"/>
        <v>20240624</v>
      </c>
      <c r="C2003" s="72" t="str">
        <f t="shared" si="2"/>
        <v>Monday</v>
      </c>
      <c r="D2003" s="72" t="str">
        <f t="shared" si="3"/>
        <v>June</v>
      </c>
      <c r="E2003" s="72" t="str">
        <f t="shared" si="4"/>
        <v>Q2</v>
      </c>
      <c r="F2003" s="72">
        <f t="shared" si="5"/>
        <v>2024</v>
      </c>
      <c r="G2003" s="89">
        <f t="shared" si="6"/>
        <v>45472</v>
      </c>
      <c r="H2003" s="72" t="str">
        <f t="shared" si="7"/>
        <v>Yes</v>
      </c>
    </row>
    <row r="2004" ht="15.75" customHeight="1">
      <c r="A2004" s="88">
        <f t="shared" si="8"/>
        <v>45468</v>
      </c>
      <c r="B2004" s="72" t="str">
        <f t="shared" si="1"/>
        <v>20240625</v>
      </c>
      <c r="C2004" s="72" t="str">
        <f t="shared" si="2"/>
        <v>Tuesday</v>
      </c>
      <c r="D2004" s="72" t="str">
        <f t="shared" si="3"/>
        <v>June</v>
      </c>
      <c r="E2004" s="72" t="str">
        <f t="shared" si="4"/>
        <v>Q2</v>
      </c>
      <c r="F2004" s="72">
        <f t="shared" si="5"/>
        <v>2024</v>
      </c>
      <c r="G2004" s="89">
        <f t="shared" si="6"/>
        <v>45472</v>
      </c>
      <c r="H2004" s="72" t="str">
        <f t="shared" si="7"/>
        <v>Yes</v>
      </c>
    </row>
    <row r="2005" ht="15.75" customHeight="1">
      <c r="A2005" s="88">
        <f t="shared" si="8"/>
        <v>45469</v>
      </c>
      <c r="B2005" s="72" t="str">
        <f t="shared" si="1"/>
        <v>20240626</v>
      </c>
      <c r="C2005" s="72" t="str">
        <f t="shared" si="2"/>
        <v>Wednesday</v>
      </c>
      <c r="D2005" s="72" t="str">
        <f t="shared" si="3"/>
        <v>June</v>
      </c>
      <c r="E2005" s="72" t="str">
        <f t="shared" si="4"/>
        <v>Q2</v>
      </c>
      <c r="F2005" s="72">
        <f t="shared" si="5"/>
        <v>2024</v>
      </c>
      <c r="G2005" s="89">
        <f t="shared" si="6"/>
        <v>45472</v>
      </c>
      <c r="H2005" s="72" t="str">
        <f t="shared" si="7"/>
        <v>Yes</v>
      </c>
    </row>
    <row r="2006" ht="15.75" customHeight="1">
      <c r="A2006" s="88">
        <f t="shared" si="8"/>
        <v>45470</v>
      </c>
      <c r="B2006" s="72" t="str">
        <f t="shared" si="1"/>
        <v>20240627</v>
      </c>
      <c r="C2006" s="72" t="str">
        <f t="shared" si="2"/>
        <v>Thursday</v>
      </c>
      <c r="D2006" s="72" t="str">
        <f t="shared" si="3"/>
        <v>June</v>
      </c>
      <c r="E2006" s="72" t="str">
        <f t="shared" si="4"/>
        <v>Q2</v>
      </c>
      <c r="F2006" s="72">
        <f t="shared" si="5"/>
        <v>2024</v>
      </c>
      <c r="G2006" s="89">
        <f t="shared" si="6"/>
        <v>45472</v>
      </c>
      <c r="H2006" s="72" t="str">
        <f t="shared" si="7"/>
        <v>Yes</v>
      </c>
    </row>
    <row r="2007" ht="15.75" customHeight="1">
      <c r="A2007" s="88">
        <f t="shared" si="8"/>
        <v>45471</v>
      </c>
      <c r="B2007" s="72" t="str">
        <f t="shared" si="1"/>
        <v>20240628</v>
      </c>
      <c r="C2007" s="72" t="str">
        <f t="shared" si="2"/>
        <v>Friday</v>
      </c>
      <c r="D2007" s="72" t="str">
        <f t="shared" si="3"/>
        <v>June</v>
      </c>
      <c r="E2007" s="72" t="str">
        <f t="shared" si="4"/>
        <v>Q2</v>
      </c>
      <c r="F2007" s="72">
        <f t="shared" si="5"/>
        <v>2024</v>
      </c>
      <c r="G2007" s="89">
        <f t="shared" si="6"/>
        <v>45472</v>
      </c>
      <c r="H2007" s="72" t="str">
        <f t="shared" si="7"/>
        <v>Yes</v>
      </c>
    </row>
    <row r="2008" ht="15.75" customHeight="1">
      <c r="A2008" s="88">
        <f t="shared" si="8"/>
        <v>45472</v>
      </c>
      <c r="B2008" s="72" t="str">
        <f t="shared" si="1"/>
        <v>20240629</v>
      </c>
      <c r="C2008" s="72" t="str">
        <f t="shared" si="2"/>
        <v>Saturday</v>
      </c>
      <c r="D2008" s="72" t="str">
        <f t="shared" si="3"/>
        <v>June</v>
      </c>
      <c r="E2008" s="72" t="str">
        <f t="shared" si="4"/>
        <v>Q2</v>
      </c>
      <c r="F2008" s="72">
        <f t="shared" si="5"/>
        <v>2024</v>
      </c>
      <c r="G2008" s="89">
        <f t="shared" si="6"/>
        <v>45472</v>
      </c>
      <c r="H2008" s="72" t="str">
        <f t="shared" si="7"/>
        <v>No</v>
      </c>
    </row>
    <row r="2009" ht="15.75" customHeight="1">
      <c r="A2009" s="88">
        <f t="shared" si="8"/>
        <v>45473</v>
      </c>
      <c r="B2009" s="72" t="str">
        <f t="shared" si="1"/>
        <v>20240630</v>
      </c>
      <c r="C2009" s="72" t="str">
        <f t="shared" si="2"/>
        <v>Sunday</v>
      </c>
      <c r="D2009" s="72" t="str">
        <f t="shared" si="3"/>
        <v>June</v>
      </c>
      <c r="E2009" s="72" t="str">
        <f t="shared" si="4"/>
        <v>Q2</v>
      </c>
      <c r="F2009" s="72">
        <f t="shared" si="5"/>
        <v>2024</v>
      </c>
      <c r="G2009" s="89">
        <f t="shared" si="6"/>
        <v>45479</v>
      </c>
      <c r="H2009" s="72" t="str">
        <f t="shared" si="7"/>
        <v>No</v>
      </c>
    </row>
    <row r="2010" ht="15.75" customHeight="1">
      <c r="A2010" s="88">
        <f t="shared" si="8"/>
        <v>45474</v>
      </c>
      <c r="B2010" s="72" t="str">
        <f t="shared" si="1"/>
        <v>20240701</v>
      </c>
      <c r="C2010" s="72" t="str">
        <f t="shared" si="2"/>
        <v>Monday</v>
      </c>
      <c r="D2010" s="72" t="str">
        <f t="shared" si="3"/>
        <v>July</v>
      </c>
      <c r="E2010" s="72" t="str">
        <f t="shared" si="4"/>
        <v>Q3</v>
      </c>
      <c r="F2010" s="72">
        <f t="shared" si="5"/>
        <v>2024</v>
      </c>
      <c r="G2010" s="89">
        <f t="shared" si="6"/>
        <v>45479</v>
      </c>
      <c r="H2010" s="72" t="str">
        <f t="shared" si="7"/>
        <v>Yes</v>
      </c>
    </row>
    <row r="2011" ht="15.75" customHeight="1">
      <c r="A2011" s="88">
        <f t="shared" si="8"/>
        <v>45475</v>
      </c>
      <c r="B2011" s="72" t="str">
        <f t="shared" si="1"/>
        <v>20240702</v>
      </c>
      <c r="C2011" s="72" t="str">
        <f t="shared" si="2"/>
        <v>Tuesday</v>
      </c>
      <c r="D2011" s="72" t="str">
        <f t="shared" si="3"/>
        <v>July</v>
      </c>
      <c r="E2011" s="72" t="str">
        <f t="shared" si="4"/>
        <v>Q3</v>
      </c>
      <c r="F2011" s="72">
        <f t="shared" si="5"/>
        <v>2024</v>
      </c>
      <c r="G2011" s="89">
        <f t="shared" si="6"/>
        <v>45479</v>
      </c>
      <c r="H2011" s="72" t="str">
        <f t="shared" si="7"/>
        <v>Yes</v>
      </c>
    </row>
    <row r="2012" ht="15.75" customHeight="1">
      <c r="A2012" s="88">
        <f t="shared" si="8"/>
        <v>45476</v>
      </c>
      <c r="B2012" s="72" t="str">
        <f t="shared" si="1"/>
        <v>20240703</v>
      </c>
      <c r="C2012" s="72" t="str">
        <f t="shared" si="2"/>
        <v>Wednesday</v>
      </c>
      <c r="D2012" s="72" t="str">
        <f t="shared" si="3"/>
        <v>July</v>
      </c>
      <c r="E2012" s="72" t="str">
        <f t="shared" si="4"/>
        <v>Q3</v>
      </c>
      <c r="F2012" s="72">
        <f t="shared" si="5"/>
        <v>2024</v>
      </c>
      <c r="G2012" s="89">
        <f t="shared" si="6"/>
        <v>45479</v>
      </c>
      <c r="H2012" s="72" t="str">
        <f t="shared" si="7"/>
        <v>Yes</v>
      </c>
    </row>
    <row r="2013" ht="15.75" customHeight="1">
      <c r="A2013" s="88">
        <f t="shared" si="8"/>
        <v>45477</v>
      </c>
      <c r="B2013" s="72" t="str">
        <f t="shared" si="1"/>
        <v>20240704</v>
      </c>
      <c r="C2013" s="72" t="str">
        <f t="shared" si="2"/>
        <v>Thursday</v>
      </c>
      <c r="D2013" s="72" t="str">
        <f t="shared" si="3"/>
        <v>July</v>
      </c>
      <c r="E2013" s="72" t="str">
        <f t="shared" si="4"/>
        <v>Q3</v>
      </c>
      <c r="F2013" s="72">
        <f t="shared" si="5"/>
        <v>2024</v>
      </c>
      <c r="G2013" s="89">
        <f t="shared" si="6"/>
        <v>45479</v>
      </c>
      <c r="H2013" s="72" t="str">
        <f t="shared" si="7"/>
        <v>Yes</v>
      </c>
    </row>
    <row r="2014" ht="15.75" customHeight="1">
      <c r="A2014" s="88">
        <f t="shared" si="8"/>
        <v>45478</v>
      </c>
      <c r="B2014" s="72" t="str">
        <f t="shared" si="1"/>
        <v>20240705</v>
      </c>
      <c r="C2014" s="72" t="str">
        <f t="shared" si="2"/>
        <v>Friday</v>
      </c>
      <c r="D2014" s="72" t="str">
        <f t="shared" si="3"/>
        <v>July</v>
      </c>
      <c r="E2014" s="72" t="str">
        <f t="shared" si="4"/>
        <v>Q3</v>
      </c>
      <c r="F2014" s="72">
        <f t="shared" si="5"/>
        <v>2024</v>
      </c>
      <c r="G2014" s="89">
        <f t="shared" si="6"/>
        <v>45479</v>
      </c>
      <c r="H2014" s="72" t="str">
        <f t="shared" si="7"/>
        <v>Yes</v>
      </c>
    </row>
    <row r="2015" ht="15.75" customHeight="1">
      <c r="A2015" s="88">
        <f t="shared" si="8"/>
        <v>45479</v>
      </c>
      <c r="B2015" s="72" t="str">
        <f t="shared" si="1"/>
        <v>20240706</v>
      </c>
      <c r="C2015" s="72" t="str">
        <f t="shared" si="2"/>
        <v>Saturday</v>
      </c>
      <c r="D2015" s="72" t="str">
        <f t="shared" si="3"/>
        <v>July</v>
      </c>
      <c r="E2015" s="72" t="str">
        <f t="shared" si="4"/>
        <v>Q3</v>
      </c>
      <c r="F2015" s="72">
        <f t="shared" si="5"/>
        <v>2024</v>
      </c>
      <c r="G2015" s="89">
        <f t="shared" si="6"/>
        <v>45479</v>
      </c>
      <c r="H2015" s="72" t="str">
        <f t="shared" si="7"/>
        <v>No</v>
      </c>
    </row>
    <row r="2016" ht="15.75" customHeight="1">
      <c r="A2016" s="88">
        <f t="shared" si="8"/>
        <v>45480</v>
      </c>
      <c r="B2016" s="72" t="str">
        <f t="shared" si="1"/>
        <v>20240707</v>
      </c>
      <c r="C2016" s="72" t="str">
        <f t="shared" si="2"/>
        <v>Sunday</v>
      </c>
      <c r="D2016" s="72" t="str">
        <f t="shared" si="3"/>
        <v>July</v>
      </c>
      <c r="E2016" s="72" t="str">
        <f t="shared" si="4"/>
        <v>Q3</v>
      </c>
      <c r="F2016" s="72">
        <f t="shared" si="5"/>
        <v>2024</v>
      </c>
      <c r="G2016" s="89">
        <f t="shared" si="6"/>
        <v>45486</v>
      </c>
      <c r="H2016" s="72" t="str">
        <f t="shared" si="7"/>
        <v>No</v>
      </c>
    </row>
    <row r="2017" ht="15.75" customHeight="1">
      <c r="A2017" s="88">
        <f t="shared" si="8"/>
        <v>45481</v>
      </c>
      <c r="B2017" s="72" t="str">
        <f t="shared" si="1"/>
        <v>20240708</v>
      </c>
      <c r="C2017" s="72" t="str">
        <f t="shared" si="2"/>
        <v>Monday</v>
      </c>
      <c r="D2017" s="72" t="str">
        <f t="shared" si="3"/>
        <v>July</v>
      </c>
      <c r="E2017" s="72" t="str">
        <f t="shared" si="4"/>
        <v>Q3</v>
      </c>
      <c r="F2017" s="72">
        <f t="shared" si="5"/>
        <v>2024</v>
      </c>
      <c r="G2017" s="89">
        <f t="shared" si="6"/>
        <v>45486</v>
      </c>
      <c r="H2017" s="72" t="str">
        <f t="shared" si="7"/>
        <v>Yes</v>
      </c>
    </row>
    <row r="2018" ht="15.75" customHeight="1">
      <c r="A2018" s="88">
        <f t="shared" si="8"/>
        <v>45482</v>
      </c>
      <c r="B2018" s="72" t="str">
        <f t="shared" si="1"/>
        <v>20240709</v>
      </c>
      <c r="C2018" s="72" t="str">
        <f t="shared" si="2"/>
        <v>Tuesday</v>
      </c>
      <c r="D2018" s="72" t="str">
        <f t="shared" si="3"/>
        <v>July</v>
      </c>
      <c r="E2018" s="72" t="str">
        <f t="shared" si="4"/>
        <v>Q3</v>
      </c>
      <c r="F2018" s="72">
        <f t="shared" si="5"/>
        <v>2024</v>
      </c>
      <c r="G2018" s="89">
        <f t="shared" si="6"/>
        <v>45486</v>
      </c>
      <c r="H2018" s="72" t="str">
        <f t="shared" si="7"/>
        <v>Yes</v>
      </c>
    </row>
    <row r="2019" ht="15.75" customHeight="1">
      <c r="A2019" s="88">
        <f t="shared" si="8"/>
        <v>45483</v>
      </c>
      <c r="B2019" s="72" t="str">
        <f t="shared" si="1"/>
        <v>20240710</v>
      </c>
      <c r="C2019" s="72" t="str">
        <f t="shared" si="2"/>
        <v>Wednesday</v>
      </c>
      <c r="D2019" s="72" t="str">
        <f t="shared" si="3"/>
        <v>July</v>
      </c>
      <c r="E2019" s="72" t="str">
        <f t="shared" si="4"/>
        <v>Q3</v>
      </c>
      <c r="F2019" s="72">
        <f t="shared" si="5"/>
        <v>2024</v>
      </c>
      <c r="G2019" s="89">
        <f t="shared" si="6"/>
        <v>45486</v>
      </c>
      <c r="H2019" s="72" t="str">
        <f t="shared" si="7"/>
        <v>Yes</v>
      </c>
    </row>
    <row r="2020" ht="15.75" customHeight="1">
      <c r="A2020" s="88">
        <f t="shared" si="8"/>
        <v>45484</v>
      </c>
      <c r="B2020" s="72" t="str">
        <f t="shared" si="1"/>
        <v>20240711</v>
      </c>
      <c r="C2020" s="72" t="str">
        <f t="shared" si="2"/>
        <v>Thursday</v>
      </c>
      <c r="D2020" s="72" t="str">
        <f t="shared" si="3"/>
        <v>July</v>
      </c>
      <c r="E2020" s="72" t="str">
        <f t="shared" si="4"/>
        <v>Q3</v>
      </c>
      <c r="F2020" s="72">
        <f t="shared" si="5"/>
        <v>2024</v>
      </c>
      <c r="G2020" s="89">
        <f t="shared" si="6"/>
        <v>45486</v>
      </c>
      <c r="H2020" s="72" t="str">
        <f t="shared" si="7"/>
        <v>Yes</v>
      </c>
    </row>
    <row r="2021" ht="15.75" customHeight="1">
      <c r="A2021" s="88">
        <f t="shared" si="8"/>
        <v>45485</v>
      </c>
      <c r="B2021" s="72" t="str">
        <f t="shared" si="1"/>
        <v>20240712</v>
      </c>
      <c r="C2021" s="72" t="str">
        <f t="shared" si="2"/>
        <v>Friday</v>
      </c>
      <c r="D2021" s="72" t="str">
        <f t="shared" si="3"/>
        <v>July</v>
      </c>
      <c r="E2021" s="72" t="str">
        <f t="shared" si="4"/>
        <v>Q3</v>
      </c>
      <c r="F2021" s="72">
        <f t="shared" si="5"/>
        <v>2024</v>
      </c>
      <c r="G2021" s="89">
        <f t="shared" si="6"/>
        <v>45486</v>
      </c>
      <c r="H2021" s="72" t="str">
        <f t="shared" si="7"/>
        <v>Yes</v>
      </c>
    </row>
    <row r="2022" ht="15.75" customHeight="1">
      <c r="A2022" s="88">
        <f t="shared" si="8"/>
        <v>45486</v>
      </c>
      <c r="B2022" s="72" t="str">
        <f t="shared" si="1"/>
        <v>20240713</v>
      </c>
      <c r="C2022" s="72" t="str">
        <f t="shared" si="2"/>
        <v>Saturday</v>
      </c>
      <c r="D2022" s="72" t="str">
        <f t="shared" si="3"/>
        <v>July</v>
      </c>
      <c r="E2022" s="72" t="str">
        <f t="shared" si="4"/>
        <v>Q3</v>
      </c>
      <c r="F2022" s="72">
        <f t="shared" si="5"/>
        <v>2024</v>
      </c>
      <c r="G2022" s="89">
        <f t="shared" si="6"/>
        <v>45486</v>
      </c>
      <c r="H2022" s="72" t="str">
        <f t="shared" si="7"/>
        <v>No</v>
      </c>
    </row>
    <row r="2023" ht="15.75" customHeight="1">
      <c r="A2023" s="88">
        <f t="shared" si="8"/>
        <v>45487</v>
      </c>
      <c r="B2023" s="72" t="str">
        <f t="shared" si="1"/>
        <v>20240714</v>
      </c>
      <c r="C2023" s="72" t="str">
        <f t="shared" si="2"/>
        <v>Sunday</v>
      </c>
      <c r="D2023" s="72" t="str">
        <f t="shared" si="3"/>
        <v>July</v>
      </c>
      <c r="E2023" s="72" t="str">
        <f t="shared" si="4"/>
        <v>Q3</v>
      </c>
      <c r="F2023" s="72">
        <f t="shared" si="5"/>
        <v>2024</v>
      </c>
      <c r="G2023" s="89">
        <f t="shared" si="6"/>
        <v>45493</v>
      </c>
      <c r="H2023" s="72" t="str">
        <f t="shared" si="7"/>
        <v>No</v>
      </c>
    </row>
    <row r="2024" ht="15.75" customHeight="1">
      <c r="A2024" s="88">
        <f t="shared" si="8"/>
        <v>45488</v>
      </c>
      <c r="B2024" s="72" t="str">
        <f t="shared" si="1"/>
        <v>20240715</v>
      </c>
      <c r="C2024" s="72" t="str">
        <f t="shared" si="2"/>
        <v>Monday</v>
      </c>
      <c r="D2024" s="72" t="str">
        <f t="shared" si="3"/>
        <v>July</v>
      </c>
      <c r="E2024" s="72" t="str">
        <f t="shared" si="4"/>
        <v>Q3</v>
      </c>
      <c r="F2024" s="72">
        <f t="shared" si="5"/>
        <v>2024</v>
      </c>
      <c r="G2024" s="89">
        <f t="shared" si="6"/>
        <v>45493</v>
      </c>
      <c r="H2024" s="72" t="str">
        <f t="shared" si="7"/>
        <v>Yes</v>
      </c>
    </row>
    <row r="2025" ht="15.75" customHeight="1">
      <c r="A2025" s="88">
        <f t="shared" si="8"/>
        <v>45489</v>
      </c>
      <c r="B2025" s="72" t="str">
        <f t="shared" si="1"/>
        <v>20240716</v>
      </c>
      <c r="C2025" s="72" t="str">
        <f t="shared" si="2"/>
        <v>Tuesday</v>
      </c>
      <c r="D2025" s="72" t="str">
        <f t="shared" si="3"/>
        <v>July</v>
      </c>
      <c r="E2025" s="72" t="str">
        <f t="shared" si="4"/>
        <v>Q3</v>
      </c>
      <c r="F2025" s="72">
        <f t="shared" si="5"/>
        <v>2024</v>
      </c>
      <c r="G2025" s="89">
        <f t="shared" si="6"/>
        <v>45493</v>
      </c>
      <c r="H2025" s="72" t="str">
        <f t="shared" si="7"/>
        <v>Yes</v>
      </c>
    </row>
    <row r="2026" ht="15.75" customHeight="1">
      <c r="A2026" s="88">
        <f t="shared" si="8"/>
        <v>45490</v>
      </c>
      <c r="B2026" s="72" t="str">
        <f t="shared" si="1"/>
        <v>20240717</v>
      </c>
      <c r="C2026" s="72" t="str">
        <f t="shared" si="2"/>
        <v>Wednesday</v>
      </c>
      <c r="D2026" s="72" t="str">
        <f t="shared" si="3"/>
        <v>July</v>
      </c>
      <c r="E2026" s="72" t="str">
        <f t="shared" si="4"/>
        <v>Q3</v>
      </c>
      <c r="F2026" s="72">
        <f t="shared" si="5"/>
        <v>2024</v>
      </c>
      <c r="G2026" s="89">
        <f t="shared" si="6"/>
        <v>45493</v>
      </c>
      <c r="H2026" s="72" t="str">
        <f t="shared" si="7"/>
        <v>Yes</v>
      </c>
    </row>
    <row r="2027" ht="15.75" customHeight="1">
      <c r="A2027" s="88">
        <f t="shared" si="8"/>
        <v>45491</v>
      </c>
      <c r="B2027" s="72" t="str">
        <f t="shared" si="1"/>
        <v>20240718</v>
      </c>
      <c r="C2027" s="72" t="str">
        <f t="shared" si="2"/>
        <v>Thursday</v>
      </c>
      <c r="D2027" s="72" t="str">
        <f t="shared" si="3"/>
        <v>July</v>
      </c>
      <c r="E2027" s="72" t="str">
        <f t="shared" si="4"/>
        <v>Q3</v>
      </c>
      <c r="F2027" s="72">
        <f t="shared" si="5"/>
        <v>2024</v>
      </c>
      <c r="G2027" s="89">
        <f t="shared" si="6"/>
        <v>45493</v>
      </c>
      <c r="H2027" s="72" t="str">
        <f t="shared" si="7"/>
        <v>Yes</v>
      </c>
    </row>
    <row r="2028" ht="15.75" customHeight="1">
      <c r="A2028" s="88">
        <f t="shared" si="8"/>
        <v>45492</v>
      </c>
      <c r="B2028" s="72" t="str">
        <f t="shared" si="1"/>
        <v>20240719</v>
      </c>
      <c r="C2028" s="72" t="str">
        <f t="shared" si="2"/>
        <v>Friday</v>
      </c>
      <c r="D2028" s="72" t="str">
        <f t="shared" si="3"/>
        <v>July</v>
      </c>
      <c r="E2028" s="72" t="str">
        <f t="shared" si="4"/>
        <v>Q3</v>
      </c>
      <c r="F2028" s="72">
        <f t="shared" si="5"/>
        <v>2024</v>
      </c>
      <c r="G2028" s="89">
        <f t="shared" si="6"/>
        <v>45493</v>
      </c>
      <c r="H2028" s="72" t="str">
        <f t="shared" si="7"/>
        <v>Yes</v>
      </c>
    </row>
    <row r="2029" ht="15.75" customHeight="1">
      <c r="A2029" s="88">
        <f t="shared" si="8"/>
        <v>45493</v>
      </c>
      <c r="B2029" s="72" t="str">
        <f t="shared" si="1"/>
        <v>20240720</v>
      </c>
      <c r="C2029" s="72" t="str">
        <f t="shared" si="2"/>
        <v>Saturday</v>
      </c>
      <c r="D2029" s="72" t="str">
        <f t="shared" si="3"/>
        <v>July</v>
      </c>
      <c r="E2029" s="72" t="str">
        <f t="shared" si="4"/>
        <v>Q3</v>
      </c>
      <c r="F2029" s="72">
        <f t="shared" si="5"/>
        <v>2024</v>
      </c>
      <c r="G2029" s="89">
        <f t="shared" si="6"/>
        <v>45493</v>
      </c>
      <c r="H2029" s="72" t="str">
        <f t="shared" si="7"/>
        <v>No</v>
      </c>
    </row>
    <row r="2030" ht="15.75" customHeight="1">
      <c r="A2030" s="88">
        <f t="shared" si="8"/>
        <v>45494</v>
      </c>
      <c r="B2030" s="72" t="str">
        <f t="shared" si="1"/>
        <v>20240721</v>
      </c>
      <c r="C2030" s="72" t="str">
        <f t="shared" si="2"/>
        <v>Sunday</v>
      </c>
      <c r="D2030" s="72" t="str">
        <f t="shared" si="3"/>
        <v>July</v>
      </c>
      <c r="E2030" s="72" t="str">
        <f t="shared" si="4"/>
        <v>Q3</v>
      </c>
      <c r="F2030" s="72">
        <f t="shared" si="5"/>
        <v>2024</v>
      </c>
      <c r="G2030" s="89">
        <f t="shared" si="6"/>
        <v>45500</v>
      </c>
      <c r="H2030" s="72" t="str">
        <f t="shared" si="7"/>
        <v>No</v>
      </c>
    </row>
    <row r="2031" ht="15.75" customHeight="1">
      <c r="A2031" s="88">
        <f t="shared" si="8"/>
        <v>45495</v>
      </c>
      <c r="B2031" s="72" t="str">
        <f t="shared" si="1"/>
        <v>20240722</v>
      </c>
      <c r="C2031" s="72" t="str">
        <f t="shared" si="2"/>
        <v>Monday</v>
      </c>
      <c r="D2031" s="72" t="str">
        <f t="shared" si="3"/>
        <v>July</v>
      </c>
      <c r="E2031" s="72" t="str">
        <f t="shared" si="4"/>
        <v>Q3</v>
      </c>
      <c r="F2031" s="72">
        <f t="shared" si="5"/>
        <v>2024</v>
      </c>
      <c r="G2031" s="89">
        <f t="shared" si="6"/>
        <v>45500</v>
      </c>
      <c r="H2031" s="72" t="str">
        <f t="shared" si="7"/>
        <v>Yes</v>
      </c>
    </row>
    <row r="2032" ht="15.75" customHeight="1">
      <c r="A2032" s="88">
        <f t="shared" si="8"/>
        <v>45496</v>
      </c>
      <c r="B2032" s="72" t="str">
        <f t="shared" si="1"/>
        <v>20240723</v>
      </c>
      <c r="C2032" s="72" t="str">
        <f t="shared" si="2"/>
        <v>Tuesday</v>
      </c>
      <c r="D2032" s="72" t="str">
        <f t="shared" si="3"/>
        <v>July</v>
      </c>
      <c r="E2032" s="72" t="str">
        <f t="shared" si="4"/>
        <v>Q3</v>
      </c>
      <c r="F2032" s="72">
        <f t="shared" si="5"/>
        <v>2024</v>
      </c>
      <c r="G2032" s="89">
        <f t="shared" si="6"/>
        <v>45500</v>
      </c>
      <c r="H2032" s="72" t="str">
        <f t="shared" si="7"/>
        <v>Yes</v>
      </c>
    </row>
    <row r="2033" ht="15.75" customHeight="1">
      <c r="A2033" s="88">
        <f t="shared" si="8"/>
        <v>45497</v>
      </c>
      <c r="B2033" s="72" t="str">
        <f t="shared" si="1"/>
        <v>20240724</v>
      </c>
      <c r="C2033" s="72" t="str">
        <f t="shared" si="2"/>
        <v>Wednesday</v>
      </c>
      <c r="D2033" s="72" t="str">
        <f t="shared" si="3"/>
        <v>July</v>
      </c>
      <c r="E2033" s="72" t="str">
        <f t="shared" si="4"/>
        <v>Q3</v>
      </c>
      <c r="F2033" s="72">
        <f t="shared" si="5"/>
        <v>2024</v>
      </c>
      <c r="G2033" s="89">
        <f t="shared" si="6"/>
        <v>45500</v>
      </c>
      <c r="H2033" s="72" t="str">
        <f t="shared" si="7"/>
        <v>Yes</v>
      </c>
    </row>
    <row r="2034" ht="15.75" customHeight="1">
      <c r="A2034" s="88">
        <f t="shared" si="8"/>
        <v>45498</v>
      </c>
      <c r="B2034" s="72" t="str">
        <f t="shared" si="1"/>
        <v>20240725</v>
      </c>
      <c r="C2034" s="72" t="str">
        <f t="shared" si="2"/>
        <v>Thursday</v>
      </c>
      <c r="D2034" s="72" t="str">
        <f t="shared" si="3"/>
        <v>July</v>
      </c>
      <c r="E2034" s="72" t="str">
        <f t="shared" si="4"/>
        <v>Q3</v>
      </c>
      <c r="F2034" s="72">
        <f t="shared" si="5"/>
        <v>2024</v>
      </c>
      <c r="G2034" s="89">
        <f t="shared" si="6"/>
        <v>45500</v>
      </c>
      <c r="H2034" s="72" t="str">
        <f t="shared" si="7"/>
        <v>Yes</v>
      </c>
    </row>
    <row r="2035" ht="15.75" customHeight="1">
      <c r="A2035" s="88">
        <f t="shared" si="8"/>
        <v>45499</v>
      </c>
      <c r="B2035" s="72" t="str">
        <f t="shared" si="1"/>
        <v>20240726</v>
      </c>
      <c r="C2035" s="72" t="str">
        <f t="shared" si="2"/>
        <v>Friday</v>
      </c>
      <c r="D2035" s="72" t="str">
        <f t="shared" si="3"/>
        <v>July</v>
      </c>
      <c r="E2035" s="72" t="str">
        <f t="shared" si="4"/>
        <v>Q3</v>
      </c>
      <c r="F2035" s="72">
        <f t="shared" si="5"/>
        <v>2024</v>
      </c>
      <c r="G2035" s="89">
        <f t="shared" si="6"/>
        <v>45500</v>
      </c>
      <c r="H2035" s="72" t="str">
        <f t="shared" si="7"/>
        <v>Yes</v>
      </c>
    </row>
    <row r="2036" ht="15.75" customHeight="1">
      <c r="A2036" s="88">
        <f t="shared" si="8"/>
        <v>45500</v>
      </c>
      <c r="B2036" s="72" t="str">
        <f t="shared" si="1"/>
        <v>20240727</v>
      </c>
      <c r="C2036" s="72" t="str">
        <f t="shared" si="2"/>
        <v>Saturday</v>
      </c>
      <c r="D2036" s="72" t="str">
        <f t="shared" si="3"/>
        <v>July</v>
      </c>
      <c r="E2036" s="72" t="str">
        <f t="shared" si="4"/>
        <v>Q3</v>
      </c>
      <c r="F2036" s="72">
        <f t="shared" si="5"/>
        <v>2024</v>
      </c>
      <c r="G2036" s="89">
        <f t="shared" si="6"/>
        <v>45500</v>
      </c>
      <c r="H2036" s="72" t="str">
        <f t="shared" si="7"/>
        <v>No</v>
      </c>
    </row>
    <row r="2037" ht="15.75" customHeight="1">
      <c r="A2037" s="88">
        <f t="shared" si="8"/>
        <v>45501</v>
      </c>
      <c r="B2037" s="72" t="str">
        <f t="shared" si="1"/>
        <v>20240728</v>
      </c>
      <c r="C2037" s="72" t="str">
        <f t="shared" si="2"/>
        <v>Sunday</v>
      </c>
      <c r="D2037" s="72" t="str">
        <f t="shared" si="3"/>
        <v>July</v>
      </c>
      <c r="E2037" s="72" t="str">
        <f t="shared" si="4"/>
        <v>Q3</v>
      </c>
      <c r="F2037" s="72">
        <f t="shared" si="5"/>
        <v>2024</v>
      </c>
      <c r="G2037" s="89">
        <f t="shared" si="6"/>
        <v>45507</v>
      </c>
      <c r="H2037" s="72" t="str">
        <f t="shared" si="7"/>
        <v>No</v>
      </c>
    </row>
    <row r="2038" ht="15.75" customHeight="1">
      <c r="A2038" s="88">
        <f t="shared" si="8"/>
        <v>45502</v>
      </c>
      <c r="B2038" s="72" t="str">
        <f t="shared" si="1"/>
        <v>20240729</v>
      </c>
      <c r="C2038" s="72" t="str">
        <f t="shared" si="2"/>
        <v>Monday</v>
      </c>
      <c r="D2038" s="72" t="str">
        <f t="shared" si="3"/>
        <v>July</v>
      </c>
      <c r="E2038" s="72" t="str">
        <f t="shared" si="4"/>
        <v>Q3</v>
      </c>
      <c r="F2038" s="72">
        <f t="shared" si="5"/>
        <v>2024</v>
      </c>
      <c r="G2038" s="89">
        <f t="shared" si="6"/>
        <v>45507</v>
      </c>
      <c r="H2038" s="72" t="str">
        <f t="shared" si="7"/>
        <v>Yes</v>
      </c>
    </row>
    <row r="2039" ht="15.75" customHeight="1">
      <c r="A2039" s="88">
        <f t="shared" si="8"/>
        <v>45503</v>
      </c>
      <c r="B2039" s="72" t="str">
        <f t="shared" si="1"/>
        <v>20240730</v>
      </c>
      <c r="C2039" s="72" t="str">
        <f t="shared" si="2"/>
        <v>Tuesday</v>
      </c>
      <c r="D2039" s="72" t="str">
        <f t="shared" si="3"/>
        <v>July</v>
      </c>
      <c r="E2039" s="72" t="str">
        <f t="shared" si="4"/>
        <v>Q3</v>
      </c>
      <c r="F2039" s="72">
        <f t="shared" si="5"/>
        <v>2024</v>
      </c>
      <c r="G2039" s="89">
        <f t="shared" si="6"/>
        <v>45507</v>
      </c>
      <c r="H2039" s="72" t="str">
        <f t="shared" si="7"/>
        <v>Yes</v>
      </c>
    </row>
    <row r="2040" ht="15.75" customHeight="1">
      <c r="A2040" s="88">
        <f t="shared" si="8"/>
        <v>45504</v>
      </c>
      <c r="B2040" s="72" t="str">
        <f t="shared" si="1"/>
        <v>20240731</v>
      </c>
      <c r="C2040" s="72" t="str">
        <f t="shared" si="2"/>
        <v>Wednesday</v>
      </c>
      <c r="D2040" s="72" t="str">
        <f t="shared" si="3"/>
        <v>July</v>
      </c>
      <c r="E2040" s="72" t="str">
        <f t="shared" si="4"/>
        <v>Q3</v>
      </c>
      <c r="F2040" s="72">
        <f t="shared" si="5"/>
        <v>2024</v>
      </c>
      <c r="G2040" s="89">
        <f t="shared" si="6"/>
        <v>45507</v>
      </c>
      <c r="H2040" s="72" t="str">
        <f t="shared" si="7"/>
        <v>Yes</v>
      </c>
    </row>
    <row r="2041" ht="15.75" customHeight="1">
      <c r="A2041" s="88">
        <f t="shared" si="8"/>
        <v>45505</v>
      </c>
      <c r="B2041" s="72" t="str">
        <f t="shared" si="1"/>
        <v>20240801</v>
      </c>
      <c r="C2041" s="72" t="str">
        <f t="shared" si="2"/>
        <v>Thursday</v>
      </c>
      <c r="D2041" s="72" t="str">
        <f t="shared" si="3"/>
        <v>August</v>
      </c>
      <c r="E2041" s="72" t="str">
        <f t="shared" si="4"/>
        <v>Q3</v>
      </c>
      <c r="F2041" s="72">
        <f t="shared" si="5"/>
        <v>2024</v>
      </c>
      <c r="G2041" s="89">
        <f t="shared" si="6"/>
        <v>45507</v>
      </c>
      <c r="H2041" s="72" t="str">
        <f t="shared" si="7"/>
        <v>Yes</v>
      </c>
    </row>
    <row r="2042" ht="15.75" customHeight="1">
      <c r="A2042" s="88">
        <f t="shared" si="8"/>
        <v>45506</v>
      </c>
      <c r="B2042" s="72" t="str">
        <f t="shared" si="1"/>
        <v>20240802</v>
      </c>
      <c r="C2042" s="72" t="str">
        <f t="shared" si="2"/>
        <v>Friday</v>
      </c>
      <c r="D2042" s="72" t="str">
        <f t="shared" si="3"/>
        <v>August</v>
      </c>
      <c r="E2042" s="72" t="str">
        <f t="shared" si="4"/>
        <v>Q3</v>
      </c>
      <c r="F2042" s="72">
        <f t="shared" si="5"/>
        <v>2024</v>
      </c>
      <c r="G2042" s="89">
        <f t="shared" si="6"/>
        <v>45507</v>
      </c>
      <c r="H2042" s="72" t="str">
        <f t="shared" si="7"/>
        <v>Yes</v>
      </c>
    </row>
    <row r="2043" ht="15.75" customHeight="1">
      <c r="A2043" s="88">
        <f t="shared" si="8"/>
        <v>45507</v>
      </c>
      <c r="B2043" s="72" t="str">
        <f t="shared" si="1"/>
        <v>20240803</v>
      </c>
      <c r="C2043" s="72" t="str">
        <f t="shared" si="2"/>
        <v>Saturday</v>
      </c>
      <c r="D2043" s="72" t="str">
        <f t="shared" si="3"/>
        <v>August</v>
      </c>
      <c r="E2043" s="72" t="str">
        <f t="shared" si="4"/>
        <v>Q3</v>
      </c>
      <c r="F2043" s="72">
        <f t="shared" si="5"/>
        <v>2024</v>
      </c>
      <c r="G2043" s="89">
        <f t="shared" si="6"/>
        <v>45507</v>
      </c>
      <c r="H2043" s="72" t="str">
        <f t="shared" si="7"/>
        <v>No</v>
      </c>
    </row>
    <row r="2044" ht="15.75" customHeight="1">
      <c r="A2044" s="88">
        <f t="shared" si="8"/>
        <v>45508</v>
      </c>
      <c r="B2044" s="72" t="str">
        <f t="shared" si="1"/>
        <v>20240804</v>
      </c>
      <c r="C2044" s="72" t="str">
        <f t="shared" si="2"/>
        <v>Sunday</v>
      </c>
      <c r="D2044" s="72" t="str">
        <f t="shared" si="3"/>
        <v>August</v>
      </c>
      <c r="E2044" s="72" t="str">
        <f t="shared" si="4"/>
        <v>Q3</v>
      </c>
      <c r="F2044" s="72">
        <f t="shared" si="5"/>
        <v>2024</v>
      </c>
      <c r="G2044" s="89">
        <f t="shared" si="6"/>
        <v>45514</v>
      </c>
      <c r="H2044" s="72" t="str">
        <f t="shared" si="7"/>
        <v>No</v>
      </c>
    </row>
    <row r="2045" ht="15.75" customHeight="1">
      <c r="A2045" s="88">
        <f t="shared" si="8"/>
        <v>45509</v>
      </c>
      <c r="B2045" s="72" t="str">
        <f t="shared" si="1"/>
        <v>20240805</v>
      </c>
      <c r="C2045" s="72" t="str">
        <f t="shared" si="2"/>
        <v>Monday</v>
      </c>
      <c r="D2045" s="72" t="str">
        <f t="shared" si="3"/>
        <v>August</v>
      </c>
      <c r="E2045" s="72" t="str">
        <f t="shared" si="4"/>
        <v>Q3</v>
      </c>
      <c r="F2045" s="72">
        <f t="shared" si="5"/>
        <v>2024</v>
      </c>
      <c r="G2045" s="89">
        <f t="shared" si="6"/>
        <v>45514</v>
      </c>
      <c r="H2045" s="72" t="str">
        <f t="shared" si="7"/>
        <v>Yes</v>
      </c>
    </row>
    <row r="2046" ht="15.75" customHeight="1">
      <c r="A2046" s="88">
        <f t="shared" si="8"/>
        <v>45510</v>
      </c>
      <c r="B2046" s="72" t="str">
        <f t="shared" si="1"/>
        <v>20240806</v>
      </c>
      <c r="C2046" s="72" t="str">
        <f t="shared" si="2"/>
        <v>Tuesday</v>
      </c>
      <c r="D2046" s="72" t="str">
        <f t="shared" si="3"/>
        <v>August</v>
      </c>
      <c r="E2046" s="72" t="str">
        <f t="shared" si="4"/>
        <v>Q3</v>
      </c>
      <c r="F2046" s="72">
        <f t="shared" si="5"/>
        <v>2024</v>
      </c>
      <c r="G2046" s="89">
        <f t="shared" si="6"/>
        <v>45514</v>
      </c>
      <c r="H2046" s="72" t="str">
        <f t="shared" si="7"/>
        <v>Yes</v>
      </c>
    </row>
    <row r="2047" ht="15.75" customHeight="1">
      <c r="A2047" s="88">
        <f t="shared" si="8"/>
        <v>45511</v>
      </c>
      <c r="B2047" s="72" t="str">
        <f t="shared" si="1"/>
        <v>20240807</v>
      </c>
      <c r="C2047" s="72" t="str">
        <f t="shared" si="2"/>
        <v>Wednesday</v>
      </c>
      <c r="D2047" s="72" t="str">
        <f t="shared" si="3"/>
        <v>August</v>
      </c>
      <c r="E2047" s="72" t="str">
        <f t="shared" si="4"/>
        <v>Q3</v>
      </c>
      <c r="F2047" s="72">
        <f t="shared" si="5"/>
        <v>2024</v>
      </c>
      <c r="G2047" s="89">
        <f t="shared" si="6"/>
        <v>45514</v>
      </c>
      <c r="H2047" s="72" t="str">
        <f t="shared" si="7"/>
        <v>Yes</v>
      </c>
    </row>
    <row r="2048" ht="15.75" customHeight="1">
      <c r="A2048" s="88">
        <f t="shared" si="8"/>
        <v>45512</v>
      </c>
      <c r="B2048" s="72" t="str">
        <f t="shared" si="1"/>
        <v>20240808</v>
      </c>
      <c r="C2048" s="72" t="str">
        <f t="shared" si="2"/>
        <v>Thursday</v>
      </c>
      <c r="D2048" s="72" t="str">
        <f t="shared" si="3"/>
        <v>August</v>
      </c>
      <c r="E2048" s="72" t="str">
        <f t="shared" si="4"/>
        <v>Q3</v>
      </c>
      <c r="F2048" s="72">
        <f t="shared" si="5"/>
        <v>2024</v>
      </c>
      <c r="G2048" s="89">
        <f t="shared" si="6"/>
        <v>45514</v>
      </c>
      <c r="H2048" s="72" t="str">
        <f t="shared" si="7"/>
        <v>Yes</v>
      </c>
    </row>
    <row r="2049" ht="15.75" customHeight="1">
      <c r="A2049" s="88">
        <f t="shared" si="8"/>
        <v>45513</v>
      </c>
      <c r="B2049" s="72" t="str">
        <f t="shared" si="1"/>
        <v>20240809</v>
      </c>
      <c r="C2049" s="72" t="str">
        <f t="shared" si="2"/>
        <v>Friday</v>
      </c>
      <c r="D2049" s="72" t="str">
        <f t="shared" si="3"/>
        <v>August</v>
      </c>
      <c r="E2049" s="72" t="str">
        <f t="shared" si="4"/>
        <v>Q3</v>
      </c>
      <c r="F2049" s="72">
        <f t="shared" si="5"/>
        <v>2024</v>
      </c>
      <c r="G2049" s="89">
        <f t="shared" si="6"/>
        <v>45514</v>
      </c>
      <c r="H2049" s="72" t="str">
        <f t="shared" si="7"/>
        <v>Yes</v>
      </c>
    </row>
    <row r="2050" ht="15.75" customHeight="1">
      <c r="A2050" s="88">
        <f t="shared" si="8"/>
        <v>45514</v>
      </c>
      <c r="B2050" s="72" t="str">
        <f t="shared" si="1"/>
        <v>20240810</v>
      </c>
      <c r="C2050" s="72" t="str">
        <f t="shared" si="2"/>
        <v>Saturday</v>
      </c>
      <c r="D2050" s="72" t="str">
        <f t="shared" si="3"/>
        <v>August</v>
      </c>
      <c r="E2050" s="72" t="str">
        <f t="shared" si="4"/>
        <v>Q3</v>
      </c>
      <c r="F2050" s="72">
        <f t="shared" si="5"/>
        <v>2024</v>
      </c>
      <c r="G2050" s="89">
        <f t="shared" si="6"/>
        <v>45514</v>
      </c>
      <c r="H2050" s="72" t="str">
        <f t="shared" si="7"/>
        <v>No</v>
      </c>
    </row>
    <row r="2051" ht="15.75" customHeight="1">
      <c r="A2051" s="88">
        <f t="shared" si="8"/>
        <v>45515</v>
      </c>
      <c r="B2051" s="72" t="str">
        <f t="shared" si="1"/>
        <v>20240811</v>
      </c>
      <c r="C2051" s="72" t="str">
        <f t="shared" si="2"/>
        <v>Sunday</v>
      </c>
      <c r="D2051" s="72" t="str">
        <f t="shared" si="3"/>
        <v>August</v>
      </c>
      <c r="E2051" s="72" t="str">
        <f t="shared" si="4"/>
        <v>Q3</v>
      </c>
      <c r="F2051" s="72">
        <f t="shared" si="5"/>
        <v>2024</v>
      </c>
      <c r="G2051" s="89">
        <f t="shared" si="6"/>
        <v>45521</v>
      </c>
      <c r="H2051" s="72" t="str">
        <f t="shared" si="7"/>
        <v>No</v>
      </c>
    </row>
    <row r="2052" ht="15.75" customHeight="1">
      <c r="A2052" s="88">
        <f t="shared" si="8"/>
        <v>45516</v>
      </c>
      <c r="B2052" s="72" t="str">
        <f t="shared" si="1"/>
        <v>20240812</v>
      </c>
      <c r="C2052" s="72" t="str">
        <f t="shared" si="2"/>
        <v>Monday</v>
      </c>
      <c r="D2052" s="72" t="str">
        <f t="shared" si="3"/>
        <v>August</v>
      </c>
      <c r="E2052" s="72" t="str">
        <f t="shared" si="4"/>
        <v>Q3</v>
      </c>
      <c r="F2052" s="72">
        <f t="shared" si="5"/>
        <v>2024</v>
      </c>
      <c r="G2052" s="89">
        <f t="shared" si="6"/>
        <v>45521</v>
      </c>
      <c r="H2052" s="72" t="str">
        <f t="shared" si="7"/>
        <v>Yes</v>
      </c>
    </row>
    <row r="2053" ht="15.75" customHeight="1">
      <c r="A2053" s="88">
        <f t="shared" si="8"/>
        <v>45517</v>
      </c>
      <c r="B2053" s="72" t="str">
        <f t="shared" si="1"/>
        <v>20240813</v>
      </c>
      <c r="C2053" s="72" t="str">
        <f t="shared" si="2"/>
        <v>Tuesday</v>
      </c>
      <c r="D2053" s="72" t="str">
        <f t="shared" si="3"/>
        <v>August</v>
      </c>
      <c r="E2053" s="72" t="str">
        <f t="shared" si="4"/>
        <v>Q3</v>
      </c>
      <c r="F2053" s="72">
        <f t="shared" si="5"/>
        <v>2024</v>
      </c>
      <c r="G2053" s="89">
        <f t="shared" si="6"/>
        <v>45521</v>
      </c>
      <c r="H2053" s="72" t="str">
        <f t="shared" si="7"/>
        <v>Yes</v>
      </c>
    </row>
    <row r="2054" ht="15.75" customHeight="1">
      <c r="A2054" s="88">
        <f t="shared" si="8"/>
        <v>45518</v>
      </c>
      <c r="B2054" s="72" t="str">
        <f t="shared" si="1"/>
        <v>20240814</v>
      </c>
      <c r="C2054" s="72" t="str">
        <f t="shared" si="2"/>
        <v>Wednesday</v>
      </c>
      <c r="D2054" s="72" t="str">
        <f t="shared" si="3"/>
        <v>August</v>
      </c>
      <c r="E2054" s="72" t="str">
        <f t="shared" si="4"/>
        <v>Q3</v>
      </c>
      <c r="F2054" s="72">
        <f t="shared" si="5"/>
        <v>2024</v>
      </c>
      <c r="G2054" s="89">
        <f t="shared" si="6"/>
        <v>45521</v>
      </c>
      <c r="H2054" s="72" t="str">
        <f t="shared" si="7"/>
        <v>Yes</v>
      </c>
    </row>
    <row r="2055" ht="15.75" customHeight="1">
      <c r="A2055" s="88">
        <f t="shared" si="8"/>
        <v>45519</v>
      </c>
      <c r="B2055" s="72" t="str">
        <f t="shared" si="1"/>
        <v>20240815</v>
      </c>
      <c r="C2055" s="72" t="str">
        <f t="shared" si="2"/>
        <v>Thursday</v>
      </c>
      <c r="D2055" s="72" t="str">
        <f t="shared" si="3"/>
        <v>August</v>
      </c>
      <c r="E2055" s="72" t="str">
        <f t="shared" si="4"/>
        <v>Q3</v>
      </c>
      <c r="F2055" s="72">
        <f t="shared" si="5"/>
        <v>2024</v>
      </c>
      <c r="G2055" s="89">
        <f t="shared" si="6"/>
        <v>45521</v>
      </c>
      <c r="H2055" s="72" t="str">
        <f t="shared" si="7"/>
        <v>Yes</v>
      </c>
    </row>
    <row r="2056" ht="15.75" customHeight="1">
      <c r="A2056" s="88">
        <f t="shared" si="8"/>
        <v>45520</v>
      </c>
      <c r="B2056" s="72" t="str">
        <f t="shared" si="1"/>
        <v>20240816</v>
      </c>
      <c r="C2056" s="72" t="str">
        <f t="shared" si="2"/>
        <v>Friday</v>
      </c>
      <c r="D2056" s="72" t="str">
        <f t="shared" si="3"/>
        <v>August</v>
      </c>
      <c r="E2056" s="72" t="str">
        <f t="shared" si="4"/>
        <v>Q3</v>
      </c>
      <c r="F2056" s="72">
        <f t="shared" si="5"/>
        <v>2024</v>
      </c>
      <c r="G2056" s="89">
        <f t="shared" si="6"/>
        <v>45521</v>
      </c>
      <c r="H2056" s="72" t="str">
        <f t="shared" si="7"/>
        <v>Yes</v>
      </c>
    </row>
    <row r="2057" ht="15.75" customHeight="1">
      <c r="A2057" s="88">
        <f t="shared" si="8"/>
        <v>45521</v>
      </c>
      <c r="B2057" s="72" t="str">
        <f t="shared" si="1"/>
        <v>20240817</v>
      </c>
      <c r="C2057" s="72" t="str">
        <f t="shared" si="2"/>
        <v>Saturday</v>
      </c>
      <c r="D2057" s="72" t="str">
        <f t="shared" si="3"/>
        <v>August</v>
      </c>
      <c r="E2057" s="72" t="str">
        <f t="shared" si="4"/>
        <v>Q3</v>
      </c>
      <c r="F2057" s="72">
        <f t="shared" si="5"/>
        <v>2024</v>
      </c>
      <c r="G2057" s="89">
        <f t="shared" si="6"/>
        <v>45521</v>
      </c>
      <c r="H2057" s="72" t="str">
        <f t="shared" si="7"/>
        <v>No</v>
      </c>
    </row>
    <row r="2058" ht="15.75" customHeight="1">
      <c r="A2058" s="88">
        <f t="shared" si="8"/>
        <v>45522</v>
      </c>
      <c r="B2058" s="72" t="str">
        <f t="shared" si="1"/>
        <v>20240818</v>
      </c>
      <c r="C2058" s="72" t="str">
        <f t="shared" si="2"/>
        <v>Sunday</v>
      </c>
      <c r="D2058" s="72" t="str">
        <f t="shared" si="3"/>
        <v>August</v>
      </c>
      <c r="E2058" s="72" t="str">
        <f t="shared" si="4"/>
        <v>Q3</v>
      </c>
      <c r="F2058" s="72">
        <f t="shared" si="5"/>
        <v>2024</v>
      </c>
      <c r="G2058" s="89">
        <f t="shared" si="6"/>
        <v>45528</v>
      </c>
      <c r="H2058" s="72" t="str">
        <f t="shared" si="7"/>
        <v>No</v>
      </c>
    </row>
    <row r="2059" ht="15.75" customHeight="1">
      <c r="A2059" s="88">
        <f t="shared" si="8"/>
        <v>45523</v>
      </c>
      <c r="B2059" s="72" t="str">
        <f t="shared" si="1"/>
        <v>20240819</v>
      </c>
      <c r="C2059" s="72" t="str">
        <f t="shared" si="2"/>
        <v>Monday</v>
      </c>
      <c r="D2059" s="72" t="str">
        <f t="shared" si="3"/>
        <v>August</v>
      </c>
      <c r="E2059" s="72" t="str">
        <f t="shared" si="4"/>
        <v>Q3</v>
      </c>
      <c r="F2059" s="72">
        <f t="shared" si="5"/>
        <v>2024</v>
      </c>
      <c r="G2059" s="89">
        <f t="shared" si="6"/>
        <v>45528</v>
      </c>
      <c r="H2059" s="72" t="str">
        <f t="shared" si="7"/>
        <v>Yes</v>
      </c>
    </row>
    <row r="2060" ht="15.75" customHeight="1">
      <c r="A2060" s="88">
        <f t="shared" si="8"/>
        <v>45524</v>
      </c>
      <c r="B2060" s="72" t="str">
        <f t="shared" si="1"/>
        <v>20240820</v>
      </c>
      <c r="C2060" s="72" t="str">
        <f t="shared" si="2"/>
        <v>Tuesday</v>
      </c>
      <c r="D2060" s="72" t="str">
        <f t="shared" si="3"/>
        <v>August</v>
      </c>
      <c r="E2060" s="72" t="str">
        <f t="shared" si="4"/>
        <v>Q3</v>
      </c>
      <c r="F2060" s="72">
        <f t="shared" si="5"/>
        <v>2024</v>
      </c>
      <c r="G2060" s="89">
        <f t="shared" si="6"/>
        <v>45528</v>
      </c>
      <c r="H2060" s="72" t="str">
        <f t="shared" si="7"/>
        <v>Yes</v>
      </c>
    </row>
    <row r="2061" ht="15.75" customHeight="1">
      <c r="A2061" s="88">
        <f t="shared" si="8"/>
        <v>45525</v>
      </c>
      <c r="B2061" s="72" t="str">
        <f t="shared" si="1"/>
        <v>20240821</v>
      </c>
      <c r="C2061" s="72" t="str">
        <f t="shared" si="2"/>
        <v>Wednesday</v>
      </c>
      <c r="D2061" s="72" t="str">
        <f t="shared" si="3"/>
        <v>August</v>
      </c>
      <c r="E2061" s="72" t="str">
        <f t="shared" si="4"/>
        <v>Q3</v>
      </c>
      <c r="F2061" s="72">
        <f t="shared" si="5"/>
        <v>2024</v>
      </c>
      <c r="G2061" s="89">
        <f t="shared" si="6"/>
        <v>45528</v>
      </c>
      <c r="H2061" s="72" t="str">
        <f t="shared" si="7"/>
        <v>Yes</v>
      </c>
    </row>
    <row r="2062" ht="15.75" customHeight="1">
      <c r="A2062" s="88">
        <f t="shared" si="8"/>
        <v>45526</v>
      </c>
      <c r="B2062" s="72" t="str">
        <f t="shared" si="1"/>
        <v>20240822</v>
      </c>
      <c r="C2062" s="72" t="str">
        <f t="shared" si="2"/>
        <v>Thursday</v>
      </c>
      <c r="D2062" s="72" t="str">
        <f t="shared" si="3"/>
        <v>August</v>
      </c>
      <c r="E2062" s="72" t="str">
        <f t="shared" si="4"/>
        <v>Q3</v>
      </c>
      <c r="F2062" s="72">
        <f t="shared" si="5"/>
        <v>2024</v>
      </c>
      <c r="G2062" s="89">
        <f t="shared" si="6"/>
        <v>45528</v>
      </c>
      <c r="H2062" s="72" t="str">
        <f t="shared" si="7"/>
        <v>Yes</v>
      </c>
    </row>
    <row r="2063" ht="15.75" customHeight="1">
      <c r="A2063" s="88">
        <f t="shared" si="8"/>
        <v>45527</v>
      </c>
      <c r="B2063" s="72" t="str">
        <f t="shared" si="1"/>
        <v>20240823</v>
      </c>
      <c r="C2063" s="72" t="str">
        <f t="shared" si="2"/>
        <v>Friday</v>
      </c>
      <c r="D2063" s="72" t="str">
        <f t="shared" si="3"/>
        <v>August</v>
      </c>
      <c r="E2063" s="72" t="str">
        <f t="shared" si="4"/>
        <v>Q3</v>
      </c>
      <c r="F2063" s="72">
        <f t="shared" si="5"/>
        <v>2024</v>
      </c>
      <c r="G2063" s="89">
        <f t="shared" si="6"/>
        <v>45528</v>
      </c>
      <c r="H2063" s="72" t="str">
        <f t="shared" si="7"/>
        <v>Yes</v>
      </c>
    </row>
    <row r="2064" ht="15.75" customHeight="1">
      <c r="A2064" s="88">
        <f t="shared" si="8"/>
        <v>45528</v>
      </c>
      <c r="B2064" s="72" t="str">
        <f t="shared" si="1"/>
        <v>20240824</v>
      </c>
      <c r="C2064" s="72" t="str">
        <f t="shared" si="2"/>
        <v>Saturday</v>
      </c>
      <c r="D2064" s="72" t="str">
        <f t="shared" si="3"/>
        <v>August</v>
      </c>
      <c r="E2064" s="72" t="str">
        <f t="shared" si="4"/>
        <v>Q3</v>
      </c>
      <c r="F2064" s="72">
        <f t="shared" si="5"/>
        <v>2024</v>
      </c>
      <c r="G2064" s="89">
        <f t="shared" si="6"/>
        <v>45528</v>
      </c>
      <c r="H2064" s="72" t="str">
        <f t="shared" si="7"/>
        <v>No</v>
      </c>
    </row>
    <row r="2065" ht="15.75" customHeight="1">
      <c r="A2065" s="88">
        <f t="shared" si="8"/>
        <v>45529</v>
      </c>
      <c r="B2065" s="72" t="str">
        <f t="shared" si="1"/>
        <v>20240825</v>
      </c>
      <c r="C2065" s="72" t="str">
        <f t="shared" si="2"/>
        <v>Sunday</v>
      </c>
      <c r="D2065" s="72" t="str">
        <f t="shared" si="3"/>
        <v>August</v>
      </c>
      <c r="E2065" s="72" t="str">
        <f t="shared" si="4"/>
        <v>Q3</v>
      </c>
      <c r="F2065" s="72">
        <f t="shared" si="5"/>
        <v>2024</v>
      </c>
      <c r="G2065" s="89">
        <f t="shared" si="6"/>
        <v>45535</v>
      </c>
      <c r="H2065" s="72" t="str">
        <f t="shared" si="7"/>
        <v>No</v>
      </c>
    </row>
    <row r="2066" ht="15.75" customHeight="1">
      <c r="A2066" s="88">
        <f t="shared" si="8"/>
        <v>45530</v>
      </c>
      <c r="B2066" s="72" t="str">
        <f t="shared" si="1"/>
        <v>20240826</v>
      </c>
      <c r="C2066" s="72" t="str">
        <f t="shared" si="2"/>
        <v>Monday</v>
      </c>
      <c r="D2066" s="72" t="str">
        <f t="shared" si="3"/>
        <v>August</v>
      </c>
      <c r="E2066" s="72" t="str">
        <f t="shared" si="4"/>
        <v>Q3</v>
      </c>
      <c r="F2066" s="72">
        <f t="shared" si="5"/>
        <v>2024</v>
      </c>
      <c r="G2066" s="89">
        <f t="shared" si="6"/>
        <v>45535</v>
      </c>
      <c r="H2066" s="72" t="str">
        <f t="shared" si="7"/>
        <v>Yes</v>
      </c>
    </row>
    <row r="2067" ht="15.75" customHeight="1">
      <c r="A2067" s="88">
        <f t="shared" si="8"/>
        <v>45531</v>
      </c>
      <c r="B2067" s="72" t="str">
        <f t="shared" si="1"/>
        <v>20240827</v>
      </c>
      <c r="C2067" s="72" t="str">
        <f t="shared" si="2"/>
        <v>Tuesday</v>
      </c>
      <c r="D2067" s="72" t="str">
        <f t="shared" si="3"/>
        <v>August</v>
      </c>
      <c r="E2067" s="72" t="str">
        <f t="shared" si="4"/>
        <v>Q3</v>
      </c>
      <c r="F2067" s="72">
        <f t="shared" si="5"/>
        <v>2024</v>
      </c>
      <c r="G2067" s="89">
        <f t="shared" si="6"/>
        <v>45535</v>
      </c>
      <c r="H2067" s="72" t="str">
        <f t="shared" si="7"/>
        <v>Yes</v>
      </c>
    </row>
    <row r="2068" ht="15.75" customHeight="1">
      <c r="A2068" s="88">
        <f t="shared" si="8"/>
        <v>45532</v>
      </c>
      <c r="B2068" s="72" t="str">
        <f t="shared" si="1"/>
        <v>20240828</v>
      </c>
      <c r="C2068" s="72" t="str">
        <f t="shared" si="2"/>
        <v>Wednesday</v>
      </c>
      <c r="D2068" s="72" t="str">
        <f t="shared" si="3"/>
        <v>August</v>
      </c>
      <c r="E2068" s="72" t="str">
        <f t="shared" si="4"/>
        <v>Q3</v>
      </c>
      <c r="F2068" s="72">
        <f t="shared" si="5"/>
        <v>2024</v>
      </c>
      <c r="G2068" s="89">
        <f t="shared" si="6"/>
        <v>45535</v>
      </c>
      <c r="H2068" s="72" t="str">
        <f t="shared" si="7"/>
        <v>Yes</v>
      </c>
    </row>
    <row r="2069" ht="15.75" customHeight="1">
      <c r="A2069" s="88">
        <f t="shared" si="8"/>
        <v>45533</v>
      </c>
      <c r="B2069" s="72" t="str">
        <f t="shared" si="1"/>
        <v>20240829</v>
      </c>
      <c r="C2069" s="72" t="str">
        <f t="shared" si="2"/>
        <v>Thursday</v>
      </c>
      <c r="D2069" s="72" t="str">
        <f t="shared" si="3"/>
        <v>August</v>
      </c>
      <c r="E2069" s="72" t="str">
        <f t="shared" si="4"/>
        <v>Q3</v>
      </c>
      <c r="F2069" s="72">
        <f t="shared" si="5"/>
        <v>2024</v>
      </c>
      <c r="G2069" s="89">
        <f t="shared" si="6"/>
        <v>45535</v>
      </c>
      <c r="H2069" s="72" t="str">
        <f t="shared" si="7"/>
        <v>Yes</v>
      </c>
    </row>
    <row r="2070" ht="15.75" customHeight="1">
      <c r="A2070" s="88">
        <f t="shared" si="8"/>
        <v>45534</v>
      </c>
      <c r="B2070" s="72" t="str">
        <f t="shared" si="1"/>
        <v>20240830</v>
      </c>
      <c r="C2070" s="72" t="str">
        <f t="shared" si="2"/>
        <v>Friday</v>
      </c>
      <c r="D2070" s="72" t="str">
        <f t="shared" si="3"/>
        <v>August</v>
      </c>
      <c r="E2070" s="72" t="str">
        <f t="shared" si="4"/>
        <v>Q3</v>
      </c>
      <c r="F2070" s="72">
        <f t="shared" si="5"/>
        <v>2024</v>
      </c>
      <c r="G2070" s="89">
        <f t="shared" si="6"/>
        <v>45535</v>
      </c>
      <c r="H2070" s="72" t="str">
        <f t="shared" si="7"/>
        <v>Yes</v>
      </c>
    </row>
    <row r="2071" ht="15.75" customHeight="1">
      <c r="A2071" s="88">
        <f t="shared" si="8"/>
        <v>45535</v>
      </c>
      <c r="B2071" s="72" t="str">
        <f t="shared" si="1"/>
        <v>20240831</v>
      </c>
      <c r="C2071" s="72" t="str">
        <f t="shared" si="2"/>
        <v>Saturday</v>
      </c>
      <c r="D2071" s="72" t="str">
        <f t="shared" si="3"/>
        <v>August</v>
      </c>
      <c r="E2071" s="72" t="str">
        <f t="shared" si="4"/>
        <v>Q3</v>
      </c>
      <c r="F2071" s="72">
        <f t="shared" si="5"/>
        <v>2024</v>
      </c>
      <c r="G2071" s="89">
        <f t="shared" si="6"/>
        <v>45535</v>
      </c>
      <c r="H2071" s="72" t="str">
        <f t="shared" si="7"/>
        <v>No</v>
      </c>
    </row>
    <row r="2072" ht="15.75" customHeight="1">
      <c r="A2072" s="88">
        <f t="shared" si="8"/>
        <v>45536</v>
      </c>
      <c r="B2072" s="72" t="str">
        <f t="shared" si="1"/>
        <v>20240901</v>
      </c>
      <c r="C2072" s="72" t="str">
        <f t="shared" si="2"/>
        <v>Sunday</v>
      </c>
      <c r="D2072" s="72" t="str">
        <f t="shared" si="3"/>
        <v>September</v>
      </c>
      <c r="E2072" s="72" t="str">
        <f t="shared" si="4"/>
        <v>Q3</v>
      </c>
      <c r="F2072" s="72">
        <f t="shared" si="5"/>
        <v>2024</v>
      </c>
      <c r="G2072" s="89">
        <f t="shared" si="6"/>
        <v>45542</v>
      </c>
      <c r="H2072" s="72" t="str">
        <f t="shared" si="7"/>
        <v>No</v>
      </c>
    </row>
    <row r="2073" ht="15.75" customHeight="1">
      <c r="A2073" s="88">
        <f t="shared" si="8"/>
        <v>45537</v>
      </c>
      <c r="B2073" s="72" t="str">
        <f t="shared" si="1"/>
        <v>20240902</v>
      </c>
      <c r="C2073" s="72" t="str">
        <f t="shared" si="2"/>
        <v>Monday</v>
      </c>
      <c r="D2073" s="72" t="str">
        <f t="shared" si="3"/>
        <v>September</v>
      </c>
      <c r="E2073" s="72" t="str">
        <f t="shared" si="4"/>
        <v>Q3</v>
      </c>
      <c r="F2073" s="72">
        <f t="shared" si="5"/>
        <v>2024</v>
      </c>
      <c r="G2073" s="89">
        <f t="shared" si="6"/>
        <v>45542</v>
      </c>
      <c r="H2073" s="72" t="str">
        <f t="shared" si="7"/>
        <v>Yes</v>
      </c>
    </row>
    <row r="2074" ht="15.75" customHeight="1">
      <c r="A2074" s="88">
        <f t="shared" si="8"/>
        <v>45538</v>
      </c>
      <c r="B2074" s="72" t="str">
        <f t="shared" si="1"/>
        <v>20240903</v>
      </c>
      <c r="C2074" s="72" t="str">
        <f t="shared" si="2"/>
        <v>Tuesday</v>
      </c>
      <c r="D2074" s="72" t="str">
        <f t="shared" si="3"/>
        <v>September</v>
      </c>
      <c r="E2074" s="72" t="str">
        <f t="shared" si="4"/>
        <v>Q3</v>
      </c>
      <c r="F2074" s="72">
        <f t="shared" si="5"/>
        <v>2024</v>
      </c>
      <c r="G2074" s="89">
        <f t="shared" si="6"/>
        <v>45542</v>
      </c>
      <c r="H2074" s="72" t="str">
        <f t="shared" si="7"/>
        <v>Yes</v>
      </c>
    </row>
    <row r="2075" ht="15.75" customHeight="1">
      <c r="A2075" s="88">
        <f t="shared" si="8"/>
        <v>45539</v>
      </c>
      <c r="B2075" s="72" t="str">
        <f t="shared" si="1"/>
        <v>20240904</v>
      </c>
      <c r="C2075" s="72" t="str">
        <f t="shared" si="2"/>
        <v>Wednesday</v>
      </c>
      <c r="D2075" s="72" t="str">
        <f t="shared" si="3"/>
        <v>September</v>
      </c>
      <c r="E2075" s="72" t="str">
        <f t="shared" si="4"/>
        <v>Q3</v>
      </c>
      <c r="F2075" s="72">
        <f t="shared" si="5"/>
        <v>2024</v>
      </c>
      <c r="G2075" s="89">
        <f t="shared" si="6"/>
        <v>45542</v>
      </c>
      <c r="H2075" s="72" t="str">
        <f t="shared" si="7"/>
        <v>Yes</v>
      </c>
    </row>
    <row r="2076" ht="15.75" customHeight="1">
      <c r="A2076" s="88">
        <f t="shared" si="8"/>
        <v>45540</v>
      </c>
      <c r="B2076" s="72" t="str">
        <f t="shared" si="1"/>
        <v>20240905</v>
      </c>
      <c r="C2076" s="72" t="str">
        <f t="shared" si="2"/>
        <v>Thursday</v>
      </c>
      <c r="D2076" s="72" t="str">
        <f t="shared" si="3"/>
        <v>September</v>
      </c>
      <c r="E2076" s="72" t="str">
        <f t="shared" si="4"/>
        <v>Q3</v>
      </c>
      <c r="F2076" s="72">
        <f t="shared" si="5"/>
        <v>2024</v>
      </c>
      <c r="G2076" s="89">
        <f t="shared" si="6"/>
        <v>45542</v>
      </c>
      <c r="H2076" s="72" t="str">
        <f t="shared" si="7"/>
        <v>Yes</v>
      </c>
    </row>
    <row r="2077" ht="15.75" customHeight="1">
      <c r="A2077" s="88">
        <f t="shared" si="8"/>
        <v>45541</v>
      </c>
      <c r="B2077" s="72" t="str">
        <f t="shared" si="1"/>
        <v>20240906</v>
      </c>
      <c r="C2077" s="72" t="str">
        <f t="shared" si="2"/>
        <v>Friday</v>
      </c>
      <c r="D2077" s="72" t="str">
        <f t="shared" si="3"/>
        <v>September</v>
      </c>
      <c r="E2077" s="72" t="str">
        <f t="shared" si="4"/>
        <v>Q3</v>
      </c>
      <c r="F2077" s="72">
        <f t="shared" si="5"/>
        <v>2024</v>
      </c>
      <c r="G2077" s="89">
        <f t="shared" si="6"/>
        <v>45542</v>
      </c>
      <c r="H2077" s="72" t="str">
        <f t="shared" si="7"/>
        <v>Yes</v>
      </c>
    </row>
    <row r="2078" ht="15.75" customHeight="1">
      <c r="A2078" s="88">
        <f t="shared" si="8"/>
        <v>45542</v>
      </c>
      <c r="B2078" s="72" t="str">
        <f t="shared" si="1"/>
        <v>20240907</v>
      </c>
      <c r="C2078" s="72" t="str">
        <f t="shared" si="2"/>
        <v>Saturday</v>
      </c>
      <c r="D2078" s="72" t="str">
        <f t="shared" si="3"/>
        <v>September</v>
      </c>
      <c r="E2078" s="72" t="str">
        <f t="shared" si="4"/>
        <v>Q3</v>
      </c>
      <c r="F2078" s="72">
        <f t="shared" si="5"/>
        <v>2024</v>
      </c>
      <c r="G2078" s="89">
        <f t="shared" si="6"/>
        <v>45542</v>
      </c>
      <c r="H2078" s="72" t="str">
        <f t="shared" si="7"/>
        <v>No</v>
      </c>
    </row>
    <row r="2079" ht="15.75" customHeight="1">
      <c r="A2079" s="88">
        <f t="shared" si="8"/>
        <v>45543</v>
      </c>
      <c r="B2079" s="72" t="str">
        <f t="shared" si="1"/>
        <v>20240908</v>
      </c>
      <c r="C2079" s="72" t="str">
        <f t="shared" si="2"/>
        <v>Sunday</v>
      </c>
      <c r="D2079" s="72" t="str">
        <f t="shared" si="3"/>
        <v>September</v>
      </c>
      <c r="E2079" s="72" t="str">
        <f t="shared" si="4"/>
        <v>Q3</v>
      </c>
      <c r="F2079" s="72">
        <f t="shared" si="5"/>
        <v>2024</v>
      </c>
      <c r="G2079" s="89">
        <f t="shared" si="6"/>
        <v>45549</v>
      </c>
      <c r="H2079" s="72" t="str">
        <f t="shared" si="7"/>
        <v>No</v>
      </c>
    </row>
    <row r="2080" ht="15.75" customHeight="1">
      <c r="A2080" s="88">
        <f t="shared" si="8"/>
        <v>45544</v>
      </c>
      <c r="B2080" s="72" t="str">
        <f t="shared" si="1"/>
        <v>20240909</v>
      </c>
      <c r="C2080" s="72" t="str">
        <f t="shared" si="2"/>
        <v>Monday</v>
      </c>
      <c r="D2080" s="72" t="str">
        <f t="shared" si="3"/>
        <v>September</v>
      </c>
      <c r="E2080" s="72" t="str">
        <f t="shared" si="4"/>
        <v>Q3</v>
      </c>
      <c r="F2080" s="72">
        <f t="shared" si="5"/>
        <v>2024</v>
      </c>
      <c r="G2080" s="89">
        <f t="shared" si="6"/>
        <v>45549</v>
      </c>
      <c r="H2080" s="72" t="str">
        <f t="shared" si="7"/>
        <v>Yes</v>
      </c>
    </row>
    <row r="2081" ht="15.75" customHeight="1">
      <c r="A2081" s="88">
        <f t="shared" si="8"/>
        <v>45545</v>
      </c>
      <c r="B2081" s="72" t="str">
        <f t="shared" si="1"/>
        <v>20240910</v>
      </c>
      <c r="C2081" s="72" t="str">
        <f t="shared" si="2"/>
        <v>Tuesday</v>
      </c>
      <c r="D2081" s="72" t="str">
        <f t="shared" si="3"/>
        <v>September</v>
      </c>
      <c r="E2081" s="72" t="str">
        <f t="shared" si="4"/>
        <v>Q3</v>
      </c>
      <c r="F2081" s="72">
        <f t="shared" si="5"/>
        <v>2024</v>
      </c>
      <c r="G2081" s="89">
        <f t="shared" si="6"/>
        <v>45549</v>
      </c>
      <c r="H2081" s="72" t="str">
        <f t="shared" si="7"/>
        <v>Yes</v>
      </c>
    </row>
    <row r="2082" ht="15.75" customHeight="1">
      <c r="A2082" s="88">
        <f t="shared" si="8"/>
        <v>45546</v>
      </c>
      <c r="B2082" s="72" t="str">
        <f t="shared" si="1"/>
        <v>20240911</v>
      </c>
      <c r="C2082" s="72" t="str">
        <f t="shared" si="2"/>
        <v>Wednesday</v>
      </c>
      <c r="D2082" s="72" t="str">
        <f t="shared" si="3"/>
        <v>September</v>
      </c>
      <c r="E2082" s="72" t="str">
        <f t="shared" si="4"/>
        <v>Q3</v>
      </c>
      <c r="F2082" s="72">
        <f t="shared" si="5"/>
        <v>2024</v>
      </c>
      <c r="G2082" s="89">
        <f t="shared" si="6"/>
        <v>45549</v>
      </c>
      <c r="H2082" s="72" t="str">
        <f t="shared" si="7"/>
        <v>Yes</v>
      </c>
    </row>
    <row r="2083" ht="15.75" customHeight="1">
      <c r="A2083" s="88">
        <f t="shared" si="8"/>
        <v>45547</v>
      </c>
      <c r="B2083" s="72" t="str">
        <f t="shared" si="1"/>
        <v>20240912</v>
      </c>
      <c r="C2083" s="72" t="str">
        <f t="shared" si="2"/>
        <v>Thursday</v>
      </c>
      <c r="D2083" s="72" t="str">
        <f t="shared" si="3"/>
        <v>September</v>
      </c>
      <c r="E2083" s="72" t="str">
        <f t="shared" si="4"/>
        <v>Q3</v>
      </c>
      <c r="F2083" s="72">
        <f t="shared" si="5"/>
        <v>2024</v>
      </c>
      <c r="G2083" s="89">
        <f t="shared" si="6"/>
        <v>45549</v>
      </c>
      <c r="H2083" s="72" t="str">
        <f t="shared" si="7"/>
        <v>Yes</v>
      </c>
    </row>
    <row r="2084" ht="15.75" customHeight="1">
      <c r="A2084" s="88">
        <f t="shared" si="8"/>
        <v>45548</v>
      </c>
      <c r="B2084" s="72" t="str">
        <f t="shared" si="1"/>
        <v>20240913</v>
      </c>
      <c r="C2084" s="72" t="str">
        <f t="shared" si="2"/>
        <v>Friday</v>
      </c>
      <c r="D2084" s="72" t="str">
        <f t="shared" si="3"/>
        <v>September</v>
      </c>
      <c r="E2084" s="72" t="str">
        <f t="shared" si="4"/>
        <v>Q3</v>
      </c>
      <c r="F2084" s="72">
        <f t="shared" si="5"/>
        <v>2024</v>
      </c>
      <c r="G2084" s="89">
        <f t="shared" si="6"/>
        <v>45549</v>
      </c>
      <c r="H2084" s="72" t="str">
        <f t="shared" si="7"/>
        <v>Yes</v>
      </c>
    </row>
    <row r="2085" ht="15.75" customHeight="1">
      <c r="A2085" s="88">
        <f t="shared" si="8"/>
        <v>45549</v>
      </c>
      <c r="B2085" s="72" t="str">
        <f t="shared" si="1"/>
        <v>20240914</v>
      </c>
      <c r="C2085" s="72" t="str">
        <f t="shared" si="2"/>
        <v>Saturday</v>
      </c>
      <c r="D2085" s="72" t="str">
        <f t="shared" si="3"/>
        <v>September</v>
      </c>
      <c r="E2085" s="72" t="str">
        <f t="shared" si="4"/>
        <v>Q3</v>
      </c>
      <c r="F2085" s="72">
        <f t="shared" si="5"/>
        <v>2024</v>
      </c>
      <c r="G2085" s="89">
        <f t="shared" si="6"/>
        <v>45549</v>
      </c>
      <c r="H2085" s="72" t="str">
        <f t="shared" si="7"/>
        <v>No</v>
      </c>
    </row>
    <row r="2086" ht="15.75" customHeight="1">
      <c r="A2086" s="88">
        <f t="shared" si="8"/>
        <v>45550</v>
      </c>
      <c r="B2086" s="72" t="str">
        <f t="shared" si="1"/>
        <v>20240915</v>
      </c>
      <c r="C2086" s="72" t="str">
        <f t="shared" si="2"/>
        <v>Sunday</v>
      </c>
      <c r="D2086" s="72" t="str">
        <f t="shared" si="3"/>
        <v>September</v>
      </c>
      <c r="E2086" s="72" t="str">
        <f t="shared" si="4"/>
        <v>Q3</v>
      </c>
      <c r="F2086" s="72">
        <f t="shared" si="5"/>
        <v>2024</v>
      </c>
      <c r="G2086" s="89">
        <f t="shared" si="6"/>
        <v>45556</v>
      </c>
      <c r="H2086" s="72" t="str">
        <f t="shared" si="7"/>
        <v>No</v>
      </c>
    </row>
    <row r="2087" ht="15.75" customHeight="1">
      <c r="A2087" s="88">
        <f t="shared" si="8"/>
        <v>45551</v>
      </c>
      <c r="B2087" s="72" t="str">
        <f t="shared" si="1"/>
        <v>20240916</v>
      </c>
      <c r="C2087" s="72" t="str">
        <f t="shared" si="2"/>
        <v>Monday</v>
      </c>
      <c r="D2087" s="72" t="str">
        <f t="shared" si="3"/>
        <v>September</v>
      </c>
      <c r="E2087" s="72" t="str">
        <f t="shared" si="4"/>
        <v>Q3</v>
      </c>
      <c r="F2087" s="72">
        <f t="shared" si="5"/>
        <v>2024</v>
      </c>
      <c r="G2087" s="89">
        <f t="shared" si="6"/>
        <v>45556</v>
      </c>
      <c r="H2087" s="72" t="str">
        <f t="shared" si="7"/>
        <v>Yes</v>
      </c>
    </row>
    <row r="2088" ht="15.75" customHeight="1">
      <c r="A2088" s="88">
        <f t="shared" si="8"/>
        <v>45552</v>
      </c>
      <c r="B2088" s="72" t="str">
        <f t="shared" si="1"/>
        <v>20240917</v>
      </c>
      <c r="C2088" s="72" t="str">
        <f t="shared" si="2"/>
        <v>Tuesday</v>
      </c>
      <c r="D2088" s="72" t="str">
        <f t="shared" si="3"/>
        <v>September</v>
      </c>
      <c r="E2088" s="72" t="str">
        <f t="shared" si="4"/>
        <v>Q3</v>
      </c>
      <c r="F2088" s="72">
        <f t="shared" si="5"/>
        <v>2024</v>
      </c>
      <c r="G2088" s="89">
        <f t="shared" si="6"/>
        <v>45556</v>
      </c>
      <c r="H2088" s="72" t="str">
        <f t="shared" si="7"/>
        <v>Yes</v>
      </c>
    </row>
    <row r="2089" ht="15.75" customHeight="1">
      <c r="A2089" s="88">
        <f t="shared" si="8"/>
        <v>45553</v>
      </c>
      <c r="B2089" s="72" t="str">
        <f t="shared" si="1"/>
        <v>20240918</v>
      </c>
      <c r="C2089" s="72" t="str">
        <f t="shared" si="2"/>
        <v>Wednesday</v>
      </c>
      <c r="D2089" s="72" t="str">
        <f t="shared" si="3"/>
        <v>September</v>
      </c>
      <c r="E2089" s="72" t="str">
        <f t="shared" si="4"/>
        <v>Q3</v>
      </c>
      <c r="F2089" s="72">
        <f t="shared" si="5"/>
        <v>2024</v>
      </c>
      <c r="G2089" s="89">
        <f t="shared" si="6"/>
        <v>45556</v>
      </c>
      <c r="H2089" s="72" t="str">
        <f t="shared" si="7"/>
        <v>Yes</v>
      </c>
    </row>
    <row r="2090" ht="15.75" customHeight="1">
      <c r="A2090" s="88">
        <f t="shared" si="8"/>
        <v>45554</v>
      </c>
      <c r="B2090" s="72" t="str">
        <f t="shared" si="1"/>
        <v>20240919</v>
      </c>
      <c r="C2090" s="72" t="str">
        <f t="shared" si="2"/>
        <v>Thursday</v>
      </c>
      <c r="D2090" s="72" t="str">
        <f t="shared" si="3"/>
        <v>September</v>
      </c>
      <c r="E2090" s="72" t="str">
        <f t="shared" si="4"/>
        <v>Q3</v>
      </c>
      <c r="F2090" s="72">
        <f t="shared" si="5"/>
        <v>2024</v>
      </c>
      <c r="G2090" s="89">
        <f t="shared" si="6"/>
        <v>45556</v>
      </c>
      <c r="H2090" s="72" t="str">
        <f t="shared" si="7"/>
        <v>Yes</v>
      </c>
    </row>
    <row r="2091" ht="15.75" customHeight="1">
      <c r="A2091" s="88">
        <f t="shared" si="8"/>
        <v>45555</v>
      </c>
      <c r="B2091" s="72" t="str">
        <f t="shared" si="1"/>
        <v>20240920</v>
      </c>
      <c r="C2091" s="72" t="str">
        <f t="shared" si="2"/>
        <v>Friday</v>
      </c>
      <c r="D2091" s="72" t="str">
        <f t="shared" si="3"/>
        <v>September</v>
      </c>
      <c r="E2091" s="72" t="str">
        <f t="shared" si="4"/>
        <v>Q3</v>
      </c>
      <c r="F2091" s="72">
        <f t="shared" si="5"/>
        <v>2024</v>
      </c>
      <c r="G2091" s="89">
        <f t="shared" si="6"/>
        <v>45556</v>
      </c>
      <c r="H2091" s="72" t="str">
        <f t="shared" si="7"/>
        <v>Yes</v>
      </c>
    </row>
    <row r="2092" ht="15.75" customHeight="1">
      <c r="A2092" s="88">
        <f t="shared" si="8"/>
        <v>45556</v>
      </c>
      <c r="B2092" s="72" t="str">
        <f t="shared" si="1"/>
        <v>20240921</v>
      </c>
      <c r="C2092" s="72" t="str">
        <f t="shared" si="2"/>
        <v>Saturday</v>
      </c>
      <c r="D2092" s="72" t="str">
        <f t="shared" si="3"/>
        <v>September</v>
      </c>
      <c r="E2092" s="72" t="str">
        <f t="shared" si="4"/>
        <v>Q3</v>
      </c>
      <c r="F2092" s="72">
        <f t="shared" si="5"/>
        <v>2024</v>
      </c>
      <c r="G2092" s="89">
        <f t="shared" si="6"/>
        <v>45556</v>
      </c>
      <c r="H2092" s="72" t="str">
        <f t="shared" si="7"/>
        <v>No</v>
      </c>
    </row>
    <row r="2093" ht="15.75" customHeight="1">
      <c r="A2093" s="88">
        <f t="shared" si="8"/>
        <v>45557</v>
      </c>
      <c r="B2093" s="72" t="str">
        <f t="shared" si="1"/>
        <v>20240922</v>
      </c>
      <c r="C2093" s="72" t="str">
        <f t="shared" si="2"/>
        <v>Sunday</v>
      </c>
      <c r="D2093" s="72" t="str">
        <f t="shared" si="3"/>
        <v>September</v>
      </c>
      <c r="E2093" s="72" t="str">
        <f t="shared" si="4"/>
        <v>Q3</v>
      </c>
      <c r="F2093" s="72">
        <f t="shared" si="5"/>
        <v>2024</v>
      </c>
      <c r="G2093" s="89">
        <f t="shared" si="6"/>
        <v>45563</v>
      </c>
      <c r="H2093" s="72" t="str">
        <f t="shared" si="7"/>
        <v>No</v>
      </c>
    </row>
    <row r="2094" ht="15.75" customHeight="1">
      <c r="A2094" s="88">
        <f t="shared" si="8"/>
        <v>45558</v>
      </c>
      <c r="B2094" s="72" t="str">
        <f t="shared" si="1"/>
        <v>20240923</v>
      </c>
      <c r="C2094" s="72" t="str">
        <f t="shared" si="2"/>
        <v>Monday</v>
      </c>
      <c r="D2094" s="72" t="str">
        <f t="shared" si="3"/>
        <v>September</v>
      </c>
      <c r="E2094" s="72" t="str">
        <f t="shared" si="4"/>
        <v>Q3</v>
      </c>
      <c r="F2094" s="72">
        <f t="shared" si="5"/>
        <v>2024</v>
      </c>
      <c r="G2094" s="89">
        <f t="shared" si="6"/>
        <v>45563</v>
      </c>
      <c r="H2094" s="72" t="str">
        <f t="shared" si="7"/>
        <v>Yes</v>
      </c>
    </row>
    <row r="2095" ht="15.75" customHeight="1">
      <c r="A2095" s="88">
        <f t="shared" si="8"/>
        <v>45559</v>
      </c>
      <c r="B2095" s="72" t="str">
        <f t="shared" si="1"/>
        <v>20240924</v>
      </c>
      <c r="C2095" s="72" t="str">
        <f t="shared" si="2"/>
        <v>Tuesday</v>
      </c>
      <c r="D2095" s="72" t="str">
        <f t="shared" si="3"/>
        <v>September</v>
      </c>
      <c r="E2095" s="72" t="str">
        <f t="shared" si="4"/>
        <v>Q3</v>
      </c>
      <c r="F2095" s="72">
        <f t="shared" si="5"/>
        <v>2024</v>
      </c>
      <c r="G2095" s="89">
        <f t="shared" si="6"/>
        <v>45563</v>
      </c>
      <c r="H2095" s="72" t="str">
        <f t="shared" si="7"/>
        <v>Yes</v>
      </c>
    </row>
    <row r="2096" ht="15.75" customHeight="1">
      <c r="A2096" s="88">
        <f t="shared" si="8"/>
        <v>45560</v>
      </c>
      <c r="B2096" s="72" t="str">
        <f t="shared" si="1"/>
        <v>20240925</v>
      </c>
      <c r="C2096" s="72" t="str">
        <f t="shared" si="2"/>
        <v>Wednesday</v>
      </c>
      <c r="D2096" s="72" t="str">
        <f t="shared" si="3"/>
        <v>September</v>
      </c>
      <c r="E2096" s="72" t="str">
        <f t="shared" si="4"/>
        <v>Q3</v>
      </c>
      <c r="F2096" s="72">
        <f t="shared" si="5"/>
        <v>2024</v>
      </c>
      <c r="G2096" s="89">
        <f t="shared" si="6"/>
        <v>45563</v>
      </c>
      <c r="H2096" s="72" t="str">
        <f t="shared" si="7"/>
        <v>Yes</v>
      </c>
    </row>
    <row r="2097" ht="15.75" customHeight="1">
      <c r="A2097" s="88">
        <f t="shared" si="8"/>
        <v>45561</v>
      </c>
      <c r="B2097" s="72" t="str">
        <f t="shared" si="1"/>
        <v>20240926</v>
      </c>
      <c r="C2097" s="72" t="str">
        <f t="shared" si="2"/>
        <v>Thursday</v>
      </c>
      <c r="D2097" s="72" t="str">
        <f t="shared" si="3"/>
        <v>September</v>
      </c>
      <c r="E2097" s="72" t="str">
        <f t="shared" si="4"/>
        <v>Q3</v>
      </c>
      <c r="F2097" s="72">
        <f t="shared" si="5"/>
        <v>2024</v>
      </c>
      <c r="G2097" s="89">
        <f t="shared" si="6"/>
        <v>45563</v>
      </c>
      <c r="H2097" s="72" t="str">
        <f t="shared" si="7"/>
        <v>Yes</v>
      </c>
    </row>
    <row r="2098" ht="15.75" customHeight="1">
      <c r="A2098" s="88">
        <f t="shared" si="8"/>
        <v>45562</v>
      </c>
      <c r="B2098" s="72" t="str">
        <f t="shared" si="1"/>
        <v>20240927</v>
      </c>
      <c r="C2098" s="72" t="str">
        <f t="shared" si="2"/>
        <v>Friday</v>
      </c>
      <c r="D2098" s="72" t="str">
        <f t="shared" si="3"/>
        <v>September</v>
      </c>
      <c r="E2098" s="72" t="str">
        <f t="shared" si="4"/>
        <v>Q3</v>
      </c>
      <c r="F2098" s="72">
        <f t="shared" si="5"/>
        <v>2024</v>
      </c>
      <c r="G2098" s="89">
        <f t="shared" si="6"/>
        <v>45563</v>
      </c>
      <c r="H2098" s="72" t="str">
        <f t="shared" si="7"/>
        <v>Yes</v>
      </c>
    </row>
    <row r="2099" ht="15.75" customHeight="1">
      <c r="A2099" s="88">
        <f t="shared" si="8"/>
        <v>45563</v>
      </c>
      <c r="B2099" s="72" t="str">
        <f t="shared" si="1"/>
        <v>20240928</v>
      </c>
      <c r="C2099" s="72" t="str">
        <f t="shared" si="2"/>
        <v>Saturday</v>
      </c>
      <c r="D2099" s="72" t="str">
        <f t="shared" si="3"/>
        <v>September</v>
      </c>
      <c r="E2099" s="72" t="str">
        <f t="shared" si="4"/>
        <v>Q3</v>
      </c>
      <c r="F2099" s="72">
        <f t="shared" si="5"/>
        <v>2024</v>
      </c>
      <c r="G2099" s="89">
        <f t="shared" si="6"/>
        <v>45563</v>
      </c>
      <c r="H2099" s="72" t="str">
        <f t="shared" si="7"/>
        <v>No</v>
      </c>
    </row>
    <row r="2100" ht="15.75" customHeight="1">
      <c r="A2100" s="88">
        <f t="shared" si="8"/>
        <v>45564</v>
      </c>
      <c r="B2100" s="72" t="str">
        <f t="shared" si="1"/>
        <v>20240929</v>
      </c>
      <c r="C2100" s="72" t="str">
        <f t="shared" si="2"/>
        <v>Sunday</v>
      </c>
      <c r="D2100" s="72" t="str">
        <f t="shared" si="3"/>
        <v>September</v>
      </c>
      <c r="E2100" s="72" t="str">
        <f t="shared" si="4"/>
        <v>Q3</v>
      </c>
      <c r="F2100" s="72">
        <f t="shared" si="5"/>
        <v>2024</v>
      </c>
      <c r="G2100" s="89">
        <f t="shared" si="6"/>
        <v>45570</v>
      </c>
      <c r="H2100" s="72" t="str">
        <f t="shared" si="7"/>
        <v>No</v>
      </c>
    </row>
    <row r="2101" ht="15.75" customHeight="1">
      <c r="A2101" s="88">
        <f t="shared" si="8"/>
        <v>45565</v>
      </c>
      <c r="B2101" s="72" t="str">
        <f t="shared" si="1"/>
        <v>20240930</v>
      </c>
      <c r="C2101" s="72" t="str">
        <f t="shared" si="2"/>
        <v>Monday</v>
      </c>
      <c r="D2101" s="72" t="str">
        <f t="shared" si="3"/>
        <v>September</v>
      </c>
      <c r="E2101" s="72" t="str">
        <f t="shared" si="4"/>
        <v>Q3</v>
      </c>
      <c r="F2101" s="72">
        <f t="shared" si="5"/>
        <v>2024</v>
      </c>
      <c r="G2101" s="89">
        <f t="shared" si="6"/>
        <v>45570</v>
      </c>
      <c r="H2101" s="72" t="str">
        <f t="shared" si="7"/>
        <v>Yes</v>
      </c>
    </row>
    <row r="2102" ht="15.75" customHeight="1">
      <c r="A2102" s="88">
        <f t="shared" si="8"/>
        <v>45566</v>
      </c>
      <c r="B2102" s="72" t="str">
        <f t="shared" si="1"/>
        <v>20241001</v>
      </c>
      <c r="C2102" s="72" t="str">
        <f t="shared" si="2"/>
        <v>Tuesday</v>
      </c>
      <c r="D2102" s="72" t="str">
        <f t="shared" si="3"/>
        <v>October</v>
      </c>
      <c r="E2102" s="72" t="str">
        <f t="shared" si="4"/>
        <v>Q4</v>
      </c>
      <c r="F2102" s="72">
        <f t="shared" si="5"/>
        <v>2024</v>
      </c>
      <c r="G2102" s="89">
        <f t="shared" si="6"/>
        <v>45570</v>
      </c>
      <c r="H2102" s="72" t="str">
        <f t="shared" si="7"/>
        <v>Yes</v>
      </c>
    </row>
    <row r="2103" ht="15.75" customHeight="1">
      <c r="A2103" s="88">
        <f t="shared" si="8"/>
        <v>45567</v>
      </c>
      <c r="B2103" s="72" t="str">
        <f t="shared" si="1"/>
        <v>20241002</v>
      </c>
      <c r="C2103" s="72" t="str">
        <f t="shared" si="2"/>
        <v>Wednesday</v>
      </c>
      <c r="D2103" s="72" t="str">
        <f t="shared" si="3"/>
        <v>October</v>
      </c>
      <c r="E2103" s="72" t="str">
        <f t="shared" si="4"/>
        <v>Q4</v>
      </c>
      <c r="F2103" s="72">
        <f t="shared" si="5"/>
        <v>2024</v>
      </c>
      <c r="G2103" s="89">
        <f t="shared" si="6"/>
        <v>45570</v>
      </c>
      <c r="H2103" s="72" t="str">
        <f t="shared" si="7"/>
        <v>Yes</v>
      </c>
    </row>
    <row r="2104" ht="15.75" customHeight="1">
      <c r="A2104" s="88">
        <f t="shared" si="8"/>
        <v>45568</v>
      </c>
      <c r="B2104" s="72" t="str">
        <f t="shared" si="1"/>
        <v>20241003</v>
      </c>
      <c r="C2104" s="72" t="str">
        <f t="shared" si="2"/>
        <v>Thursday</v>
      </c>
      <c r="D2104" s="72" t="str">
        <f t="shared" si="3"/>
        <v>October</v>
      </c>
      <c r="E2104" s="72" t="str">
        <f t="shared" si="4"/>
        <v>Q4</v>
      </c>
      <c r="F2104" s="72">
        <f t="shared" si="5"/>
        <v>2024</v>
      </c>
      <c r="G2104" s="89">
        <f t="shared" si="6"/>
        <v>45570</v>
      </c>
      <c r="H2104" s="72" t="str">
        <f t="shared" si="7"/>
        <v>Yes</v>
      </c>
    </row>
    <row r="2105" ht="15.75" customHeight="1">
      <c r="A2105" s="88">
        <f t="shared" si="8"/>
        <v>45569</v>
      </c>
      <c r="B2105" s="72" t="str">
        <f t="shared" si="1"/>
        <v>20241004</v>
      </c>
      <c r="C2105" s="72" t="str">
        <f t="shared" si="2"/>
        <v>Friday</v>
      </c>
      <c r="D2105" s="72" t="str">
        <f t="shared" si="3"/>
        <v>October</v>
      </c>
      <c r="E2105" s="72" t="str">
        <f t="shared" si="4"/>
        <v>Q4</v>
      </c>
      <c r="F2105" s="72">
        <f t="shared" si="5"/>
        <v>2024</v>
      </c>
      <c r="G2105" s="89">
        <f t="shared" si="6"/>
        <v>45570</v>
      </c>
      <c r="H2105" s="72" t="str">
        <f t="shared" si="7"/>
        <v>Yes</v>
      </c>
    </row>
    <row r="2106" ht="15.75" customHeight="1">
      <c r="A2106" s="88">
        <f t="shared" si="8"/>
        <v>45570</v>
      </c>
      <c r="B2106" s="72" t="str">
        <f t="shared" si="1"/>
        <v>20241005</v>
      </c>
      <c r="C2106" s="72" t="str">
        <f t="shared" si="2"/>
        <v>Saturday</v>
      </c>
      <c r="D2106" s="72" t="str">
        <f t="shared" si="3"/>
        <v>October</v>
      </c>
      <c r="E2106" s="72" t="str">
        <f t="shared" si="4"/>
        <v>Q4</v>
      </c>
      <c r="F2106" s="72">
        <f t="shared" si="5"/>
        <v>2024</v>
      </c>
      <c r="G2106" s="89">
        <f t="shared" si="6"/>
        <v>45570</v>
      </c>
      <c r="H2106" s="72" t="str">
        <f t="shared" si="7"/>
        <v>No</v>
      </c>
    </row>
    <row r="2107" ht="15.75" customHeight="1">
      <c r="A2107" s="88">
        <f t="shared" si="8"/>
        <v>45571</v>
      </c>
      <c r="B2107" s="72" t="str">
        <f t="shared" si="1"/>
        <v>20241006</v>
      </c>
      <c r="C2107" s="72" t="str">
        <f t="shared" si="2"/>
        <v>Sunday</v>
      </c>
      <c r="D2107" s="72" t="str">
        <f t="shared" si="3"/>
        <v>October</v>
      </c>
      <c r="E2107" s="72" t="str">
        <f t="shared" si="4"/>
        <v>Q4</v>
      </c>
      <c r="F2107" s="72">
        <f t="shared" si="5"/>
        <v>2024</v>
      </c>
      <c r="G2107" s="89">
        <f t="shared" si="6"/>
        <v>45577</v>
      </c>
      <c r="H2107" s="72" t="str">
        <f t="shared" si="7"/>
        <v>No</v>
      </c>
    </row>
    <row r="2108" ht="15.75" customHeight="1">
      <c r="A2108" s="88">
        <f t="shared" si="8"/>
        <v>45572</v>
      </c>
      <c r="B2108" s="72" t="str">
        <f t="shared" si="1"/>
        <v>20241007</v>
      </c>
      <c r="C2108" s="72" t="str">
        <f t="shared" si="2"/>
        <v>Monday</v>
      </c>
      <c r="D2108" s="72" t="str">
        <f t="shared" si="3"/>
        <v>October</v>
      </c>
      <c r="E2108" s="72" t="str">
        <f t="shared" si="4"/>
        <v>Q4</v>
      </c>
      <c r="F2108" s="72">
        <f t="shared" si="5"/>
        <v>2024</v>
      </c>
      <c r="G2108" s="89">
        <f t="shared" si="6"/>
        <v>45577</v>
      </c>
      <c r="H2108" s="72" t="str">
        <f t="shared" si="7"/>
        <v>Yes</v>
      </c>
    </row>
    <row r="2109" ht="15.75" customHeight="1">
      <c r="A2109" s="88">
        <f t="shared" si="8"/>
        <v>45573</v>
      </c>
      <c r="B2109" s="72" t="str">
        <f t="shared" si="1"/>
        <v>20241008</v>
      </c>
      <c r="C2109" s="72" t="str">
        <f t="shared" si="2"/>
        <v>Tuesday</v>
      </c>
      <c r="D2109" s="72" t="str">
        <f t="shared" si="3"/>
        <v>October</v>
      </c>
      <c r="E2109" s="72" t="str">
        <f t="shared" si="4"/>
        <v>Q4</v>
      </c>
      <c r="F2109" s="72">
        <f t="shared" si="5"/>
        <v>2024</v>
      </c>
      <c r="G2109" s="89">
        <f t="shared" si="6"/>
        <v>45577</v>
      </c>
      <c r="H2109" s="72" t="str">
        <f t="shared" si="7"/>
        <v>Yes</v>
      </c>
    </row>
    <row r="2110" ht="15.75" customHeight="1">
      <c r="A2110" s="88">
        <f t="shared" si="8"/>
        <v>45574</v>
      </c>
      <c r="B2110" s="72" t="str">
        <f t="shared" si="1"/>
        <v>20241009</v>
      </c>
      <c r="C2110" s="72" t="str">
        <f t="shared" si="2"/>
        <v>Wednesday</v>
      </c>
      <c r="D2110" s="72" t="str">
        <f t="shared" si="3"/>
        <v>October</v>
      </c>
      <c r="E2110" s="72" t="str">
        <f t="shared" si="4"/>
        <v>Q4</v>
      </c>
      <c r="F2110" s="72">
        <f t="shared" si="5"/>
        <v>2024</v>
      </c>
      <c r="G2110" s="89">
        <f t="shared" si="6"/>
        <v>45577</v>
      </c>
      <c r="H2110" s="72" t="str">
        <f t="shared" si="7"/>
        <v>Yes</v>
      </c>
    </row>
    <row r="2111" ht="15.75" customHeight="1">
      <c r="A2111" s="88">
        <f t="shared" si="8"/>
        <v>45575</v>
      </c>
      <c r="B2111" s="72" t="str">
        <f t="shared" si="1"/>
        <v>20241010</v>
      </c>
      <c r="C2111" s="72" t="str">
        <f t="shared" si="2"/>
        <v>Thursday</v>
      </c>
      <c r="D2111" s="72" t="str">
        <f t="shared" si="3"/>
        <v>October</v>
      </c>
      <c r="E2111" s="72" t="str">
        <f t="shared" si="4"/>
        <v>Q4</v>
      </c>
      <c r="F2111" s="72">
        <f t="shared" si="5"/>
        <v>2024</v>
      </c>
      <c r="G2111" s="89">
        <f t="shared" si="6"/>
        <v>45577</v>
      </c>
      <c r="H2111" s="72" t="str">
        <f t="shared" si="7"/>
        <v>Yes</v>
      </c>
    </row>
    <row r="2112" ht="15.75" customHeight="1">
      <c r="A2112" s="88">
        <f t="shared" si="8"/>
        <v>45576</v>
      </c>
      <c r="B2112" s="72" t="str">
        <f t="shared" si="1"/>
        <v>20241011</v>
      </c>
      <c r="C2112" s="72" t="str">
        <f t="shared" si="2"/>
        <v>Friday</v>
      </c>
      <c r="D2112" s="72" t="str">
        <f t="shared" si="3"/>
        <v>October</v>
      </c>
      <c r="E2112" s="72" t="str">
        <f t="shared" si="4"/>
        <v>Q4</v>
      </c>
      <c r="F2112" s="72">
        <f t="shared" si="5"/>
        <v>2024</v>
      </c>
      <c r="G2112" s="89">
        <f t="shared" si="6"/>
        <v>45577</v>
      </c>
      <c r="H2112" s="72" t="str">
        <f t="shared" si="7"/>
        <v>Yes</v>
      </c>
    </row>
    <row r="2113" ht="15.75" customHeight="1">
      <c r="A2113" s="88">
        <f t="shared" si="8"/>
        <v>45577</v>
      </c>
      <c r="B2113" s="72" t="str">
        <f t="shared" si="1"/>
        <v>20241012</v>
      </c>
      <c r="C2113" s="72" t="str">
        <f t="shared" si="2"/>
        <v>Saturday</v>
      </c>
      <c r="D2113" s="72" t="str">
        <f t="shared" si="3"/>
        <v>October</v>
      </c>
      <c r="E2113" s="72" t="str">
        <f t="shared" si="4"/>
        <v>Q4</v>
      </c>
      <c r="F2113" s="72">
        <f t="shared" si="5"/>
        <v>2024</v>
      </c>
      <c r="G2113" s="89">
        <f t="shared" si="6"/>
        <v>45577</v>
      </c>
      <c r="H2113" s="72" t="str">
        <f t="shared" si="7"/>
        <v>No</v>
      </c>
    </row>
    <row r="2114" ht="15.75" customHeight="1">
      <c r="A2114" s="88">
        <f t="shared" si="8"/>
        <v>45578</v>
      </c>
      <c r="B2114" s="72" t="str">
        <f t="shared" si="1"/>
        <v>20241013</v>
      </c>
      <c r="C2114" s="72" t="str">
        <f t="shared" si="2"/>
        <v>Sunday</v>
      </c>
      <c r="D2114" s="72" t="str">
        <f t="shared" si="3"/>
        <v>October</v>
      </c>
      <c r="E2114" s="72" t="str">
        <f t="shared" si="4"/>
        <v>Q4</v>
      </c>
      <c r="F2114" s="72">
        <f t="shared" si="5"/>
        <v>2024</v>
      </c>
      <c r="G2114" s="89">
        <f t="shared" si="6"/>
        <v>45584</v>
      </c>
      <c r="H2114" s="72" t="str">
        <f t="shared" si="7"/>
        <v>No</v>
      </c>
    </row>
    <row r="2115" ht="15.75" customHeight="1">
      <c r="A2115" s="88">
        <f t="shared" si="8"/>
        <v>45579</v>
      </c>
      <c r="B2115" s="72" t="str">
        <f t="shared" si="1"/>
        <v>20241014</v>
      </c>
      <c r="C2115" s="72" t="str">
        <f t="shared" si="2"/>
        <v>Monday</v>
      </c>
      <c r="D2115" s="72" t="str">
        <f t="shared" si="3"/>
        <v>October</v>
      </c>
      <c r="E2115" s="72" t="str">
        <f t="shared" si="4"/>
        <v>Q4</v>
      </c>
      <c r="F2115" s="72">
        <f t="shared" si="5"/>
        <v>2024</v>
      </c>
      <c r="G2115" s="89">
        <f t="shared" si="6"/>
        <v>45584</v>
      </c>
      <c r="H2115" s="72" t="str">
        <f t="shared" si="7"/>
        <v>Yes</v>
      </c>
    </row>
    <row r="2116" ht="15.75" customHeight="1">
      <c r="A2116" s="88">
        <f t="shared" si="8"/>
        <v>45580</v>
      </c>
      <c r="B2116" s="72" t="str">
        <f t="shared" si="1"/>
        <v>20241015</v>
      </c>
      <c r="C2116" s="72" t="str">
        <f t="shared" si="2"/>
        <v>Tuesday</v>
      </c>
      <c r="D2116" s="72" t="str">
        <f t="shared" si="3"/>
        <v>October</v>
      </c>
      <c r="E2116" s="72" t="str">
        <f t="shared" si="4"/>
        <v>Q4</v>
      </c>
      <c r="F2116" s="72">
        <f t="shared" si="5"/>
        <v>2024</v>
      </c>
      <c r="G2116" s="89">
        <f t="shared" si="6"/>
        <v>45584</v>
      </c>
      <c r="H2116" s="72" t="str">
        <f t="shared" si="7"/>
        <v>Yes</v>
      </c>
    </row>
    <row r="2117" ht="15.75" customHeight="1">
      <c r="A2117" s="88">
        <f t="shared" si="8"/>
        <v>45581</v>
      </c>
      <c r="B2117" s="72" t="str">
        <f t="shared" si="1"/>
        <v>20241016</v>
      </c>
      <c r="C2117" s="72" t="str">
        <f t="shared" si="2"/>
        <v>Wednesday</v>
      </c>
      <c r="D2117" s="72" t="str">
        <f t="shared" si="3"/>
        <v>October</v>
      </c>
      <c r="E2117" s="72" t="str">
        <f t="shared" si="4"/>
        <v>Q4</v>
      </c>
      <c r="F2117" s="72">
        <f t="shared" si="5"/>
        <v>2024</v>
      </c>
      <c r="G2117" s="89">
        <f t="shared" si="6"/>
        <v>45584</v>
      </c>
      <c r="H2117" s="72" t="str">
        <f t="shared" si="7"/>
        <v>Yes</v>
      </c>
    </row>
    <row r="2118" ht="15.75" customHeight="1">
      <c r="A2118" s="88">
        <f t="shared" si="8"/>
        <v>45582</v>
      </c>
      <c r="B2118" s="72" t="str">
        <f t="shared" si="1"/>
        <v>20241017</v>
      </c>
      <c r="C2118" s="72" t="str">
        <f t="shared" si="2"/>
        <v>Thursday</v>
      </c>
      <c r="D2118" s="72" t="str">
        <f t="shared" si="3"/>
        <v>October</v>
      </c>
      <c r="E2118" s="72" t="str">
        <f t="shared" si="4"/>
        <v>Q4</v>
      </c>
      <c r="F2118" s="72">
        <f t="shared" si="5"/>
        <v>2024</v>
      </c>
      <c r="G2118" s="89">
        <f t="shared" si="6"/>
        <v>45584</v>
      </c>
      <c r="H2118" s="72" t="str">
        <f t="shared" si="7"/>
        <v>Yes</v>
      </c>
    </row>
    <row r="2119" ht="15.75" customHeight="1">
      <c r="A2119" s="88">
        <f t="shared" si="8"/>
        <v>45583</v>
      </c>
      <c r="B2119" s="72" t="str">
        <f t="shared" si="1"/>
        <v>20241018</v>
      </c>
      <c r="C2119" s="72" t="str">
        <f t="shared" si="2"/>
        <v>Friday</v>
      </c>
      <c r="D2119" s="72" t="str">
        <f t="shared" si="3"/>
        <v>October</v>
      </c>
      <c r="E2119" s="72" t="str">
        <f t="shared" si="4"/>
        <v>Q4</v>
      </c>
      <c r="F2119" s="72">
        <f t="shared" si="5"/>
        <v>2024</v>
      </c>
      <c r="G2119" s="89">
        <f t="shared" si="6"/>
        <v>45584</v>
      </c>
      <c r="H2119" s="72" t="str">
        <f t="shared" si="7"/>
        <v>Yes</v>
      </c>
    </row>
    <row r="2120" ht="15.75" customHeight="1">
      <c r="A2120" s="88">
        <f t="shared" si="8"/>
        <v>45584</v>
      </c>
      <c r="B2120" s="72" t="str">
        <f t="shared" si="1"/>
        <v>20241019</v>
      </c>
      <c r="C2120" s="72" t="str">
        <f t="shared" si="2"/>
        <v>Saturday</v>
      </c>
      <c r="D2120" s="72" t="str">
        <f t="shared" si="3"/>
        <v>October</v>
      </c>
      <c r="E2120" s="72" t="str">
        <f t="shared" si="4"/>
        <v>Q4</v>
      </c>
      <c r="F2120" s="72">
        <f t="shared" si="5"/>
        <v>2024</v>
      </c>
      <c r="G2120" s="89">
        <f t="shared" si="6"/>
        <v>45584</v>
      </c>
      <c r="H2120" s="72" t="str">
        <f t="shared" si="7"/>
        <v>No</v>
      </c>
    </row>
    <row r="2121" ht="15.75" customHeight="1">
      <c r="A2121" s="88">
        <f t="shared" si="8"/>
        <v>45585</v>
      </c>
      <c r="B2121" s="72" t="str">
        <f t="shared" si="1"/>
        <v>20241020</v>
      </c>
      <c r="C2121" s="72" t="str">
        <f t="shared" si="2"/>
        <v>Sunday</v>
      </c>
      <c r="D2121" s="72" t="str">
        <f t="shared" si="3"/>
        <v>October</v>
      </c>
      <c r="E2121" s="72" t="str">
        <f t="shared" si="4"/>
        <v>Q4</v>
      </c>
      <c r="F2121" s="72">
        <f t="shared" si="5"/>
        <v>2024</v>
      </c>
      <c r="G2121" s="89">
        <f t="shared" si="6"/>
        <v>45591</v>
      </c>
      <c r="H2121" s="72" t="str">
        <f t="shared" si="7"/>
        <v>No</v>
      </c>
    </row>
    <row r="2122" ht="15.75" customHeight="1">
      <c r="A2122" s="88">
        <f t="shared" si="8"/>
        <v>45586</v>
      </c>
      <c r="B2122" s="72" t="str">
        <f t="shared" si="1"/>
        <v>20241021</v>
      </c>
      <c r="C2122" s="72" t="str">
        <f t="shared" si="2"/>
        <v>Monday</v>
      </c>
      <c r="D2122" s="72" t="str">
        <f t="shared" si="3"/>
        <v>October</v>
      </c>
      <c r="E2122" s="72" t="str">
        <f t="shared" si="4"/>
        <v>Q4</v>
      </c>
      <c r="F2122" s="72">
        <f t="shared" si="5"/>
        <v>2024</v>
      </c>
      <c r="G2122" s="89">
        <f t="shared" si="6"/>
        <v>45591</v>
      </c>
      <c r="H2122" s="72" t="str">
        <f t="shared" si="7"/>
        <v>Yes</v>
      </c>
    </row>
    <row r="2123" ht="15.75" customHeight="1">
      <c r="A2123" s="88">
        <f t="shared" si="8"/>
        <v>45587</v>
      </c>
      <c r="B2123" s="72" t="str">
        <f t="shared" si="1"/>
        <v>20241022</v>
      </c>
      <c r="C2123" s="72" t="str">
        <f t="shared" si="2"/>
        <v>Tuesday</v>
      </c>
      <c r="D2123" s="72" t="str">
        <f t="shared" si="3"/>
        <v>October</v>
      </c>
      <c r="E2123" s="72" t="str">
        <f t="shared" si="4"/>
        <v>Q4</v>
      </c>
      <c r="F2123" s="72">
        <f t="shared" si="5"/>
        <v>2024</v>
      </c>
      <c r="G2123" s="89">
        <f t="shared" si="6"/>
        <v>45591</v>
      </c>
      <c r="H2123" s="72" t="str">
        <f t="shared" si="7"/>
        <v>Yes</v>
      </c>
    </row>
    <row r="2124" ht="15.75" customHeight="1">
      <c r="A2124" s="88">
        <f t="shared" si="8"/>
        <v>45588</v>
      </c>
      <c r="B2124" s="72" t="str">
        <f t="shared" si="1"/>
        <v>20241023</v>
      </c>
      <c r="C2124" s="72" t="str">
        <f t="shared" si="2"/>
        <v>Wednesday</v>
      </c>
      <c r="D2124" s="72" t="str">
        <f t="shared" si="3"/>
        <v>October</v>
      </c>
      <c r="E2124" s="72" t="str">
        <f t="shared" si="4"/>
        <v>Q4</v>
      </c>
      <c r="F2124" s="72">
        <f t="shared" si="5"/>
        <v>2024</v>
      </c>
      <c r="G2124" s="89">
        <f t="shared" si="6"/>
        <v>45591</v>
      </c>
      <c r="H2124" s="72" t="str">
        <f t="shared" si="7"/>
        <v>Yes</v>
      </c>
    </row>
    <row r="2125" ht="15.75" customHeight="1">
      <c r="A2125" s="88">
        <f t="shared" si="8"/>
        <v>45589</v>
      </c>
      <c r="B2125" s="72" t="str">
        <f t="shared" si="1"/>
        <v>20241024</v>
      </c>
      <c r="C2125" s="72" t="str">
        <f t="shared" si="2"/>
        <v>Thursday</v>
      </c>
      <c r="D2125" s="72" t="str">
        <f t="shared" si="3"/>
        <v>October</v>
      </c>
      <c r="E2125" s="72" t="str">
        <f t="shared" si="4"/>
        <v>Q4</v>
      </c>
      <c r="F2125" s="72">
        <f t="shared" si="5"/>
        <v>2024</v>
      </c>
      <c r="G2125" s="89">
        <f t="shared" si="6"/>
        <v>45591</v>
      </c>
      <c r="H2125" s="72" t="str">
        <f t="shared" si="7"/>
        <v>Yes</v>
      </c>
    </row>
    <row r="2126" ht="15.75" customHeight="1">
      <c r="A2126" s="88">
        <f t="shared" si="8"/>
        <v>45590</v>
      </c>
      <c r="B2126" s="72" t="str">
        <f t="shared" si="1"/>
        <v>20241025</v>
      </c>
      <c r="C2126" s="72" t="str">
        <f t="shared" si="2"/>
        <v>Friday</v>
      </c>
      <c r="D2126" s="72" t="str">
        <f t="shared" si="3"/>
        <v>October</v>
      </c>
      <c r="E2126" s="72" t="str">
        <f t="shared" si="4"/>
        <v>Q4</v>
      </c>
      <c r="F2126" s="72">
        <f t="shared" si="5"/>
        <v>2024</v>
      </c>
      <c r="G2126" s="89">
        <f t="shared" si="6"/>
        <v>45591</v>
      </c>
      <c r="H2126" s="72" t="str">
        <f t="shared" si="7"/>
        <v>Yes</v>
      </c>
    </row>
    <row r="2127" ht="15.75" customHeight="1">
      <c r="A2127" s="88">
        <f t="shared" si="8"/>
        <v>45591</v>
      </c>
      <c r="B2127" s="72" t="str">
        <f t="shared" si="1"/>
        <v>20241026</v>
      </c>
      <c r="C2127" s="72" t="str">
        <f t="shared" si="2"/>
        <v>Saturday</v>
      </c>
      <c r="D2127" s="72" t="str">
        <f t="shared" si="3"/>
        <v>October</v>
      </c>
      <c r="E2127" s="72" t="str">
        <f t="shared" si="4"/>
        <v>Q4</v>
      </c>
      <c r="F2127" s="72">
        <f t="shared" si="5"/>
        <v>2024</v>
      </c>
      <c r="G2127" s="89">
        <f t="shared" si="6"/>
        <v>45591</v>
      </c>
      <c r="H2127" s="72" t="str">
        <f t="shared" si="7"/>
        <v>No</v>
      </c>
    </row>
    <row r="2128" ht="15.75" customHeight="1">
      <c r="A2128" s="88">
        <f t="shared" si="8"/>
        <v>45592</v>
      </c>
      <c r="B2128" s="72" t="str">
        <f t="shared" si="1"/>
        <v>20241027</v>
      </c>
      <c r="C2128" s="72" t="str">
        <f t="shared" si="2"/>
        <v>Sunday</v>
      </c>
      <c r="D2128" s="72" t="str">
        <f t="shared" si="3"/>
        <v>October</v>
      </c>
      <c r="E2128" s="72" t="str">
        <f t="shared" si="4"/>
        <v>Q4</v>
      </c>
      <c r="F2128" s="72">
        <f t="shared" si="5"/>
        <v>2024</v>
      </c>
      <c r="G2128" s="89">
        <f t="shared" si="6"/>
        <v>45598</v>
      </c>
      <c r="H2128" s="72" t="str">
        <f t="shared" si="7"/>
        <v>No</v>
      </c>
    </row>
    <row r="2129" ht="15.75" customHeight="1">
      <c r="A2129" s="88">
        <f t="shared" si="8"/>
        <v>45593</v>
      </c>
      <c r="B2129" s="72" t="str">
        <f t="shared" si="1"/>
        <v>20241028</v>
      </c>
      <c r="C2129" s="72" t="str">
        <f t="shared" si="2"/>
        <v>Monday</v>
      </c>
      <c r="D2129" s="72" t="str">
        <f t="shared" si="3"/>
        <v>October</v>
      </c>
      <c r="E2129" s="72" t="str">
        <f t="shared" si="4"/>
        <v>Q4</v>
      </c>
      <c r="F2129" s="72">
        <f t="shared" si="5"/>
        <v>2024</v>
      </c>
      <c r="G2129" s="89">
        <f t="shared" si="6"/>
        <v>45598</v>
      </c>
      <c r="H2129" s="72" t="str">
        <f t="shared" si="7"/>
        <v>Yes</v>
      </c>
    </row>
    <row r="2130" ht="15.75" customHeight="1">
      <c r="A2130" s="88">
        <f t="shared" si="8"/>
        <v>45594</v>
      </c>
      <c r="B2130" s="72" t="str">
        <f t="shared" si="1"/>
        <v>20241029</v>
      </c>
      <c r="C2130" s="72" t="str">
        <f t="shared" si="2"/>
        <v>Tuesday</v>
      </c>
      <c r="D2130" s="72" t="str">
        <f t="shared" si="3"/>
        <v>October</v>
      </c>
      <c r="E2130" s="72" t="str">
        <f t="shared" si="4"/>
        <v>Q4</v>
      </c>
      <c r="F2130" s="72">
        <f t="shared" si="5"/>
        <v>2024</v>
      </c>
      <c r="G2130" s="89">
        <f t="shared" si="6"/>
        <v>45598</v>
      </c>
      <c r="H2130" s="72" t="str">
        <f t="shared" si="7"/>
        <v>Yes</v>
      </c>
    </row>
    <row r="2131" ht="15.75" customHeight="1">
      <c r="A2131" s="88">
        <f t="shared" si="8"/>
        <v>45595</v>
      </c>
      <c r="B2131" s="72" t="str">
        <f t="shared" si="1"/>
        <v>20241030</v>
      </c>
      <c r="C2131" s="72" t="str">
        <f t="shared" si="2"/>
        <v>Wednesday</v>
      </c>
      <c r="D2131" s="72" t="str">
        <f t="shared" si="3"/>
        <v>October</v>
      </c>
      <c r="E2131" s="72" t="str">
        <f t="shared" si="4"/>
        <v>Q4</v>
      </c>
      <c r="F2131" s="72">
        <f t="shared" si="5"/>
        <v>2024</v>
      </c>
      <c r="G2131" s="89">
        <f t="shared" si="6"/>
        <v>45598</v>
      </c>
      <c r="H2131" s="72" t="str">
        <f t="shared" si="7"/>
        <v>Yes</v>
      </c>
    </row>
    <row r="2132" ht="15.75" customHeight="1">
      <c r="A2132" s="88">
        <f t="shared" si="8"/>
        <v>45596</v>
      </c>
      <c r="B2132" s="72" t="str">
        <f t="shared" si="1"/>
        <v>20241031</v>
      </c>
      <c r="C2132" s="72" t="str">
        <f t="shared" si="2"/>
        <v>Thursday</v>
      </c>
      <c r="D2132" s="72" t="str">
        <f t="shared" si="3"/>
        <v>October</v>
      </c>
      <c r="E2132" s="72" t="str">
        <f t="shared" si="4"/>
        <v>Q4</v>
      </c>
      <c r="F2132" s="72">
        <f t="shared" si="5"/>
        <v>2024</v>
      </c>
      <c r="G2132" s="89">
        <f t="shared" si="6"/>
        <v>45598</v>
      </c>
      <c r="H2132" s="72" t="str">
        <f t="shared" si="7"/>
        <v>Yes</v>
      </c>
    </row>
    <row r="2133" ht="15.75" customHeight="1">
      <c r="A2133" s="88">
        <f t="shared" si="8"/>
        <v>45597</v>
      </c>
      <c r="B2133" s="72" t="str">
        <f t="shared" si="1"/>
        <v>20241101</v>
      </c>
      <c r="C2133" s="72" t="str">
        <f t="shared" si="2"/>
        <v>Friday</v>
      </c>
      <c r="D2133" s="72" t="str">
        <f t="shared" si="3"/>
        <v>November</v>
      </c>
      <c r="E2133" s="72" t="str">
        <f t="shared" si="4"/>
        <v>Q4</v>
      </c>
      <c r="F2133" s="72">
        <f t="shared" si="5"/>
        <v>2024</v>
      </c>
      <c r="G2133" s="89">
        <f t="shared" si="6"/>
        <v>45598</v>
      </c>
      <c r="H2133" s="72" t="str">
        <f t="shared" si="7"/>
        <v>Yes</v>
      </c>
    </row>
    <row r="2134" ht="15.75" customHeight="1">
      <c r="A2134" s="88">
        <f t="shared" si="8"/>
        <v>45598</v>
      </c>
      <c r="B2134" s="72" t="str">
        <f t="shared" si="1"/>
        <v>20241102</v>
      </c>
      <c r="C2134" s="72" t="str">
        <f t="shared" si="2"/>
        <v>Saturday</v>
      </c>
      <c r="D2134" s="72" t="str">
        <f t="shared" si="3"/>
        <v>November</v>
      </c>
      <c r="E2134" s="72" t="str">
        <f t="shared" si="4"/>
        <v>Q4</v>
      </c>
      <c r="F2134" s="72">
        <f t="shared" si="5"/>
        <v>2024</v>
      </c>
      <c r="G2134" s="89">
        <f t="shared" si="6"/>
        <v>45598</v>
      </c>
      <c r="H2134" s="72" t="str">
        <f t="shared" si="7"/>
        <v>No</v>
      </c>
    </row>
    <row r="2135" ht="15.75" customHeight="1">
      <c r="A2135" s="88">
        <f t="shared" si="8"/>
        <v>45599</v>
      </c>
      <c r="B2135" s="72" t="str">
        <f t="shared" si="1"/>
        <v>20241103</v>
      </c>
      <c r="C2135" s="72" t="str">
        <f t="shared" si="2"/>
        <v>Sunday</v>
      </c>
      <c r="D2135" s="72" t="str">
        <f t="shared" si="3"/>
        <v>November</v>
      </c>
      <c r="E2135" s="72" t="str">
        <f t="shared" si="4"/>
        <v>Q4</v>
      </c>
      <c r="F2135" s="72">
        <f t="shared" si="5"/>
        <v>2024</v>
      </c>
      <c r="G2135" s="89">
        <f t="shared" si="6"/>
        <v>45605</v>
      </c>
      <c r="H2135" s="72" t="str">
        <f t="shared" si="7"/>
        <v>No</v>
      </c>
    </row>
    <row r="2136" ht="15.75" customHeight="1">
      <c r="A2136" s="88">
        <f t="shared" si="8"/>
        <v>45600</v>
      </c>
      <c r="B2136" s="72" t="str">
        <f t="shared" si="1"/>
        <v>20241104</v>
      </c>
      <c r="C2136" s="72" t="str">
        <f t="shared" si="2"/>
        <v>Monday</v>
      </c>
      <c r="D2136" s="72" t="str">
        <f t="shared" si="3"/>
        <v>November</v>
      </c>
      <c r="E2136" s="72" t="str">
        <f t="shared" si="4"/>
        <v>Q4</v>
      </c>
      <c r="F2136" s="72">
        <f t="shared" si="5"/>
        <v>2024</v>
      </c>
      <c r="G2136" s="89">
        <f t="shared" si="6"/>
        <v>45605</v>
      </c>
      <c r="H2136" s="72" t="str">
        <f t="shared" si="7"/>
        <v>Yes</v>
      </c>
    </row>
    <row r="2137" ht="15.75" customHeight="1">
      <c r="A2137" s="88">
        <f t="shared" si="8"/>
        <v>45601</v>
      </c>
      <c r="B2137" s="72" t="str">
        <f t="shared" si="1"/>
        <v>20241105</v>
      </c>
      <c r="C2137" s="72" t="str">
        <f t="shared" si="2"/>
        <v>Tuesday</v>
      </c>
      <c r="D2137" s="72" t="str">
        <f t="shared" si="3"/>
        <v>November</v>
      </c>
      <c r="E2137" s="72" t="str">
        <f t="shared" si="4"/>
        <v>Q4</v>
      </c>
      <c r="F2137" s="72">
        <f t="shared" si="5"/>
        <v>2024</v>
      </c>
      <c r="G2137" s="89">
        <f t="shared" si="6"/>
        <v>45605</v>
      </c>
      <c r="H2137" s="72" t="str">
        <f t="shared" si="7"/>
        <v>Yes</v>
      </c>
    </row>
    <row r="2138" ht="15.75" customHeight="1">
      <c r="A2138" s="88">
        <f t="shared" si="8"/>
        <v>45602</v>
      </c>
      <c r="B2138" s="72" t="str">
        <f t="shared" si="1"/>
        <v>20241106</v>
      </c>
      <c r="C2138" s="72" t="str">
        <f t="shared" si="2"/>
        <v>Wednesday</v>
      </c>
      <c r="D2138" s="72" t="str">
        <f t="shared" si="3"/>
        <v>November</v>
      </c>
      <c r="E2138" s="72" t="str">
        <f t="shared" si="4"/>
        <v>Q4</v>
      </c>
      <c r="F2138" s="72">
        <f t="shared" si="5"/>
        <v>2024</v>
      </c>
      <c r="G2138" s="89">
        <f t="shared" si="6"/>
        <v>45605</v>
      </c>
      <c r="H2138" s="72" t="str">
        <f t="shared" si="7"/>
        <v>Yes</v>
      </c>
    </row>
    <row r="2139" ht="15.75" customHeight="1">
      <c r="A2139" s="88">
        <f t="shared" si="8"/>
        <v>45603</v>
      </c>
      <c r="B2139" s="72" t="str">
        <f t="shared" si="1"/>
        <v>20241107</v>
      </c>
      <c r="C2139" s="72" t="str">
        <f t="shared" si="2"/>
        <v>Thursday</v>
      </c>
      <c r="D2139" s="72" t="str">
        <f t="shared" si="3"/>
        <v>November</v>
      </c>
      <c r="E2139" s="72" t="str">
        <f t="shared" si="4"/>
        <v>Q4</v>
      </c>
      <c r="F2139" s="72">
        <f t="shared" si="5"/>
        <v>2024</v>
      </c>
      <c r="G2139" s="89">
        <f t="shared" si="6"/>
        <v>45605</v>
      </c>
      <c r="H2139" s="72" t="str">
        <f t="shared" si="7"/>
        <v>Yes</v>
      </c>
    </row>
    <row r="2140" ht="15.75" customHeight="1">
      <c r="A2140" s="88">
        <f t="shared" si="8"/>
        <v>45604</v>
      </c>
      <c r="B2140" s="72" t="str">
        <f t="shared" si="1"/>
        <v>20241108</v>
      </c>
      <c r="C2140" s="72" t="str">
        <f t="shared" si="2"/>
        <v>Friday</v>
      </c>
      <c r="D2140" s="72" t="str">
        <f t="shared" si="3"/>
        <v>November</v>
      </c>
      <c r="E2140" s="72" t="str">
        <f t="shared" si="4"/>
        <v>Q4</v>
      </c>
      <c r="F2140" s="72">
        <f t="shared" si="5"/>
        <v>2024</v>
      </c>
      <c r="G2140" s="89">
        <f t="shared" si="6"/>
        <v>45605</v>
      </c>
      <c r="H2140" s="72" t="str">
        <f t="shared" si="7"/>
        <v>Yes</v>
      </c>
    </row>
    <row r="2141" ht="15.75" customHeight="1">
      <c r="A2141" s="88">
        <f t="shared" si="8"/>
        <v>45605</v>
      </c>
      <c r="B2141" s="72" t="str">
        <f t="shared" si="1"/>
        <v>20241109</v>
      </c>
      <c r="C2141" s="72" t="str">
        <f t="shared" si="2"/>
        <v>Saturday</v>
      </c>
      <c r="D2141" s="72" t="str">
        <f t="shared" si="3"/>
        <v>November</v>
      </c>
      <c r="E2141" s="72" t="str">
        <f t="shared" si="4"/>
        <v>Q4</v>
      </c>
      <c r="F2141" s="72">
        <f t="shared" si="5"/>
        <v>2024</v>
      </c>
      <c r="G2141" s="89">
        <f t="shared" si="6"/>
        <v>45605</v>
      </c>
      <c r="H2141" s="72" t="str">
        <f t="shared" si="7"/>
        <v>No</v>
      </c>
    </row>
    <row r="2142" ht="15.75" customHeight="1">
      <c r="A2142" s="88">
        <f t="shared" si="8"/>
        <v>45606</v>
      </c>
      <c r="B2142" s="72" t="str">
        <f t="shared" si="1"/>
        <v>20241110</v>
      </c>
      <c r="C2142" s="72" t="str">
        <f t="shared" si="2"/>
        <v>Sunday</v>
      </c>
      <c r="D2142" s="72" t="str">
        <f t="shared" si="3"/>
        <v>November</v>
      </c>
      <c r="E2142" s="72" t="str">
        <f t="shared" si="4"/>
        <v>Q4</v>
      </c>
      <c r="F2142" s="72">
        <f t="shared" si="5"/>
        <v>2024</v>
      </c>
      <c r="G2142" s="89">
        <f t="shared" si="6"/>
        <v>45612</v>
      </c>
      <c r="H2142" s="72" t="str">
        <f t="shared" si="7"/>
        <v>No</v>
      </c>
    </row>
    <row r="2143" ht="15.75" customHeight="1">
      <c r="A2143" s="88">
        <f t="shared" si="8"/>
        <v>45607</v>
      </c>
      <c r="B2143" s="72" t="str">
        <f t="shared" si="1"/>
        <v>20241111</v>
      </c>
      <c r="C2143" s="72" t="str">
        <f t="shared" si="2"/>
        <v>Monday</v>
      </c>
      <c r="D2143" s="72" t="str">
        <f t="shared" si="3"/>
        <v>November</v>
      </c>
      <c r="E2143" s="72" t="str">
        <f t="shared" si="4"/>
        <v>Q4</v>
      </c>
      <c r="F2143" s="72">
        <f t="shared" si="5"/>
        <v>2024</v>
      </c>
      <c r="G2143" s="89">
        <f t="shared" si="6"/>
        <v>45612</v>
      </c>
      <c r="H2143" s="72" t="str">
        <f t="shared" si="7"/>
        <v>Yes</v>
      </c>
    </row>
    <row r="2144" ht="15.75" customHeight="1">
      <c r="A2144" s="88">
        <f t="shared" si="8"/>
        <v>45608</v>
      </c>
      <c r="B2144" s="72" t="str">
        <f t="shared" si="1"/>
        <v>20241112</v>
      </c>
      <c r="C2144" s="72" t="str">
        <f t="shared" si="2"/>
        <v>Tuesday</v>
      </c>
      <c r="D2144" s="72" t="str">
        <f t="shared" si="3"/>
        <v>November</v>
      </c>
      <c r="E2144" s="72" t="str">
        <f t="shared" si="4"/>
        <v>Q4</v>
      </c>
      <c r="F2144" s="72">
        <f t="shared" si="5"/>
        <v>2024</v>
      </c>
      <c r="G2144" s="89">
        <f t="shared" si="6"/>
        <v>45612</v>
      </c>
      <c r="H2144" s="72" t="str">
        <f t="shared" si="7"/>
        <v>Yes</v>
      </c>
    </row>
    <row r="2145" ht="15.75" customHeight="1">
      <c r="A2145" s="88">
        <f t="shared" si="8"/>
        <v>45609</v>
      </c>
      <c r="B2145" s="72" t="str">
        <f t="shared" si="1"/>
        <v>20241113</v>
      </c>
      <c r="C2145" s="72" t="str">
        <f t="shared" si="2"/>
        <v>Wednesday</v>
      </c>
      <c r="D2145" s="72" t="str">
        <f t="shared" si="3"/>
        <v>November</v>
      </c>
      <c r="E2145" s="72" t="str">
        <f t="shared" si="4"/>
        <v>Q4</v>
      </c>
      <c r="F2145" s="72">
        <f t="shared" si="5"/>
        <v>2024</v>
      </c>
      <c r="G2145" s="89">
        <f t="shared" si="6"/>
        <v>45612</v>
      </c>
      <c r="H2145" s="72" t="str">
        <f t="shared" si="7"/>
        <v>Yes</v>
      </c>
    </row>
    <row r="2146" ht="15.75" customHeight="1">
      <c r="A2146" s="88">
        <f t="shared" si="8"/>
        <v>45610</v>
      </c>
      <c r="B2146" s="72" t="str">
        <f t="shared" si="1"/>
        <v>20241114</v>
      </c>
      <c r="C2146" s="72" t="str">
        <f t="shared" si="2"/>
        <v>Thursday</v>
      </c>
      <c r="D2146" s="72" t="str">
        <f t="shared" si="3"/>
        <v>November</v>
      </c>
      <c r="E2146" s="72" t="str">
        <f t="shared" si="4"/>
        <v>Q4</v>
      </c>
      <c r="F2146" s="72">
        <f t="shared" si="5"/>
        <v>2024</v>
      </c>
      <c r="G2146" s="89">
        <f t="shared" si="6"/>
        <v>45612</v>
      </c>
      <c r="H2146" s="72" t="str">
        <f t="shared" si="7"/>
        <v>Yes</v>
      </c>
    </row>
    <row r="2147" ht="15.75" customHeight="1">
      <c r="A2147" s="88">
        <f t="shared" si="8"/>
        <v>45611</v>
      </c>
      <c r="B2147" s="72" t="str">
        <f t="shared" si="1"/>
        <v>20241115</v>
      </c>
      <c r="C2147" s="72" t="str">
        <f t="shared" si="2"/>
        <v>Friday</v>
      </c>
      <c r="D2147" s="72" t="str">
        <f t="shared" si="3"/>
        <v>November</v>
      </c>
      <c r="E2147" s="72" t="str">
        <f t="shared" si="4"/>
        <v>Q4</v>
      </c>
      <c r="F2147" s="72">
        <f t="shared" si="5"/>
        <v>2024</v>
      </c>
      <c r="G2147" s="89">
        <f t="shared" si="6"/>
        <v>45612</v>
      </c>
      <c r="H2147" s="72" t="str">
        <f t="shared" si="7"/>
        <v>Yes</v>
      </c>
    </row>
    <row r="2148" ht="15.75" customHeight="1">
      <c r="A2148" s="88">
        <f t="shared" si="8"/>
        <v>45612</v>
      </c>
      <c r="B2148" s="72" t="str">
        <f t="shared" si="1"/>
        <v>20241116</v>
      </c>
      <c r="C2148" s="72" t="str">
        <f t="shared" si="2"/>
        <v>Saturday</v>
      </c>
      <c r="D2148" s="72" t="str">
        <f t="shared" si="3"/>
        <v>November</v>
      </c>
      <c r="E2148" s="72" t="str">
        <f t="shared" si="4"/>
        <v>Q4</v>
      </c>
      <c r="F2148" s="72">
        <f t="shared" si="5"/>
        <v>2024</v>
      </c>
      <c r="G2148" s="89">
        <f t="shared" si="6"/>
        <v>45612</v>
      </c>
      <c r="H2148" s="72" t="str">
        <f t="shared" si="7"/>
        <v>No</v>
      </c>
    </row>
    <row r="2149" ht="15.75" customHeight="1">
      <c r="A2149" s="88">
        <f t="shared" si="8"/>
        <v>45613</v>
      </c>
      <c r="B2149" s="72" t="str">
        <f t="shared" si="1"/>
        <v>20241117</v>
      </c>
      <c r="C2149" s="72" t="str">
        <f t="shared" si="2"/>
        <v>Sunday</v>
      </c>
      <c r="D2149" s="72" t="str">
        <f t="shared" si="3"/>
        <v>November</v>
      </c>
      <c r="E2149" s="72" t="str">
        <f t="shared" si="4"/>
        <v>Q4</v>
      </c>
      <c r="F2149" s="72">
        <f t="shared" si="5"/>
        <v>2024</v>
      </c>
      <c r="G2149" s="89">
        <f t="shared" si="6"/>
        <v>45619</v>
      </c>
      <c r="H2149" s="72" t="str">
        <f t="shared" si="7"/>
        <v>No</v>
      </c>
    </row>
    <row r="2150" ht="15.75" customHeight="1">
      <c r="A2150" s="88">
        <f t="shared" si="8"/>
        <v>45614</v>
      </c>
      <c r="B2150" s="72" t="str">
        <f t="shared" si="1"/>
        <v>20241118</v>
      </c>
      <c r="C2150" s="72" t="str">
        <f t="shared" si="2"/>
        <v>Monday</v>
      </c>
      <c r="D2150" s="72" t="str">
        <f t="shared" si="3"/>
        <v>November</v>
      </c>
      <c r="E2150" s="72" t="str">
        <f t="shared" si="4"/>
        <v>Q4</v>
      </c>
      <c r="F2150" s="72">
        <f t="shared" si="5"/>
        <v>2024</v>
      </c>
      <c r="G2150" s="89">
        <f t="shared" si="6"/>
        <v>45619</v>
      </c>
      <c r="H2150" s="72" t="str">
        <f t="shared" si="7"/>
        <v>Yes</v>
      </c>
    </row>
    <row r="2151" ht="15.75" customHeight="1">
      <c r="A2151" s="88">
        <f t="shared" si="8"/>
        <v>45615</v>
      </c>
      <c r="B2151" s="72" t="str">
        <f t="shared" si="1"/>
        <v>20241119</v>
      </c>
      <c r="C2151" s="72" t="str">
        <f t="shared" si="2"/>
        <v>Tuesday</v>
      </c>
      <c r="D2151" s="72" t="str">
        <f t="shared" si="3"/>
        <v>November</v>
      </c>
      <c r="E2151" s="72" t="str">
        <f t="shared" si="4"/>
        <v>Q4</v>
      </c>
      <c r="F2151" s="72">
        <f t="shared" si="5"/>
        <v>2024</v>
      </c>
      <c r="G2151" s="89">
        <f t="shared" si="6"/>
        <v>45619</v>
      </c>
      <c r="H2151" s="72" t="str">
        <f t="shared" si="7"/>
        <v>Yes</v>
      </c>
    </row>
    <row r="2152" ht="15.75" customHeight="1">
      <c r="A2152" s="88">
        <f t="shared" si="8"/>
        <v>45616</v>
      </c>
      <c r="B2152" s="72" t="str">
        <f t="shared" si="1"/>
        <v>20241120</v>
      </c>
      <c r="C2152" s="72" t="str">
        <f t="shared" si="2"/>
        <v>Wednesday</v>
      </c>
      <c r="D2152" s="72" t="str">
        <f t="shared" si="3"/>
        <v>November</v>
      </c>
      <c r="E2152" s="72" t="str">
        <f t="shared" si="4"/>
        <v>Q4</v>
      </c>
      <c r="F2152" s="72">
        <f t="shared" si="5"/>
        <v>2024</v>
      </c>
      <c r="G2152" s="89">
        <f t="shared" si="6"/>
        <v>45619</v>
      </c>
      <c r="H2152" s="72" t="str">
        <f t="shared" si="7"/>
        <v>Yes</v>
      </c>
    </row>
    <row r="2153" ht="15.75" customHeight="1">
      <c r="A2153" s="88">
        <f t="shared" si="8"/>
        <v>45617</v>
      </c>
      <c r="B2153" s="72" t="str">
        <f t="shared" si="1"/>
        <v>20241121</v>
      </c>
      <c r="C2153" s="72" t="str">
        <f t="shared" si="2"/>
        <v>Thursday</v>
      </c>
      <c r="D2153" s="72" t="str">
        <f t="shared" si="3"/>
        <v>November</v>
      </c>
      <c r="E2153" s="72" t="str">
        <f t="shared" si="4"/>
        <v>Q4</v>
      </c>
      <c r="F2153" s="72">
        <f t="shared" si="5"/>
        <v>2024</v>
      </c>
      <c r="G2153" s="89">
        <f t="shared" si="6"/>
        <v>45619</v>
      </c>
      <c r="H2153" s="72" t="str">
        <f t="shared" si="7"/>
        <v>Yes</v>
      </c>
    </row>
    <row r="2154" ht="15.75" customHeight="1">
      <c r="A2154" s="88">
        <f t="shared" si="8"/>
        <v>45618</v>
      </c>
      <c r="B2154" s="72" t="str">
        <f t="shared" si="1"/>
        <v>20241122</v>
      </c>
      <c r="C2154" s="72" t="str">
        <f t="shared" si="2"/>
        <v>Friday</v>
      </c>
      <c r="D2154" s="72" t="str">
        <f t="shared" si="3"/>
        <v>November</v>
      </c>
      <c r="E2154" s="72" t="str">
        <f t="shared" si="4"/>
        <v>Q4</v>
      </c>
      <c r="F2154" s="72">
        <f t="shared" si="5"/>
        <v>2024</v>
      </c>
      <c r="G2154" s="89">
        <f t="shared" si="6"/>
        <v>45619</v>
      </c>
      <c r="H2154" s="72" t="str">
        <f t="shared" si="7"/>
        <v>Yes</v>
      </c>
    </row>
    <row r="2155" ht="15.75" customHeight="1">
      <c r="A2155" s="88">
        <f t="shared" si="8"/>
        <v>45619</v>
      </c>
      <c r="B2155" s="72" t="str">
        <f t="shared" si="1"/>
        <v>20241123</v>
      </c>
      <c r="C2155" s="72" t="str">
        <f t="shared" si="2"/>
        <v>Saturday</v>
      </c>
      <c r="D2155" s="72" t="str">
        <f t="shared" si="3"/>
        <v>November</v>
      </c>
      <c r="E2155" s="72" t="str">
        <f t="shared" si="4"/>
        <v>Q4</v>
      </c>
      <c r="F2155" s="72">
        <f t="shared" si="5"/>
        <v>2024</v>
      </c>
      <c r="G2155" s="89">
        <f t="shared" si="6"/>
        <v>45619</v>
      </c>
      <c r="H2155" s="72" t="str">
        <f t="shared" si="7"/>
        <v>No</v>
      </c>
    </row>
    <row r="2156" ht="15.75" customHeight="1">
      <c r="A2156" s="88">
        <f t="shared" si="8"/>
        <v>45620</v>
      </c>
      <c r="B2156" s="72" t="str">
        <f t="shared" si="1"/>
        <v>20241124</v>
      </c>
      <c r="C2156" s="72" t="str">
        <f t="shared" si="2"/>
        <v>Sunday</v>
      </c>
      <c r="D2156" s="72" t="str">
        <f t="shared" si="3"/>
        <v>November</v>
      </c>
      <c r="E2156" s="72" t="str">
        <f t="shared" si="4"/>
        <v>Q4</v>
      </c>
      <c r="F2156" s="72">
        <f t="shared" si="5"/>
        <v>2024</v>
      </c>
      <c r="G2156" s="89">
        <f t="shared" si="6"/>
        <v>45626</v>
      </c>
      <c r="H2156" s="72" t="str">
        <f t="shared" si="7"/>
        <v>No</v>
      </c>
    </row>
    <row r="2157" ht="15.75" customHeight="1">
      <c r="A2157" s="88">
        <f t="shared" si="8"/>
        <v>45621</v>
      </c>
      <c r="B2157" s="72" t="str">
        <f t="shared" si="1"/>
        <v>20241125</v>
      </c>
      <c r="C2157" s="72" t="str">
        <f t="shared" si="2"/>
        <v>Monday</v>
      </c>
      <c r="D2157" s="72" t="str">
        <f t="shared" si="3"/>
        <v>November</v>
      </c>
      <c r="E2157" s="72" t="str">
        <f t="shared" si="4"/>
        <v>Q4</v>
      </c>
      <c r="F2157" s="72">
        <f t="shared" si="5"/>
        <v>2024</v>
      </c>
      <c r="G2157" s="89">
        <f t="shared" si="6"/>
        <v>45626</v>
      </c>
      <c r="H2157" s="72" t="str">
        <f t="shared" si="7"/>
        <v>Yes</v>
      </c>
    </row>
    <row r="2158" ht="15.75" customHeight="1">
      <c r="A2158" s="88">
        <f t="shared" si="8"/>
        <v>45622</v>
      </c>
      <c r="B2158" s="72" t="str">
        <f t="shared" si="1"/>
        <v>20241126</v>
      </c>
      <c r="C2158" s="72" t="str">
        <f t="shared" si="2"/>
        <v>Tuesday</v>
      </c>
      <c r="D2158" s="72" t="str">
        <f t="shared" si="3"/>
        <v>November</v>
      </c>
      <c r="E2158" s="72" t="str">
        <f t="shared" si="4"/>
        <v>Q4</v>
      </c>
      <c r="F2158" s="72">
        <f t="shared" si="5"/>
        <v>2024</v>
      </c>
      <c r="G2158" s="89">
        <f t="shared" si="6"/>
        <v>45626</v>
      </c>
      <c r="H2158" s="72" t="str">
        <f t="shared" si="7"/>
        <v>Yes</v>
      </c>
    </row>
    <row r="2159" ht="15.75" customHeight="1">
      <c r="A2159" s="88">
        <f t="shared" si="8"/>
        <v>45623</v>
      </c>
      <c r="B2159" s="72" t="str">
        <f t="shared" si="1"/>
        <v>20241127</v>
      </c>
      <c r="C2159" s="72" t="str">
        <f t="shared" si="2"/>
        <v>Wednesday</v>
      </c>
      <c r="D2159" s="72" t="str">
        <f t="shared" si="3"/>
        <v>November</v>
      </c>
      <c r="E2159" s="72" t="str">
        <f t="shared" si="4"/>
        <v>Q4</v>
      </c>
      <c r="F2159" s="72">
        <f t="shared" si="5"/>
        <v>2024</v>
      </c>
      <c r="G2159" s="89">
        <f t="shared" si="6"/>
        <v>45626</v>
      </c>
      <c r="H2159" s="72" t="str">
        <f t="shared" si="7"/>
        <v>Yes</v>
      </c>
    </row>
    <row r="2160" ht="15.75" customHeight="1">
      <c r="A2160" s="88">
        <f t="shared" si="8"/>
        <v>45624</v>
      </c>
      <c r="B2160" s="72" t="str">
        <f t="shared" si="1"/>
        <v>20241128</v>
      </c>
      <c r="C2160" s="72" t="str">
        <f t="shared" si="2"/>
        <v>Thursday</v>
      </c>
      <c r="D2160" s="72" t="str">
        <f t="shared" si="3"/>
        <v>November</v>
      </c>
      <c r="E2160" s="72" t="str">
        <f t="shared" si="4"/>
        <v>Q4</v>
      </c>
      <c r="F2160" s="72">
        <f t="shared" si="5"/>
        <v>2024</v>
      </c>
      <c r="G2160" s="89">
        <f t="shared" si="6"/>
        <v>45626</v>
      </c>
      <c r="H2160" s="72" t="str">
        <f t="shared" si="7"/>
        <v>Yes</v>
      </c>
    </row>
    <row r="2161" ht="15.75" customHeight="1">
      <c r="A2161" s="88">
        <f t="shared" si="8"/>
        <v>45625</v>
      </c>
      <c r="B2161" s="72" t="str">
        <f t="shared" si="1"/>
        <v>20241129</v>
      </c>
      <c r="C2161" s="72" t="str">
        <f t="shared" si="2"/>
        <v>Friday</v>
      </c>
      <c r="D2161" s="72" t="str">
        <f t="shared" si="3"/>
        <v>November</v>
      </c>
      <c r="E2161" s="72" t="str">
        <f t="shared" si="4"/>
        <v>Q4</v>
      </c>
      <c r="F2161" s="72">
        <f t="shared" si="5"/>
        <v>2024</v>
      </c>
      <c r="G2161" s="89">
        <f t="shared" si="6"/>
        <v>45626</v>
      </c>
      <c r="H2161" s="72" t="str">
        <f t="shared" si="7"/>
        <v>Yes</v>
      </c>
    </row>
    <row r="2162" ht="15.75" customHeight="1">
      <c r="A2162" s="88">
        <f t="shared" si="8"/>
        <v>45626</v>
      </c>
      <c r="B2162" s="72" t="str">
        <f t="shared" si="1"/>
        <v>20241130</v>
      </c>
      <c r="C2162" s="72" t="str">
        <f t="shared" si="2"/>
        <v>Saturday</v>
      </c>
      <c r="D2162" s="72" t="str">
        <f t="shared" si="3"/>
        <v>November</v>
      </c>
      <c r="E2162" s="72" t="str">
        <f t="shared" si="4"/>
        <v>Q4</v>
      </c>
      <c r="F2162" s="72">
        <f t="shared" si="5"/>
        <v>2024</v>
      </c>
      <c r="G2162" s="89">
        <f t="shared" si="6"/>
        <v>45626</v>
      </c>
      <c r="H2162" s="72" t="str">
        <f t="shared" si="7"/>
        <v>No</v>
      </c>
    </row>
    <row r="2163" ht="15.75" customHeight="1">
      <c r="A2163" s="88">
        <f t="shared" si="8"/>
        <v>45627</v>
      </c>
      <c r="B2163" s="72" t="str">
        <f t="shared" si="1"/>
        <v>20241201</v>
      </c>
      <c r="C2163" s="72" t="str">
        <f t="shared" si="2"/>
        <v>Sunday</v>
      </c>
      <c r="D2163" s="72" t="str">
        <f t="shared" si="3"/>
        <v>December</v>
      </c>
      <c r="E2163" s="72" t="str">
        <f t="shared" si="4"/>
        <v>Q4</v>
      </c>
      <c r="F2163" s="72">
        <f t="shared" si="5"/>
        <v>2024</v>
      </c>
      <c r="G2163" s="89">
        <f t="shared" si="6"/>
        <v>45633</v>
      </c>
      <c r="H2163" s="72" t="str">
        <f t="shared" si="7"/>
        <v>No</v>
      </c>
    </row>
    <row r="2164" ht="15.75" customHeight="1">
      <c r="A2164" s="88">
        <f t="shared" si="8"/>
        <v>45628</v>
      </c>
      <c r="B2164" s="72" t="str">
        <f t="shared" si="1"/>
        <v>20241202</v>
      </c>
      <c r="C2164" s="72" t="str">
        <f t="shared" si="2"/>
        <v>Monday</v>
      </c>
      <c r="D2164" s="72" t="str">
        <f t="shared" si="3"/>
        <v>December</v>
      </c>
      <c r="E2164" s="72" t="str">
        <f t="shared" si="4"/>
        <v>Q4</v>
      </c>
      <c r="F2164" s="72">
        <f t="shared" si="5"/>
        <v>2024</v>
      </c>
      <c r="G2164" s="89">
        <f t="shared" si="6"/>
        <v>45633</v>
      </c>
      <c r="H2164" s="72" t="str">
        <f t="shared" si="7"/>
        <v>Yes</v>
      </c>
    </row>
    <row r="2165" ht="15.75" customHeight="1">
      <c r="A2165" s="88">
        <f t="shared" si="8"/>
        <v>45629</v>
      </c>
      <c r="B2165" s="72" t="str">
        <f t="shared" si="1"/>
        <v>20241203</v>
      </c>
      <c r="C2165" s="72" t="str">
        <f t="shared" si="2"/>
        <v>Tuesday</v>
      </c>
      <c r="D2165" s="72" t="str">
        <f t="shared" si="3"/>
        <v>December</v>
      </c>
      <c r="E2165" s="72" t="str">
        <f t="shared" si="4"/>
        <v>Q4</v>
      </c>
      <c r="F2165" s="72">
        <f t="shared" si="5"/>
        <v>2024</v>
      </c>
      <c r="G2165" s="89">
        <f t="shared" si="6"/>
        <v>45633</v>
      </c>
      <c r="H2165" s="72" t="str">
        <f t="shared" si="7"/>
        <v>Yes</v>
      </c>
    </row>
    <row r="2166" ht="15.75" customHeight="1">
      <c r="A2166" s="88">
        <f t="shared" si="8"/>
        <v>45630</v>
      </c>
      <c r="B2166" s="72" t="str">
        <f t="shared" si="1"/>
        <v>20241204</v>
      </c>
      <c r="C2166" s="72" t="str">
        <f t="shared" si="2"/>
        <v>Wednesday</v>
      </c>
      <c r="D2166" s="72" t="str">
        <f t="shared" si="3"/>
        <v>December</v>
      </c>
      <c r="E2166" s="72" t="str">
        <f t="shared" si="4"/>
        <v>Q4</v>
      </c>
      <c r="F2166" s="72">
        <f t="shared" si="5"/>
        <v>2024</v>
      </c>
      <c r="G2166" s="89">
        <f t="shared" si="6"/>
        <v>45633</v>
      </c>
      <c r="H2166" s="72" t="str">
        <f t="shared" si="7"/>
        <v>Yes</v>
      </c>
    </row>
    <row r="2167" ht="15.75" customHeight="1">
      <c r="A2167" s="88">
        <f t="shared" si="8"/>
        <v>45631</v>
      </c>
      <c r="B2167" s="72" t="str">
        <f t="shared" si="1"/>
        <v>20241205</v>
      </c>
      <c r="C2167" s="72" t="str">
        <f t="shared" si="2"/>
        <v>Thursday</v>
      </c>
      <c r="D2167" s="72" t="str">
        <f t="shared" si="3"/>
        <v>December</v>
      </c>
      <c r="E2167" s="72" t="str">
        <f t="shared" si="4"/>
        <v>Q4</v>
      </c>
      <c r="F2167" s="72">
        <f t="shared" si="5"/>
        <v>2024</v>
      </c>
      <c r="G2167" s="89">
        <f t="shared" si="6"/>
        <v>45633</v>
      </c>
      <c r="H2167" s="72" t="str">
        <f t="shared" si="7"/>
        <v>Yes</v>
      </c>
    </row>
    <row r="2168" ht="15.75" customHeight="1">
      <c r="A2168" s="88">
        <f t="shared" si="8"/>
        <v>45632</v>
      </c>
      <c r="B2168" s="72" t="str">
        <f t="shared" si="1"/>
        <v>20241206</v>
      </c>
      <c r="C2168" s="72" t="str">
        <f t="shared" si="2"/>
        <v>Friday</v>
      </c>
      <c r="D2168" s="72" t="str">
        <f t="shared" si="3"/>
        <v>December</v>
      </c>
      <c r="E2168" s="72" t="str">
        <f t="shared" si="4"/>
        <v>Q4</v>
      </c>
      <c r="F2168" s="72">
        <f t="shared" si="5"/>
        <v>2024</v>
      </c>
      <c r="G2168" s="89">
        <f t="shared" si="6"/>
        <v>45633</v>
      </c>
      <c r="H2168" s="72" t="str">
        <f t="shared" si="7"/>
        <v>Yes</v>
      </c>
    </row>
    <row r="2169" ht="15.75" customHeight="1">
      <c r="A2169" s="88">
        <f t="shared" si="8"/>
        <v>45633</v>
      </c>
      <c r="B2169" s="72" t="str">
        <f t="shared" si="1"/>
        <v>20241207</v>
      </c>
      <c r="C2169" s="72" t="str">
        <f t="shared" si="2"/>
        <v>Saturday</v>
      </c>
      <c r="D2169" s="72" t="str">
        <f t="shared" si="3"/>
        <v>December</v>
      </c>
      <c r="E2169" s="72" t="str">
        <f t="shared" si="4"/>
        <v>Q4</v>
      </c>
      <c r="F2169" s="72">
        <f t="shared" si="5"/>
        <v>2024</v>
      </c>
      <c r="G2169" s="89">
        <f t="shared" si="6"/>
        <v>45633</v>
      </c>
      <c r="H2169" s="72" t="str">
        <f t="shared" si="7"/>
        <v>No</v>
      </c>
    </row>
    <row r="2170" ht="15.75" customHeight="1">
      <c r="A2170" s="88">
        <f t="shared" si="8"/>
        <v>45634</v>
      </c>
      <c r="B2170" s="72" t="str">
        <f t="shared" si="1"/>
        <v>20241208</v>
      </c>
      <c r="C2170" s="72" t="str">
        <f t="shared" si="2"/>
        <v>Sunday</v>
      </c>
      <c r="D2170" s="72" t="str">
        <f t="shared" si="3"/>
        <v>December</v>
      </c>
      <c r="E2170" s="72" t="str">
        <f t="shared" si="4"/>
        <v>Q4</v>
      </c>
      <c r="F2170" s="72">
        <f t="shared" si="5"/>
        <v>2024</v>
      </c>
      <c r="G2170" s="89">
        <f t="shared" si="6"/>
        <v>45640</v>
      </c>
      <c r="H2170" s="72" t="str">
        <f t="shared" si="7"/>
        <v>No</v>
      </c>
    </row>
    <row r="2171" ht="15.75" customHeight="1">
      <c r="A2171" s="88">
        <f t="shared" si="8"/>
        <v>45635</v>
      </c>
      <c r="B2171" s="72" t="str">
        <f t="shared" si="1"/>
        <v>20241209</v>
      </c>
      <c r="C2171" s="72" t="str">
        <f t="shared" si="2"/>
        <v>Monday</v>
      </c>
      <c r="D2171" s="72" t="str">
        <f t="shared" si="3"/>
        <v>December</v>
      </c>
      <c r="E2171" s="72" t="str">
        <f t="shared" si="4"/>
        <v>Q4</v>
      </c>
      <c r="F2171" s="72">
        <f t="shared" si="5"/>
        <v>2024</v>
      </c>
      <c r="G2171" s="89">
        <f t="shared" si="6"/>
        <v>45640</v>
      </c>
      <c r="H2171" s="72" t="str">
        <f t="shared" si="7"/>
        <v>Yes</v>
      </c>
    </row>
    <row r="2172" ht="15.75" customHeight="1">
      <c r="A2172" s="88">
        <f t="shared" si="8"/>
        <v>45636</v>
      </c>
      <c r="B2172" s="72" t="str">
        <f t="shared" si="1"/>
        <v>20241210</v>
      </c>
      <c r="C2172" s="72" t="str">
        <f t="shared" si="2"/>
        <v>Tuesday</v>
      </c>
      <c r="D2172" s="72" t="str">
        <f t="shared" si="3"/>
        <v>December</v>
      </c>
      <c r="E2172" s="72" t="str">
        <f t="shared" si="4"/>
        <v>Q4</v>
      </c>
      <c r="F2172" s="72">
        <f t="shared" si="5"/>
        <v>2024</v>
      </c>
      <c r="G2172" s="89">
        <f t="shared" si="6"/>
        <v>45640</v>
      </c>
      <c r="H2172" s="72" t="str">
        <f t="shared" si="7"/>
        <v>Yes</v>
      </c>
    </row>
    <row r="2173" ht="15.75" customHeight="1">
      <c r="A2173" s="88">
        <f t="shared" si="8"/>
        <v>45637</v>
      </c>
      <c r="B2173" s="72" t="str">
        <f t="shared" si="1"/>
        <v>20241211</v>
      </c>
      <c r="C2173" s="72" t="str">
        <f t="shared" si="2"/>
        <v>Wednesday</v>
      </c>
      <c r="D2173" s="72" t="str">
        <f t="shared" si="3"/>
        <v>December</v>
      </c>
      <c r="E2173" s="72" t="str">
        <f t="shared" si="4"/>
        <v>Q4</v>
      </c>
      <c r="F2173" s="72">
        <f t="shared" si="5"/>
        <v>2024</v>
      </c>
      <c r="G2173" s="89">
        <f t="shared" si="6"/>
        <v>45640</v>
      </c>
      <c r="H2173" s="72" t="str">
        <f t="shared" si="7"/>
        <v>Yes</v>
      </c>
    </row>
    <row r="2174" ht="15.75" customHeight="1">
      <c r="A2174" s="88">
        <f t="shared" si="8"/>
        <v>45638</v>
      </c>
      <c r="B2174" s="72" t="str">
        <f t="shared" si="1"/>
        <v>20241212</v>
      </c>
      <c r="C2174" s="72" t="str">
        <f t="shared" si="2"/>
        <v>Thursday</v>
      </c>
      <c r="D2174" s="72" t="str">
        <f t="shared" si="3"/>
        <v>December</v>
      </c>
      <c r="E2174" s="72" t="str">
        <f t="shared" si="4"/>
        <v>Q4</v>
      </c>
      <c r="F2174" s="72">
        <f t="shared" si="5"/>
        <v>2024</v>
      </c>
      <c r="G2174" s="89">
        <f t="shared" si="6"/>
        <v>45640</v>
      </c>
      <c r="H2174" s="72" t="str">
        <f t="shared" si="7"/>
        <v>Yes</v>
      </c>
    </row>
    <row r="2175" ht="15.75" customHeight="1">
      <c r="A2175" s="88">
        <f t="shared" si="8"/>
        <v>45639</v>
      </c>
      <c r="B2175" s="72" t="str">
        <f t="shared" si="1"/>
        <v>20241213</v>
      </c>
      <c r="C2175" s="72" t="str">
        <f t="shared" si="2"/>
        <v>Friday</v>
      </c>
      <c r="D2175" s="72" t="str">
        <f t="shared" si="3"/>
        <v>December</v>
      </c>
      <c r="E2175" s="72" t="str">
        <f t="shared" si="4"/>
        <v>Q4</v>
      </c>
      <c r="F2175" s="72">
        <f t="shared" si="5"/>
        <v>2024</v>
      </c>
      <c r="G2175" s="89">
        <f t="shared" si="6"/>
        <v>45640</v>
      </c>
      <c r="H2175" s="72" t="str">
        <f t="shared" si="7"/>
        <v>Yes</v>
      </c>
    </row>
    <row r="2176" ht="15.75" customHeight="1">
      <c r="A2176" s="88">
        <f t="shared" si="8"/>
        <v>45640</v>
      </c>
      <c r="B2176" s="72" t="str">
        <f t="shared" si="1"/>
        <v>20241214</v>
      </c>
      <c r="C2176" s="72" t="str">
        <f t="shared" si="2"/>
        <v>Saturday</v>
      </c>
      <c r="D2176" s="72" t="str">
        <f t="shared" si="3"/>
        <v>December</v>
      </c>
      <c r="E2176" s="72" t="str">
        <f t="shared" si="4"/>
        <v>Q4</v>
      </c>
      <c r="F2176" s="72">
        <f t="shared" si="5"/>
        <v>2024</v>
      </c>
      <c r="G2176" s="89">
        <f t="shared" si="6"/>
        <v>45640</v>
      </c>
      <c r="H2176" s="72" t="str">
        <f t="shared" si="7"/>
        <v>No</v>
      </c>
    </row>
    <row r="2177" ht="15.75" customHeight="1">
      <c r="A2177" s="88">
        <f t="shared" si="8"/>
        <v>45641</v>
      </c>
      <c r="B2177" s="72" t="str">
        <f t="shared" si="1"/>
        <v>20241215</v>
      </c>
      <c r="C2177" s="72" t="str">
        <f t="shared" si="2"/>
        <v>Sunday</v>
      </c>
      <c r="D2177" s="72" t="str">
        <f t="shared" si="3"/>
        <v>December</v>
      </c>
      <c r="E2177" s="72" t="str">
        <f t="shared" si="4"/>
        <v>Q4</v>
      </c>
      <c r="F2177" s="72">
        <f t="shared" si="5"/>
        <v>2024</v>
      </c>
      <c r="G2177" s="89">
        <f t="shared" si="6"/>
        <v>45647</v>
      </c>
      <c r="H2177" s="72" t="str">
        <f t="shared" si="7"/>
        <v>No</v>
      </c>
    </row>
    <row r="2178" ht="15.75" customHeight="1">
      <c r="A2178" s="88">
        <f t="shared" si="8"/>
        <v>45642</v>
      </c>
      <c r="B2178" s="72" t="str">
        <f t="shared" si="1"/>
        <v>20241216</v>
      </c>
      <c r="C2178" s="72" t="str">
        <f t="shared" si="2"/>
        <v>Monday</v>
      </c>
      <c r="D2178" s="72" t="str">
        <f t="shared" si="3"/>
        <v>December</v>
      </c>
      <c r="E2178" s="72" t="str">
        <f t="shared" si="4"/>
        <v>Q4</v>
      </c>
      <c r="F2178" s="72">
        <f t="shared" si="5"/>
        <v>2024</v>
      </c>
      <c r="G2178" s="89">
        <f t="shared" si="6"/>
        <v>45647</v>
      </c>
      <c r="H2178" s="72" t="str">
        <f t="shared" si="7"/>
        <v>Yes</v>
      </c>
    </row>
    <row r="2179" ht="15.75" customHeight="1">
      <c r="A2179" s="88">
        <f t="shared" si="8"/>
        <v>45643</v>
      </c>
      <c r="B2179" s="72" t="str">
        <f t="shared" si="1"/>
        <v>20241217</v>
      </c>
      <c r="C2179" s="72" t="str">
        <f t="shared" si="2"/>
        <v>Tuesday</v>
      </c>
      <c r="D2179" s="72" t="str">
        <f t="shared" si="3"/>
        <v>December</v>
      </c>
      <c r="E2179" s="72" t="str">
        <f t="shared" si="4"/>
        <v>Q4</v>
      </c>
      <c r="F2179" s="72">
        <f t="shared" si="5"/>
        <v>2024</v>
      </c>
      <c r="G2179" s="89">
        <f t="shared" si="6"/>
        <v>45647</v>
      </c>
      <c r="H2179" s="72" t="str">
        <f t="shared" si="7"/>
        <v>Yes</v>
      </c>
    </row>
    <row r="2180" ht="15.75" customHeight="1">
      <c r="A2180" s="88">
        <f t="shared" si="8"/>
        <v>45644</v>
      </c>
      <c r="B2180" s="72" t="str">
        <f t="shared" si="1"/>
        <v>20241218</v>
      </c>
      <c r="C2180" s="72" t="str">
        <f t="shared" si="2"/>
        <v>Wednesday</v>
      </c>
      <c r="D2180" s="72" t="str">
        <f t="shared" si="3"/>
        <v>December</v>
      </c>
      <c r="E2180" s="72" t="str">
        <f t="shared" si="4"/>
        <v>Q4</v>
      </c>
      <c r="F2180" s="72">
        <f t="shared" si="5"/>
        <v>2024</v>
      </c>
      <c r="G2180" s="89">
        <f t="shared" si="6"/>
        <v>45647</v>
      </c>
      <c r="H2180" s="72" t="str">
        <f t="shared" si="7"/>
        <v>Yes</v>
      </c>
    </row>
    <row r="2181" ht="15.75" customHeight="1">
      <c r="A2181" s="88">
        <f t="shared" si="8"/>
        <v>45645</v>
      </c>
      <c r="B2181" s="72" t="str">
        <f t="shared" si="1"/>
        <v>20241219</v>
      </c>
      <c r="C2181" s="72" t="str">
        <f t="shared" si="2"/>
        <v>Thursday</v>
      </c>
      <c r="D2181" s="72" t="str">
        <f t="shared" si="3"/>
        <v>December</v>
      </c>
      <c r="E2181" s="72" t="str">
        <f t="shared" si="4"/>
        <v>Q4</v>
      </c>
      <c r="F2181" s="72">
        <f t="shared" si="5"/>
        <v>2024</v>
      </c>
      <c r="G2181" s="89">
        <f t="shared" si="6"/>
        <v>45647</v>
      </c>
      <c r="H2181" s="72" t="str">
        <f t="shared" si="7"/>
        <v>Yes</v>
      </c>
    </row>
    <row r="2182" ht="15.75" customHeight="1">
      <c r="A2182" s="88">
        <f t="shared" si="8"/>
        <v>45646</v>
      </c>
      <c r="B2182" s="72" t="str">
        <f t="shared" si="1"/>
        <v>20241220</v>
      </c>
      <c r="C2182" s="72" t="str">
        <f t="shared" si="2"/>
        <v>Friday</v>
      </c>
      <c r="D2182" s="72" t="str">
        <f t="shared" si="3"/>
        <v>December</v>
      </c>
      <c r="E2182" s="72" t="str">
        <f t="shared" si="4"/>
        <v>Q4</v>
      </c>
      <c r="F2182" s="72">
        <f t="shared" si="5"/>
        <v>2024</v>
      </c>
      <c r="G2182" s="89">
        <f t="shared" si="6"/>
        <v>45647</v>
      </c>
      <c r="H2182" s="72" t="str">
        <f t="shared" si="7"/>
        <v>Yes</v>
      </c>
    </row>
    <row r="2183" ht="15.75" customHeight="1">
      <c r="A2183" s="88">
        <f t="shared" si="8"/>
        <v>45647</v>
      </c>
      <c r="B2183" s="72" t="str">
        <f t="shared" si="1"/>
        <v>20241221</v>
      </c>
      <c r="C2183" s="72" t="str">
        <f t="shared" si="2"/>
        <v>Saturday</v>
      </c>
      <c r="D2183" s="72" t="str">
        <f t="shared" si="3"/>
        <v>December</v>
      </c>
      <c r="E2183" s="72" t="str">
        <f t="shared" si="4"/>
        <v>Q4</v>
      </c>
      <c r="F2183" s="72">
        <f t="shared" si="5"/>
        <v>2024</v>
      </c>
      <c r="G2183" s="89">
        <f t="shared" si="6"/>
        <v>45647</v>
      </c>
      <c r="H2183" s="72" t="str">
        <f t="shared" si="7"/>
        <v>No</v>
      </c>
    </row>
    <row r="2184" ht="15.75" customHeight="1">
      <c r="A2184" s="88">
        <f t="shared" si="8"/>
        <v>45648</v>
      </c>
      <c r="B2184" s="72" t="str">
        <f t="shared" si="1"/>
        <v>20241222</v>
      </c>
      <c r="C2184" s="72" t="str">
        <f t="shared" si="2"/>
        <v>Sunday</v>
      </c>
      <c r="D2184" s="72" t="str">
        <f t="shared" si="3"/>
        <v>December</v>
      </c>
      <c r="E2184" s="72" t="str">
        <f t="shared" si="4"/>
        <v>Q4</v>
      </c>
      <c r="F2184" s="72">
        <f t="shared" si="5"/>
        <v>2024</v>
      </c>
      <c r="G2184" s="89">
        <f t="shared" si="6"/>
        <v>45654</v>
      </c>
      <c r="H2184" s="72" t="str">
        <f t="shared" si="7"/>
        <v>No</v>
      </c>
    </row>
    <row r="2185" ht="15.75" customHeight="1">
      <c r="A2185" s="88">
        <f t="shared" si="8"/>
        <v>45649</v>
      </c>
      <c r="B2185" s="72" t="str">
        <f t="shared" si="1"/>
        <v>20241223</v>
      </c>
      <c r="C2185" s="72" t="str">
        <f t="shared" si="2"/>
        <v>Monday</v>
      </c>
      <c r="D2185" s="72" t="str">
        <f t="shared" si="3"/>
        <v>December</v>
      </c>
      <c r="E2185" s="72" t="str">
        <f t="shared" si="4"/>
        <v>Q4</v>
      </c>
      <c r="F2185" s="72">
        <f t="shared" si="5"/>
        <v>2024</v>
      </c>
      <c r="G2185" s="89">
        <f t="shared" si="6"/>
        <v>45654</v>
      </c>
      <c r="H2185" s="72" t="str">
        <f t="shared" si="7"/>
        <v>Yes</v>
      </c>
    </row>
    <row r="2186" ht="15.75" customHeight="1">
      <c r="A2186" s="88">
        <f t="shared" si="8"/>
        <v>45650</v>
      </c>
      <c r="B2186" s="72" t="str">
        <f t="shared" si="1"/>
        <v>20241224</v>
      </c>
      <c r="C2186" s="72" t="str">
        <f t="shared" si="2"/>
        <v>Tuesday</v>
      </c>
      <c r="D2186" s="72" t="str">
        <f t="shared" si="3"/>
        <v>December</v>
      </c>
      <c r="E2186" s="72" t="str">
        <f t="shared" si="4"/>
        <v>Q4</v>
      </c>
      <c r="F2186" s="72">
        <f t="shared" si="5"/>
        <v>2024</v>
      </c>
      <c r="G2186" s="89">
        <f t="shared" si="6"/>
        <v>45654</v>
      </c>
      <c r="H2186" s="72" t="str">
        <f t="shared" si="7"/>
        <v>Yes</v>
      </c>
    </row>
    <row r="2187" ht="15.75" customHeight="1">
      <c r="A2187" s="88">
        <f t="shared" si="8"/>
        <v>45651</v>
      </c>
      <c r="B2187" s="72" t="str">
        <f t="shared" si="1"/>
        <v>20241225</v>
      </c>
      <c r="C2187" s="72" t="str">
        <f t="shared" si="2"/>
        <v>Wednesday</v>
      </c>
      <c r="D2187" s="72" t="str">
        <f t="shared" si="3"/>
        <v>December</v>
      </c>
      <c r="E2187" s="72" t="str">
        <f t="shared" si="4"/>
        <v>Q4</v>
      </c>
      <c r="F2187" s="72">
        <f t="shared" si="5"/>
        <v>2024</v>
      </c>
      <c r="G2187" s="89">
        <f t="shared" si="6"/>
        <v>45654</v>
      </c>
      <c r="H2187" s="72" t="str">
        <f t="shared" si="7"/>
        <v>Yes</v>
      </c>
    </row>
    <row r="2188" ht="15.75" customHeight="1">
      <c r="A2188" s="88">
        <f t="shared" si="8"/>
        <v>45652</v>
      </c>
      <c r="B2188" s="72" t="str">
        <f t="shared" si="1"/>
        <v>20241226</v>
      </c>
      <c r="C2188" s="72" t="str">
        <f t="shared" si="2"/>
        <v>Thursday</v>
      </c>
      <c r="D2188" s="72" t="str">
        <f t="shared" si="3"/>
        <v>December</v>
      </c>
      <c r="E2188" s="72" t="str">
        <f t="shared" si="4"/>
        <v>Q4</v>
      </c>
      <c r="F2188" s="72">
        <f t="shared" si="5"/>
        <v>2024</v>
      </c>
      <c r="G2188" s="89">
        <f t="shared" si="6"/>
        <v>45654</v>
      </c>
      <c r="H2188" s="72" t="str">
        <f t="shared" si="7"/>
        <v>Yes</v>
      </c>
    </row>
    <row r="2189" ht="15.75" customHeight="1">
      <c r="A2189" s="88">
        <f t="shared" si="8"/>
        <v>45653</v>
      </c>
      <c r="B2189" s="72" t="str">
        <f t="shared" si="1"/>
        <v>20241227</v>
      </c>
      <c r="C2189" s="72" t="str">
        <f t="shared" si="2"/>
        <v>Friday</v>
      </c>
      <c r="D2189" s="72" t="str">
        <f t="shared" si="3"/>
        <v>December</v>
      </c>
      <c r="E2189" s="72" t="str">
        <f t="shared" si="4"/>
        <v>Q4</v>
      </c>
      <c r="F2189" s="72">
        <f t="shared" si="5"/>
        <v>2024</v>
      </c>
      <c r="G2189" s="89">
        <f t="shared" si="6"/>
        <v>45654</v>
      </c>
      <c r="H2189" s="72" t="str">
        <f t="shared" si="7"/>
        <v>Yes</v>
      </c>
    </row>
    <row r="2190" ht="15.75" customHeight="1">
      <c r="A2190" s="88">
        <f t="shared" si="8"/>
        <v>45654</v>
      </c>
      <c r="B2190" s="72" t="str">
        <f t="shared" si="1"/>
        <v>20241228</v>
      </c>
      <c r="C2190" s="72" t="str">
        <f t="shared" si="2"/>
        <v>Saturday</v>
      </c>
      <c r="D2190" s="72" t="str">
        <f t="shared" si="3"/>
        <v>December</v>
      </c>
      <c r="E2190" s="72" t="str">
        <f t="shared" si="4"/>
        <v>Q4</v>
      </c>
      <c r="F2190" s="72">
        <f t="shared" si="5"/>
        <v>2024</v>
      </c>
      <c r="G2190" s="89">
        <f t="shared" si="6"/>
        <v>45654</v>
      </c>
      <c r="H2190" s="72" t="str">
        <f t="shared" si="7"/>
        <v>No</v>
      </c>
    </row>
    <row r="2191" ht="15.75" customHeight="1">
      <c r="A2191" s="88">
        <f t="shared" si="8"/>
        <v>45655</v>
      </c>
      <c r="B2191" s="72" t="str">
        <f t="shared" si="1"/>
        <v>20241229</v>
      </c>
      <c r="C2191" s="72" t="str">
        <f t="shared" si="2"/>
        <v>Sunday</v>
      </c>
      <c r="D2191" s="72" t="str">
        <f t="shared" si="3"/>
        <v>December</v>
      </c>
      <c r="E2191" s="72" t="str">
        <f t="shared" si="4"/>
        <v>Q4</v>
      </c>
      <c r="F2191" s="72">
        <f t="shared" si="5"/>
        <v>2024</v>
      </c>
      <c r="G2191" s="89">
        <f t="shared" si="6"/>
        <v>45661</v>
      </c>
      <c r="H2191" s="72" t="str">
        <f t="shared" si="7"/>
        <v>No</v>
      </c>
    </row>
    <row r="2192" ht="15.75" customHeight="1">
      <c r="A2192" s="88">
        <f t="shared" si="8"/>
        <v>45656</v>
      </c>
      <c r="B2192" s="72" t="str">
        <f t="shared" si="1"/>
        <v>20241230</v>
      </c>
      <c r="C2192" s="72" t="str">
        <f t="shared" si="2"/>
        <v>Monday</v>
      </c>
      <c r="D2192" s="72" t="str">
        <f t="shared" si="3"/>
        <v>December</v>
      </c>
      <c r="E2192" s="72" t="str">
        <f t="shared" si="4"/>
        <v>Q4</v>
      </c>
      <c r="F2192" s="72">
        <f t="shared" si="5"/>
        <v>2024</v>
      </c>
      <c r="G2192" s="89">
        <f t="shared" si="6"/>
        <v>45661</v>
      </c>
      <c r="H2192" s="72" t="str">
        <f t="shared" si="7"/>
        <v>Yes</v>
      </c>
    </row>
    <row r="2193" ht="15.75" customHeight="1">
      <c r="A2193" s="88">
        <f t="shared" si="8"/>
        <v>45657</v>
      </c>
      <c r="B2193" s="72" t="str">
        <f t="shared" si="1"/>
        <v>20241231</v>
      </c>
      <c r="C2193" s="72" t="str">
        <f t="shared" si="2"/>
        <v>Tuesday</v>
      </c>
      <c r="D2193" s="72" t="str">
        <f t="shared" si="3"/>
        <v>December</v>
      </c>
      <c r="E2193" s="72" t="str">
        <f t="shared" si="4"/>
        <v>Q4</v>
      </c>
      <c r="F2193" s="72">
        <f t="shared" si="5"/>
        <v>2024</v>
      </c>
      <c r="G2193" s="89">
        <f t="shared" si="6"/>
        <v>45661</v>
      </c>
      <c r="H2193" s="72" t="str">
        <f t="shared" si="7"/>
        <v>Yes</v>
      </c>
    </row>
    <row r="2194" ht="15.75" customHeight="1">
      <c r="A2194" s="88">
        <f t="shared" si="8"/>
        <v>45658</v>
      </c>
      <c r="B2194" s="72" t="str">
        <f t="shared" si="1"/>
        <v>20250101</v>
      </c>
      <c r="C2194" s="72" t="str">
        <f t="shared" si="2"/>
        <v>Wednesday</v>
      </c>
      <c r="D2194" s="72" t="str">
        <f t="shared" si="3"/>
        <v>January</v>
      </c>
      <c r="E2194" s="72" t="str">
        <f t="shared" si="4"/>
        <v>Q1</v>
      </c>
      <c r="F2194" s="72">
        <f t="shared" si="5"/>
        <v>2025</v>
      </c>
      <c r="G2194" s="89">
        <f t="shared" si="6"/>
        <v>45661</v>
      </c>
      <c r="H2194" s="72" t="str">
        <f t="shared" si="7"/>
        <v>Yes</v>
      </c>
    </row>
    <row r="2195" ht="15.75" customHeight="1">
      <c r="A2195" s="88">
        <f t="shared" si="8"/>
        <v>45659</v>
      </c>
      <c r="B2195" s="72" t="str">
        <f t="shared" si="1"/>
        <v>20250102</v>
      </c>
      <c r="C2195" s="72" t="str">
        <f t="shared" si="2"/>
        <v>Thursday</v>
      </c>
      <c r="D2195" s="72" t="str">
        <f t="shared" si="3"/>
        <v>January</v>
      </c>
      <c r="E2195" s="72" t="str">
        <f t="shared" si="4"/>
        <v>Q1</v>
      </c>
      <c r="F2195" s="72">
        <f t="shared" si="5"/>
        <v>2025</v>
      </c>
      <c r="G2195" s="89">
        <f t="shared" si="6"/>
        <v>45661</v>
      </c>
      <c r="H2195" s="72" t="str">
        <f t="shared" si="7"/>
        <v>Yes</v>
      </c>
    </row>
    <row r="2196" ht="15.75" customHeight="1">
      <c r="A2196" s="88">
        <f t="shared" si="8"/>
        <v>45660</v>
      </c>
      <c r="B2196" s="72" t="str">
        <f t="shared" si="1"/>
        <v>20250103</v>
      </c>
      <c r="C2196" s="72" t="str">
        <f t="shared" si="2"/>
        <v>Friday</v>
      </c>
      <c r="D2196" s="72" t="str">
        <f t="shared" si="3"/>
        <v>January</v>
      </c>
      <c r="E2196" s="72" t="str">
        <f t="shared" si="4"/>
        <v>Q1</v>
      </c>
      <c r="F2196" s="72">
        <f t="shared" si="5"/>
        <v>2025</v>
      </c>
      <c r="G2196" s="89">
        <f t="shared" si="6"/>
        <v>45661</v>
      </c>
      <c r="H2196" s="72" t="str">
        <f t="shared" si="7"/>
        <v>Yes</v>
      </c>
    </row>
    <row r="2197" ht="15.75" customHeight="1">
      <c r="A2197" s="88">
        <f t="shared" si="8"/>
        <v>45661</v>
      </c>
      <c r="B2197" s="72" t="str">
        <f t="shared" si="1"/>
        <v>20250104</v>
      </c>
      <c r="C2197" s="72" t="str">
        <f t="shared" si="2"/>
        <v>Saturday</v>
      </c>
      <c r="D2197" s="72" t="str">
        <f t="shared" si="3"/>
        <v>January</v>
      </c>
      <c r="E2197" s="72" t="str">
        <f t="shared" si="4"/>
        <v>Q1</v>
      </c>
      <c r="F2197" s="72">
        <f t="shared" si="5"/>
        <v>2025</v>
      </c>
      <c r="G2197" s="89">
        <f t="shared" si="6"/>
        <v>45661</v>
      </c>
      <c r="H2197" s="72" t="str">
        <f t="shared" si="7"/>
        <v>No</v>
      </c>
    </row>
    <row r="2198" ht="15.75" customHeight="1">
      <c r="A2198" s="88">
        <f t="shared" si="8"/>
        <v>45662</v>
      </c>
      <c r="B2198" s="72" t="str">
        <f t="shared" si="1"/>
        <v>20250105</v>
      </c>
      <c r="C2198" s="72" t="str">
        <f t="shared" si="2"/>
        <v>Sunday</v>
      </c>
      <c r="D2198" s="72" t="str">
        <f t="shared" si="3"/>
        <v>January</v>
      </c>
      <c r="E2198" s="72" t="str">
        <f t="shared" si="4"/>
        <v>Q1</v>
      </c>
      <c r="F2198" s="72">
        <f t="shared" si="5"/>
        <v>2025</v>
      </c>
      <c r="G2198" s="89">
        <f t="shared" si="6"/>
        <v>45668</v>
      </c>
      <c r="H2198" s="72" t="str">
        <f t="shared" si="7"/>
        <v>No</v>
      </c>
    </row>
    <row r="2199" ht="15.75" customHeight="1">
      <c r="A2199" s="88">
        <f t="shared" si="8"/>
        <v>45663</v>
      </c>
      <c r="B2199" s="72" t="str">
        <f t="shared" si="1"/>
        <v>20250106</v>
      </c>
      <c r="C2199" s="72" t="str">
        <f t="shared" si="2"/>
        <v>Monday</v>
      </c>
      <c r="D2199" s="72" t="str">
        <f t="shared" si="3"/>
        <v>January</v>
      </c>
      <c r="E2199" s="72" t="str">
        <f t="shared" si="4"/>
        <v>Q1</v>
      </c>
      <c r="F2199" s="72">
        <f t="shared" si="5"/>
        <v>2025</v>
      </c>
      <c r="G2199" s="89">
        <f t="shared" si="6"/>
        <v>45668</v>
      </c>
      <c r="H2199" s="72" t="str">
        <f t="shared" si="7"/>
        <v>Yes</v>
      </c>
    </row>
    <row r="2200" ht="15.75" customHeight="1">
      <c r="A2200" s="88">
        <f t="shared" si="8"/>
        <v>45664</v>
      </c>
      <c r="B2200" s="72" t="str">
        <f t="shared" si="1"/>
        <v>20250107</v>
      </c>
      <c r="C2200" s="72" t="str">
        <f t="shared" si="2"/>
        <v>Tuesday</v>
      </c>
      <c r="D2200" s="72" t="str">
        <f t="shared" si="3"/>
        <v>January</v>
      </c>
      <c r="E2200" s="72" t="str">
        <f t="shared" si="4"/>
        <v>Q1</v>
      </c>
      <c r="F2200" s="72">
        <f t="shared" si="5"/>
        <v>2025</v>
      </c>
      <c r="G2200" s="89">
        <f t="shared" si="6"/>
        <v>45668</v>
      </c>
      <c r="H2200" s="72" t="str">
        <f t="shared" si="7"/>
        <v>Yes</v>
      </c>
    </row>
    <row r="2201" ht="15.75" customHeight="1">
      <c r="A2201" s="88">
        <f t="shared" si="8"/>
        <v>45665</v>
      </c>
      <c r="B2201" s="72" t="str">
        <f t="shared" si="1"/>
        <v>20250108</v>
      </c>
      <c r="C2201" s="72" t="str">
        <f t="shared" si="2"/>
        <v>Wednesday</v>
      </c>
      <c r="D2201" s="72" t="str">
        <f t="shared" si="3"/>
        <v>January</v>
      </c>
      <c r="E2201" s="72" t="str">
        <f t="shared" si="4"/>
        <v>Q1</v>
      </c>
      <c r="F2201" s="72">
        <f t="shared" si="5"/>
        <v>2025</v>
      </c>
      <c r="G2201" s="89">
        <f t="shared" si="6"/>
        <v>45668</v>
      </c>
      <c r="H2201" s="72" t="str">
        <f t="shared" si="7"/>
        <v>Yes</v>
      </c>
    </row>
    <row r="2202" ht="15.75" customHeight="1">
      <c r="A2202" s="88">
        <f t="shared" si="8"/>
        <v>45666</v>
      </c>
      <c r="B2202" s="72" t="str">
        <f t="shared" si="1"/>
        <v>20250109</v>
      </c>
      <c r="C2202" s="72" t="str">
        <f t="shared" si="2"/>
        <v>Thursday</v>
      </c>
      <c r="D2202" s="72" t="str">
        <f t="shared" si="3"/>
        <v>January</v>
      </c>
      <c r="E2202" s="72" t="str">
        <f t="shared" si="4"/>
        <v>Q1</v>
      </c>
      <c r="F2202" s="72">
        <f t="shared" si="5"/>
        <v>2025</v>
      </c>
      <c r="G2202" s="89">
        <f t="shared" si="6"/>
        <v>45668</v>
      </c>
      <c r="H2202" s="72" t="str">
        <f t="shared" si="7"/>
        <v>Yes</v>
      </c>
    </row>
    <row r="2203" ht="15.75" customHeight="1">
      <c r="A2203" s="88">
        <f t="shared" si="8"/>
        <v>45667</v>
      </c>
      <c r="B2203" s="72" t="str">
        <f t="shared" si="1"/>
        <v>20250110</v>
      </c>
      <c r="C2203" s="72" t="str">
        <f t="shared" si="2"/>
        <v>Friday</v>
      </c>
      <c r="D2203" s="72" t="str">
        <f t="shared" si="3"/>
        <v>January</v>
      </c>
      <c r="E2203" s="72" t="str">
        <f t="shared" si="4"/>
        <v>Q1</v>
      </c>
      <c r="F2203" s="72">
        <f t="shared" si="5"/>
        <v>2025</v>
      </c>
      <c r="G2203" s="89">
        <f t="shared" si="6"/>
        <v>45668</v>
      </c>
      <c r="H2203" s="72" t="str">
        <f t="shared" si="7"/>
        <v>Yes</v>
      </c>
    </row>
    <row r="2204" ht="15.75" customHeight="1">
      <c r="A2204" s="88">
        <f t="shared" si="8"/>
        <v>45668</v>
      </c>
      <c r="B2204" s="72" t="str">
        <f t="shared" si="1"/>
        <v>20250111</v>
      </c>
      <c r="C2204" s="72" t="str">
        <f t="shared" si="2"/>
        <v>Saturday</v>
      </c>
      <c r="D2204" s="72" t="str">
        <f t="shared" si="3"/>
        <v>January</v>
      </c>
      <c r="E2204" s="72" t="str">
        <f t="shared" si="4"/>
        <v>Q1</v>
      </c>
      <c r="F2204" s="72">
        <f t="shared" si="5"/>
        <v>2025</v>
      </c>
      <c r="G2204" s="89">
        <f t="shared" si="6"/>
        <v>45668</v>
      </c>
      <c r="H2204" s="72" t="str">
        <f t="shared" si="7"/>
        <v>No</v>
      </c>
    </row>
    <row r="2205" ht="15.75" customHeight="1">
      <c r="A2205" s="88">
        <f t="shared" si="8"/>
        <v>45669</v>
      </c>
      <c r="B2205" s="72" t="str">
        <f t="shared" si="1"/>
        <v>20250112</v>
      </c>
      <c r="C2205" s="72" t="str">
        <f t="shared" si="2"/>
        <v>Sunday</v>
      </c>
      <c r="D2205" s="72" t="str">
        <f t="shared" si="3"/>
        <v>January</v>
      </c>
      <c r="E2205" s="72" t="str">
        <f t="shared" si="4"/>
        <v>Q1</v>
      </c>
      <c r="F2205" s="72">
        <f t="shared" si="5"/>
        <v>2025</v>
      </c>
      <c r="G2205" s="89">
        <f t="shared" si="6"/>
        <v>45675</v>
      </c>
      <c r="H2205" s="72" t="str">
        <f t="shared" si="7"/>
        <v>No</v>
      </c>
    </row>
    <row r="2206" ht="15.75" customHeight="1">
      <c r="A2206" s="88">
        <f t="shared" si="8"/>
        <v>45670</v>
      </c>
      <c r="B2206" s="72" t="str">
        <f t="shared" si="1"/>
        <v>20250113</v>
      </c>
      <c r="C2206" s="72" t="str">
        <f t="shared" si="2"/>
        <v>Monday</v>
      </c>
      <c r="D2206" s="72" t="str">
        <f t="shared" si="3"/>
        <v>January</v>
      </c>
      <c r="E2206" s="72" t="str">
        <f t="shared" si="4"/>
        <v>Q1</v>
      </c>
      <c r="F2206" s="72">
        <f t="shared" si="5"/>
        <v>2025</v>
      </c>
      <c r="G2206" s="89">
        <f t="shared" si="6"/>
        <v>45675</v>
      </c>
      <c r="H2206" s="72" t="str">
        <f t="shared" si="7"/>
        <v>Yes</v>
      </c>
    </row>
    <row r="2207" ht="15.75" customHeight="1">
      <c r="A2207" s="88">
        <f t="shared" si="8"/>
        <v>45671</v>
      </c>
      <c r="B2207" s="72" t="str">
        <f t="shared" si="1"/>
        <v>20250114</v>
      </c>
      <c r="C2207" s="72" t="str">
        <f t="shared" si="2"/>
        <v>Tuesday</v>
      </c>
      <c r="D2207" s="72" t="str">
        <f t="shared" si="3"/>
        <v>January</v>
      </c>
      <c r="E2207" s="72" t="str">
        <f t="shared" si="4"/>
        <v>Q1</v>
      </c>
      <c r="F2207" s="72">
        <f t="shared" si="5"/>
        <v>2025</v>
      </c>
      <c r="G2207" s="89">
        <f t="shared" si="6"/>
        <v>45675</v>
      </c>
      <c r="H2207" s="72" t="str">
        <f t="shared" si="7"/>
        <v>Yes</v>
      </c>
    </row>
    <row r="2208" ht="15.75" customHeight="1">
      <c r="A2208" s="88">
        <f t="shared" si="8"/>
        <v>45672</v>
      </c>
      <c r="B2208" s="72" t="str">
        <f t="shared" si="1"/>
        <v>20250115</v>
      </c>
      <c r="C2208" s="72" t="str">
        <f t="shared" si="2"/>
        <v>Wednesday</v>
      </c>
      <c r="D2208" s="72" t="str">
        <f t="shared" si="3"/>
        <v>January</v>
      </c>
      <c r="E2208" s="72" t="str">
        <f t="shared" si="4"/>
        <v>Q1</v>
      </c>
      <c r="F2208" s="72">
        <f t="shared" si="5"/>
        <v>2025</v>
      </c>
      <c r="G2208" s="89">
        <f t="shared" si="6"/>
        <v>45675</v>
      </c>
      <c r="H2208" s="72" t="str">
        <f t="shared" si="7"/>
        <v>Yes</v>
      </c>
    </row>
    <row r="2209" ht="15.75" customHeight="1">
      <c r="A2209" s="88">
        <f t="shared" si="8"/>
        <v>45673</v>
      </c>
      <c r="B2209" s="72" t="str">
        <f t="shared" si="1"/>
        <v>20250116</v>
      </c>
      <c r="C2209" s="72" t="str">
        <f t="shared" si="2"/>
        <v>Thursday</v>
      </c>
      <c r="D2209" s="72" t="str">
        <f t="shared" si="3"/>
        <v>January</v>
      </c>
      <c r="E2209" s="72" t="str">
        <f t="shared" si="4"/>
        <v>Q1</v>
      </c>
      <c r="F2209" s="72">
        <f t="shared" si="5"/>
        <v>2025</v>
      </c>
      <c r="G2209" s="89">
        <f t="shared" si="6"/>
        <v>45675</v>
      </c>
      <c r="H2209" s="72" t="str">
        <f t="shared" si="7"/>
        <v>Yes</v>
      </c>
    </row>
    <row r="2210" ht="15.75" customHeight="1">
      <c r="A2210" s="88">
        <f t="shared" si="8"/>
        <v>45674</v>
      </c>
      <c r="B2210" s="72" t="str">
        <f t="shared" si="1"/>
        <v>20250117</v>
      </c>
      <c r="C2210" s="72" t="str">
        <f t="shared" si="2"/>
        <v>Friday</v>
      </c>
      <c r="D2210" s="72" t="str">
        <f t="shared" si="3"/>
        <v>January</v>
      </c>
      <c r="E2210" s="72" t="str">
        <f t="shared" si="4"/>
        <v>Q1</v>
      </c>
      <c r="F2210" s="72">
        <f t="shared" si="5"/>
        <v>2025</v>
      </c>
      <c r="G2210" s="89">
        <f t="shared" si="6"/>
        <v>45675</v>
      </c>
      <c r="H2210" s="72" t="str">
        <f t="shared" si="7"/>
        <v>Yes</v>
      </c>
    </row>
    <row r="2211" ht="15.75" customHeight="1">
      <c r="A2211" s="88">
        <f t="shared" si="8"/>
        <v>45675</v>
      </c>
      <c r="B2211" s="72" t="str">
        <f t="shared" si="1"/>
        <v>20250118</v>
      </c>
      <c r="C2211" s="72" t="str">
        <f t="shared" si="2"/>
        <v>Saturday</v>
      </c>
      <c r="D2211" s="72" t="str">
        <f t="shared" si="3"/>
        <v>January</v>
      </c>
      <c r="E2211" s="72" t="str">
        <f t="shared" si="4"/>
        <v>Q1</v>
      </c>
      <c r="F2211" s="72">
        <f t="shared" si="5"/>
        <v>2025</v>
      </c>
      <c r="G2211" s="89">
        <f t="shared" si="6"/>
        <v>45675</v>
      </c>
      <c r="H2211" s="72" t="str">
        <f t="shared" si="7"/>
        <v>No</v>
      </c>
    </row>
    <row r="2212" ht="15.75" customHeight="1">
      <c r="A2212" s="88">
        <f t="shared" si="8"/>
        <v>45676</v>
      </c>
      <c r="B2212" s="72" t="str">
        <f t="shared" si="1"/>
        <v>20250119</v>
      </c>
      <c r="C2212" s="72" t="str">
        <f t="shared" si="2"/>
        <v>Sunday</v>
      </c>
      <c r="D2212" s="72" t="str">
        <f t="shared" si="3"/>
        <v>January</v>
      </c>
      <c r="E2212" s="72" t="str">
        <f t="shared" si="4"/>
        <v>Q1</v>
      </c>
      <c r="F2212" s="72">
        <f t="shared" si="5"/>
        <v>2025</v>
      </c>
      <c r="G2212" s="89">
        <f t="shared" si="6"/>
        <v>45682</v>
      </c>
      <c r="H2212" s="72" t="str">
        <f t="shared" si="7"/>
        <v>No</v>
      </c>
    </row>
    <row r="2213" ht="15.75" customHeight="1">
      <c r="A2213" s="88">
        <f t="shared" si="8"/>
        <v>45677</v>
      </c>
      <c r="B2213" s="72" t="str">
        <f t="shared" si="1"/>
        <v>20250120</v>
      </c>
      <c r="C2213" s="72" t="str">
        <f t="shared" si="2"/>
        <v>Monday</v>
      </c>
      <c r="D2213" s="72" t="str">
        <f t="shared" si="3"/>
        <v>January</v>
      </c>
      <c r="E2213" s="72" t="str">
        <f t="shared" si="4"/>
        <v>Q1</v>
      </c>
      <c r="F2213" s="72">
        <f t="shared" si="5"/>
        <v>2025</v>
      </c>
      <c r="G2213" s="89">
        <f t="shared" si="6"/>
        <v>45682</v>
      </c>
      <c r="H2213" s="72" t="str">
        <f t="shared" si="7"/>
        <v>Yes</v>
      </c>
    </row>
    <row r="2214" ht="15.75" customHeight="1">
      <c r="A2214" s="88">
        <f t="shared" si="8"/>
        <v>45678</v>
      </c>
      <c r="B2214" s="72" t="str">
        <f t="shared" si="1"/>
        <v>20250121</v>
      </c>
      <c r="C2214" s="72" t="str">
        <f t="shared" si="2"/>
        <v>Tuesday</v>
      </c>
      <c r="D2214" s="72" t="str">
        <f t="shared" si="3"/>
        <v>January</v>
      </c>
      <c r="E2214" s="72" t="str">
        <f t="shared" si="4"/>
        <v>Q1</v>
      </c>
      <c r="F2214" s="72">
        <f t="shared" si="5"/>
        <v>2025</v>
      </c>
      <c r="G2214" s="89">
        <f t="shared" si="6"/>
        <v>45682</v>
      </c>
      <c r="H2214" s="72" t="str">
        <f t="shared" si="7"/>
        <v>Yes</v>
      </c>
    </row>
    <row r="2215" ht="15.75" customHeight="1">
      <c r="A2215" s="88">
        <f t="shared" si="8"/>
        <v>45679</v>
      </c>
      <c r="B2215" s="72" t="str">
        <f t="shared" si="1"/>
        <v>20250122</v>
      </c>
      <c r="C2215" s="72" t="str">
        <f t="shared" si="2"/>
        <v>Wednesday</v>
      </c>
      <c r="D2215" s="72" t="str">
        <f t="shared" si="3"/>
        <v>January</v>
      </c>
      <c r="E2215" s="72" t="str">
        <f t="shared" si="4"/>
        <v>Q1</v>
      </c>
      <c r="F2215" s="72">
        <f t="shared" si="5"/>
        <v>2025</v>
      </c>
      <c r="G2215" s="89">
        <f t="shared" si="6"/>
        <v>45682</v>
      </c>
      <c r="H2215" s="72" t="str">
        <f t="shared" si="7"/>
        <v>Yes</v>
      </c>
    </row>
    <row r="2216" ht="15.75" customHeight="1">
      <c r="A2216" s="88">
        <f t="shared" si="8"/>
        <v>45680</v>
      </c>
      <c r="B2216" s="72" t="str">
        <f t="shared" si="1"/>
        <v>20250123</v>
      </c>
      <c r="C2216" s="72" t="str">
        <f t="shared" si="2"/>
        <v>Thursday</v>
      </c>
      <c r="D2216" s="72" t="str">
        <f t="shared" si="3"/>
        <v>January</v>
      </c>
      <c r="E2216" s="72" t="str">
        <f t="shared" si="4"/>
        <v>Q1</v>
      </c>
      <c r="F2216" s="72">
        <f t="shared" si="5"/>
        <v>2025</v>
      </c>
      <c r="G2216" s="89">
        <f t="shared" si="6"/>
        <v>45682</v>
      </c>
      <c r="H2216" s="72" t="str">
        <f t="shared" si="7"/>
        <v>Yes</v>
      </c>
    </row>
    <row r="2217" ht="15.75" customHeight="1">
      <c r="A2217" s="88">
        <f t="shared" si="8"/>
        <v>45681</v>
      </c>
      <c r="B2217" s="72" t="str">
        <f t="shared" si="1"/>
        <v>20250124</v>
      </c>
      <c r="C2217" s="72" t="str">
        <f t="shared" si="2"/>
        <v>Friday</v>
      </c>
      <c r="D2217" s="72" t="str">
        <f t="shared" si="3"/>
        <v>January</v>
      </c>
      <c r="E2217" s="72" t="str">
        <f t="shared" si="4"/>
        <v>Q1</v>
      </c>
      <c r="F2217" s="72">
        <f t="shared" si="5"/>
        <v>2025</v>
      </c>
      <c r="G2217" s="89">
        <f t="shared" si="6"/>
        <v>45682</v>
      </c>
      <c r="H2217" s="72" t="str">
        <f t="shared" si="7"/>
        <v>Yes</v>
      </c>
    </row>
    <row r="2218" ht="15.75" customHeight="1">
      <c r="A2218" s="88">
        <f t="shared" si="8"/>
        <v>45682</v>
      </c>
      <c r="B2218" s="72" t="str">
        <f t="shared" si="1"/>
        <v>20250125</v>
      </c>
      <c r="C2218" s="72" t="str">
        <f t="shared" si="2"/>
        <v>Saturday</v>
      </c>
      <c r="D2218" s="72" t="str">
        <f t="shared" si="3"/>
        <v>January</v>
      </c>
      <c r="E2218" s="72" t="str">
        <f t="shared" si="4"/>
        <v>Q1</v>
      </c>
      <c r="F2218" s="72">
        <f t="shared" si="5"/>
        <v>2025</v>
      </c>
      <c r="G2218" s="89">
        <f t="shared" si="6"/>
        <v>45682</v>
      </c>
      <c r="H2218" s="72" t="str">
        <f t="shared" si="7"/>
        <v>No</v>
      </c>
    </row>
    <row r="2219" ht="15.75" customHeight="1">
      <c r="A2219" s="88">
        <f t="shared" si="8"/>
        <v>45683</v>
      </c>
      <c r="B2219" s="72" t="str">
        <f t="shared" si="1"/>
        <v>20250126</v>
      </c>
      <c r="C2219" s="72" t="str">
        <f t="shared" si="2"/>
        <v>Sunday</v>
      </c>
      <c r="D2219" s="72" t="str">
        <f t="shared" si="3"/>
        <v>January</v>
      </c>
      <c r="E2219" s="72" t="str">
        <f t="shared" si="4"/>
        <v>Q1</v>
      </c>
      <c r="F2219" s="72">
        <f t="shared" si="5"/>
        <v>2025</v>
      </c>
      <c r="G2219" s="89">
        <f t="shared" si="6"/>
        <v>45689</v>
      </c>
      <c r="H2219" s="72" t="str">
        <f t="shared" si="7"/>
        <v>No</v>
      </c>
    </row>
    <row r="2220" ht="15.75" customHeight="1">
      <c r="A2220" s="88">
        <f t="shared" si="8"/>
        <v>45684</v>
      </c>
      <c r="B2220" s="72" t="str">
        <f t="shared" si="1"/>
        <v>20250127</v>
      </c>
      <c r="C2220" s="72" t="str">
        <f t="shared" si="2"/>
        <v>Monday</v>
      </c>
      <c r="D2220" s="72" t="str">
        <f t="shared" si="3"/>
        <v>January</v>
      </c>
      <c r="E2220" s="72" t="str">
        <f t="shared" si="4"/>
        <v>Q1</v>
      </c>
      <c r="F2220" s="72">
        <f t="shared" si="5"/>
        <v>2025</v>
      </c>
      <c r="G2220" s="89">
        <f t="shared" si="6"/>
        <v>45689</v>
      </c>
      <c r="H2220" s="72" t="str">
        <f t="shared" si="7"/>
        <v>Yes</v>
      </c>
    </row>
    <row r="2221" ht="15.75" customHeight="1">
      <c r="A2221" s="88">
        <f t="shared" si="8"/>
        <v>45685</v>
      </c>
      <c r="B2221" s="72" t="str">
        <f t="shared" si="1"/>
        <v>20250128</v>
      </c>
      <c r="C2221" s="72" t="str">
        <f t="shared" si="2"/>
        <v>Tuesday</v>
      </c>
      <c r="D2221" s="72" t="str">
        <f t="shared" si="3"/>
        <v>January</v>
      </c>
      <c r="E2221" s="72" t="str">
        <f t="shared" si="4"/>
        <v>Q1</v>
      </c>
      <c r="F2221" s="72">
        <f t="shared" si="5"/>
        <v>2025</v>
      </c>
      <c r="G2221" s="89">
        <f t="shared" si="6"/>
        <v>45689</v>
      </c>
      <c r="H2221" s="72" t="str">
        <f t="shared" si="7"/>
        <v>Yes</v>
      </c>
    </row>
    <row r="2222" ht="15.75" customHeight="1">
      <c r="A2222" s="88">
        <f t="shared" si="8"/>
        <v>45686</v>
      </c>
      <c r="B2222" s="72" t="str">
        <f t="shared" si="1"/>
        <v>20250129</v>
      </c>
      <c r="C2222" s="72" t="str">
        <f t="shared" si="2"/>
        <v>Wednesday</v>
      </c>
      <c r="D2222" s="72" t="str">
        <f t="shared" si="3"/>
        <v>January</v>
      </c>
      <c r="E2222" s="72" t="str">
        <f t="shared" si="4"/>
        <v>Q1</v>
      </c>
      <c r="F2222" s="72">
        <f t="shared" si="5"/>
        <v>2025</v>
      </c>
      <c r="G2222" s="89">
        <f t="shared" si="6"/>
        <v>45689</v>
      </c>
      <c r="H2222" s="72" t="str">
        <f t="shared" si="7"/>
        <v>Yes</v>
      </c>
    </row>
    <row r="2223" ht="15.75" customHeight="1">
      <c r="A2223" s="88">
        <f t="shared" si="8"/>
        <v>45687</v>
      </c>
      <c r="B2223" s="72" t="str">
        <f t="shared" si="1"/>
        <v>20250130</v>
      </c>
      <c r="C2223" s="72" t="str">
        <f t="shared" si="2"/>
        <v>Thursday</v>
      </c>
      <c r="D2223" s="72" t="str">
        <f t="shared" si="3"/>
        <v>January</v>
      </c>
      <c r="E2223" s="72" t="str">
        <f t="shared" si="4"/>
        <v>Q1</v>
      </c>
      <c r="F2223" s="72">
        <f t="shared" si="5"/>
        <v>2025</v>
      </c>
      <c r="G2223" s="89">
        <f t="shared" si="6"/>
        <v>45689</v>
      </c>
      <c r="H2223" s="72" t="str">
        <f t="shared" si="7"/>
        <v>Yes</v>
      </c>
    </row>
    <row r="2224" ht="15.75" customHeight="1">
      <c r="A2224" s="88">
        <f t="shared" si="8"/>
        <v>45688</v>
      </c>
      <c r="B2224" s="72" t="str">
        <f t="shared" si="1"/>
        <v>20250131</v>
      </c>
      <c r="C2224" s="72" t="str">
        <f t="shared" si="2"/>
        <v>Friday</v>
      </c>
      <c r="D2224" s="72" t="str">
        <f t="shared" si="3"/>
        <v>January</v>
      </c>
      <c r="E2224" s="72" t="str">
        <f t="shared" si="4"/>
        <v>Q1</v>
      </c>
      <c r="F2224" s="72">
        <f t="shared" si="5"/>
        <v>2025</v>
      </c>
      <c r="G2224" s="89">
        <f t="shared" si="6"/>
        <v>45689</v>
      </c>
      <c r="H2224" s="72" t="str">
        <f t="shared" si="7"/>
        <v>Yes</v>
      </c>
    </row>
    <row r="2225" ht="15.75" customHeight="1">
      <c r="A2225" s="88">
        <f t="shared" si="8"/>
        <v>45689</v>
      </c>
      <c r="B2225" s="72" t="str">
        <f t="shared" si="1"/>
        <v>20250201</v>
      </c>
      <c r="C2225" s="72" t="str">
        <f t="shared" si="2"/>
        <v>Saturday</v>
      </c>
      <c r="D2225" s="72" t="str">
        <f t="shared" si="3"/>
        <v>February</v>
      </c>
      <c r="E2225" s="72" t="str">
        <f t="shared" si="4"/>
        <v>Q1</v>
      </c>
      <c r="F2225" s="72">
        <f t="shared" si="5"/>
        <v>2025</v>
      </c>
      <c r="G2225" s="89">
        <f t="shared" si="6"/>
        <v>45689</v>
      </c>
      <c r="H2225" s="72" t="str">
        <f t="shared" si="7"/>
        <v>No</v>
      </c>
    </row>
    <row r="2226" ht="15.75" customHeight="1">
      <c r="A2226" s="88">
        <f t="shared" si="8"/>
        <v>45690</v>
      </c>
      <c r="B2226" s="72" t="str">
        <f t="shared" si="1"/>
        <v>20250202</v>
      </c>
      <c r="C2226" s="72" t="str">
        <f t="shared" si="2"/>
        <v>Sunday</v>
      </c>
      <c r="D2226" s="72" t="str">
        <f t="shared" si="3"/>
        <v>February</v>
      </c>
      <c r="E2226" s="72" t="str">
        <f t="shared" si="4"/>
        <v>Q1</v>
      </c>
      <c r="F2226" s="72">
        <f t="shared" si="5"/>
        <v>2025</v>
      </c>
      <c r="G2226" s="89">
        <f t="shared" si="6"/>
        <v>45696</v>
      </c>
      <c r="H2226" s="72" t="str">
        <f t="shared" si="7"/>
        <v>No</v>
      </c>
    </row>
    <row r="2227" ht="15.75" customHeight="1">
      <c r="A2227" s="88">
        <f t="shared" si="8"/>
        <v>45691</v>
      </c>
      <c r="B2227" s="72" t="str">
        <f t="shared" si="1"/>
        <v>20250203</v>
      </c>
      <c r="C2227" s="72" t="str">
        <f t="shared" si="2"/>
        <v>Monday</v>
      </c>
      <c r="D2227" s="72" t="str">
        <f t="shared" si="3"/>
        <v>February</v>
      </c>
      <c r="E2227" s="72" t="str">
        <f t="shared" si="4"/>
        <v>Q1</v>
      </c>
      <c r="F2227" s="72">
        <f t="shared" si="5"/>
        <v>2025</v>
      </c>
      <c r="G2227" s="89">
        <f t="shared" si="6"/>
        <v>45696</v>
      </c>
      <c r="H2227" s="72" t="str">
        <f t="shared" si="7"/>
        <v>Yes</v>
      </c>
    </row>
    <row r="2228" ht="15.75" customHeight="1">
      <c r="A2228" s="88">
        <f t="shared" si="8"/>
        <v>45692</v>
      </c>
      <c r="B2228" s="72" t="str">
        <f t="shared" si="1"/>
        <v>20250204</v>
      </c>
      <c r="C2228" s="72" t="str">
        <f t="shared" si="2"/>
        <v>Tuesday</v>
      </c>
      <c r="D2228" s="72" t="str">
        <f t="shared" si="3"/>
        <v>February</v>
      </c>
      <c r="E2228" s="72" t="str">
        <f t="shared" si="4"/>
        <v>Q1</v>
      </c>
      <c r="F2228" s="72">
        <f t="shared" si="5"/>
        <v>2025</v>
      </c>
      <c r="G2228" s="89">
        <f t="shared" si="6"/>
        <v>45696</v>
      </c>
      <c r="H2228" s="72" t="str">
        <f t="shared" si="7"/>
        <v>Yes</v>
      </c>
    </row>
    <row r="2229" ht="15.75" customHeight="1">
      <c r="A2229" s="88">
        <f t="shared" si="8"/>
        <v>45693</v>
      </c>
      <c r="B2229" s="72" t="str">
        <f t="shared" si="1"/>
        <v>20250205</v>
      </c>
      <c r="C2229" s="72" t="str">
        <f t="shared" si="2"/>
        <v>Wednesday</v>
      </c>
      <c r="D2229" s="72" t="str">
        <f t="shared" si="3"/>
        <v>February</v>
      </c>
      <c r="E2229" s="72" t="str">
        <f t="shared" si="4"/>
        <v>Q1</v>
      </c>
      <c r="F2229" s="72">
        <f t="shared" si="5"/>
        <v>2025</v>
      </c>
      <c r="G2229" s="89">
        <f t="shared" si="6"/>
        <v>45696</v>
      </c>
      <c r="H2229" s="72" t="str">
        <f t="shared" si="7"/>
        <v>Yes</v>
      </c>
    </row>
    <row r="2230" ht="15.75" customHeight="1">
      <c r="A2230" s="88">
        <f t="shared" si="8"/>
        <v>45694</v>
      </c>
      <c r="B2230" s="72" t="str">
        <f t="shared" si="1"/>
        <v>20250206</v>
      </c>
      <c r="C2230" s="72" t="str">
        <f t="shared" si="2"/>
        <v>Thursday</v>
      </c>
      <c r="D2230" s="72" t="str">
        <f t="shared" si="3"/>
        <v>February</v>
      </c>
      <c r="E2230" s="72" t="str">
        <f t="shared" si="4"/>
        <v>Q1</v>
      </c>
      <c r="F2230" s="72">
        <f t="shared" si="5"/>
        <v>2025</v>
      </c>
      <c r="G2230" s="89">
        <f t="shared" si="6"/>
        <v>45696</v>
      </c>
      <c r="H2230" s="72" t="str">
        <f t="shared" si="7"/>
        <v>Yes</v>
      </c>
    </row>
    <row r="2231" ht="15.75" customHeight="1">
      <c r="A2231" s="88">
        <f t="shared" si="8"/>
        <v>45695</v>
      </c>
      <c r="B2231" s="72" t="str">
        <f t="shared" si="1"/>
        <v>20250207</v>
      </c>
      <c r="C2231" s="72" t="str">
        <f t="shared" si="2"/>
        <v>Friday</v>
      </c>
      <c r="D2231" s="72" t="str">
        <f t="shared" si="3"/>
        <v>February</v>
      </c>
      <c r="E2231" s="72" t="str">
        <f t="shared" si="4"/>
        <v>Q1</v>
      </c>
      <c r="F2231" s="72">
        <f t="shared" si="5"/>
        <v>2025</v>
      </c>
      <c r="G2231" s="89">
        <f t="shared" si="6"/>
        <v>45696</v>
      </c>
      <c r="H2231" s="72" t="str">
        <f t="shared" si="7"/>
        <v>Yes</v>
      </c>
    </row>
    <row r="2232" ht="15.75" customHeight="1">
      <c r="A2232" s="88">
        <f t="shared" si="8"/>
        <v>45696</v>
      </c>
      <c r="B2232" s="72" t="str">
        <f t="shared" si="1"/>
        <v>20250208</v>
      </c>
      <c r="C2232" s="72" t="str">
        <f t="shared" si="2"/>
        <v>Saturday</v>
      </c>
      <c r="D2232" s="72" t="str">
        <f t="shared" si="3"/>
        <v>February</v>
      </c>
      <c r="E2232" s="72" t="str">
        <f t="shared" si="4"/>
        <v>Q1</v>
      </c>
      <c r="F2232" s="72">
        <f t="shared" si="5"/>
        <v>2025</v>
      </c>
      <c r="G2232" s="89">
        <f t="shared" si="6"/>
        <v>45696</v>
      </c>
      <c r="H2232" s="72" t="str">
        <f t="shared" si="7"/>
        <v>No</v>
      </c>
    </row>
    <row r="2233" ht="15.75" customHeight="1">
      <c r="A2233" s="88">
        <f t="shared" si="8"/>
        <v>45697</v>
      </c>
      <c r="B2233" s="72" t="str">
        <f t="shared" si="1"/>
        <v>20250209</v>
      </c>
      <c r="C2233" s="72" t="str">
        <f t="shared" si="2"/>
        <v>Sunday</v>
      </c>
      <c r="D2233" s="72" t="str">
        <f t="shared" si="3"/>
        <v>February</v>
      </c>
      <c r="E2233" s="72" t="str">
        <f t="shared" si="4"/>
        <v>Q1</v>
      </c>
      <c r="F2233" s="72">
        <f t="shared" si="5"/>
        <v>2025</v>
      </c>
      <c r="G2233" s="89">
        <f t="shared" si="6"/>
        <v>45703</v>
      </c>
      <c r="H2233" s="72" t="str">
        <f t="shared" si="7"/>
        <v>No</v>
      </c>
    </row>
    <row r="2234" ht="15.75" customHeight="1">
      <c r="A2234" s="88">
        <f t="shared" si="8"/>
        <v>45698</v>
      </c>
      <c r="B2234" s="72" t="str">
        <f t="shared" si="1"/>
        <v>20250210</v>
      </c>
      <c r="C2234" s="72" t="str">
        <f t="shared" si="2"/>
        <v>Monday</v>
      </c>
      <c r="D2234" s="72" t="str">
        <f t="shared" si="3"/>
        <v>February</v>
      </c>
      <c r="E2234" s="72" t="str">
        <f t="shared" si="4"/>
        <v>Q1</v>
      </c>
      <c r="F2234" s="72">
        <f t="shared" si="5"/>
        <v>2025</v>
      </c>
      <c r="G2234" s="89">
        <f t="shared" si="6"/>
        <v>45703</v>
      </c>
      <c r="H2234" s="72" t="str">
        <f t="shared" si="7"/>
        <v>Yes</v>
      </c>
    </row>
    <row r="2235" ht="15.75" customHeight="1">
      <c r="A2235" s="88">
        <f t="shared" si="8"/>
        <v>45699</v>
      </c>
      <c r="B2235" s="72" t="str">
        <f t="shared" si="1"/>
        <v>20250211</v>
      </c>
      <c r="C2235" s="72" t="str">
        <f t="shared" si="2"/>
        <v>Tuesday</v>
      </c>
      <c r="D2235" s="72" t="str">
        <f t="shared" si="3"/>
        <v>February</v>
      </c>
      <c r="E2235" s="72" t="str">
        <f t="shared" si="4"/>
        <v>Q1</v>
      </c>
      <c r="F2235" s="72">
        <f t="shared" si="5"/>
        <v>2025</v>
      </c>
      <c r="G2235" s="89">
        <f t="shared" si="6"/>
        <v>45703</v>
      </c>
      <c r="H2235" s="72" t="str">
        <f t="shared" si="7"/>
        <v>Yes</v>
      </c>
    </row>
    <row r="2236" ht="15.75" customHeight="1">
      <c r="A2236" s="88">
        <f t="shared" si="8"/>
        <v>45700</v>
      </c>
      <c r="B2236" s="72" t="str">
        <f t="shared" si="1"/>
        <v>20250212</v>
      </c>
      <c r="C2236" s="72" t="str">
        <f t="shared" si="2"/>
        <v>Wednesday</v>
      </c>
      <c r="D2236" s="72" t="str">
        <f t="shared" si="3"/>
        <v>February</v>
      </c>
      <c r="E2236" s="72" t="str">
        <f t="shared" si="4"/>
        <v>Q1</v>
      </c>
      <c r="F2236" s="72">
        <f t="shared" si="5"/>
        <v>2025</v>
      </c>
      <c r="G2236" s="89">
        <f t="shared" si="6"/>
        <v>45703</v>
      </c>
      <c r="H2236" s="72" t="str">
        <f t="shared" si="7"/>
        <v>Yes</v>
      </c>
    </row>
    <row r="2237" ht="15.75" customHeight="1">
      <c r="A2237" s="88">
        <f t="shared" si="8"/>
        <v>45701</v>
      </c>
      <c r="B2237" s="72" t="str">
        <f t="shared" si="1"/>
        <v>20250213</v>
      </c>
      <c r="C2237" s="72" t="str">
        <f t="shared" si="2"/>
        <v>Thursday</v>
      </c>
      <c r="D2237" s="72" t="str">
        <f t="shared" si="3"/>
        <v>February</v>
      </c>
      <c r="E2237" s="72" t="str">
        <f t="shared" si="4"/>
        <v>Q1</v>
      </c>
      <c r="F2237" s="72">
        <f t="shared" si="5"/>
        <v>2025</v>
      </c>
      <c r="G2237" s="89">
        <f t="shared" si="6"/>
        <v>45703</v>
      </c>
      <c r="H2237" s="72" t="str">
        <f t="shared" si="7"/>
        <v>Yes</v>
      </c>
    </row>
    <row r="2238" ht="15.75" customHeight="1">
      <c r="A2238" s="88">
        <f t="shared" si="8"/>
        <v>45702</v>
      </c>
      <c r="B2238" s="72" t="str">
        <f t="shared" si="1"/>
        <v>20250214</v>
      </c>
      <c r="C2238" s="72" t="str">
        <f t="shared" si="2"/>
        <v>Friday</v>
      </c>
      <c r="D2238" s="72" t="str">
        <f t="shared" si="3"/>
        <v>February</v>
      </c>
      <c r="E2238" s="72" t="str">
        <f t="shared" si="4"/>
        <v>Q1</v>
      </c>
      <c r="F2238" s="72">
        <f t="shared" si="5"/>
        <v>2025</v>
      </c>
      <c r="G2238" s="89">
        <f t="shared" si="6"/>
        <v>45703</v>
      </c>
      <c r="H2238" s="72" t="str">
        <f t="shared" si="7"/>
        <v>Yes</v>
      </c>
    </row>
    <row r="2239" ht="15.75" customHeight="1">
      <c r="A2239" s="88">
        <f t="shared" si="8"/>
        <v>45703</v>
      </c>
      <c r="B2239" s="72" t="str">
        <f t="shared" si="1"/>
        <v>20250215</v>
      </c>
      <c r="C2239" s="72" t="str">
        <f t="shared" si="2"/>
        <v>Saturday</v>
      </c>
      <c r="D2239" s="72" t="str">
        <f t="shared" si="3"/>
        <v>February</v>
      </c>
      <c r="E2239" s="72" t="str">
        <f t="shared" si="4"/>
        <v>Q1</v>
      </c>
      <c r="F2239" s="72">
        <f t="shared" si="5"/>
        <v>2025</v>
      </c>
      <c r="G2239" s="89">
        <f t="shared" si="6"/>
        <v>45703</v>
      </c>
      <c r="H2239" s="72" t="str">
        <f t="shared" si="7"/>
        <v>No</v>
      </c>
    </row>
    <row r="2240" ht="15.75" customHeight="1">
      <c r="A2240" s="88">
        <f t="shared" si="8"/>
        <v>45704</v>
      </c>
      <c r="B2240" s="72" t="str">
        <f t="shared" si="1"/>
        <v>20250216</v>
      </c>
      <c r="C2240" s="72" t="str">
        <f t="shared" si="2"/>
        <v>Sunday</v>
      </c>
      <c r="D2240" s="72" t="str">
        <f t="shared" si="3"/>
        <v>February</v>
      </c>
      <c r="E2240" s="72" t="str">
        <f t="shared" si="4"/>
        <v>Q1</v>
      </c>
      <c r="F2240" s="72">
        <f t="shared" si="5"/>
        <v>2025</v>
      </c>
      <c r="G2240" s="89">
        <f t="shared" si="6"/>
        <v>45710</v>
      </c>
      <c r="H2240" s="72" t="str">
        <f t="shared" si="7"/>
        <v>No</v>
      </c>
    </row>
    <row r="2241" ht="15.75" customHeight="1">
      <c r="A2241" s="88">
        <f t="shared" si="8"/>
        <v>45705</v>
      </c>
      <c r="B2241" s="72" t="str">
        <f t="shared" si="1"/>
        <v>20250217</v>
      </c>
      <c r="C2241" s="72" t="str">
        <f t="shared" si="2"/>
        <v>Monday</v>
      </c>
      <c r="D2241" s="72" t="str">
        <f t="shared" si="3"/>
        <v>February</v>
      </c>
      <c r="E2241" s="72" t="str">
        <f t="shared" si="4"/>
        <v>Q1</v>
      </c>
      <c r="F2241" s="72">
        <f t="shared" si="5"/>
        <v>2025</v>
      </c>
      <c r="G2241" s="89">
        <f t="shared" si="6"/>
        <v>45710</v>
      </c>
      <c r="H2241" s="72" t="str">
        <f t="shared" si="7"/>
        <v>Yes</v>
      </c>
    </row>
    <row r="2242" ht="15.75" customHeight="1">
      <c r="A2242" s="88">
        <f t="shared" si="8"/>
        <v>45706</v>
      </c>
      <c r="B2242" s="72" t="str">
        <f t="shared" si="1"/>
        <v>20250218</v>
      </c>
      <c r="C2242" s="72" t="str">
        <f t="shared" si="2"/>
        <v>Tuesday</v>
      </c>
      <c r="D2242" s="72" t="str">
        <f t="shared" si="3"/>
        <v>February</v>
      </c>
      <c r="E2242" s="72" t="str">
        <f t="shared" si="4"/>
        <v>Q1</v>
      </c>
      <c r="F2242" s="72">
        <f t="shared" si="5"/>
        <v>2025</v>
      </c>
      <c r="G2242" s="89">
        <f t="shared" si="6"/>
        <v>45710</v>
      </c>
      <c r="H2242" s="72" t="str">
        <f t="shared" si="7"/>
        <v>Yes</v>
      </c>
    </row>
    <row r="2243" ht="15.75" customHeight="1">
      <c r="A2243" s="88">
        <f t="shared" si="8"/>
        <v>45707</v>
      </c>
      <c r="B2243" s="72" t="str">
        <f t="shared" si="1"/>
        <v>20250219</v>
      </c>
      <c r="C2243" s="72" t="str">
        <f t="shared" si="2"/>
        <v>Wednesday</v>
      </c>
      <c r="D2243" s="72" t="str">
        <f t="shared" si="3"/>
        <v>February</v>
      </c>
      <c r="E2243" s="72" t="str">
        <f t="shared" si="4"/>
        <v>Q1</v>
      </c>
      <c r="F2243" s="72">
        <f t="shared" si="5"/>
        <v>2025</v>
      </c>
      <c r="G2243" s="89">
        <f t="shared" si="6"/>
        <v>45710</v>
      </c>
      <c r="H2243" s="72" t="str">
        <f t="shared" si="7"/>
        <v>Yes</v>
      </c>
    </row>
    <row r="2244" ht="15.75" customHeight="1">
      <c r="A2244" s="88">
        <f t="shared" si="8"/>
        <v>45708</v>
      </c>
      <c r="B2244" s="72" t="str">
        <f t="shared" si="1"/>
        <v>20250220</v>
      </c>
      <c r="C2244" s="72" t="str">
        <f t="shared" si="2"/>
        <v>Thursday</v>
      </c>
      <c r="D2244" s="72" t="str">
        <f t="shared" si="3"/>
        <v>February</v>
      </c>
      <c r="E2244" s="72" t="str">
        <f t="shared" si="4"/>
        <v>Q1</v>
      </c>
      <c r="F2244" s="72">
        <f t="shared" si="5"/>
        <v>2025</v>
      </c>
      <c r="G2244" s="89">
        <f t="shared" si="6"/>
        <v>45710</v>
      </c>
      <c r="H2244" s="72" t="str">
        <f t="shared" si="7"/>
        <v>Yes</v>
      </c>
    </row>
    <row r="2245" ht="15.75" customHeight="1">
      <c r="A2245" s="88">
        <f t="shared" si="8"/>
        <v>45709</v>
      </c>
      <c r="B2245" s="72" t="str">
        <f t="shared" si="1"/>
        <v>20250221</v>
      </c>
      <c r="C2245" s="72" t="str">
        <f t="shared" si="2"/>
        <v>Friday</v>
      </c>
      <c r="D2245" s="72" t="str">
        <f t="shared" si="3"/>
        <v>February</v>
      </c>
      <c r="E2245" s="72" t="str">
        <f t="shared" si="4"/>
        <v>Q1</v>
      </c>
      <c r="F2245" s="72">
        <f t="shared" si="5"/>
        <v>2025</v>
      </c>
      <c r="G2245" s="89">
        <f t="shared" si="6"/>
        <v>45710</v>
      </c>
      <c r="H2245" s="72" t="str">
        <f t="shared" si="7"/>
        <v>Yes</v>
      </c>
    </row>
    <row r="2246" ht="15.75" customHeight="1">
      <c r="A2246" s="88">
        <f t="shared" si="8"/>
        <v>45710</v>
      </c>
      <c r="B2246" s="72" t="str">
        <f t="shared" si="1"/>
        <v>20250222</v>
      </c>
      <c r="C2246" s="72" t="str">
        <f t="shared" si="2"/>
        <v>Saturday</v>
      </c>
      <c r="D2246" s="72" t="str">
        <f t="shared" si="3"/>
        <v>February</v>
      </c>
      <c r="E2246" s="72" t="str">
        <f t="shared" si="4"/>
        <v>Q1</v>
      </c>
      <c r="F2246" s="72">
        <f t="shared" si="5"/>
        <v>2025</v>
      </c>
      <c r="G2246" s="89">
        <f t="shared" si="6"/>
        <v>45710</v>
      </c>
      <c r="H2246" s="72" t="str">
        <f t="shared" si="7"/>
        <v>No</v>
      </c>
    </row>
    <row r="2247" ht="15.75" customHeight="1">
      <c r="A2247" s="88">
        <f t="shared" si="8"/>
        <v>45711</v>
      </c>
      <c r="B2247" s="72" t="str">
        <f t="shared" si="1"/>
        <v>20250223</v>
      </c>
      <c r="C2247" s="72" t="str">
        <f t="shared" si="2"/>
        <v>Sunday</v>
      </c>
      <c r="D2247" s="72" t="str">
        <f t="shared" si="3"/>
        <v>February</v>
      </c>
      <c r="E2247" s="72" t="str">
        <f t="shared" si="4"/>
        <v>Q1</v>
      </c>
      <c r="F2247" s="72">
        <f t="shared" si="5"/>
        <v>2025</v>
      </c>
      <c r="G2247" s="89">
        <f t="shared" si="6"/>
        <v>45717</v>
      </c>
      <c r="H2247" s="72" t="str">
        <f t="shared" si="7"/>
        <v>No</v>
      </c>
    </row>
    <row r="2248" ht="15.75" customHeight="1">
      <c r="A2248" s="88">
        <f t="shared" si="8"/>
        <v>45712</v>
      </c>
      <c r="B2248" s="72" t="str">
        <f t="shared" si="1"/>
        <v>20250224</v>
      </c>
      <c r="C2248" s="72" t="str">
        <f t="shared" si="2"/>
        <v>Monday</v>
      </c>
      <c r="D2248" s="72" t="str">
        <f t="shared" si="3"/>
        <v>February</v>
      </c>
      <c r="E2248" s="72" t="str">
        <f t="shared" si="4"/>
        <v>Q1</v>
      </c>
      <c r="F2248" s="72">
        <f t="shared" si="5"/>
        <v>2025</v>
      </c>
      <c r="G2248" s="89">
        <f t="shared" si="6"/>
        <v>45717</v>
      </c>
      <c r="H2248" s="72" t="str">
        <f t="shared" si="7"/>
        <v>Yes</v>
      </c>
    </row>
    <row r="2249" ht="15.75" customHeight="1">
      <c r="A2249" s="88">
        <f t="shared" si="8"/>
        <v>45713</v>
      </c>
      <c r="B2249" s="72" t="str">
        <f t="shared" si="1"/>
        <v>20250225</v>
      </c>
      <c r="C2249" s="72" t="str">
        <f t="shared" si="2"/>
        <v>Tuesday</v>
      </c>
      <c r="D2249" s="72" t="str">
        <f t="shared" si="3"/>
        <v>February</v>
      </c>
      <c r="E2249" s="72" t="str">
        <f t="shared" si="4"/>
        <v>Q1</v>
      </c>
      <c r="F2249" s="72">
        <f t="shared" si="5"/>
        <v>2025</v>
      </c>
      <c r="G2249" s="89">
        <f t="shared" si="6"/>
        <v>45717</v>
      </c>
      <c r="H2249" s="72" t="str">
        <f t="shared" si="7"/>
        <v>Yes</v>
      </c>
    </row>
    <row r="2250" ht="15.75" customHeight="1">
      <c r="A2250" s="88">
        <f t="shared" si="8"/>
        <v>45714</v>
      </c>
      <c r="B2250" s="72" t="str">
        <f t="shared" si="1"/>
        <v>20250226</v>
      </c>
      <c r="C2250" s="72" t="str">
        <f t="shared" si="2"/>
        <v>Wednesday</v>
      </c>
      <c r="D2250" s="72" t="str">
        <f t="shared" si="3"/>
        <v>February</v>
      </c>
      <c r="E2250" s="72" t="str">
        <f t="shared" si="4"/>
        <v>Q1</v>
      </c>
      <c r="F2250" s="72">
        <f t="shared" si="5"/>
        <v>2025</v>
      </c>
      <c r="G2250" s="89">
        <f t="shared" si="6"/>
        <v>45717</v>
      </c>
      <c r="H2250" s="72" t="str">
        <f t="shared" si="7"/>
        <v>Yes</v>
      </c>
    </row>
    <row r="2251" ht="15.75" customHeight="1">
      <c r="A2251" s="88">
        <f t="shared" si="8"/>
        <v>45715</v>
      </c>
      <c r="B2251" s="72" t="str">
        <f t="shared" si="1"/>
        <v>20250227</v>
      </c>
      <c r="C2251" s="72" t="str">
        <f t="shared" si="2"/>
        <v>Thursday</v>
      </c>
      <c r="D2251" s="72" t="str">
        <f t="shared" si="3"/>
        <v>February</v>
      </c>
      <c r="E2251" s="72" t="str">
        <f t="shared" si="4"/>
        <v>Q1</v>
      </c>
      <c r="F2251" s="72">
        <f t="shared" si="5"/>
        <v>2025</v>
      </c>
      <c r="G2251" s="89">
        <f t="shared" si="6"/>
        <v>45717</v>
      </c>
      <c r="H2251" s="72" t="str">
        <f t="shared" si="7"/>
        <v>Yes</v>
      </c>
    </row>
    <row r="2252" ht="15.75" customHeight="1">
      <c r="A2252" s="88">
        <f t="shared" si="8"/>
        <v>45716</v>
      </c>
      <c r="B2252" s="72" t="str">
        <f t="shared" si="1"/>
        <v>20250228</v>
      </c>
      <c r="C2252" s="72" t="str">
        <f t="shared" si="2"/>
        <v>Friday</v>
      </c>
      <c r="D2252" s="72" t="str">
        <f t="shared" si="3"/>
        <v>February</v>
      </c>
      <c r="E2252" s="72" t="str">
        <f t="shared" si="4"/>
        <v>Q1</v>
      </c>
      <c r="F2252" s="72">
        <f t="shared" si="5"/>
        <v>2025</v>
      </c>
      <c r="G2252" s="89">
        <f t="shared" si="6"/>
        <v>45717</v>
      </c>
      <c r="H2252" s="72" t="str">
        <f t="shared" si="7"/>
        <v>Yes</v>
      </c>
    </row>
    <row r="2253" ht="15.75" customHeight="1">
      <c r="A2253" s="88">
        <f t="shared" si="8"/>
        <v>45717</v>
      </c>
      <c r="B2253" s="72" t="str">
        <f t="shared" si="1"/>
        <v>20250301</v>
      </c>
      <c r="C2253" s="72" t="str">
        <f t="shared" si="2"/>
        <v>Saturday</v>
      </c>
      <c r="D2253" s="72" t="str">
        <f t="shared" si="3"/>
        <v>March</v>
      </c>
      <c r="E2253" s="72" t="str">
        <f t="shared" si="4"/>
        <v>Q1</v>
      </c>
      <c r="F2253" s="72">
        <f t="shared" si="5"/>
        <v>2025</v>
      </c>
      <c r="G2253" s="89">
        <f t="shared" si="6"/>
        <v>45717</v>
      </c>
      <c r="H2253" s="72" t="str">
        <f t="shared" si="7"/>
        <v>No</v>
      </c>
    </row>
    <row r="2254" ht="15.75" customHeight="1">
      <c r="A2254" s="88">
        <f t="shared" si="8"/>
        <v>45718</v>
      </c>
      <c r="B2254" s="72" t="str">
        <f t="shared" si="1"/>
        <v>20250302</v>
      </c>
      <c r="C2254" s="72" t="str">
        <f t="shared" si="2"/>
        <v>Sunday</v>
      </c>
      <c r="D2254" s="72" t="str">
        <f t="shared" si="3"/>
        <v>March</v>
      </c>
      <c r="E2254" s="72" t="str">
        <f t="shared" si="4"/>
        <v>Q1</v>
      </c>
      <c r="F2254" s="72">
        <f t="shared" si="5"/>
        <v>2025</v>
      </c>
      <c r="G2254" s="89">
        <f t="shared" si="6"/>
        <v>45724</v>
      </c>
      <c r="H2254" s="72" t="str">
        <f t="shared" si="7"/>
        <v>No</v>
      </c>
    </row>
    <row r="2255" ht="15.75" customHeight="1">
      <c r="A2255" s="88">
        <f t="shared" si="8"/>
        <v>45719</v>
      </c>
      <c r="B2255" s="72" t="str">
        <f t="shared" si="1"/>
        <v>20250303</v>
      </c>
      <c r="C2255" s="72" t="str">
        <f t="shared" si="2"/>
        <v>Monday</v>
      </c>
      <c r="D2255" s="72" t="str">
        <f t="shared" si="3"/>
        <v>March</v>
      </c>
      <c r="E2255" s="72" t="str">
        <f t="shared" si="4"/>
        <v>Q1</v>
      </c>
      <c r="F2255" s="72">
        <f t="shared" si="5"/>
        <v>2025</v>
      </c>
      <c r="G2255" s="89">
        <f t="shared" si="6"/>
        <v>45724</v>
      </c>
      <c r="H2255" s="72" t="str">
        <f t="shared" si="7"/>
        <v>Yes</v>
      </c>
    </row>
    <row r="2256" ht="15.75" customHeight="1">
      <c r="A2256" s="88">
        <f t="shared" si="8"/>
        <v>45720</v>
      </c>
      <c r="B2256" s="72" t="str">
        <f t="shared" si="1"/>
        <v>20250304</v>
      </c>
      <c r="C2256" s="72" t="str">
        <f t="shared" si="2"/>
        <v>Tuesday</v>
      </c>
      <c r="D2256" s="72" t="str">
        <f t="shared" si="3"/>
        <v>March</v>
      </c>
      <c r="E2256" s="72" t="str">
        <f t="shared" si="4"/>
        <v>Q1</v>
      </c>
      <c r="F2256" s="72">
        <f t="shared" si="5"/>
        <v>2025</v>
      </c>
      <c r="G2256" s="89">
        <f t="shared" si="6"/>
        <v>45724</v>
      </c>
      <c r="H2256" s="72" t="str">
        <f t="shared" si="7"/>
        <v>Yes</v>
      </c>
    </row>
    <row r="2257" ht="15.75" customHeight="1">
      <c r="A2257" s="88">
        <f t="shared" si="8"/>
        <v>45721</v>
      </c>
      <c r="B2257" s="72" t="str">
        <f t="shared" si="1"/>
        <v>20250305</v>
      </c>
      <c r="C2257" s="72" t="str">
        <f t="shared" si="2"/>
        <v>Wednesday</v>
      </c>
      <c r="D2257" s="72" t="str">
        <f t="shared" si="3"/>
        <v>March</v>
      </c>
      <c r="E2257" s="72" t="str">
        <f t="shared" si="4"/>
        <v>Q1</v>
      </c>
      <c r="F2257" s="72">
        <f t="shared" si="5"/>
        <v>2025</v>
      </c>
      <c r="G2257" s="89">
        <f t="shared" si="6"/>
        <v>45724</v>
      </c>
      <c r="H2257" s="72" t="str">
        <f t="shared" si="7"/>
        <v>Yes</v>
      </c>
    </row>
    <row r="2258" ht="15.75" customHeight="1">
      <c r="A2258" s="88">
        <f t="shared" si="8"/>
        <v>45722</v>
      </c>
      <c r="B2258" s="72" t="str">
        <f t="shared" si="1"/>
        <v>20250306</v>
      </c>
      <c r="C2258" s="72" t="str">
        <f t="shared" si="2"/>
        <v>Thursday</v>
      </c>
      <c r="D2258" s="72" t="str">
        <f t="shared" si="3"/>
        <v>March</v>
      </c>
      <c r="E2258" s="72" t="str">
        <f t="shared" si="4"/>
        <v>Q1</v>
      </c>
      <c r="F2258" s="72">
        <f t="shared" si="5"/>
        <v>2025</v>
      </c>
      <c r="G2258" s="89">
        <f t="shared" si="6"/>
        <v>45724</v>
      </c>
      <c r="H2258" s="72" t="str">
        <f t="shared" si="7"/>
        <v>Yes</v>
      </c>
    </row>
    <row r="2259" ht="15.75" customHeight="1">
      <c r="A2259" s="88">
        <f t="shared" si="8"/>
        <v>45723</v>
      </c>
      <c r="B2259" s="72" t="str">
        <f t="shared" si="1"/>
        <v>20250307</v>
      </c>
      <c r="C2259" s="72" t="str">
        <f t="shared" si="2"/>
        <v>Friday</v>
      </c>
      <c r="D2259" s="72" t="str">
        <f t="shared" si="3"/>
        <v>March</v>
      </c>
      <c r="E2259" s="72" t="str">
        <f t="shared" si="4"/>
        <v>Q1</v>
      </c>
      <c r="F2259" s="72">
        <f t="shared" si="5"/>
        <v>2025</v>
      </c>
      <c r="G2259" s="89">
        <f t="shared" si="6"/>
        <v>45724</v>
      </c>
      <c r="H2259" s="72" t="str">
        <f t="shared" si="7"/>
        <v>Yes</v>
      </c>
    </row>
    <row r="2260" ht="15.75" customHeight="1">
      <c r="A2260" s="88">
        <f t="shared" si="8"/>
        <v>45724</v>
      </c>
      <c r="B2260" s="72" t="str">
        <f t="shared" si="1"/>
        <v>20250308</v>
      </c>
      <c r="C2260" s="72" t="str">
        <f t="shared" si="2"/>
        <v>Saturday</v>
      </c>
      <c r="D2260" s="72" t="str">
        <f t="shared" si="3"/>
        <v>March</v>
      </c>
      <c r="E2260" s="72" t="str">
        <f t="shared" si="4"/>
        <v>Q1</v>
      </c>
      <c r="F2260" s="72">
        <f t="shared" si="5"/>
        <v>2025</v>
      </c>
      <c r="G2260" s="89">
        <f t="shared" si="6"/>
        <v>45724</v>
      </c>
      <c r="H2260" s="72" t="str">
        <f t="shared" si="7"/>
        <v>No</v>
      </c>
    </row>
    <row r="2261" ht="15.75" customHeight="1">
      <c r="A2261" s="88">
        <f t="shared" si="8"/>
        <v>45725</v>
      </c>
      <c r="B2261" s="72" t="str">
        <f t="shared" si="1"/>
        <v>20250309</v>
      </c>
      <c r="C2261" s="72" t="str">
        <f t="shared" si="2"/>
        <v>Sunday</v>
      </c>
      <c r="D2261" s="72" t="str">
        <f t="shared" si="3"/>
        <v>March</v>
      </c>
      <c r="E2261" s="72" t="str">
        <f t="shared" si="4"/>
        <v>Q1</v>
      </c>
      <c r="F2261" s="72">
        <f t="shared" si="5"/>
        <v>2025</v>
      </c>
      <c r="G2261" s="89">
        <f t="shared" si="6"/>
        <v>45731</v>
      </c>
      <c r="H2261" s="72" t="str">
        <f t="shared" si="7"/>
        <v>No</v>
      </c>
    </row>
    <row r="2262" ht="15.75" customHeight="1">
      <c r="A2262" s="88">
        <f t="shared" si="8"/>
        <v>45726</v>
      </c>
      <c r="B2262" s="72" t="str">
        <f t="shared" si="1"/>
        <v>20250310</v>
      </c>
      <c r="C2262" s="72" t="str">
        <f t="shared" si="2"/>
        <v>Monday</v>
      </c>
      <c r="D2262" s="72" t="str">
        <f t="shared" si="3"/>
        <v>March</v>
      </c>
      <c r="E2262" s="72" t="str">
        <f t="shared" si="4"/>
        <v>Q1</v>
      </c>
      <c r="F2262" s="72">
        <f t="shared" si="5"/>
        <v>2025</v>
      </c>
      <c r="G2262" s="89">
        <f t="shared" si="6"/>
        <v>45731</v>
      </c>
      <c r="H2262" s="72" t="str">
        <f t="shared" si="7"/>
        <v>Yes</v>
      </c>
    </row>
    <row r="2263" ht="15.75" customHeight="1">
      <c r="A2263" s="88">
        <f t="shared" si="8"/>
        <v>45727</v>
      </c>
      <c r="B2263" s="72" t="str">
        <f t="shared" si="1"/>
        <v>20250311</v>
      </c>
      <c r="C2263" s="72" t="str">
        <f t="shared" si="2"/>
        <v>Tuesday</v>
      </c>
      <c r="D2263" s="72" t="str">
        <f t="shared" si="3"/>
        <v>March</v>
      </c>
      <c r="E2263" s="72" t="str">
        <f t="shared" si="4"/>
        <v>Q1</v>
      </c>
      <c r="F2263" s="72">
        <f t="shared" si="5"/>
        <v>2025</v>
      </c>
      <c r="G2263" s="89">
        <f t="shared" si="6"/>
        <v>45731</v>
      </c>
      <c r="H2263" s="72" t="str">
        <f t="shared" si="7"/>
        <v>Yes</v>
      </c>
    </row>
    <row r="2264" ht="15.75" customHeight="1">
      <c r="A2264" s="88">
        <f t="shared" si="8"/>
        <v>45728</v>
      </c>
      <c r="B2264" s="72" t="str">
        <f t="shared" si="1"/>
        <v>20250312</v>
      </c>
      <c r="C2264" s="72" t="str">
        <f t="shared" si="2"/>
        <v>Wednesday</v>
      </c>
      <c r="D2264" s="72" t="str">
        <f t="shared" si="3"/>
        <v>March</v>
      </c>
      <c r="E2264" s="72" t="str">
        <f t="shared" si="4"/>
        <v>Q1</v>
      </c>
      <c r="F2264" s="72">
        <f t="shared" si="5"/>
        <v>2025</v>
      </c>
      <c r="G2264" s="89">
        <f t="shared" si="6"/>
        <v>45731</v>
      </c>
      <c r="H2264" s="72" t="str">
        <f t="shared" si="7"/>
        <v>Yes</v>
      </c>
    </row>
    <row r="2265" ht="15.75" customHeight="1">
      <c r="A2265" s="88">
        <f t="shared" si="8"/>
        <v>45729</v>
      </c>
      <c r="B2265" s="72" t="str">
        <f t="shared" si="1"/>
        <v>20250313</v>
      </c>
      <c r="C2265" s="72" t="str">
        <f t="shared" si="2"/>
        <v>Thursday</v>
      </c>
      <c r="D2265" s="72" t="str">
        <f t="shared" si="3"/>
        <v>March</v>
      </c>
      <c r="E2265" s="72" t="str">
        <f t="shared" si="4"/>
        <v>Q1</v>
      </c>
      <c r="F2265" s="72">
        <f t="shared" si="5"/>
        <v>2025</v>
      </c>
      <c r="G2265" s="89">
        <f t="shared" si="6"/>
        <v>45731</v>
      </c>
      <c r="H2265" s="72" t="str">
        <f t="shared" si="7"/>
        <v>Yes</v>
      </c>
    </row>
    <row r="2266" ht="15.75" customHeight="1">
      <c r="A2266" s="88">
        <f t="shared" si="8"/>
        <v>45730</v>
      </c>
      <c r="B2266" s="72" t="str">
        <f t="shared" si="1"/>
        <v>20250314</v>
      </c>
      <c r="C2266" s="72" t="str">
        <f t="shared" si="2"/>
        <v>Friday</v>
      </c>
      <c r="D2266" s="72" t="str">
        <f t="shared" si="3"/>
        <v>March</v>
      </c>
      <c r="E2266" s="72" t="str">
        <f t="shared" si="4"/>
        <v>Q1</v>
      </c>
      <c r="F2266" s="72">
        <f t="shared" si="5"/>
        <v>2025</v>
      </c>
      <c r="G2266" s="89">
        <f t="shared" si="6"/>
        <v>45731</v>
      </c>
      <c r="H2266" s="72" t="str">
        <f t="shared" si="7"/>
        <v>Yes</v>
      </c>
    </row>
    <row r="2267" ht="15.75" customHeight="1">
      <c r="A2267" s="88">
        <f t="shared" si="8"/>
        <v>45731</v>
      </c>
      <c r="B2267" s="72" t="str">
        <f t="shared" si="1"/>
        <v>20250315</v>
      </c>
      <c r="C2267" s="72" t="str">
        <f t="shared" si="2"/>
        <v>Saturday</v>
      </c>
      <c r="D2267" s="72" t="str">
        <f t="shared" si="3"/>
        <v>March</v>
      </c>
      <c r="E2267" s="72" t="str">
        <f t="shared" si="4"/>
        <v>Q1</v>
      </c>
      <c r="F2267" s="72">
        <f t="shared" si="5"/>
        <v>2025</v>
      </c>
      <c r="G2267" s="89">
        <f t="shared" si="6"/>
        <v>45731</v>
      </c>
      <c r="H2267" s="72" t="str">
        <f t="shared" si="7"/>
        <v>No</v>
      </c>
    </row>
    <row r="2268" ht="15.75" customHeight="1">
      <c r="A2268" s="88">
        <f t="shared" si="8"/>
        <v>45732</v>
      </c>
      <c r="B2268" s="72" t="str">
        <f t="shared" si="1"/>
        <v>20250316</v>
      </c>
      <c r="C2268" s="72" t="str">
        <f t="shared" si="2"/>
        <v>Sunday</v>
      </c>
      <c r="D2268" s="72" t="str">
        <f t="shared" si="3"/>
        <v>March</v>
      </c>
      <c r="E2268" s="72" t="str">
        <f t="shared" si="4"/>
        <v>Q1</v>
      </c>
      <c r="F2268" s="72">
        <f t="shared" si="5"/>
        <v>2025</v>
      </c>
      <c r="G2268" s="89">
        <f t="shared" si="6"/>
        <v>45738</v>
      </c>
      <c r="H2268" s="72" t="str">
        <f t="shared" si="7"/>
        <v>No</v>
      </c>
    </row>
    <row r="2269" ht="15.75" customHeight="1">
      <c r="A2269" s="88">
        <f t="shared" si="8"/>
        <v>45733</v>
      </c>
      <c r="B2269" s="72" t="str">
        <f t="shared" si="1"/>
        <v>20250317</v>
      </c>
      <c r="C2269" s="72" t="str">
        <f t="shared" si="2"/>
        <v>Monday</v>
      </c>
      <c r="D2269" s="72" t="str">
        <f t="shared" si="3"/>
        <v>March</v>
      </c>
      <c r="E2269" s="72" t="str">
        <f t="shared" si="4"/>
        <v>Q1</v>
      </c>
      <c r="F2269" s="72">
        <f t="shared" si="5"/>
        <v>2025</v>
      </c>
      <c r="G2269" s="89">
        <f t="shared" si="6"/>
        <v>45738</v>
      </c>
      <c r="H2269" s="72" t="str">
        <f t="shared" si="7"/>
        <v>Yes</v>
      </c>
    </row>
    <row r="2270" ht="15.75" customHeight="1">
      <c r="A2270" s="88">
        <f t="shared" si="8"/>
        <v>45734</v>
      </c>
      <c r="B2270" s="72" t="str">
        <f t="shared" si="1"/>
        <v>20250318</v>
      </c>
      <c r="C2270" s="72" t="str">
        <f t="shared" si="2"/>
        <v>Tuesday</v>
      </c>
      <c r="D2270" s="72" t="str">
        <f t="shared" si="3"/>
        <v>March</v>
      </c>
      <c r="E2270" s="72" t="str">
        <f t="shared" si="4"/>
        <v>Q1</v>
      </c>
      <c r="F2270" s="72">
        <f t="shared" si="5"/>
        <v>2025</v>
      </c>
      <c r="G2270" s="89">
        <f t="shared" si="6"/>
        <v>45738</v>
      </c>
      <c r="H2270" s="72" t="str">
        <f t="shared" si="7"/>
        <v>Yes</v>
      </c>
    </row>
    <row r="2271" ht="15.75" customHeight="1">
      <c r="A2271" s="88">
        <f t="shared" si="8"/>
        <v>45735</v>
      </c>
      <c r="B2271" s="72" t="str">
        <f t="shared" si="1"/>
        <v>20250319</v>
      </c>
      <c r="C2271" s="72" t="str">
        <f t="shared" si="2"/>
        <v>Wednesday</v>
      </c>
      <c r="D2271" s="72" t="str">
        <f t="shared" si="3"/>
        <v>March</v>
      </c>
      <c r="E2271" s="72" t="str">
        <f t="shared" si="4"/>
        <v>Q1</v>
      </c>
      <c r="F2271" s="72">
        <f t="shared" si="5"/>
        <v>2025</v>
      </c>
      <c r="G2271" s="89">
        <f t="shared" si="6"/>
        <v>45738</v>
      </c>
      <c r="H2271" s="72" t="str">
        <f t="shared" si="7"/>
        <v>Yes</v>
      </c>
    </row>
    <row r="2272" ht="15.75" customHeight="1">
      <c r="A2272" s="88">
        <f t="shared" si="8"/>
        <v>45736</v>
      </c>
      <c r="B2272" s="72" t="str">
        <f t="shared" si="1"/>
        <v>20250320</v>
      </c>
      <c r="C2272" s="72" t="str">
        <f t="shared" si="2"/>
        <v>Thursday</v>
      </c>
      <c r="D2272" s="72" t="str">
        <f t="shared" si="3"/>
        <v>March</v>
      </c>
      <c r="E2272" s="72" t="str">
        <f t="shared" si="4"/>
        <v>Q1</v>
      </c>
      <c r="F2272" s="72">
        <f t="shared" si="5"/>
        <v>2025</v>
      </c>
      <c r="G2272" s="89">
        <f t="shared" si="6"/>
        <v>45738</v>
      </c>
      <c r="H2272" s="72" t="str">
        <f t="shared" si="7"/>
        <v>Yes</v>
      </c>
    </row>
    <row r="2273" ht="15.75" customHeight="1">
      <c r="A2273" s="88">
        <f t="shared" si="8"/>
        <v>45737</v>
      </c>
      <c r="B2273" s="72" t="str">
        <f t="shared" si="1"/>
        <v>20250321</v>
      </c>
      <c r="C2273" s="72" t="str">
        <f t="shared" si="2"/>
        <v>Friday</v>
      </c>
      <c r="D2273" s="72" t="str">
        <f t="shared" si="3"/>
        <v>March</v>
      </c>
      <c r="E2273" s="72" t="str">
        <f t="shared" si="4"/>
        <v>Q1</v>
      </c>
      <c r="F2273" s="72">
        <f t="shared" si="5"/>
        <v>2025</v>
      </c>
      <c r="G2273" s="89">
        <f t="shared" si="6"/>
        <v>45738</v>
      </c>
      <c r="H2273" s="72" t="str">
        <f t="shared" si="7"/>
        <v>Yes</v>
      </c>
    </row>
    <row r="2274" ht="15.75" customHeight="1">
      <c r="A2274" s="88">
        <f t="shared" si="8"/>
        <v>45738</v>
      </c>
      <c r="B2274" s="72" t="str">
        <f t="shared" si="1"/>
        <v>20250322</v>
      </c>
      <c r="C2274" s="72" t="str">
        <f t="shared" si="2"/>
        <v>Saturday</v>
      </c>
      <c r="D2274" s="72" t="str">
        <f t="shared" si="3"/>
        <v>March</v>
      </c>
      <c r="E2274" s="72" t="str">
        <f t="shared" si="4"/>
        <v>Q1</v>
      </c>
      <c r="F2274" s="72">
        <f t="shared" si="5"/>
        <v>2025</v>
      </c>
      <c r="G2274" s="89">
        <f t="shared" si="6"/>
        <v>45738</v>
      </c>
      <c r="H2274" s="72" t="str">
        <f t="shared" si="7"/>
        <v>No</v>
      </c>
    </row>
    <row r="2275" ht="15.75" customHeight="1">
      <c r="A2275" s="88">
        <f t="shared" si="8"/>
        <v>45739</v>
      </c>
      <c r="B2275" s="72" t="str">
        <f t="shared" si="1"/>
        <v>20250323</v>
      </c>
      <c r="C2275" s="72" t="str">
        <f t="shared" si="2"/>
        <v>Sunday</v>
      </c>
      <c r="D2275" s="72" t="str">
        <f t="shared" si="3"/>
        <v>March</v>
      </c>
      <c r="E2275" s="72" t="str">
        <f t="shared" si="4"/>
        <v>Q1</v>
      </c>
      <c r="F2275" s="72">
        <f t="shared" si="5"/>
        <v>2025</v>
      </c>
      <c r="G2275" s="89">
        <f t="shared" si="6"/>
        <v>45745</v>
      </c>
      <c r="H2275" s="72" t="str">
        <f t="shared" si="7"/>
        <v>No</v>
      </c>
    </row>
    <row r="2276" ht="15.75" customHeight="1">
      <c r="A2276" s="88">
        <f t="shared" si="8"/>
        <v>45740</v>
      </c>
      <c r="B2276" s="72" t="str">
        <f t="shared" si="1"/>
        <v>20250324</v>
      </c>
      <c r="C2276" s="72" t="str">
        <f t="shared" si="2"/>
        <v>Monday</v>
      </c>
      <c r="D2276" s="72" t="str">
        <f t="shared" si="3"/>
        <v>March</v>
      </c>
      <c r="E2276" s="72" t="str">
        <f t="shared" si="4"/>
        <v>Q1</v>
      </c>
      <c r="F2276" s="72">
        <f t="shared" si="5"/>
        <v>2025</v>
      </c>
      <c r="G2276" s="89">
        <f t="shared" si="6"/>
        <v>45745</v>
      </c>
      <c r="H2276" s="72" t="str">
        <f t="shared" si="7"/>
        <v>Yes</v>
      </c>
    </row>
    <row r="2277" ht="15.75" customHeight="1">
      <c r="A2277" s="88">
        <f t="shared" si="8"/>
        <v>45741</v>
      </c>
      <c r="B2277" s="72" t="str">
        <f t="shared" si="1"/>
        <v>20250325</v>
      </c>
      <c r="C2277" s="72" t="str">
        <f t="shared" si="2"/>
        <v>Tuesday</v>
      </c>
      <c r="D2277" s="72" t="str">
        <f t="shared" si="3"/>
        <v>March</v>
      </c>
      <c r="E2277" s="72" t="str">
        <f t="shared" si="4"/>
        <v>Q1</v>
      </c>
      <c r="F2277" s="72">
        <f t="shared" si="5"/>
        <v>2025</v>
      </c>
      <c r="G2277" s="89">
        <f t="shared" si="6"/>
        <v>45745</v>
      </c>
      <c r="H2277" s="72" t="str">
        <f t="shared" si="7"/>
        <v>Yes</v>
      </c>
    </row>
    <row r="2278" ht="15.75" customHeight="1">
      <c r="A2278" s="88">
        <f t="shared" si="8"/>
        <v>45742</v>
      </c>
      <c r="B2278" s="72" t="str">
        <f t="shared" si="1"/>
        <v>20250326</v>
      </c>
      <c r="C2278" s="72" t="str">
        <f t="shared" si="2"/>
        <v>Wednesday</v>
      </c>
      <c r="D2278" s="72" t="str">
        <f t="shared" si="3"/>
        <v>March</v>
      </c>
      <c r="E2278" s="72" t="str">
        <f t="shared" si="4"/>
        <v>Q1</v>
      </c>
      <c r="F2278" s="72">
        <f t="shared" si="5"/>
        <v>2025</v>
      </c>
      <c r="G2278" s="89">
        <f t="shared" si="6"/>
        <v>45745</v>
      </c>
      <c r="H2278" s="72" t="str">
        <f t="shared" si="7"/>
        <v>Yes</v>
      </c>
    </row>
    <row r="2279" ht="15.75" customHeight="1">
      <c r="A2279" s="88">
        <f t="shared" si="8"/>
        <v>45743</v>
      </c>
      <c r="B2279" s="72" t="str">
        <f t="shared" si="1"/>
        <v>20250327</v>
      </c>
      <c r="C2279" s="72" t="str">
        <f t="shared" si="2"/>
        <v>Thursday</v>
      </c>
      <c r="D2279" s="72" t="str">
        <f t="shared" si="3"/>
        <v>March</v>
      </c>
      <c r="E2279" s="72" t="str">
        <f t="shared" si="4"/>
        <v>Q1</v>
      </c>
      <c r="F2279" s="72">
        <f t="shared" si="5"/>
        <v>2025</v>
      </c>
      <c r="G2279" s="89">
        <f t="shared" si="6"/>
        <v>45745</v>
      </c>
      <c r="H2279" s="72" t="str">
        <f t="shared" si="7"/>
        <v>Yes</v>
      </c>
    </row>
    <row r="2280" ht="15.75" customHeight="1">
      <c r="A2280" s="88">
        <f t="shared" si="8"/>
        <v>45744</v>
      </c>
      <c r="B2280" s="72" t="str">
        <f t="shared" si="1"/>
        <v>20250328</v>
      </c>
      <c r="C2280" s="72" t="str">
        <f t="shared" si="2"/>
        <v>Friday</v>
      </c>
      <c r="D2280" s="72" t="str">
        <f t="shared" si="3"/>
        <v>March</v>
      </c>
      <c r="E2280" s="72" t="str">
        <f t="shared" si="4"/>
        <v>Q1</v>
      </c>
      <c r="F2280" s="72">
        <f t="shared" si="5"/>
        <v>2025</v>
      </c>
      <c r="G2280" s="89">
        <f t="shared" si="6"/>
        <v>45745</v>
      </c>
      <c r="H2280" s="72" t="str">
        <f t="shared" si="7"/>
        <v>Yes</v>
      </c>
    </row>
    <row r="2281" ht="15.75" customHeight="1">
      <c r="A2281" s="88">
        <f t="shared" si="8"/>
        <v>45745</v>
      </c>
      <c r="B2281" s="72" t="str">
        <f t="shared" si="1"/>
        <v>20250329</v>
      </c>
      <c r="C2281" s="72" t="str">
        <f t="shared" si="2"/>
        <v>Saturday</v>
      </c>
      <c r="D2281" s="72" t="str">
        <f t="shared" si="3"/>
        <v>March</v>
      </c>
      <c r="E2281" s="72" t="str">
        <f t="shared" si="4"/>
        <v>Q1</v>
      </c>
      <c r="F2281" s="72">
        <f t="shared" si="5"/>
        <v>2025</v>
      </c>
      <c r="G2281" s="89">
        <f t="shared" si="6"/>
        <v>45745</v>
      </c>
      <c r="H2281" s="72" t="str">
        <f t="shared" si="7"/>
        <v>No</v>
      </c>
    </row>
    <row r="2282" ht="15.75" customHeight="1">
      <c r="A2282" s="88">
        <f t="shared" si="8"/>
        <v>45746</v>
      </c>
      <c r="B2282" s="72" t="str">
        <f t="shared" si="1"/>
        <v>20250330</v>
      </c>
      <c r="C2282" s="72" t="str">
        <f t="shared" si="2"/>
        <v>Sunday</v>
      </c>
      <c r="D2282" s="72" t="str">
        <f t="shared" si="3"/>
        <v>March</v>
      </c>
      <c r="E2282" s="72" t="str">
        <f t="shared" si="4"/>
        <v>Q1</v>
      </c>
      <c r="F2282" s="72">
        <f t="shared" si="5"/>
        <v>2025</v>
      </c>
      <c r="G2282" s="89">
        <f t="shared" si="6"/>
        <v>45752</v>
      </c>
      <c r="H2282" s="72" t="str">
        <f t="shared" si="7"/>
        <v>No</v>
      </c>
    </row>
    <row r="2283" ht="15.75" customHeight="1">
      <c r="A2283" s="88">
        <f t="shared" si="8"/>
        <v>45747</v>
      </c>
      <c r="B2283" s="72" t="str">
        <f t="shared" si="1"/>
        <v>20250331</v>
      </c>
      <c r="C2283" s="72" t="str">
        <f t="shared" si="2"/>
        <v>Monday</v>
      </c>
      <c r="D2283" s="72" t="str">
        <f t="shared" si="3"/>
        <v>March</v>
      </c>
      <c r="E2283" s="72" t="str">
        <f t="shared" si="4"/>
        <v>Q1</v>
      </c>
      <c r="F2283" s="72">
        <f t="shared" si="5"/>
        <v>2025</v>
      </c>
      <c r="G2283" s="89">
        <f t="shared" si="6"/>
        <v>45752</v>
      </c>
      <c r="H2283" s="72" t="str">
        <f t="shared" si="7"/>
        <v>Yes</v>
      </c>
    </row>
    <row r="2284" ht="15.75" customHeight="1">
      <c r="A2284" s="88">
        <f t="shared" si="8"/>
        <v>45748</v>
      </c>
      <c r="B2284" s="72" t="str">
        <f t="shared" si="1"/>
        <v>20250401</v>
      </c>
      <c r="C2284" s="72" t="str">
        <f t="shared" si="2"/>
        <v>Tuesday</v>
      </c>
      <c r="D2284" s="72" t="str">
        <f t="shared" si="3"/>
        <v>April</v>
      </c>
      <c r="E2284" s="72" t="str">
        <f t="shared" si="4"/>
        <v>Q2</v>
      </c>
      <c r="F2284" s="72">
        <f t="shared" si="5"/>
        <v>2025</v>
      </c>
      <c r="G2284" s="89">
        <f t="shared" si="6"/>
        <v>45752</v>
      </c>
      <c r="H2284" s="72" t="str">
        <f t="shared" si="7"/>
        <v>Yes</v>
      </c>
    </row>
    <row r="2285" ht="15.75" customHeight="1">
      <c r="A2285" s="88">
        <f t="shared" si="8"/>
        <v>45749</v>
      </c>
      <c r="B2285" s="72" t="str">
        <f t="shared" si="1"/>
        <v>20250402</v>
      </c>
      <c r="C2285" s="72" t="str">
        <f t="shared" si="2"/>
        <v>Wednesday</v>
      </c>
      <c r="D2285" s="72" t="str">
        <f t="shared" si="3"/>
        <v>April</v>
      </c>
      <c r="E2285" s="72" t="str">
        <f t="shared" si="4"/>
        <v>Q2</v>
      </c>
      <c r="F2285" s="72">
        <f t="shared" si="5"/>
        <v>2025</v>
      </c>
      <c r="G2285" s="89">
        <f t="shared" si="6"/>
        <v>45752</v>
      </c>
      <c r="H2285" s="72" t="str">
        <f t="shared" si="7"/>
        <v>Yes</v>
      </c>
    </row>
    <row r="2286" ht="15.75" customHeight="1">
      <c r="A2286" s="88">
        <f t="shared" si="8"/>
        <v>45750</v>
      </c>
      <c r="B2286" s="72" t="str">
        <f t="shared" si="1"/>
        <v>20250403</v>
      </c>
      <c r="C2286" s="72" t="str">
        <f t="shared" si="2"/>
        <v>Thursday</v>
      </c>
      <c r="D2286" s="72" t="str">
        <f t="shared" si="3"/>
        <v>April</v>
      </c>
      <c r="E2286" s="72" t="str">
        <f t="shared" si="4"/>
        <v>Q2</v>
      </c>
      <c r="F2286" s="72">
        <f t="shared" si="5"/>
        <v>2025</v>
      </c>
      <c r="G2286" s="89">
        <f t="shared" si="6"/>
        <v>45752</v>
      </c>
      <c r="H2286" s="72" t="str">
        <f t="shared" si="7"/>
        <v>Yes</v>
      </c>
    </row>
    <row r="2287" ht="15.75" customHeight="1">
      <c r="A2287" s="88">
        <f t="shared" si="8"/>
        <v>45751</v>
      </c>
      <c r="B2287" s="72" t="str">
        <f t="shared" si="1"/>
        <v>20250404</v>
      </c>
      <c r="C2287" s="72" t="str">
        <f t="shared" si="2"/>
        <v>Friday</v>
      </c>
      <c r="D2287" s="72" t="str">
        <f t="shared" si="3"/>
        <v>April</v>
      </c>
      <c r="E2287" s="72" t="str">
        <f t="shared" si="4"/>
        <v>Q2</v>
      </c>
      <c r="F2287" s="72">
        <f t="shared" si="5"/>
        <v>2025</v>
      </c>
      <c r="G2287" s="89">
        <f t="shared" si="6"/>
        <v>45752</v>
      </c>
      <c r="H2287" s="72" t="str">
        <f t="shared" si="7"/>
        <v>Yes</v>
      </c>
    </row>
    <row r="2288" ht="15.75" customHeight="1">
      <c r="A2288" s="88">
        <f t="shared" si="8"/>
        <v>45752</v>
      </c>
      <c r="B2288" s="72" t="str">
        <f t="shared" si="1"/>
        <v>20250405</v>
      </c>
      <c r="C2288" s="72" t="str">
        <f t="shared" si="2"/>
        <v>Saturday</v>
      </c>
      <c r="D2288" s="72" t="str">
        <f t="shared" si="3"/>
        <v>April</v>
      </c>
      <c r="E2288" s="72" t="str">
        <f t="shared" si="4"/>
        <v>Q2</v>
      </c>
      <c r="F2288" s="72">
        <f t="shared" si="5"/>
        <v>2025</v>
      </c>
      <c r="G2288" s="89">
        <f t="shared" si="6"/>
        <v>45752</v>
      </c>
      <c r="H2288" s="72" t="str">
        <f t="shared" si="7"/>
        <v>No</v>
      </c>
    </row>
    <row r="2289" ht="15.75" customHeight="1">
      <c r="A2289" s="88">
        <f t="shared" si="8"/>
        <v>45753</v>
      </c>
      <c r="B2289" s="72" t="str">
        <f t="shared" si="1"/>
        <v>20250406</v>
      </c>
      <c r="C2289" s="72" t="str">
        <f t="shared" si="2"/>
        <v>Sunday</v>
      </c>
      <c r="D2289" s="72" t="str">
        <f t="shared" si="3"/>
        <v>April</v>
      </c>
      <c r="E2289" s="72" t="str">
        <f t="shared" si="4"/>
        <v>Q2</v>
      </c>
      <c r="F2289" s="72">
        <f t="shared" si="5"/>
        <v>2025</v>
      </c>
      <c r="G2289" s="89">
        <f t="shared" si="6"/>
        <v>45759</v>
      </c>
      <c r="H2289" s="72" t="str">
        <f t="shared" si="7"/>
        <v>No</v>
      </c>
    </row>
    <row r="2290" ht="15.75" customHeight="1">
      <c r="A2290" s="88">
        <f t="shared" si="8"/>
        <v>45754</v>
      </c>
      <c r="B2290" s="72" t="str">
        <f t="shared" si="1"/>
        <v>20250407</v>
      </c>
      <c r="C2290" s="72" t="str">
        <f t="shared" si="2"/>
        <v>Monday</v>
      </c>
      <c r="D2290" s="72" t="str">
        <f t="shared" si="3"/>
        <v>April</v>
      </c>
      <c r="E2290" s="72" t="str">
        <f t="shared" si="4"/>
        <v>Q2</v>
      </c>
      <c r="F2290" s="72">
        <f t="shared" si="5"/>
        <v>2025</v>
      </c>
      <c r="G2290" s="89">
        <f t="shared" si="6"/>
        <v>45759</v>
      </c>
      <c r="H2290" s="72" t="str">
        <f t="shared" si="7"/>
        <v>Yes</v>
      </c>
    </row>
    <row r="2291" ht="15.75" customHeight="1">
      <c r="A2291" s="88">
        <f t="shared" si="8"/>
        <v>45755</v>
      </c>
      <c r="B2291" s="72" t="str">
        <f t="shared" si="1"/>
        <v>20250408</v>
      </c>
      <c r="C2291" s="72" t="str">
        <f t="shared" si="2"/>
        <v>Tuesday</v>
      </c>
      <c r="D2291" s="72" t="str">
        <f t="shared" si="3"/>
        <v>April</v>
      </c>
      <c r="E2291" s="72" t="str">
        <f t="shared" si="4"/>
        <v>Q2</v>
      </c>
      <c r="F2291" s="72">
        <f t="shared" si="5"/>
        <v>2025</v>
      </c>
      <c r="G2291" s="89">
        <f t="shared" si="6"/>
        <v>45759</v>
      </c>
      <c r="H2291" s="72" t="str">
        <f t="shared" si="7"/>
        <v>Yes</v>
      </c>
    </row>
    <row r="2292" ht="15.75" customHeight="1">
      <c r="A2292" s="88">
        <f t="shared" si="8"/>
        <v>45756</v>
      </c>
      <c r="B2292" s="72" t="str">
        <f t="shared" si="1"/>
        <v>20250409</v>
      </c>
      <c r="C2292" s="72" t="str">
        <f t="shared" si="2"/>
        <v>Wednesday</v>
      </c>
      <c r="D2292" s="72" t="str">
        <f t="shared" si="3"/>
        <v>April</v>
      </c>
      <c r="E2292" s="72" t="str">
        <f t="shared" si="4"/>
        <v>Q2</v>
      </c>
      <c r="F2292" s="72">
        <f t="shared" si="5"/>
        <v>2025</v>
      </c>
      <c r="G2292" s="89">
        <f t="shared" si="6"/>
        <v>45759</v>
      </c>
      <c r="H2292" s="72" t="str">
        <f t="shared" si="7"/>
        <v>Yes</v>
      </c>
    </row>
    <row r="2293" ht="15.75" customHeight="1">
      <c r="A2293" s="88">
        <f t="shared" si="8"/>
        <v>45757</v>
      </c>
      <c r="B2293" s="72" t="str">
        <f t="shared" si="1"/>
        <v>20250410</v>
      </c>
      <c r="C2293" s="72" t="str">
        <f t="shared" si="2"/>
        <v>Thursday</v>
      </c>
      <c r="D2293" s="72" t="str">
        <f t="shared" si="3"/>
        <v>April</v>
      </c>
      <c r="E2293" s="72" t="str">
        <f t="shared" si="4"/>
        <v>Q2</v>
      </c>
      <c r="F2293" s="72">
        <f t="shared" si="5"/>
        <v>2025</v>
      </c>
      <c r="G2293" s="89">
        <f t="shared" si="6"/>
        <v>45759</v>
      </c>
      <c r="H2293" s="72" t="str">
        <f t="shared" si="7"/>
        <v>Yes</v>
      </c>
    </row>
    <row r="2294" ht="15.75" customHeight="1">
      <c r="A2294" s="88">
        <f t="shared" si="8"/>
        <v>45758</v>
      </c>
      <c r="B2294" s="72" t="str">
        <f t="shared" si="1"/>
        <v>20250411</v>
      </c>
      <c r="C2294" s="72" t="str">
        <f t="shared" si="2"/>
        <v>Friday</v>
      </c>
      <c r="D2294" s="72" t="str">
        <f t="shared" si="3"/>
        <v>April</v>
      </c>
      <c r="E2294" s="72" t="str">
        <f t="shared" si="4"/>
        <v>Q2</v>
      </c>
      <c r="F2294" s="72">
        <f t="shared" si="5"/>
        <v>2025</v>
      </c>
      <c r="G2294" s="89">
        <f t="shared" si="6"/>
        <v>45759</v>
      </c>
      <c r="H2294" s="72" t="str">
        <f t="shared" si="7"/>
        <v>Yes</v>
      </c>
    </row>
    <row r="2295" ht="15.75" customHeight="1">
      <c r="A2295" s="88">
        <f t="shared" si="8"/>
        <v>45759</v>
      </c>
      <c r="B2295" s="72" t="str">
        <f t="shared" si="1"/>
        <v>20250412</v>
      </c>
      <c r="C2295" s="72" t="str">
        <f t="shared" si="2"/>
        <v>Saturday</v>
      </c>
      <c r="D2295" s="72" t="str">
        <f t="shared" si="3"/>
        <v>April</v>
      </c>
      <c r="E2295" s="72" t="str">
        <f t="shared" si="4"/>
        <v>Q2</v>
      </c>
      <c r="F2295" s="72">
        <f t="shared" si="5"/>
        <v>2025</v>
      </c>
      <c r="G2295" s="89">
        <f t="shared" si="6"/>
        <v>45759</v>
      </c>
      <c r="H2295" s="72" t="str">
        <f t="shared" si="7"/>
        <v>No</v>
      </c>
    </row>
    <row r="2296" ht="15.75" customHeight="1">
      <c r="A2296" s="88">
        <f t="shared" si="8"/>
        <v>45760</v>
      </c>
      <c r="B2296" s="72" t="str">
        <f t="shared" si="1"/>
        <v>20250413</v>
      </c>
      <c r="C2296" s="72" t="str">
        <f t="shared" si="2"/>
        <v>Sunday</v>
      </c>
      <c r="D2296" s="72" t="str">
        <f t="shared" si="3"/>
        <v>April</v>
      </c>
      <c r="E2296" s="72" t="str">
        <f t="shared" si="4"/>
        <v>Q2</v>
      </c>
      <c r="F2296" s="72">
        <f t="shared" si="5"/>
        <v>2025</v>
      </c>
      <c r="G2296" s="89">
        <f t="shared" si="6"/>
        <v>45766</v>
      </c>
      <c r="H2296" s="72" t="str">
        <f t="shared" si="7"/>
        <v>No</v>
      </c>
    </row>
    <row r="2297" ht="15.75" customHeight="1">
      <c r="A2297" s="88">
        <f t="shared" si="8"/>
        <v>45761</v>
      </c>
      <c r="B2297" s="72" t="str">
        <f t="shared" si="1"/>
        <v>20250414</v>
      </c>
      <c r="C2297" s="72" t="str">
        <f t="shared" si="2"/>
        <v>Monday</v>
      </c>
      <c r="D2297" s="72" t="str">
        <f t="shared" si="3"/>
        <v>April</v>
      </c>
      <c r="E2297" s="72" t="str">
        <f t="shared" si="4"/>
        <v>Q2</v>
      </c>
      <c r="F2297" s="72">
        <f t="shared" si="5"/>
        <v>2025</v>
      </c>
      <c r="G2297" s="89">
        <f t="shared" si="6"/>
        <v>45766</v>
      </c>
      <c r="H2297" s="72" t="str">
        <f t="shared" si="7"/>
        <v>Yes</v>
      </c>
    </row>
    <row r="2298" ht="15.75" customHeight="1">
      <c r="A2298" s="88">
        <f t="shared" si="8"/>
        <v>45762</v>
      </c>
      <c r="B2298" s="72" t="str">
        <f t="shared" si="1"/>
        <v>20250415</v>
      </c>
      <c r="C2298" s="72" t="str">
        <f t="shared" si="2"/>
        <v>Tuesday</v>
      </c>
      <c r="D2298" s="72" t="str">
        <f t="shared" si="3"/>
        <v>April</v>
      </c>
      <c r="E2298" s="72" t="str">
        <f t="shared" si="4"/>
        <v>Q2</v>
      </c>
      <c r="F2298" s="72">
        <f t="shared" si="5"/>
        <v>2025</v>
      </c>
      <c r="G2298" s="89">
        <f t="shared" si="6"/>
        <v>45766</v>
      </c>
      <c r="H2298" s="72" t="str">
        <f t="shared" si="7"/>
        <v>Yes</v>
      </c>
    </row>
    <row r="2299" ht="15.75" customHeight="1">
      <c r="A2299" s="88">
        <f t="shared" si="8"/>
        <v>45763</v>
      </c>
      <c r="B2299" s="72" t="str">
        <f t="shared" si="1"/>
        <v>20250416</v>
      </c>
      <c r="C2299" s="72" t="str">
        <f t="shared" si="2"/>
        <v>Wednesday</v>
      </c>
      <c r="D2299" s="72" t="str">
        <f t="shared" si="3"/>
        <v>April</v>
      </c>
      <c r="E2299" s="72" t="str">
        <f t="shared" si="4"/>
        <v>Q2</v>
      </c>
      <c r="F2299" s="72">
        <f t="shared" si="5"/>
        <v>2025</v>
      </c>
      <c r="G2299" s="89">
        <f t="shared" si="6"/>
        <v>45766</v>
      </c>
      <c r="H2299" s="72" t="str">
        <f t="shared" si="7"/>
        <v>Yes</v>
      </c>
    </row>
    <row r="2300" ht="15.75" customHeight="1">
      <c r="A2300" s="88">
        <f t="shared" si="8"/>
        <v>45764</v>
      </c>
      <c r="B2300" s="72" t="str">
        <f t="shared" si="1"/>
        <v>20250417</v>
      </c>
      <c r="C2300" s="72" t="str">
        <f t="shared" si="2"/>
        <v>Thursday</v>
      </c>
      <c r="D2300" s="72" t="str">
        <f t="shared" si="3"/>
        <v>April</v>
      </c>
      <c r="E2300" s="72" t="str">
        <f t="shared" si="4"/>
        <v>Q2</v>
      </c>
      <c r="F2300" s="72">
        <f t="shared" si="5"/>
        <v>2025</v>
      </c>
      <c r="G2300" s="89">
        <f t="shared" si="6"/>
        <v>45766</v>
      </c>
      <c r="H2300" s="72" t="str">
        <f t="shared" si="7"/>
        <v>Yes</v>
      </c>
    </row>
    <row r="2301" ht="15.75" customHeight="1">
      <c r="A2301" s="88">
        <f t="shared" si="8"/>
        <v>45765</v>
      </c>
      <c r="B2301" s="72" t="str">
        <f t="shared" si="1"/>
        <v>20250418</v>
      </c>
      <c r="C2301" s="72" t="str">
        <f t="shared" si="2"/>
        <v>Friday</v>
      </c>
      <c r="D2301" s="72" t="str">
        <f t="shared" si="3"/>
        <v>April</v>
      </c>
      <c r="E2301" s="72" t="str">
        <f t="shared" si="4"/>
        <v>Q2</v>
      </c>
      <c r="F2301" s="72">
        <f t="shared" si="5"/>
        <v>2025</v>
      </c>
      <c r="G2301" s="89">
        <f t="shared" si="6"/>
        <v>45766</v>
      </c>
      <c r="H2301" s="72" t="str">
        <f t="shared" si="7"/>
        <v>Yes</v>
      </c>
    </row>
    <row r="2302" ht="15.75" customHeight="1">
      <c r="A2302" s="88">
        <f t="shared" si="8"/>
        <v>45766</v>
      </c>
      <c r="B2302" s="72" t="str">
        <f t="shared" si="1"/>
        <v>20250419</v>
      </c>
      <c r="C2302" s="72" t="str">
        <f t="shared" si="2"/>
        <v>Saturday</v>
      </c>
      <c r="D2302" s="72" t="str">
        <f t="shared" si="3"/>
        <v>April</v>
      </c>
      <c r="E2302" s="72" t="str">
        <f t="shared" si="4"/>
        <v>Q2</v>
      </c>
      <c r="F2302" s="72">
        <f t="shared" si="5"/>
        <v>2025</v>
      </c>
      <c r="G2302" s="89">
        <f t="shared" si="6"/>
        <v>45766</v>
      </c>
      <c r="H2302" s="72" t="str">
        <f t="shared" si="7"/>
        <v>No</v>
      </c>
    </row>
    <row r="2303" ht="15.75" customHeight="1">
      <c r="A2303" s="88">
        <f t="shared" si="8"/>
        <v>45767</v>
      </c>
      <c r="B2303" s="72" t="str">
        <f t="shared" si="1"/>
        <v>20250420</v>
      </c>
      <c r="C2303" s="72" t="str">
        <f t="shared" si="2"/>
        <v>Sunday</v>
      </c>
      <c r="D2303" s="72" t="str">
        <f t="shared" si="3"/>
        <v>April</v>
      </c>
      <c r="E2303" s="72" t="str">
        <f t="shared" si="4"/>
        <v>Q2</v>
      </c>
      <c r="F2303" s="72">
        <f t="shared" si="5"/>
        <v>2025</v>
      </c>
      <c r="G2303" s="89">
        <f t="shared" si="6"/>
        <v>45773</v>
      </c>
      <c r="H2303" s="72" t="str">
        <f t="shared" si="7"/>
        <v>No</v>
      </c>
    </row>
    <row r="2304" ht="15.75" customHeight="1">
      <c r="A2304" s="88">
        <f t="shared" si="8"/>
        <v>45768</v>
      </c>
      <c r="B2304" s="72" t="str">
        <f t="shared" si="1"/>
        <v>20250421</v>
      </c>
      <c r="C2304" s="72" t="str">
        <f t="shared" si="2"/>
        <v>Monday</v>
      </c>
      <c r="D2304" s="72" t="str">
        <f t="shared" si="3"/>
        <v>April</v>
      </c>
      <c r="E2304" s="72" t="str">
        <f t="shared" si="4"/>
        <v>Q2</v>
      </c>
      <c r="F2304" s="72">
        <f t="shared" si="5"/>
        <v>2025</v>
      </c>
      <c r="G2304" s="89">
        <f t="shared" si="6"/>
        <v>45773</v>
      </c>
      <c r="H2304" s="72" t="str">
        <f t="shared" si="7"/>
        <v>Yes</v>
      </c>
    </row>
    <row r="2305" ht="15.75" customHeight="1">
      <c r="A2305" s="88">
        <f t="shared" si="8"/>
        <v>45769</v>
      </c>
      <c r="B2305" s="72" t="str">
        <f t="shared" si="1"/>
        <v>20250422</v>
      </c>
      <c r="C2305" s="72" t="str">
        <f t="shared" si="2"/>
        <v>Tuesday</v>
      </c>
      <c r="D2305" s="72" t="str">
        <f t="shared" si="3"/>
        <v>April</v>
      </c>
      <c r="E2305" s="72" t="str">
        <f t="shared" si="4"/>
        <v>Q2</v>
      </c>
      <c r="F2305" s="72">
        <f t="shared" si="5"/>
        <v>2025</v>
      </c>
      <c r="G2305" s="89">
        <f t="shared" si="6"/>
        <v>45773</v>
      </c>
      <c r="H2305" s="72" t="str">
        <f t="shared" si="7"/>
        <v>Yes</v>
      </c>
    </row>
    <row r="2306" ht="15.75" customHeight="1">
      <c r="A2306" s="88">
        <f t="shared" si="8"/>
        <v>45770</v>
      </c>
      <c r="B2306" s="72" t="str">
        <f t="shared" si="1"/>
        <v>20250423</v>
      </c>
      <c r="C2306" s="72" t="str">
        <f t="shared" si="2"/>
        <v>Wednesday</v>
      </c>
      <c r="D2306" s="72" t="str">
        <f t="shared" si="3"/>
        <v>April</v>
      </c>
      <c r="E2306" s="72" t="str">
        <f t="shared" si="4"/>
        <v>Q2</v>
      </c>
      <c r="F2306" s="72">
        <f t="shared" si="5"/>
        <v>2025</v>
      </c>
      <c r="G2306" s="89">
        <f t="shared" si="6"/>
        <v>45773</v>
      </c>
      <c r="H2306" s="72" t="str">
        <f t="shared" si="7"/>
        <v>Yes</v>
      </c>
    </row>
    <row r="2307" ht="15.75" customHeight="1">
      <c r="A2307" s="88">
        <f t="shared" si="8"/>
        <v>45771</v>
      </c>
      <c r="B2307" s="72" t="str">
        <f t="shared" si="1"/>
        <v>20250424</v>
      </c>
      <c r="C2307" s="72" t="str">
        <f t="shared" si="2"/>
        <v>Thursday</v>
      </c>
      <c r="D2307" s="72" t="str">
        <f t="shared" si="3"/>
        <v>April</v>
      </c>
      <c r="E2307" s="72" t="str">
        <f t="shared" si="4"/>
        <v>Q2</v>
      </c>
      <c r="F2307" s="72">
        <f t="shared" si="5"/>
        <v>2025</v>
      </c>
      <c r="G2307" s="89">
        <f t="shared" si="6"/>
        <v>45773</v>
      </c>
      <c r="H2307" s="72" t="str">
        <f t="shared" si="7"/>
        <v>Yes</v>
      </c>
    </row>
    <row r="2308" ht="15.75" customHeight="1">
      <c r="A2308" s="88">
        <f t="shared" si="8"/>
        <v>45772</v>
      </c>
      <c r="B2308" s="72" t="str">
        <f t="shared" si="1"/>
        <v>20250425</v>
      </c>
      <c r="C2308" s="72" t="str">
        <f t="shared" si="2"/>
        <v>Friday</v>
      </c>
      <c r="D2308" s="72" t="str">
        <f t="shared" si="3"/>
        <v>April</v>
      </c>
      <c r="E2308" s="72" t="str">
        <f t="shared" si="4"/>
        <v>Q2</v>
      </c>
      <c r="F2308" s="72">
        <f t="shared" si="5"/>
        <v>2025</v>
      </c>
      <c r="G2308" s="89">
        <f t="shared" si="6"/>
        <v>45773</v>
      </c>
      <c r="H2308" s="72" t="str">
        <f t="shared" si="7"/>
        <v>Yes</v>
      </c>
    </row>
    <row r="2309" ht="15.75" customHeight="1">
      <c r="A2309" s="88">
        <f t="shared" si="8"/>
        <v>45773</v>
      </c>
      <c r="B2309" s="72" t="str">
        <f t="shared" si="1"/>
        <v>20250426</v>
      </c>
      <c r="C2309" s="72" t="str">
        <f t="shared" si="2"/>
        <v>Saturday</v>
      </c>
      <c r="D2309" s="72" t="str">
        <f t="shared" si="3"/>
        <v>April</v>
      </c>
      <c r="E2309" s="72" t="str">
        <f t="shared" si="4"/>
        <v>Q2</v>
      </c>
      <c r="F2309" s="72">
        <f t="shared" si="5"/>
        <v>2025</v>
      </c>
      <c r="G2309" s="89">
        <f t="shared" si="6"/>
        <v>45773</v>
      </c>
      <c r="H2309" s="72" t="str">
        <f t="shared" si="7"/>
        <v>No</v>
      </c>
    </row>
    <row r="2310" ht="15.75" customHeight="1">
      <c r="A2310" s="88">
        <f t="shared" si="8"/>
        <v>45774</v>
      </c>
      <c r="B2310" s="72" t="str">
        <f t="shared" si="1"/>
        <v>20250427</v>
      </c>
      <c r="C2310" s="72" t="str">
        <f t="shared" si="2"/>
        <v>Sunday</v>
      </c>
      <c r="D2310" s="72" t="str">
        <f t="shared" si="3"/>
        <v>April</v>
      </c>
      <c r="E2310" s="72" t="str">
        <f t="shared" si="4"/>
        <v>Q2</v>
      </c>
      <c r="F2310" s="72">
        <f t="shared" si="5"/>
        <v>2025</v>
      </c>
      <c r="G2310" s="89">
        <f t="shared" si="6"/>
        <v>45780</v>
      </c>
      <c r="H2310" s="72" t="str">
        <f t="shared" si="7"/>
        <v>No</v>
      </c>
    </row>
    <row r="2311" ht="15.75" customHeight="1">
      <c r="A2311" s="88">
        <f t="shared" si="8"/>
        <v>45775</v>
      </c>
      <c r="B2311" s="72" t="str">
        <f t="shared" si="1"/>
        <v>20250428</v>
      </c>
      <c r="C2311" s="72" t="str">
        <f t="shared" si="2"/>
        <v>Monday</v>
      </c>
      <c r="D2311" s="72" t="str">
        <f t="shared" si="3"/>
        <v>April</v>
      </c>
      <c r="E2311" s="72" t="str">
        <f t="shared" si="4"/>
        <v>Q2</v>
      </c>
      <c r="F2311" s="72">
        <f t="shared" si="5"/>
        <v>2025</v>
      </c>
      <c r="G2311" s="89">
        <f t="shared" si="6"/>
        <v>45780</v>
      </c>
      <c r="H2311" s="72" t="str">
        <f t="shared" si="7"/>
        <v>Yes</v>
      </c>
    </row>
    <row r="2312" ht="15.75" customHeight="1">
      <c r="A2312" s="88">
        <f t="shared" si="8"/>
        <v>45776</v>
      </c>
      <c r="B2312" s="72" t="str">
        <f t="shared" si="1"/>
        <v>20250429</v>
      </c>
      <c r="C2312" s="72" t="str">
        <f t="shared" si="2"/>
        <v>Tuesday</v>
      </c>
      <c r="D2312" s="72" t="str">
        <f t="shared" si="3"/>
        <v>April</v>
      </c>
      <c r="E2312" s="72" t="str">
        <f t="shared" si="4"/>
        <v>Q2</v>
      </c>
      <c r="F2312" s="72">
        <f t="shared" si="5"/>
        <v>2025</v>
      </c>
      <c r="G2312" s="89">
        <f t="shared" si="6"/>
        <v>45780</v>
      </c>
      <c r="H2312" s="72" t="str">
        <f t="shared" si="7"/>
        <v>Yes</v>
      </c>
    </row>
    <row r="2313" ht="15.75" customHeight="1">
      <c r="A2313" s="88">
        <f t="shared" si="8"/>
        <v>45777</v>
      </c>
      <c r="B2313" s="72" t="str">
        <f t="shared" si="1"/>
        <v>20250430</v>
      </c>
      <c r="C2313" s="72" t="str">
        <f t="shared" si="2"/>
        <v>Wednesday</v>
      </c>
      <c r="D2313" s="72" t="str">
        <f t="shared" si="3"/>
        <v>April</v>
      </c>
      <c r="E2313" s="72" t="str">
        <f t="shared" si="4"/>
        <v>Q2</v>
      </c>
      <c r="F2313" s="72">
        <f t="shared" si="5"/>
        <v>2025</v>
      </c>
      <c r="G2313" s="89">
        <f t="shared" si="6"/>
        <v>45780</v>
      </c>
      <c r="H2313" s="72" t="str">
        <f t="shared" si="7"/>
        <v>Yes</v>
      </c>
    </row>
    <row r="2314" ht="15.75" customHeight="1">
      <c r="A2314" s="88">
        <f t="shared" si="8"/>
        <v>45778</v>
      </c>
      <c r="B2314" s="72" t="str">
        <f t="shared" si="1"/>
        <v>20250501</v>
      </c>
      <c r="C2314" s="72" t="str">
        <f t="shared" si="2"/>
        <v>Thursday</v>
      </c>
      <c r="D2314" s="72" t="str">
        <f t="shared" si="3"/>
        <v>May</v>
      </c>
      <c r="E2314" s="72" t="str">
        <f t="shared" si="4"/>
        <v>Q2</v>
      </c>
      <c r="F2314" s="72">
        <f t="shared" si="5"/>
        <v>2025</v>
      </c>
      <c r="G2314" s="89">
        <f t="shared" si="6"/>
        <v>45780</v>
      </c>
      <c r="H2314" s="72" t="str">
        <f t="shared" si="7"/>
        <v>Yes</v>
      </c>
    </row>
    <row r="2315" ht="15.75" customHeight="1">
      <c r="A2315" s="88">
        <f t="shared" si="8"/>
        <v>45779</v>
      </c>
      <c r="B2315" s="72" t="str">
        <f t="shared" si="1"/>
        <v>20250502</v>
      </c>
      <c r="C2315" s="72" t="str">
        <f t="shared" si="2"/>
        <v>Friday</v>
      </c>
      <c r="D2315" s="72" t="str">
        <f t="shared" si="3"/>
        <v>May</v>
      </c>
      <c r="E2315" s="72" t="str">
        <f t="shared" si="4"/>
        <v>Q2</v>
      </c>
      <c r="F2315" s="72">
        <f t="shared" si="5"/>
        <v>2025</v>
      </c>
      <c r="G2315" s="89">
        <f t="shared" si="6"/>
        <v>45780</v>
      </c>
      <c r="H2315" s="72" t="str">
        <f t="shared" si="7"/>
        <v>Yes</v>
      </c>
    </row>
    <row r="2316" ht="15.75" customHeight="1">
      <c r="A2316" s="88">
        <f t="shared" si="8"/>
        <v>45780</v>
      </c>
      <c r="B2316" s="72" t="str">
        <f t="shared" si="1"/>
        <v>20250503</v>
      </c>
      <c r="C2316" s="72" t="str">
        <f t="shared" si="2"/>
        <v>Saturday</v>
      </c>
      <c r="D2316" s="72" t="str">
        <f t="shared" si="3"/>
        <v>May</v>
      </c>
      <c r="E2316" s="72" t="str">
        <f t="shared" si="4"/>
        <v>Q2</v>
      </c>
      <c r="F2316" s="72">
        <f t="shared" si="5"/>
        <v>2025</v>
      </c>
      <c r="G2316" s="89">
        <f t="shared" si="6"/>
        <v>45780</v>
      </c>
      <c r="H2316" s="72" t="str">
        <f t="shared" si="7"/>
        <v>No</v>
      </c>
    </row>
    <row r="2317" ht="15.75" customHeight="1">
      <c r="A2317" s="88">
        <f t="shared" si="8"/>
        <v>45781</v>
      </c>
      <c r="B2317" s="72" t="str">
        <f t="shared" si="1"/>
        <v>20250504</v>
      </c>
      <c r="C2317" s="72" t="str">
        <f t="shared" si="2"/>
        <v>Sunday</v>
      </c>
      <c r="D2317" s="72" t="str">
        <f t="shared" si="3"/>
        <v>May</v>
      </c>
      <c r="E2317" s="72" t="str">
        <f t="shared" si="4"/>
        <v>Q2</v>
      </c>
      <c r="F2317" s="72">
        <f t="shared" si="5"/>
        <v>2025</v>
      </c>
      <c r="G2317" s="89">
        <f t="shared" si="6"/>
        <v>45787</v>
      </c>
      <c r="H2317" s="72" t="str">
        <f t="shared" si="7"/>
        <v>No</v>
      </c>
    </row>
    <row r="2318" ht="15.75" customHeight="1">
      <c r="A2318" s="88">
        <f t="shared" si="8"/>
        <v>45782</v>
      </c>
      <c r="B2318" s="72" t="str">
        <f t="shared" si="1"/>
        <v>20250505</v>
      </c>
      <c r="C2318" s="72" t="str">
        <f t="shared" si="2"/>
        <v>Monday</v>
      </c>
      <c r="D2318" s="72" t="str">
        <f t="shared" si="3"/>
        <v>May</v>
      </c>
      <c r="E2318" s="72" t="str">
        <f t="shared" si="4"/>
        <v>Q2</v>
      </c>
      <c r="F2318" s="72">
        <f t="shared" si="5"/>
        <v>2025</v>
      </c>
      <c r="G2318" s="89">
        <f t="shared" si="6"/>
        <v>45787</v>
      </c>
      <c r="H2318" s="72" t="str">
        <f t="shared" si="7"/>
        <v>Yes</v>
      </c>
    </row>
    <row r="2319" ht="15.75" customHeight="1">
      <c r="A2319" s="88">
        <f t="shared" si="8"/>
        <v>45783</v>
      </c>
      <c r="B2319" s="72" t="str">
        <f t="shared" si="1"/>
        <v>20250506</v>
      </c>
      <c r="C2319" s="72" t="str">
        <f t="shared" si="2"/>
        <v>Tuesday</v>
      </c>
      <c r="D2319" s="72" t="str">
        <f t="shared" si="3"/>
        <v>May</v>
      </c>
      <c r="E2319" s="72" t="str">
        <f t="shared" si="4"/>
        <v>Q2</v>
      </c>
      <c r="F2319" s="72">
        <f t="shared" si="5"/>
        <v>2025</v>
      </c>
      <c r="G2319" s="89">
        <f t="shared" si="6"/>
        <v>45787</v>
      </c>
      <c r="H2319" s="72" t="str">
        <f t="shared" si="7"/>
        <v>Yes</v>
      </c>
    </row>
    <row r="2320" ht="15.75" customHeight="1">
      <c r="A2320" s="88">
        <f t="shared" si="8"/>
        <v>45784</v>
      </c>
      <c r="B2320" s="72" t="str">
        <f t="shared" si="1"/>
        <v>20250507</v>
      </c>
      <c r="C2320" s="72" t="str">
        <f t="shared" si="2"/>
        <v>Wednesday</v>
      </c>
      <c r="D2320" s="72" t="str">
        <f t="shared" si="3"/>
        <v>May</v>
      </c>
      <c r="E2320" s="72" t="str">
        <f t="shared" si="4"/>
        <v>Q2</v>
      </c>
      <c r="F2320" s="72">
        <f t="shared" si="5"/>
        <v>2025</v>
      </c>
      <c r="G2320" s="89">
        <f t="shared" si="6"/>
        <v>45787</v>
      </c>
      <c r="H2320" s="72" t="str">
        <f t="shared" si="7"/>
        <v>Yes</v>
      </c>
    </row>
    <row r="2321" ht="15.75" customHeight="1">
      <c r="A2321" s="88">
        <f t="shared" si="8"/>
        <v>45785</v>
      </c>
      <c r="B2321" s="72" t="str">
        <f t="shared" si="1"/>
        <v>20250508</v>
      </c>
      <c r="C2321" s="72" t="str">
        <f t="shared" si="2"/>
        <v>Thursday</v>
      </c>
      <c r="D2321" s="72" t="str">
        <f t="shared" si="3"/>
        <v>May</v>
      </c>
      <c r="E2321" s="72" t="str">
        <f t="shared" si="4"/>
        <v>Q2</v>
      </c>
      <c r="F2321" s="72">
        <f t="shared" si="5"/>
        <v>2025</v>
      </c>
      <c r="G2321" s="89">
        <f t="shared" si="6"/>
        <v>45787</v>
      </c>
      <c r="H2321" s="72" t="str">
        <f t="shared" si="7"/>
        <v>Yes</v>
      </c>
    </row>
    <row r="2322" ht="15.75" customHeight="1">
      <c r="A2322" s="88">
        <f t="shared" si="8"/>
        <v>45786</v>
      </c>
      <c r="B2322" s="72" t="str">
        <f t="shared" si="1"/>
        <v>20250509</v>
      </c>
      <c r="C2322" s="72" t="str">
        <f t="shared" si="2"/>
        <v>Friday</v>
      </c>
      <c r="D2322" s="72" t="str">
        <f t="shared" si="3"/>
        <v>May</v>
      </c>
      <c r="E2322" s="72" t="str">
        <f t="shared" si="4"/>
        <v>Q2</v>
      </c>
      <c r="F2322" s="72">
        <f t="shared" si="5"/>
        <v>2025</v>
      </c>
      <c r="G2322" s="89">
        <f t="shared" si="6"/>
        <v>45787</v>
      </c>
      <c r="H2322" s="72" t="str">
        <f t="shared" si="7"/>
        <v>Yes</v>
      </c>
    </row>
    <row r="2323" ht="15.75" customHeight="1">
      <c r="A2323" s="88">
        <f t="shared" si="8"/>
        <v>45787</v>
      </c>
      <c r="B2323" s="72" t="str">
        <f t="shared" si="1"/>
        <v>20250510</v>
      </c>
      <c r="C2323" s="72" t="str">
        <f t="shared" si="2"/>
        <v>Saturday</v>
      </c>
      <c r="D2323" s="72" t="str">
        <f t="shared" si="3"/>
        <v>May</v>
      </c>
      <c r="E2323" s="72" t="str">
        <f t="shared" si="4"/>
        <v>Q2</v>
      </c>
      <c r="F2323" s="72">
        <f t="shared" si="5"/>
        <v>2025</v>
      </c>
      <c r="G2323" s="89">
        <f t="shared" si="6"/>
        <v>45787</v>
      </c>
      <c r="H2323" s="72" t="str">
        <f t="shared" si="7"/>
        <v>No</v>
      </c>
    </row>
    <row r="2324" ht="15.75" customHeight="1">
      <c r="A2324" s="88">
        <f t="shared" si="8"/>
        <v>45788</v>
      </c>
      <c r="B2324" s="72" t="str">
        <f t="shared" si="1"/>
        <v>20250511</v>
      </c>
      <c r="C2324" s="72" t="str">
        <f t="shared" si="2"/>
        <v>Sunday</v>
      </c>
      <c r="D2324" s="72" t="str">
        <f t="shared" si="3"/>
        <v>May</v>
      </c>
      <c r="E2324" s="72" t="str">
        <f t="shared" si="4"/>
        <v>Q2</v>
      </c>
      <c r="F2324" s="72">
        <f t="shared" si="5"/>
        <v>2025</v>
      </c>
      <c r="G2324" s="89">
        <f t="shared" si="6"/>
        <v>45794</v>
      </c>
      <c r="H2324" s="72" t="str">
        <f t="shared" si="7"/>
        <v>No</v>
      </c>
    </row>
    <row r="2325" ht="15.75" customHeight="1">
      <c r="A2325" s="88">
        <f t="shared" si="8"/>
        <v>45789</v>
      </c>
      <c r="B2325" s="72" t="str">
        <f t="shared" si="1"/>
        <v>20250512</v>
      </c>
      <c r="C2325" s="72" t="str">
        <f t="shared" si="2"/>
        <v>Monday</v>
      </c>
      <c r="D2325" s="72" t="str">
        <f t="shared" si="3"/>
        <v>May</v>
      </c>
      <c r="E2325" s="72" t="str">
        <f t="shared" si="4"/>
        <v>Q2</v>
      </c>
      <c r="F2325" s="72">
        <f t="shared" si="5"/>
        <v>2025</v>
      </c>
      <c r="G2325" s="89">
        <f t="shared" si="6"/>
        <v>45794</v>
      </c>
      <c r="H2325" s="72" t="str">
        <f t="shared" si="7"/>
        <v>Yes</v>
      </c>
    </row>
    <row r="2326" ht="15.75" customHeight="1">
      <c r="A2326" s="88">
        <f t="shared" si="8"/>
        <v>45790</v>
      </c>
      <c r="B2326" s="72" t="str">
        <f t="shared" si="1"/>
        <v>20250513</v>
      </c>
      <c r="C2326" s="72" t="str">
        <f t="shared" si="2"/>
        <v>Tuesday</v>
      </c>
      <c r="D2326" s="72" t="str">
        <f t="shared" si="3"/>
        <v>May</v>
      </c>
      <c r="E2326" s="72" t="str">
        <f t="shared" si="4"/>
        <v>Q2</v>
      </c>
      <c r="F2326" s="72">
        <f t="shared" si="5"/>
        <v>2025</v>
      </c>
      <c r="G2326" s="89">
        <f t="shared" si="6"/>
        <v>45794</v>
      </c>
      <c r="H2326" s="72" t="str">
        <f t="shared" si="7"/>
        <v>Yes</v>
      </c>
    </row>
    <row r="2327" ht="15.75" customHeight="1">
      <c r="A2327" s="88">
        <f t="shared" si="8"/>
        <v>45791</v>
      </c>
      <c r="B2327" s="72" t="str">
        <f t="shared" si="1"/>
        <v>20250514</v>
      </c>
      <c r="C2327" s="72" t="str">
        <f t="shared" si="2"/>
        <v>Wednesday</v>
      </c>
      <c r="D2327" s="72" t="str">
        <f t="shared" si="3"/>
        <v>May</v>
      </c>
      <c r="E2327" s="72" t="str">
        <f t="shared" si="4"/>
        <v>Q2</v>
      </c>
      <c r="F2327" s="72">
        <f t="shared" si="5"/>
        <v>2025</v>
      </c>
      <c r="G2327" s="89">
        <f t="shared" si="6"/>
        <v>45794</v>
      </c>
      <c r="H2327" s="72" t="str">
        <f t="shared" si="7"/>
        <v>Yes</v>
      </c>
    </row>
    <row r="2328" ht="15.75" customHeight="1">
      <c r="A2328" s="88">
        <f t="shared" si="8"/>
        <v>45792</v>
      </c>
      <c r="B2328" s="72" t="str">
        <f t="shared" si="1"/>
        <v>20250515</v>
      </c>
      <c r="C2328" s="72" t="str">
        <f t="shared" si="2"/>
        <v>Thursday</v>
      </c>
      <c r="D2328" s="72" t="str">
        <f t="shared" si="3"/>
        <v>May</v>
      </c>
      <c r="E2328" s="72" t="str">
        <f t="shared" si="4"/>
        <v>Q2</v>
      </c>
      <c r="F2328" s="72">
        <f t="shared" si="5"/>
        <v>2025</v>
      </c>
      <c r="G2328" s="89">
        <f t="shared" si="6"/>
        <v>45794</v>
      </c>
      <c r="H2328" s="72" t="str">
        <f t="shared" si="7"/>
        <v>Yes</v>
      </c>
    </row>
    <row r="2329" ht="15.75" customHeight="1">
      <c r="A2329" s="88">
        <f t="shared" si="8"/>
        <v>45793</v>
      </c>
      <c r="B2329" s="72" t="str">
        <f t="shared" si="1"/>
        <v>20250516</v>
      </c>
      <c r="C2329" s="72" t="str">
        <f t="shared" si="2"/>
        <v>Friday</v>
      </c>
      <c r="D2329" s="72" t="str">
        <f t="shared" si="3"/>
        <v>May</v>
      </c>
      <c r="E2329" s="72" t="str">
        <f t="shared" si="4"/>
        <v>Q2</v>
      </c>
      <c r="F2329" s="72">
        <f t="shared" si="5"/>
        <v>2025</v>
      </c>
      <c r="G2329" s="89">
        <f t="shared" si="6"/>
        <v>45794</v>
      </c>
      <c r="H2329" s="72" t="str">
        <f t="shared" si="7"/>
        <v>Yes</v>
      </c>
    </row>
    <row r="2330" ht="15.75" customHeight="1">
      <c r="A2330" s="88">
        <f t="shared" si="8"/>
        <v>45794</v>
      </c>
      <c r="B2330" s="72" t="str">
        <f t="shared" si="1"/>
        <v>20250517</v>
      </c>
      <c r="C2330" s="72" t="str">
        <f t="shared" si="2"/>
        <v>Saturday</v>
      </c>
      <c r="D2330" s="72" t="str">
        <f t="shared" si="3"/>
        <v>May</v>
      </c>
      <c r="E2330" s="72" t="str">
        <f t="shared" si="4"/>
        <v>Q2</v>
      </c>
      <c r="F2330" s="72">
        <f t="shared" si="5"/>
        <v>2025</v>
      </c>
      <c r="G2330" s="89">
        <f t="shared" si="6"/>
        <v>45794</v>
      </c>
      <c r="H2330" s="72" t="str">
        <f t="shared" si="7"/>
        <v>No</v>
      </c>
    </row>
    <row r="2331" ht="15.75" customHeight="1">
      <c r="A2331" s="88">
        <f t="shared" si="8"/>
        <v>45795</v>
      </c>
      <c r="B2331" s="72" t="str">
        <f t="shared" si="1"/>
        <v>20250518</v>
      </c>
      <c r="C2331" s="72" t="str">
        <f t="shared" si="2"/>
        <v>Sunday</v>
      </c>
      <c r="D2331" s="72" t="str">
        <f t="shared" si="3"/>
        <v>May</v>
      </c>
      <c r="E2331" s="72" t="str">
        <f t="shared" si="4"/>
        <v>Q2</v>
      </c>
      <c r="F2331" s="72">
        <f t="shared" si="5"/>
        <v>2025</v>
      </c>
      <c r="G2331" s="89">
        <f t="shared" si="6"/>
        <v>45801</v>
      </c>
      <c r="H2331" s="72" t="str">
        <f t="shared" si="7"/>
        <v>No</v>
      </c>
    </row>
    <row r="2332" ht="15.75" customHeight="1">
      <c r="A2332" s="88">
        <f t="shared" si="8"/>
        <v>45796</v>
      </c>
      <c r="B2332" s="72" t="str">
        <f t="shared" si="1"/>
        <v>20250519</v>
      </c>
      <c r="C2332" s="72" t="str">
        <f t="shared" si="2"/>
        <v>Monday</v>
      </c>
      <c r="D2332" s="72" t="str">
        <f t="shared" si="3"/>
        <v>May</v>
      </c>
      <c r="E2332" s="72" t="str">
        <f t="shared" si="4"/>
        <v>Q2</v>
      </c>
      <c r="F2332" s="72">
        <f t="shared" si="5"/>
        <v>2025</v>
      </c>
      <c r="G2332" s="89">
        <f t="shared" si="6"/>
        <v>45801</v>
      </c>
      <c r="H2332" s="72" t="str">
        <f t="shared" si="7"/>
        <v>Yes</v>
      </c>
    </row>
    <row r="2333" ht="15.75" customHeight="1">
      <c r="A2333" s="88">
        <f t="shared" si="8"/>
        <v>45797</v>
      </c>
      <c r="B2333" s="72" t="str">
        <f t="shared" si="1"/>
        <v>20250520</v>
      </c>
      <c r="C2333" s="72" t="str">
        <f t="shared" si="2"/>
        <v>Tuesday</v>
      </c>
      <c r="D2333" s="72" t="str">
        <f t="shared" si="3"/>
        <v>May</v>
      </c>
      <c r="E2333" s="72" t="str">
        <f t="shared" si="4"/>
        <v>Q2</v>
      </c>
      <c r="F2333" s="72">
        <f t="shared" si="5"/>
        <v>2025</v>
      </c>
      <c r="G2333" s="89">
        <f t="shared" si="6"/>
        <v>45801</v>
      </c>
      <c r="H2333" s="72" t="str">
        <f t="shared" si="7"/>
        <v>Yes</v>
      </c>
    </row>
    <row r="2334" ht="15.75" customHeight="1">
      <c r="A2334" s="88">
        <f t="shared" si="8"/>
        <v>45798</v>
      </c>
      <c r="B2334" s="72" t="str">
        <f t="shared" si="1"/>
        <v>20250521</v>
      </c>
      <c r="C2334" s="72" t="str">
        <f t="shared" si="2"/>
        <v>Wednesday</v>
      </c>
      <c r="D2334" s="72" t="str">
        <f t="shared" si="3"/>
        <v>May</v>
      </c>
      <c r="E2334" s="72" t="str">
        <f t="shared" si="4"/>
        <v>Q2</v>
      </c>
      <c r="F2334" s="72">
        <f t="shared" si="5"/>
        <v>2025</v>
      </c>
      <c r="G2334" s="89">
        <f t="shared" si="6"/>
        <v>45801</v>
      </c>
      <c r="H2334" s="72" t="str">
        <f t="shared" si="7"/>
        <v>Yes</v>
      </c>
    </row>
    <row r="2335" ht="15.75" customHeight="1">
      <c r="A2335" s="88">
        <f t="shared" si="8"/>
        <v>45799</v>
      </c>
      <c r="B2335" s="72" t="str">
        <f t="shared" si="1"/>
        <v>20250522</v>
      </c>
      <c r="C2335" s="72" t="str">
        <f t="shared" si="2"/>
        <v>Thursday</v>
      </c>
      <c r="D2335" s="72" t="str">
        <f t="shared" si="3"/>
        <v>May</v>
      </c>
      <c r="E2335" s="72" t="str">
        <f t="shared" si="4"/>
        <v>Q2</v>
      </c>
      <c r="F2335" s="72">
        <f t="shared" si="5"/>
        <v>2025</v>
      </c>
      <c r="G2335" s="89">
        <f t="shared" si="6"/>
        <v>45801</v>
      </c>
      <c r="H2335" s="72" t="str">
        <f t="shared" si="7"/>
        <v>Yes</v>
      </c>
    </row>
    <row r="2336" ht="15.75" customHeight="1">
      <c r="A2336" s="88">
        <f t="shared" si="8"/>
        <v>45800</v>
      </c>
      <c r="B2336" s="72" t="str">
        <f t="shared" si="1"/>
        <v>20250523</v>
      </c>
      <c r="C2336" s="72" t="str">
        <f t="shared" si="2"/>
        <v>Friday</v>
      </c>
      <c r="D2336" s="72" t="str">
        <f t="shared" si="3"/>
        <v>May</v>
      </c>
      <c r="E2336" s="72" t="str">
        <f t="shared" si="4"/>
        <v>Q2</v>
      </c>
      <c r="F2336" s="72">
        <f t="shared" si="5"/>
        <v>2025</v>
      </c>
      <c r="G2336" s="89">
        <f t="shared" si="6"/>
        <v>45801</v>
      </c>
      <c r="H2336" s="72" t="str">
        <f t="shared" si="7"/>
        <v>Yes</v>
      </c>
    </row>
    <row r="2337" ht="15.75" customHeight="1">
      <c r="A2337" s="88">
        <f t="shared" si="8"/>
        <v>45801</v>
      </c>
      <c r="B2337" s="72" t="str">
        <f t="shared" si="1"/>
        <v>20250524</v>
      </c>
      <c r="C2337" s="72" t="str">
        <f t="shared" si="2"/>
        <v>Saturday</v>
      </c>
      <c r="D2337" s="72" t="str">
        <f t="shared" si="3"/>
        <v>May</v>
      </c>
      <c r="E2337" s="72" t="str">
        <f t="shared" si="4"/>
        <v>Q2</v>
      </c>
      <c r="F2337" s="72">
        <f t="shared" si="5"/>
        <v>2025</v>
      </c>
      <c r="G2337" s="89">
        <f t="shared" si="6"/>
        <v>45801</v>
      </c>
      <c r="H2337" s="72" t="str">
        <f t="shared" si="7"/>
        <v>No</v>
      </c>
    </row>
    <row r="2338" ht="15.75" customHeight="1">
      <c r="A2338" s="88">
        <f t="shared" si="8"/>
        <v>45802</v>
      </c>
      <c r="B2338" s="72" t="str">
        <f t="shared" si="1"/>
        <v>20250525</v>
      </c>
      <c r="C2338" s="72" t="str">
        <f t="shared" si="2"/>
        <v>Sunday</v>
      </c>
      <c r="D2338" s="72" t="str">
        <f t="shared" si="3"/>
        <v>May</v>
      </c>
      <c r="E2338" s="72" t="str">
        <f t="shared" si="4"/>
        <v>Q2</v>
      </c>
      <c r="F2338" s="72">
        <f t="shared" si="5"/>
        <v>2025</v>
      </c>
      <c r="G2338" s="89">
        <f t="shared" si="6"/>
        <v>45808</v>
      </c>
      <c r="H2338" s="72" t="str">
        <f t="shared" si="7"/>
        <v>No</v>
      </c>
    </row>
    <row r="2339" ht="15.75" customHeight="1">
      <c r="A2339" s="88">
        <f t="shared" si="8"/>
        <v>45803</v>
      </c>
      <c r="B2339" s="72" t="str">
        <f t="shared" si="1"/>
        <v>20250526</v>
      </c>
      <c r="C2339" s="72" t="str">
        <f t="shared" si="2"/>
        <v>Monday</v>
      </c>
      <c r="D2339" s="72" t="str">
        <f t="shared" si="3"/>
        <v>May</v>
      </c>
      <c r="E2339" s="72" t="str">
        <f t="shared" si="4"/>
        <v>Q2</v>
      </c>
      <c r="F2339" s="72">
        <f t="shared" si="5"/>
        <v>2025</v>
      </c>
      <c r="G2339" s="89">
        <f t="shared" si="6"/>
        <v>45808</v>
      </c>
      <c r="H2339" s="72" t="str">
        <f t="shared" si="7"/>
        <v>Yes</v>
      </c>
    </row>
    <row r="2340" ht="15.75" customHeight="1">
      <c r="A2340" s="88">
        <f t="shared" si="8"/>
        <v>45804</v>
      </c>
      <c r="B2340" s="72" t="str">
        <f t="shared" si="1"/>
        <v>20250527</v>
      </c>
      <c r="C2340" s="72" t="str">
        <f t="shared" si="2"/>
        <v>Tuesday</v>
      </c>
      <c r="D2340" s="72" t="str">
        <f t="shared" si="3"/>
        <v>May</v>
      </c>
      <c r="E2340" s="72" t="str">
        <f t="shared" si="4"/>
        <v>Q2</v>
      </c>
      <c r="F2340" s="72">
        <f t="shared" si="5"/>
        <v>2025</v>
      </c>
      <c r="G2340" s="89">
        <f t="shared" si="6"/>
        <v>45808</v>
      </c>
      <c r="H2340" s="72" t="str">
        <f t="shared" si="7"/>
        <v>Yes</v>
      </c>
    </row>
    <row r="2341" ht="15.75" customHeight="1">
      <c r="A2341" s="88">
        <f t="shared" si="8"/>
        <v>45805</v>
      </c>
      <c r="B2341" s="72" t="str">
        <f t="shared" si="1"/>
        <v>20250528</v>
      </c>
      <c r="C2341" s="72" t="str">
        <f t="shared" si="2"/>
        <v>Wednesday</v>
      </c>
      <c r="D2341" s="72" t="str">
        <f t="shared" si="3"/>
        <v>May</v>
      </c>
      <c r="E2341" s="72" t="str">
        <f t="shared" si="4"/>
        <v>Q2</v>
      </c>
      <c r="F2341" s="72">
        <f t="shared" si="5"/>
        <v>2025</v>
      </c>
      <c r="G2341" s="89">
        <f t="shared" si="6"/>
        <v>45808</v>
      </c>
      <c r="H2341" s="72" t="str">
        <f t="shared" si="7"/>
        <v>Yes</v>
      </c>
    </row>
    <row r="2342" ht="15.75" customHeight="1">
      <c r="A2342" s="88">
        <f t="shared" si="8"/>
        <v>45806</v>
      </c>
      <c r="B2342" s="72" t="str">
        <f t="shared" si="1"/>
        <v>20250529</v>
      </c>
      <c r="C2342" s="72" t="str">
        <f t="shared" si="2"/>
        <v>Thursday</v>
      </c>
      <c r="D2342" s="72" t="str">
        <f t="shared" si="3"/>
        <v>May</v>
      </c>
      <c r="E2342" s="72" t="str">
        <f t="shared" si="4"/>
        <v>Q2</v>
      </c>
      <c r="F2342" s="72">
        <f t="shared" si="5"/>
        <v>2025</v>
      </c>
      <c r="G2342" s="89">
        <f t="shared" si="6"/>
        <v>45808</v>
      </c>
      <c r="H2342" s="72" t="str">
        <f t="shared" si="7"/>
        <v>Yes</v>
      </c>
    </row>
    <row r="2343" ht="15.75" customHeight="1">
      <c r="A2343" s="88">
        <f t="shared" si="8"/>
        <v>45807</v>
      </c>
      <c r="B2343" s="72" t="str">
        <f t="shared" si="1"/>
        <v>20250530</v>
      </c>
      <c r="C2343" s="72" t="str">
        <f t="shared" si="2"/>
        <v>Friday</v>
      </c>
      <c r="D2343" s="72" t="str">
        <f t="shared" si="3"/>
        <v>May</v>
      </c>
      <c r="E2343" s="72" t="str">
        <f t="shared" si="4"/>
        <v>Q2</v>
      </c>
      <c r="F2343" s="72">
        <f t="shared" si="5"/>
        <v>2025</v>
      </c>
      <c r="G2343" s="89">
        <f t="shared" si="6"/>
        <v>45808</v>
      </c>
      <c r="H2343" s="72" t="str">
        <f t="shared" si="7"/>
        <v>Yes</v>
      </c>
    </row>
    <row r="2344" ht="15.75" customHeight="1">
      <c r="A2344" s="88">
        <f t="shared" si="8"/>
        <v>45808</v>
      </c>
      <c r="B2344" s="72" t="str">
        <f t="shared" si="1"/>
        <v>20250531</v>
      </c>
      <c r="C2344" s="72" t="str">
        <f t="shared" si="2"/>
        <v>Saturday</v>
      </c>
      <c r="D2344" s="72" t="str">
        <f t="shared" si="3"/>
        <v>May</v>
      </c>
      <c r="E2344" s="72" t="str">
        <f t="shared" si="4"/>
        <v>Q2</v>
      </c>
      <c r="F2344" s="72">
        <f t="shared" si="5"/>
        <v>2025</v>
      </c>
      <c r="G2344" s="89">
        <f t="shared" si="6"/>
        <v>45808</v>
      </c>
      <c r="H2344" s="72" t="str">
        <f t="shared" si="7"/>
        <v>No</v>
      </c>
    </row>
    <row r="2345" ht="15.75" customHeight="1">
      <c r="A2345" s="88">
        <f t="shared" si="8"/>
        <v>45809</v>
      </c>
      <c r="B2345" s="72" t="str">
        <f t="shared" si="1"/>
        <v>20250601</v>
      </c>
      <c r="C2345" s="72" t="str">
        <f t="shared" si="2"/>
        <v>Sunday</v>
      </c>
      <c r="D2345" s="72" t="str">
        <f t="shared" si="3"/>
        <v>June</v>
      </c>
      <c r="E2345" s="72" t="str">
        <f t="shared" si="4"/>
        <v>Q2</v>
      </c>
      <c r="F2345" s="72">
        <f t="shared" si="5"/>
        <v>2025</v>
      </c>
      <c r="G2345" s="89">
        <f t="shared" si="6"/>
        <v>45815</v>
      </c>
      <c r="H2345" s="72" t="str">
        <f t="shared" si="7"/>
        <v>No</v>
      </c>
    </row>
    <row r="2346" ht="15.75" customHeight="1">
      <c r="A2346" s="88">
        <f t="shared" si="8"/>
        <v>45810</v>
      </c>
      <c r="B2346" s="72" t="str">
        <f t="shared" si="1"/>
        <v>20250602</v>
      </c>
      <c r="C2346" s="72" t="str">
        <f t="shared" si="2"/>
        <v>Monday</v>
      </c>
      <c r="D2346" s="72" t="str">
        <f t="shared" si="3"/>
        <v>June</v>
      </c>
      <c r="E2346" s="72" t="str">
        <f t="shared" si="4"/>
        <v>Q2</v>
      </c>
      <c r="F2346" s="72">
        <f t="shared" si="5"/>
        <v>2025</v>
      </c>
      <c r="G2346" s="89">
        <f t="shared" si="6"/>
        <v>45815</v>
      </c>
      <c r="H2346" s="72" t="str">
        <f t="shared" si="7"/>
        <v>Yes</v>
      </c>
    </row>
    <row r="2347" ht="15.75" customHeight="1">
      <c r="A2347" s="88">
        <f t="shared" si="8"/>
        <v>45811</v>
      </c>
      <c r="B2347" s="72" t="str">
        <f t="shared" si="1"/>
        <v>20250603</v>
      </c>
      <c r="C2347" s="72" t="str">
        <f t="shared" si="2"/>
        <v>Tuesday</v>
      </c>
      <c r="D2347" s="72" t="str">
        <f t="shared" si="3"/>
        <v>June</v>
      </c>
      <c r="E2347" s="72" t="str">
        <f t="shared" si="4"/>
        <v>Q2</v>
      </c>
      <c r="F2347" s="72">
        <f t="shared" si="5"/>
        <v>2025</v>
      </c>
      <c r="G2347" s="89">
        <f t="shared" si="6"/>
        <v>45815</v>
      </c>
      <c r="H2347" s="72" t="str">
        <f t="shared" si="7"/>
        <v>Yes</v>
      </c>
    </row>
    <row r="2348" ht="15.75" customHeight="1">
      <c r="A2348" s="88">
        <f t="shared" si="8"/>
        <v>45812</v>
      </c>
      <c r="B2348" s="72" t="str">
        <f t="shared" si="1"/>
        <v>20250604</v>
      </c>
      <c r="C2348" s="72" t="str">
        <f t="shared" si="2"/>
        <v>Wednesday</v>
      </c>
      <c r="D2348" s="72" t="str">
        <f t="shared" si="3"/>
        <v>June</v>
      </c>
      <c r="E2348" s="72" t="str">
        <f t="shared" si="4"/>
        <v>Q2</v>
      </c>
      <c r="F2348" s="72">
        <f t="shared" si="5"/>
        <v>2025</v>
      </c>
      <c r="G2348" s="89">
        <f t="shared" si="6"/>
        <v>45815</v>
      </c>
      <c r="H2348" s="72" t="str">
        <f t="shared" si="7"/>
        <v>Yes</v>
      </c>
    </row>
    <row r="2349" ht="15.75" customHeight="1">
      <c r="A2349" s="88">
        <f t="shared" si="8"/>
        <v>45813</v>
      </c>
      <c r="B2349" s="72" t="str">
        <f t="shared" si="1"/>
        <v>20250605</v>
      </c>
      <c r="C2349" s="72" t="str">
        <f t="shared" si="2"/>
        <v>Thursday</v>
      </c>
      <c r="D2349" s="72" t="str">
        <f t="shared" si="3"/>
        <v>June</v>
      </c>
      <c r="E2349" s="72" t="str">
        <f t="shared" si="4"/>
        <v>Q2</v>
      </c>
      <c r="F2349" s="72">
        <f t="shared" si="5"/>
        <v>2025</v>
      </c>
      <c r="G2349" s="89">
        <f t="shared" si="6"/>
        <v>45815</v>
      </c>
      <c r="H2349" s="72" t="str">
        <f t="shared" si="7"/>
        <v>Yes</v>
      </c>
    </row>
    <row r="2350" ht="15.75" customHeight="1">
      <c r="A2350" s="88">
        <f t="shared" si="8"/>
        <v>45814</v>
      </c>
      <c r="B2350" s="72" t="str">
        <f t="shared" si="1"/>
        <v>20250606</v>
      </c>
      <c r="C2350" s="72" t="str">
        <f t="shared" si="2"/>
        <v>Friday</v>
      </c>
      <c r="D2350" s="72" t="str">
        <f t="shared" si="3"/>
        <v>June</v>
      </c>
      <c r="E2350" s="72" t="str">
        <f t="shared" si="4"/>
        <v>Q2</v>
      </c>
      <c r="F2350" s="72">
        <f t="shared" si="5"/>
        <v>2025</v>
      </c>
      <c r="G2350" s="89">
        <f t="shared" si="6"/>
        <v>45815</v>
      </c>
      <c r="H2350" s="72" t="str">
        <f t="shared" si="7"/>
        <v>Yes</v>
      </c>
    </row>
    <row r="2351" ht="15.75" customHeight="1">
      <c r="A2351" s="88">
        <f t="shared" si="8"/>
        <v>45815</v>
      </c>
      <c r="B2351" s="72" t="str">
        <f t="shared" si="1"/>
        <v>20250607</v>
      </c>
      <c r="C2351" s="72" t="str">
        <f t="shared" si="2"/>
        <v>Saturday</v>
      </c>
      <c r="D2351" s="72" t="str">
        <f t="shared" si="3"/>
        <v>June</v>
      </c>
      <c r="E2351" s="72" t="str">
        <f t="shared" si="4"/>
        <v>Q2</v>
      </c>
      <c r="F2351" s="72">
        <f t="shared" si="5"/>
        <v>2025</v>
      </c>
      <c r="G2351" s="89">
        <f t="shared" si="6"/>
        <v>45815</v>
      </c>
      <c r="H2351" s="72" t="str">
        <f t="shared" si="7"/>
        <v>No</v>
      </c>
    </row>
    <row r="2352" ht="15.75" customHeight="1">
      <c r="A2352" s="88">
        <f t="shared" si="8"/>
        <v>45816</v>
      </c>
      <c r="B2352" s="72" t="str">
        <f t="shared" si="1"/>
        <v>20250608</v>
      </c>
      <c r="C2352" s="72" t="str">
        <f t="shared" si="2"/>
        <v>Sunday</v>
      </c>
      <c r="D2352" s="72" t="str">
        <f t="shared" si="3"/>
        <v>June</v>
      </c>
      <c r="E2352" s="72" t="str">
        <f t="shared" si="4"/>
        <v>Q2</v>
      </c>
      <c r="F2352" s="72">
        <f t="shared" si="5"/>
        <v>2025</v>
      </c>
      <c r="G2352" s="89">
        <f t="shared" si="6"/>
        <v>45822</v>
      </c>
      <c r="H2352" s="72" t="str">
        <f t="shared" si="7"/>
        <v>No</v>
      </c>
    </row>
    <row r="2353" ht="15.75" customHeight="1">
      <c r="A2353" s="88">
        <f t="shared" si="8"/>
        <v>45817</v>
      </c>
      <c r="B2353" s="72" t="str">
        <f t="shared" si="1"/>
        <v>20250609</v>
      </c>
      <c r="C2353" s="72" t="str">
        <f t="shared" si="2"/>
        <v>Monday</v>
      </c>
      <c r="D2353" s="72" t="str">
        <f t="shared" si="3"/>
        <v>June</v>
      </c>
      <c r="E2353" s="72" t="str">
        <f t="shared" si="4"/>
        <v>Q2</v>
      </c>
      <c r="F2353" s="72">
        <f t="shared" si="5"/>
        <v>2025</v>
      </c>
      <c r="G2353" s="89">
        <f t="shared" si="6"/>
        <v>45822</v>
      </c>
      <c r="H2353" s="72" t="str">
        <f t="shared" si="7"/>
        <v>Yes</v>
      </c>
    </row>
    <row r="2354" ht="15.75" customHeight="1">
      <c r="A2354" s="88">
        <f t="shared" si="8"/>
        <v>45818</v>
      </c>
      <c r="B2354" s="72" t="str">
        <f t="shared" si="1"/>
        <v>20250610</v>
      </c>
      <c r="C2354" s="72" t="str">
        <f t="shared" si="2"/>
        <v>Tuesday</v>
      </c>
      <c r="D2354" s="72" t="str">
        <f t="shared" si="3"/>
        <v>June</v>
      </c>
      <c r="E2354" s="72" t="str">
        <f t="shared" si="4"/>
        <v>Q2</v>
      </c>
      <c r="F2354" s="72">
        <f t="shared" si="5"/>
        <v>2025</v>
      </c>
      <c r="G2354" s="89">
        <f t="shared" si="6"/>
        <v>45822</v>
      </c>
      <c r="H2354" s="72" t="str">
        <f t="shared" si="7"/>
        <v>Yes</v>
      </c>
    </row>
    <row r="2355" ht="15.75" customHeight="1">
      <c r="A2355" s="88">
        <f t="shared" si="8"/>
        <v>45819</v>
      </c>
      <c r="B2355" s="72" t="str">
        <f t="shared" si="1"/>
        <v>20250611</v>
      </c>
      <c r="C2355" s="72" t="str">
        <f t="shared" si="2"/>
        <v>Wednesday</v>
      </c>
      <c r="D2355" s="72" t="str">
        <f t="shared" si="3"/>
        <v>June</v>
      </c>
      <c r="E2355" s="72" t="str">
        <f t="shared" si="4"/>
        <v>Q2</v>
      </c>
      <c r="F2355" s="72">
        <f t="shared" si="5"/>
        <v>2025</v>
      </c>
      <c r="G2355" s="89">
        <f t="shared" si="6"/>
        <v>45822</v>
      </c>
      <c r="H2355" s="72" t="str">
        <f t="shared" si="7"/>
        <v>Yes</v>
      </c>
    </row>
    <row r="2356" ht="15.75" customHeight="1">
      <c r="A2356" s="88">
        <f t="shared" si="8"/>
        <v>45820</v>
      </c>
      <c r="B2356" s="72" t="str">
        <f t="shared" si="1"/>
        <v>20250612</v>
      </c>
      <c r="C2356" s="72" t="str">
        <f t="shared" si="2"/>
        <v>Thursday</v>
      </c>
      <c r="D2356" s="72" t="str">
        <f t="shared" si="3"/>
        <v>June</v>
      </c>
      <c r="E2356" s="72" t="str">
        <f t="shared" si="4"/>
        <v>Q2</v>
      </c>
      <c r="F2356" s="72">
        <f t="shared" si="5"/>
        <v>2025</v>
      </c>
      <c r="G2356" s="89">
        <f t="shared" si="6"/>
        <v>45822</v>
      </c>
      <c r="H2356" s="72" t="str">
        <f t="shared" si="7"/>
        <v>Yes</v>
      </c>
    </row>
    <row r="2357" ht="15.75" customHeight="1">
      <c r="A2357" s="88">
        <f t="shared" si="8"/>
        <v>45821</v>
      </c>
      <c r="B2357" s="72" t="str">
        <f t="shared" si="1"/>
        <v>20250613</v>
      </c>
      <c r="C2357" s="72" t="str">
        <f t="shared" si="2"/>
        <v>Friday</v>
      </c>
      <c r="D2357" s="72" t="str">
        <f t="shared" si="3"/>
        <v>June</v>
      </c>
      <c r="E2357" s="72" t="str">
        <f t="shared" si="4"/>
        <v>Q2</v>
      </c>
      <c r="F2357" s="72">
        <f t="shared" si="5"/>
        <v>2025</v>
      </c>
      <c r="G2357" s="89">
        <f t="shared" si="6"/>
        <v>45822</v>
      </c>
      <c r="H2357" s="72" t="str">
        <f t="shared" si="7"/>
        <v>Yes</v>
      </c>
    </row>
    <row r="2358" ht="15.75" customHeight="1">
      <c r="A2358" s="88">
        <f t="shared" si="8"/>
        <v>45822</v>
      </c>
      <c r="B2358" s="72" t="str">
        <f t="shared" si="1"/>
        <v>20250614</v>
      </c>
      <c r="C2358" s="72" t="str">
        <f t="shared" si="2"/>
        <v>Saturday</v>
      </c>
      <c r="D2358" s="72" t="str">
        <f t="shared" si="3"/>
        <v>June</v>
      </c>
      <c r="E2358" s="72" t="str">
        <f t="shared" si="4"/>
        <v>Q2</v>
      </c>
      <c r="F2358" s="72">
        <f t="shared" si="5"/>
        <v>2025</v>
      </c>
      <c r="G2358" s="89">
        <f t="shared" si="6"/>
        <v>45822</v>
      </c>
      <c r="H2358" s="72" t="str">
        <f t="shared" si="7"/>
        <v>No</v>
      </c>
    </row>
    <row r="2359" ht="15.75" customHeight="1">
      <c r="A2359" s="88">
        <f t="shared" si="8"/>
        <v>45823</v>
      </c>
      <c r="B2359" s="72" t="str">
        <f t="shared" si="1"/>
        <v>20250615</v>
      </c>
      <c r="C2359" s="72" t="str">
        <f t="shared" si="2"/>
        <v>Sunday</v>
      </c>
      <c r="D2359" s="72" t="str">
        <f t="shared" si="3"/>
        <v>June</v>
      </c>
      <c r="E2359" s="72" t="str">
        <f t="shared" si="4"/>
        <v>Q2</v>
      </c>
      <c r="F2359" s="72">
        <f t="shared" si="5"/>
        <v>2025</v>
      </c>
      <c r="G2359" s="89">
        <f t="shared" si="6"/>
        <v>45829</v>
      </c>
      <c r="H2359" s="72" t="str">
        <f t="shared" si="7"/>
        <v>No</v>
      </c>
    </row>
    <row r="2360" ht="15.75" customHeight="1">
      <c r="A2360" s="88">
        <f t="shared" si="8"/>
        <v>45824</v>
      </c>
      <c r="B2360" s="72" t="str">
        <f t="shared" si="1"/>
        <v>20250616</v>
      </c>
      <c r="C2360" s="72" t="str">
        <f t="shared" si="2"/>
        <v>Monday</v>
      </c>
      <c r="D2360" s="72" t="str">
        <f t="shared" si="3"/>
        <v>June</v>
      </c>
      <c r="E2360" s="72" t="str">
        <f t="shared" si="4"/>
        <v>Q2</v>
      </c>
      <c r="F2360" s="72">
        <f t="shared" si="5"/>
        <v>2025</v>
      </c>
      <c r="G2360" s="89">
        <f t="shared" si="6"/>
        <v>45829</v>
      </c>
      <c r="H2360" s="72" t="str">
        <f t="shared" si="7"/>
        <v>Yes</v>
      </c>
    </row>
    <row r="2361" ht="15.75" customHeight="1">
      <c r="A2361" s="88">
        <f t="shared" si="8"/>
        <v>45825</v>
      </c>
      <c r="B2361" s="72" t="str">
        <f t="shared" si="1"/>
        <v>20250617</v>
      </c>
      <c r="C2361" s="72" t="str">
        <f t="shared" si="2"/>
        <v>Tuesday</v>
      </c>
      <c r="D2361" s="72" t="str">
        <f t="shared" si="3"/>
        <v>June</v>
      </c>
      <c r="E2361" s="72" t="str">
        <f t="shared" si="4"/>
        <v>Q2</v>
      </c>
      <c r="F2361" s="72">
        <f t="shared" si="5"/>
        <v>2025</v>
      </c>
      <c r="G2361" s="89">
        <f t="shared" si="6"/>
        <v>45829</v>
      </c>
      <c r="H2361" s="72" t="str">
        <f t="shared" si="7"/>
        <v>Yes</v>
      </c>
    </row>
    <row r="2362" ht="15.75" customHeight="1">
      <c r="A2362" s="88">
        <f t="shared" si="8"/>
        <v>45826</v>
      </c>
      <c r="B2362" s="72" t="str">
        <f t="shared" si="1"/>
        <v>20250618</v>
      </c>
      <c r="C2362" s="72" t="str">
        <f t="shared" si="2"/>
        <v>Wednesday</v>
      </c>
      <c r="D2362" s="72" t="str">
        <f t="shared" si="3"/>
        <v>June</v>
      </c>
      <c r="E2362" s="72" t="str">
        <f t="shared" si="4"/>
        <v>Q2</v>
      </c>
      <c r="F2362" s="72">
        <f t="shared" si="5"/>
        <v>2025</v>
      </c>
      <c r="G2362" s="89">
        <f t="shared" si="6"/>
        <v>45829</v>
      </c>
      <c r="H2362" s="72" t="str">
        <f t="shared" si="7"/>
        <v>Yes</v>
      </c>
    </row>
    <row r="2363" ht="15.75" customHeight="1">
      <c r="A2363" s="88">
        <f t="shared" si="8"/>
        <v>45827</v>
      </c>
      <c r="B2363" s="72" t="str">
        <f t="shared" si="1"/>
        <v>20250619</v>
      </c>
      <c r="C2363" s="72" t="str">
        <f t="shared" si="2"/>
        <v>Thursday</v>
      </c>
      <c r="D2363" s="72" t="str">
        <f t="shared" si="3"/>
        <v>June</v>
      </c>
      <c r="E2363" s="72" t="str">
        <f t="shared" si="4"/>
        <v>Q2</v>
      </c>
      <c r="F2363" s="72">
        <f t="shared" si="5"/>
        <v>2025</v>
      </c>
      <c r="G2363" s="89">
        <f t="shared" si="6"/>
        <v>45829</v>
      </c>
      <c r="H2363" s="72" t="str">
        <f t="shared" si="7"/>
        <v>Yes</v>
      </c>
    </row>
    <row r="2364" ht="15.75" customHeight="1">
      <c r="A2364" s="88">
        <f t="shared" si="8"/>
        <v>45828</v>
      </c>
      <c r="B2364" s="72" t="str">
        <f t="shared" si="1"/>
        <v>20250620</v>
      </c>
      <c r="C2364" s="72" t="str">
        <f t="shared" si="2"/>
        <v>Friday</v>
      </c>
      <c r="D2364" s="72" t="str">
        <f t="shared" si="3"/>
        <v>June</v>
      </c>
      <c r="E2364" s="72" t="str">
        <f t="shared" si="4"/>
        <v>Q2</v>
      </c>
      <c r="F2364" s="72">
        <f t="shared" si="5"/>
        <v>2025</v>
      </c>
      <c r="G2364" s="89">
        <f t="shared" si="6"/>
        <v>45829</v>
      </c>
      <c r="H2364" s="72" t="str">
        <f t="shared" si="7"/>
        <v>Yes</v>
      </c>
    </row>
    <row r="2365" ht="15.75" customHeight="1">
      <c r="A2365" s="88">
        <f t="shared" si="8"/>
        <v>45829</v>
      </c>
      <c r="B2365" s="72" t="str">
        <f t="shared" si="1"/>
        <v>20250621</v>
      </c>
      <c r="C2365" s="72" t="str">
        <f t="shared" si="2"/>
        <v>Saturday</v>
      </c>
      <c r="D2365" s="72" t="str">
        <f t="shared" si="3"/>
        <v>June</v>
      </c>
      <c r="E2365" s="72" t="str">
        <f t="shared" si="4"/>
        <v>Q2</v>
      </c>
      <c r="F2365" s="72">
        <f t="shared" si="5"/>
        <v>2025</v>
      </c>
      <c r="G2365" s="89">
        <f t="shared" si="6"/>
        <v>45829</v>
      </c>
      <c r="H2365" s="72" t="str">
        <f t="shared" si="7"/>
        <v>No</v>
      </c>
    </row>
    <row r="2366" ht="15.75" customHeight="1">
      <c r="A2366" s="88">
        <f t="shared" si="8"/>
        <v>45830</v>
      </c>
      <c r="B2366" s="72" t="str">
        <f t="shared" si="1"/>
        <v>20250622</v>
      </c>
      <c r="C2366" s="72" t="str">
        <f t="shared" si="2"/>
        <v>Sunday</v>
      </c>
      <c r="D2366" s="72" t="str">
        <f t="shared" si="3"/>
        <v>June</v>
      </c>
      <c r="E2366" s="72" t="str">
        <f t="shared" si="4"/>
        <v>Q2</v>
      </c>
      <c r="F2366" s="72">
        <f t="shared" si="5"/>
        <v>2025</v>
      </c>
      <c r="G2366" s="89">
        <f t="shared" si="6"/>
        <v>45836</v>
      </c>
      <c r="H2366" s="72" t="str">
        <f t="shared" si="7"/>
        <v>No</v>
      </c>
    </row>
    <row r="2367" ht="15.75" customHeight="1">
      <c r="A2367" s="88">
        <f t="shared" si="8"/>
        <v>45831</v>
      </c>
      <c r="B2367" s="72" t="str">
        <f t="shared" si="1"/>
        <v>20250623</v>
      </c>
      <c r="C2367" s="72" t="str">
        <f t="shared" si="2"/>
        <v>Monday</v>
      </c>
      <c r="D2367" s="72" t="str">
        <f t="shared" si="3"/>
        <v>June</v>
      </c>
      <c r="E2367" s="72" t="str">
        <f t="shared" si="4"/>
        <v>Q2</v>
      </c>
      <c r="F2367" s="72">
        <f t="shared" si="5"/>
        <v>2025</v>
      </c>
      <c r="G2367" s="89">
        <f t="shared" si="6"/>
        <v>45836</v>
      </c>
      <c r="H2367" s="72" t="str">
        <f t="shared" si="7"/>
        <v>Yes</v>
      </c>
    </row>
    <row r="2368" ht="15.75" customHeight="1">
      <c r="A2368" s="88">
        <f t="shared" si="8"/>
        <v>45832</v>
      </c>
      <c r="B2368" s="72" t="str">
        <f t="shared" si="1"/>
        <v>20250624</v>
      </c>
      <c r="C2368" s="72" t="str">
        <f t="shared" si="2"/>
        <v>Tuesday</v>
      </c>
      <c r="D2368" s="72" t="str">
        <f t="shared" si="3"/>
        <v>June</v>
      </c>
      <c r="E2368" s="72" t="str">
        <f t="shared" si="4"/>
        <v>Q2</v>
      </c>
      <c r="F2368" s="72">
        <f t="shared" si="5"/>
        <v>2025</v>
      </c>
      <c r="G2368" s="89">
        <f t="shared" si="6"/>
        <v>45836</v>
      </c>
      <c r="H2368" s="72" t="str">
        <f t="shared" si="7"/>
        <v>Yes</v>
      </c>
    </row>
    <row r="2369" ht="15.75" customHeight="1">
      <c r="A2369" s="88">
        <f t="shared" si="8"/>
        <v>45833</v>
      </c>
      <c r="B2369" s="72" t="str">
        <f t="shared" si="1"/>
        <v>20250625</v>
      </c>
      <c r="C2369" s="72" t="str">
        <f t="shared" si="2"/>
        <v>Wednesday</v>
      </c>
      <c r="D2369" s="72" t="str">
        <f t="shared" si="3"/>
        <v>June</v>
      </c>
      <c r="E2369" s="72" t="str">
        <f t="shared" si="4"/>
        <v>Q2</v>
      </c>
      <c r="F2369" s="72">
        <f t="shared" si="5"/>
        <v>2025</v>
      </c>
      <c r="G2369" s="89">
        <f t="shared" si="6"/>
        <v>45836</v>
      </c>
      <c r="H2369" s="72" t="str">
        <f t="shared" si="7"/>
        <v>Yes</v>
      </c>
    </row>
    <row r="2370" ht="15.75" customHeight="1">
      <c r="A2370" s="88">
        <f t="shared" si="8"/>
        <v>45834</v>
      </c>
      <c r="B2370" s="72" t="str">
        <f t="shared" si="1"/>
        <v>20250626</v>
      </c>
      <c r="C2370" s="72" t="str">
        <f t="shared" si="2"/>
        <v>Thursday</v>
      </c>
      <c r="D2370" s="72" t="str">
        <f t="shared" si="3"/>
        <v>June</v>
      </c>
      <c r="E2370" s="72" t="str">
        <f t="shared" si="4"/>
        <v>Q2</v>
      </c>
      <c r="F2370" s="72">
        <f t="shared" si="5"/>
        <v>2025</v>
      </c>
      <c r="G2370" s="89">
        <f t="shared" si="6"/>
        <v>45836</v>
      </c>
      <c r="H2370" s="72" t="str">
        <f t="shared" si="7"/>
        <v>Yes</v>
      </c>
    </row>
    <row r="2371" ht="15.75" customHeight="1">
      <c r="A2371" s="88">
        <f t="shared" si="8"/>
        <v>45835</v>
      </c>
      <c r="B2371" s="72" t="str">
        <f t="shared" si="1"/>
        <v>20250627</v>
      </c>
      <c r="C2371" s="72" t="str">
        <f t="shared" si="2"/>
        <v>Friday</v>
      </c>
      <c r="D2371" s="72" t="str">
        <f t="shared" si="3"/>
        <v>June</v>
      </c>
      <c r="E2371" s="72" t="str">
        <f t="shared" si="4"/>
        <v>Q2</v>
      </c>
      <c r="F2371" s="72">
        <f t="shared" si="5"/>
        <v>2025</v>
      </c>
      <c r="G2371" s="89">
        <f t="shared" si="6"/>
        <v>45836</v>
      </c>
      <c r="H2371" s="72" t="str">
        <f t="shared" si="7"/>
        <v>Yes</v>
      </c>
    </row>
    <row r="2372" ht="15.75" customHeight="1">
      <c r="A2372" s="88">
        <f t="shared" si="8"/>
        <v>45836</v>
      </c>
      <c r="B2372" s="72" t="str">
        <f t="shared" si="1"/>
        <v>20250628</v>
      </c>
      <c r="C2372" s="72" t="str">
        <f t="shared" si="2"/>
        <v>Saturday</v>
      </c>
      <c r="D2372" s="72" t="str">
        <f t="shared" si="3"/>
        <v>June</v>
      </c>
      <c r="E2372" s="72" t="str">
        <f t="shared" si="4"/>
        <v>Q2</v>
      </c>
      <c r="F2372" s="72">
        <f t="shared" si="5"/>
        <v>2025</v>
      </c>
      <c r="G2372" s="89">
        <f t="shared" si="6"/>
        <v>45836</v>
      </c>
      <c r="H2372" s="72" t="str">
        <f t="shared" si="7"/>
        <v>No</v>
      </c>
    </row>
    <row r="2373" ht="15.75" customHeight="1">
      <c r="A2373" s="88">
        <f t="shared" si="8"/>
        <v>45837</v>
      </c>
      <c r="B2373" s="72" t="str">
        <f t="shared" si="1"/>
        <v>20250629</v>
      </c>
      <c r="C2373" s="72" t="str">
        <f t="shared" si="2"/>
        <v>Sunday</v>
      </c>
      <c r="D2373" s="72" t="str">
        <f t="shared" si="3"/>
        <v>June</v>
      </c>
      <c r="E2373" s="72" t="str">
        <f t="shared" si="4"/>
        <v>Q2</v>
      </c>
      <c r="F2373" s="72">
        <f t="shared" si="5"/>
        <v>2025</v>
      </c>
      <c r="G2373" s="89">
        <f t="shared" si="6"/>
        <v>45843</v>
      </c>
      <c r="H2373" s="72" t="str">
        <f t="shared" si="7"/>
        <v>No</v>
      </c>
    </row>
    <row r="2374" ht="15.75" customHeight="1">
      <c r="A2374" s="88">
        <f t="shared" si="8"/>
        <v>45838</v>
      </c>
      <c r="B2374" s="72" t="str">
        <f t="shared" si="1"/>
        <v>20250630</v>
      </c>
      <c r="C2374" s="72" t="str">
        <f t="shared" si="2"/>
        <v>Monday</v>
      </c>
      <c r="D2374" s="72" t="str">
        <f t="shared" si="3"/>
        <v>June</v>
      </c>
      <c r="E2374" s="72" t="str">
        <f t="shared" si="4"/>
        <v>Q2</v>
      </c>
      <c r="F2374" s="72">
        <f t="shared" si="5"/>
        <v>2025</v>
      </c>
      <c r="G2374" s="89">
        <f t="shared" si="6"/>
        <v>45843</v>
      </c>
      <c r="H2374" s="72" t="str">
        <f t="shared" si="7"/>
        <v>Yes</v>
      </c>
    </row>
    <row r="2375" ht="15.75" customHeight="1">
      <c r="A2375" s="88">
        <f t="shared" si="8"/>
        <v>45839</v>
      </c>
      <c r="B2375" s="72" t="str">
        <f t="shared" si="1"/>
        <v>20250701</v>
      </c>
      <c r="C2375" s="72" t="str">
        <f t="shared" si="2"/>
        <v>Tuesday</v>
      </c>
      <c r="D2375" s="72" t="str">
        <f t="shared" si="3"/>
        <v>July</v>
      </c>
      <c r="E2375" s="72" t="str">
        <f t="shared" si="4"/>
        <v>Q3</v>
      </c>
      <c r="F2375" s="72">
        <f t="shared" si="5"/>
        <v>2025</v>
      </c>
      <c r="G2375" s="89">
        <f t="shared" si="6"/>
        <v>45843</v>
      </c>
      <c r="H2375" s="72" t="str">
        <f t="shared" si="7"/>
        <v>Yes</v>
      </c>
    </row>
    <row r="2376" ht="15.75" customHeight="1">
      <c r="A2376" s="88">
        <f t="shared" si="8"/>
        <v>45840</v>
      </c>
      <c r="B2376" s="72" t="str">
        <f t="shared" si="1"/>
        <v>20250702</v>
      </c>
      <c r="C2376" s="72" t="str">
        <f t="shared" si="2"/>
        <v>Wednesday</v>
      </c>
      <c r="D2376" s="72" t="str">
        <f t="shared" si="3"/>
        <v>July</v>
      </c>
      <c r="E2376" s="72" t="str">
        <f t="shared" si="4"/>
        <v>Q3</v>
      </c>
      <c r="F2376" s="72">
        <f t="shared" si="5"/>
        <v>2025</v>
      </c>
      <c r="G2376" s="89">
        <f t="shared" si="6"/>
        <v>45843</v>
      </c>
      <c r="H2376" s="72" t="str">
        <f t="shared" si="7"/>
        <v>Yes</v>
      </c>
    </row>
    <row r="2377" ht="15.75" customHeight="1">
      <c r="A2377" s="88">
        <f t="shared" si="8"/>
        <v>45841</v>
      </c>
      <c r="B2377" s="72" t="str">
        <f t="shared" si="1"/>
        <v>20250703</v>
      </c>
      <c r="C2377" s="72" t="str">
        <f t="shared" si="2"/>
        <v>Thursday</v>
      </c>
      <c r="D2377" s="72" t="str">
        <f t="shared" si="3"/>
        <v>July</v>
      </c>
      <c r="E2377" s="72" t="str">
        <f t="shared" si="4"/>
        <v>Q3</v>
      </c>
      <c r="F2377" s="72">
        <f t="shared" si="5"/>
        <v>2025</v>
      </c>
      <c r="G2377" s="89">
        <f t="shared" si="6"/>
        <v>45843</v>
      </c>
      <c r="H2377" s="72" t="str">
        <f t="shared" si="7"/>
        <v>Yes</v>
      </c>
    </row>
    <row r="2378" ht="15.75" customHeight="1">
      <c r="A2378" s="88">
        <f t="shared" si="8"/>
        <v>45842</v>
      </c>
      <c r="B2378" s="72" t="str">
        <f t="shared" si="1"/>
        <v>20250704</v>
      </c>
      <c r="C2378" s="72" t="str">
        <f t="shared" si="2"/>
        <v>Friday</v>
      </c>
      <c r="D2378" s="72" t="str">
        <f t="shared" si="3"/>
        <v>July</v>
      </c>
      <c r="E2378" s="72" t="str">
        <f t="shared" si="4"/>
        <v>Q3</v>
      </c>
      <c r="F2378" s="72">
        <f t="shared" si="5"/>
        <v>2025</v>
      </c>
      <c r="G2378" s="89">
        <f t="shared" si="6"/>
        <v>45843</v>
      </c>
      <c r="H2378" s="72" t="str">
        <f t="shared" si="7"/>
        <v>Yes</v>
      </c>
    </row>
    <row r="2379" ht="15.75" customHeight="1">
      <c r="A2379" s="88">
        <f t="shared" si="8"/>
        <v>45843</v>
      </c>
      <c r="B2379" s="72" t="str">
        <f t="shared" si="1"/>
        <v>20250705</v>
      </c>
      <c r="C2379" s="72" t="str">
        <f t="shared" si="2"/>
        <v>Saturday</v>
      </c>
      <c r="D2379" s="72" t="str">
        <f t="shared" si="3"/>
        <v>July</v>
      </c>
      <c r="E2379" s="72" t="str">
        <f t="shared" si="4"/>
        <v>Q3</v>
      </c>
      <c r="F2379" s="72">
        <f t="shared" si="5"/>
        <v>2025</v>
      </c>
      <c r="G2379" s="89">
        <f t="shared" si="6"/>
        <v>45843</v>
      </c>
      <c r="H2379" s="72" t="str">
        <f t="shared" si="7"/>
        <v>No</v>
      </c>
    </row>
    <row r="2380" ht="15.75" customHeight="1">
      <c r="A2380" s="88">
        <f t="shared" si="8"/>
        <v>45844</v>
      </c>
      <c r="B2380" s="72" t="str">
        <f t="shared" si="1"/>
        <v>20250706</v>
      </c>
      <c r="C2380" s="72" t="str">
        <f t="shared" si="2"/>
        <v>Sunday</v>
      </c>
      <c r="D2380" s="72" t="str">
        <f t="shared" si="3"/>
        <v>July</v>
      </c>
      <c r="E2380" s="72" t="str">
        <f t="shared" si="4"/>
        <v>Q3</v>
      </c>
      <c r="F2380" s="72">
        <f t="shared" si="5"/>
        <v>2025</v>
      </c>
      <c r="G2380" s="89">
        <f t="shared" si="6"/>
        <v>45850</v>
      </c>
      <c r="H2380" s="72" t="str">
        <f t="shared" si="7"/>
        <v>No</v>
      </c>
    </row>
    <row r="2381" ht="15.75" customHeight="1">
      <c r="A2381" s="88">
        <f t="shared" si="8"/>
        <v>45845</v>
      </c>
      <c r="B2381" s="72" t="str">
        <f t="shared" si="1"/>
        <v>20250707</v>
      </c>
      <c r="C2381" s="72" t="str">
        <f t="shared" si="2"/>
        <v>Monday</v>
      </c>
      <c r="D2381" s="72" t="str">
        <f t="shared" si="3"/>
        <v>July</v>
      </c>
      <c r="E2381" s="72" t="str">
        <f t="shared" si="4"/>
        <v>Q3</v>
      </c>
      <c r="F2381" s="72">
        <f t="shared" si="5"/>
        <v>2025</v>
      </c>
      <c r="G2381" s="89">
        <f t="shared" si="6"/>
        <v>45850</v>
      </c>
      <c r="H2381" s="72" t="str">
        <f t="shared" si="7"/>
        <v>Yes</v>
      </c>
    </row>
    <row r="2382" ht="15.75" customHeight="1">
      <c r="A2382" s="88">
        <f t="shared" si="8"/>
        <v>45846</v>
      </c>
      <c r="B2382" s="72" t="str">
        <f t="shared" si="1"/>
        <v>20250708</v>
      </c>
      <c r="C2382" s="72" t="str">
        <f t="shared" si="2"/>
        <v>Tuesday</v>
      </c>
      <c r="D2382" s="72" t="str">
        <f t="shared" si="3"/>
        <v>July</v>
      </c>
      <c r="E2382" s="72" t="str">
        <f t="shared" si="4"/>
        <v>Q3</v>
      </c>
      <c r="F2382" s="72">
        <f t="shared" si="5"/>
        <v>2025</v>
      </c>
      <c r="G2382" s="89">
        <f t="shared" si="6"/>
        <v>45850</v>
      </c>
      <c r="H2382" s="72" t="str">
        <f t="shared" si="7"/>
        <v>Yes</v>
      </c>
    </row>
    <row r="2383" ht="15.75" customHeight="1">
      <c r="A2383" s="88">
        <f t="shared" si="8"/>
        <v>45847</v>
      </c>
      <c r="B2383" s="72" t="str">
        <f t="shared" si="1"/>
        <v>20250709</v>
      </c>
      <c r="C2383" s="72" t="str">
        <f t="shared" si="2"/>
        <v>Wednesday</v>
      </c>
      <c r="D2383" s="72" t="str">
        <f t="shared" si="3"/>
        <v>July</v>
      </c>
      <c r="E2383" s="72" t="str">
        <f t="shared" si="4"/>
        <v>Q3</v>
      </c>
      <c r="F2383" s="72">
        <f t="shared" si="5"/>
        <v>2025</v>
      </c>
      <c r="G2383" s="89">
        <f t="shared" si="6"/>
        <v>45850</v>
      </c>
      <c r="H2383" s="72" t="str">
        <f t="shared" si="7"/>
        <v>Yes</v>
      </c>
    </row>
    <row r="2384" ht="15.75" customHeight="1">
      <c r="A2384" s="88">
        <f t="shared" si="8"/>
        <v>45848</v>
      </c>
      <c r="B2384" s="72" t="str">
        <f t="shared" si="1"/>
        <v>20250710</v>
      </c>
      <c r="C2384" s="72" t="str">
        <f t="shared" si="2"/>
        <v>Thursday</v>
      </c>
      <c r="D2384" s="72" t="str">
        <f t="shared" si="3"/>
        <v>July</v>
      </c>
      <c r="E2384" s="72" t="str">
        <f t="shared" si="4"/>
        <v>Q3</v>
      </c>
      <c r="F2384" s="72">
        <f t="shared" si="5"/>
        <v>2025</v>
      </c>
      <c r="G2384" s="89">
        <f t="shared" si="6"/>
        <v>45850</v>
      </c>
      <c r="H2384" s="72" t="str">
        <f t="shared" si="7"/>
        <v>Yes</v>
      </c>
    </row>
    <row r="2385" ht="15.75" customHeight="1">
      <c r="A2385" s="88">
        <f t="shared" si="8"/>
        <v>45849</v>
      </c>
      <c r="B2385" s="72" t="str">
        <f t="shared" si="1"/>
        <v>20250711</v>
      </c>
      <c r="C2385" s="72" t="str">
        <f t="shared" si="2"/>
        <v>Friday</v>
      </c>
      <c r="D2385" s="72" t="str">
        <f t="shared" si="3"/>
        <v>July</v>
      </c>
      <c r="E2385" s="72" t="str">
        <f t="shared" si="4"/>
        <v>Q3</v>
      </c>
      <c r="F2385" s="72">
        <f t="shared" si="5"/>
        <v>2025</v>
      </c>
      <c r="G2385" s="89">
        <f t="shared" si="6"/>
        <v>45850</v>
      </c>
      <c r="H2385" s="72" t="str">
        <f t="shared" si="7"/>
        <v>Yes</v>
      </c>
    </row>
    <row r="2386" ht="15.75" customHeight="1">
      <c r="A2386" s="88">
        <f t="shared" si="8"/>
        <v>45850</v>
      </c>
      <c r="B2386" s="72" t="str">
        <f t="shared" si="1"/>
        <v>20250712</v>
      </c>
      <c r="C2386" s="72" t="str">
        <f t="shared" si="2"/>
        <v>Saturday</v>
      </c>
      <c r="D2386" s="72" t="str">
        <f t="shared" si="3"/>
        <v>July</v>
      </c>
      <c r="E2386" s="72" t="str">
        <f t="shared" si="4"/>
        <v>Q3</v>
      </c>
      <c r="F2386" s="72">
        <f t="shared" si="5"/>
        <v>2025</v>
      </c>
      <c r="G2386" s="89">
        <f t="shared" si="6"/>
        <v>45850</v>
      </c>
      <c r="H2386" s="72" t="str">
        <f t="shared" si="7"/>
        <v>No</v>
      </c>
    </row>
    <row r="2387" ht="15.75" customHeight="1">
      <c r="A2387" s="88">
        <f t="shared" si="8"/>
        <v>45851</v>
      </c>
      <c r="B2387" s="72" t="str">
        <f t="shared" si="1"/>
        <v>20250713</v>
      </c>
      <c r="C2387" s="72" t="str">
        <f t="shared" si="2"/>
        <v>Sunday</v>
      </c>
      <c r="D2387" s="72" t="str">
        <f t="shared" si="3"/>
        <v>July</v>
      </c>
      <c r="E2387" s="72" t="str">
        <f t="shared" si="4"/>
        <v>Q3</v>
      </c>
      <c r="F2387" s="72">
        <f t="shared" si="5"/>
        <v>2025</v>
      </c>
      <c r="G2387" s="89">
        <f t="shared" si="6"/>
        <v>45857</v>
      </c>
      <c r="H2387" s="72" t="str">
        <f t="shared" si="7"/>
        <v>No</v>
      </c>
    </row>
    <row r="2388" ht="15.75" customHeight="1">
      <c r="A2388" s="88">
        <f t="shared" si="8"/>
        <v>45852</v>
      </c>
      <c r="B2388" s="72" t="str">
        <f t="shared" si="1"/>
        <v>20250714</v>
      </c>
      <c r="C2388" s="72" t="str">
        <f t="shared" si="2"/>
        <v>Monday</v>
      </c>
      <c r="D2388" s="72" t="str">
        <f t="shared" si="3"/>
        <v>July</v>
      </c>
      <c r="E2388" s="72" t="str">
        <f t="shared" si="4"/>
        <v>Q3</v>
      </c>
      <c r="F2388" s="72">
        <f t="shared" si="5"/>
        <v>2025</v>
      </c>
      <c r="G2388" s="89">
        <f t="shared" si="6"/>
        <v>45857</v>
      </c>
      <c r="H2388" s="72" t="str">
        <f t="shared" si="7"/>
        <v>Yes</v>
      </c>
    </row>
    <row r="2389" ht="15.75" customHeight="1">
      <c r="A2389" s="88">
        <f t="shared" si="8"/>
        <v>45853</v>
      </c>
      <c r="B2389" s="72" t="str">
        <f t="shared" si="1"/>
        <v>20250715</v>
      </c>
      <c r="C2389" s="72" t="str">
        <f t="shared" si="2"/>
        <v>Tuesday</v>
      </c>
      <c r="D2389" s="72" t="str">
        <f t="shared" si="3"/>
        <v>July</v>
      </c>
      <c r="E2389" s="72" t="str">
        <f t="shared" si="4"/>
        <v>Q3</v>
      </c>
      <c r="F2389" s="72">
        <f t="shared" si="5"/>
        <v>2025</v>
      </c>
      <c r="G2389" s="89">
        <f t="shared" si="6"/>
        <v>45857</v>
      </c>
      <c r="H2389" s="72" t="str">
        <f t="shared" si="7"/>
        <v>Yes</v>
      </c>
    </row>
    <row r="2390" ht="15.75" customHeight="1">
      <c r="A2390" s="88">
        <f t="shared" si="8"/>
        <v>45854</v>
      </c>
      <c r="B2390" s="72" t="str">
        <f t="shared" si="1"/>
        <v>20250716</v>
      </c>
      <c r="C2390" s="72" t="str">
        <f t="shared" si="2"/>
        <v>Wednesday</v>
      </c>
      <c r="D2390" s="72" t="str">
        <f t="shared" si="3"/>
        <v>July</v>
      </c>
      <c r="E2390" s="72" t="str">
        <f t="shared" si="4"/>
        <v>Q3</v>
      </c>
      <c r="F2390" s="72">
        <f t="shared" si="5"/>
        <v>2025</v>
      </c>
      <c r="G2390" s="89">
        <f t="shared" si="6"/>
        <v>45857</v>
      </c>
      <c r="H2390" s="72" t="str">
        <f t="shared" si="7"/>
        <v>Yes</v>
      </c>
    </row>
    <row r="2391" ht="15.75" customHeight="1">
      <c r="A2391" s="88">
        <f t="shared" si="8"/>
        <v>45855</v>
      </c>
      <c r="B2391" s="72" t="str">
        <f t="shared" si="1"/>
        <v>20250717</v>
      </c>
      <c r="C2391" s="72" t="str">
        <f t="shared" si="2"/>
        <v>Thursday</v>
      </c>
      <c r="D2391" s="72" t="str">
        <f t="shared" si="3"/>
        <v>July</v>
      </c>
      <c r="E2391" s="72" t="str">
        <f t="shared" si="4"/>
        <v>Q3</v>
      </c>
      <c r="F2391" s="72">
        <f t="shared" si="5"/>
        <v>2025</v>
      </c>
      <c r="G2391" s="89">
        <f t="shared" si="6"/>
        <v>45857</v>
      </c>
      <c r="H2391" s="72" t="str">
        <f t="shared" si="7"/>
        <v>Yes</v>
      </c>
    </row>
    <row r="2392" ht="15.75" customHeight="1">
      <c r="A2392" s="88">
        <f t="shared" si="8"/>
        <v>45856</v>
      </c>
      <c r="B2392" s="72" t="str">
        <f t="shared" si="1"/>
        <v>20250718</v>
      </c>
      <c r="C2392" s="72" t="str">
        <f t="shared" si="2"/>
        <v>Friday</v>
      </c>
      <c r="D2392" s="72" t="str">
        <f t="shared" si="3"/>
        <v>July</v>
      </c>
      <c r="E2392" s="72" t="str">
        <f t="shared" si="4"/>
        <v>Q3</v>
      </c>
      <c r="F2392" s="72">
        <f t="shared" si="5"/>
        <v>2025</v>
      </c>
      <c r="G2392" s="89">
        <f t="shared" si="6"/>
        <v>45857</v>
      </c>
      <c r="H2392" s="72" t="str">
        <f t="shared" si="7"/>
        <v>Yes</v>
      </c>
    </row>
    <row r="2393" ht="15.75" customHeight="1">
      <c r="A2393" s="88">
        <f t="shared" si="8"/>
        <v>45857</v>
      </c>
      <c r="B2393" s="72" t="str">
        <f t="shared" si="1"/>
        <v>20250719</v>
      </c>
      <c r="C2393" s="72" t="str">
        <f t="shared" si="2"/>
        <v>Saturday</v>
      </c>
      <c r="D2393" s="72" t="str">
        <f t="shared" si="3"/>
        <v>July</v>
      </c>
      <c r="E2393" s="72" t="str">
        <f t="shared" si="4"/>
        <v>Q3</v>
      </c>
      <c r="F2393" s="72">
        <f t="shared" si="5"/>
        <v>2025</v>
      </c>
      <c r="G2393" s="89">
        <f t="shared" si="6"/>
        <v>45857</v>
      </c>
      <c r="H2393" s="72" t="str">
        <f t="shared" si="7"/>
        <v>No</v>
      </c>
    </row>
    <row r="2394" ht="15.75" customHeight="1">
      <c r="A2394" s="88">
        <f t="shared" si="8"/>
        <v>45858</v>
      </c>
      <c r="B2394" s="72" t="str">
        <f t="shared" si="1"/>
        <v>20250720</v>
      </c>
      <c r="C2394" s="72" t="str">
        <f t="shared" si="2"/>
        <v>Sunday</v>
      </c>
      <c r="D2394" s="72" t="str">
        <f t="shared" si="3"/>
        <v>July</v>
      </c>
      <c r="E2394" s="72" t="str">
        <f t="shared" si="4"/>
        <v>Q3</v>
      </c>
      <c r="F2394" s="72">
        <f t="shared" si="5"/>
        <v>2025</v>
      </c>
      <c r="G2394" s="89">
        <f t="shared" si="6"/>
        <v>45864</v>
      </c>
      <c r="H2394" s="72" t="str">
        <f t="shared" si="7"/>
        <v>No</v>
      </c>
    </row>
    <row r="2395" ht="15.75" customHeight="1">
      <c r="A2395" s="88">
        <f t="shared" si="8"/>
        <v>45859</v>
      </c>
      <c r="B2395" s="72" t="str">
        <f t="shared" si="1"/>
        <v>20250721</v>
      </c>
      <c r="C2395" s="72" t="str">
        <f t="shared" si="2"/>
        <v>Monday</v>
      </c>
      <c r="D2395" s="72" t="str">
        <f t="shared" si="3"/>
        <v>July</v>
      </c>
      <c r="E2395" s="72" t="str">
        <f t="shared" si="4"/>
        <v>Q3</v>
      </c>
      <c r="F2395" s="72">
        <f t="shared" si="5"/>
        <v>2025</v>
      </c>
      <c r="G2395" s="89">
        <f t="shared" si="6"/>
        <v>45864</v>
      </c>
      <c r="H2395" s="72" t="str">
        <f t="shared" si="7"/>
        <v>Yes</v>
      </c>
    </row>
    <row r="2396" ht="15.75" customHeight="1">
      <c r="A2396" s="88">
        <f t="shared" si="8"/>
        <v>45860</v>
      </c>
      <c r="B2396" s="72" t="str">
        <f t="shared" si="1"/>
        <v>20250722</v>
      </c>
      <c r="C2396" s="72" t="str">
        <f t="shared" si="2"/>
        <v>Tuesday</v>
      </c>
      <c r="D2396" s="72" t="str">
        <f t="shared" si="3"/>
        <v>July</v>
      </c>
      <c r="E2396" s="72" t="str">
        <f t="shared" si="4"/>
        <v>Q3</v>
      </c>
      <c r="F2396" s="72">
        <f t="shared" si="5"/>
        <v>2025</v>
      </c>
      <c r="G2396" s="89">
        <f t="shared" si="6"/>
        <v>45864</v>
      </c>
      <c r="H2396" s="72" t="str">
        <f t="shared" si="7"/>
        <v>Yes</v>
      </c>
    </row>
    <row r="2397" ht="15.75" customHeight="1">
      <c r="A2397" s="88">
        <f t="shared" si="8"/>
        <v>45861</v>
      </c>
      <c r="B2397" s="72" t="str">
        <f t="shared" si="1"/>
        <v>20250723</v>
      </c>
      <c r="C2397" s="72" t="str">
        <f t="shared" si="2"/>
        <v>Wednesday</v>
      </c>
      <c r="D2397" s="72" t="str">
        <f t="shared" si="3"/>
        <v>July</v>
      </c>
      <c r="E2397" s="72" t="str">
        <f t="shared" si="4"/>
        <v>Q3</v>
      </c>
      <c r="F2397" s="72">
        <f t="shared" si="5"/>
        <v>2025</v>
      </c>
      <c r="G2397" s="89">
        <f t="shared" si="6"/>
        <v>45864</v>
      </c>
      <c r="H2397" s="72" t="str">
        <f t="shared" si="7"/>
        <v>Yes</v>
      </c>
    </row>
    <row r="2398" ht="15.75" customHeight="1">
      <c r="A2398" s="88">
        <f t="shared" si="8"/>
        <v>45862</v>
      </c>
      <c r="B2398" s="72" t="str">
        <f t="shared" si="1"/>
        <v>20250724</v>
      </c>
      <c r="C2398" s="72" t="str">
        <f t="shared" si="2"/>
        <v>Thursday</v>
      </c>
      <c r="D2398" s="72" t="str">
        <f t="shared" si="3"/>
        <v>July</v>
      </c>
      <c r="E2398" s="72" t="str">
        <f t="shared" si="4"/>
        <v>Q3</v>
      </c>
      <c r="F2398" s="72">
        <f t="shared" si="5"/>
        <v>2025</v>
      </c>
      <c r="G2398" s="89">
        <f t="shared" si="6"/>
        <v>45864</v>
      </c>
      <c r="H2398" s="72" t="str">
        <f t="shared" si="7"/>
        <v>Yes</v>
      </c>
    </row>
    <row r="2399" ht="15.75" customHeight="1">
      <c r="A2399" s="88">
        <f t="shared" si="8"/>
        <v>45863</v>
      </c>
      <c r="B2399" s="72" t="str">
        <f t="shared" si="1"/>
        <v>20250725</v>
      </c>
      <c r="C2399" s="72" t="str">
        <f t="shared" si="2"/>
        <v>Friday</v>
      </c>
      <c r="D2399" s="72" t="str">
        <f t="shared" si="3"/>
        <v>July</v>
      </c>
      <c r="E2399" s="72" t="str">
        <f t="shared" si="4"/>
        <v>Q3</v>
      </c>
      <c r="F2399" s="72">
        <f t="shared" si="5"/>
        <v>2025</v>
      </c>
      <c r="G2399" s="89">
        <f t="shared" si="6"/>
        <v>45864</v>
      </c>
      <c r="H2399" s="72" t="str">
        <f t="shared" si="7"/>
        <v>Yes</v>
      </c>
    </row>
    <row r="2400" ht="15.75" customHeight="1">
      <c r="A2400" s="88">
        <f t="shared" si="8"/>
        <v>45864</v>
      </c>
      <c r="B2400" s="72" t="str">
        <f t="shared" si="1"/>
        <v>20250726</v>
      </c>
      <c r="C2400" s="72" t="str">
        <f t="shared" si="2"/>
        <v>Saturday</v>
      </c>
      <c r="D2400" s="72" t="str">
        <f t="shared" si="3"/>
        <v>July</v>
      </c>
      <c r="E2400" s="72" t="str">
        <f t="shared" si="4"/>
        <v>Q3</v>
      </c>
      <c r="F2400" s="72">
        <f t="shared" si="5"/>
        <v>2025</v>
      </c>
      <c r="G2400" s="89">
        <f t="shared" si="6"/>
        <v>45864</v>
      </c>
      <c r="H2400" s="72" t="str">
        <f t="shared" si="7"/>
        <v>No</v>
      </c>
    </row>
    <row r="2401" ht="15.75" customHeight="1">
      <c r="A2401" s="88">
        <f t="shared" si="8"/>
        <v>45865</v>
      </c>
      <c r="B2401" s="72" t="str">
        <f t="shared" si="1"/>
        <v>20250727</v>
      </c>
      <c r="C2401" s="72" t="str">
        <f t="shared" si="2"/>
        <v>Sunday</v>
      </c>
      <c r="D2401" s="72" t="str">
        <f t="shared" si="3"/>
        <v>July</v>
      </c>
      <c r="E2401" s="72" t="str">
        <f t="shared" si="4"/>
        <v>Q3</v>
      </c>
      <c r="F2401" s="72">
        <f t="shared" si="5"/>
        <v>2025</v>
      </c>
      <c r="G2401" s="89">
        <f t="shared" si="6"/>
        <v>45871</v>
      </c>
      <c r="H2401" s="72" t="str">
        <f t="shared" si="7"/>
        <v>No</v>
      </c>
    </row>
    <row r="2402" ht="15.75" customHeight="1">
      <c r="A2402" s="88">
        <f t="shared" si="8"/>
        <v>45866</v>
      </c>
      <c r="B2402" s="72" t="str">
        <f t="shared" si="1"/>
        <v>20250728</v>
      </c>
      <c r="C2402" s="72" t="str">
        <f t="shared" si="2"/>
        <v>Monday</v>
      </c>
      <c r="D2402" s="72" t="str">
        <f t="shared" si="3"/>
        <v>July</v>
      </c>
      <c r="E2402" s="72" t="str">
        <f t="shared" si="4"/>
        <v>Q3</v>
      </c>
      <c r="F2402" s="72">
        <f t="shared" si="5"/>
        <v>2025</v>
      </c>
      <c r="G2402" s="89">
        <f t="shared" si="6"/>
        <v>45871</v>
      </c>
      <c r="H2402" s="72" t="str">
        <f t="shared" si="7"/>
        <v>Yes</v>
      </c>
    </row>
    <row r="2403" ht="15.75" customHeight="1">
      <c r="A2403" s="88">
        <f t="shared" si="8"/>
        <v>45867</v>
      </c>
      <c r="B2403" s="72" t="str">
        <f t="shared" si="1"/>
        <v>20250729</v>
      </c>
      <c r="C2403" s="72" t="str">
        <f t="shared" si="2"/>
        <v>Tuesday</v>
      </c>
      <c r="D2403" s="72" t="str">
        <f t="shared" si="3"/>
        <v>July</v>
      </c>
      <c r="E2403" s="72" t="str">
        <f t="shared" si="4"/>
        <v>Q3</v>
      </c>
      <c r="F2403" s="72">
        <f t="shared" si="5"/>
        <v>2025</v>
      </c>
      <c r="G2403" s="89">
        <f t="shared" si="6"/>
        <v>45871</v>
      </c>
      <c r="H2403" s="72" t="str">
        <f t="shared" si="7"/>
        <v>Yes</v>
      </c>
    </row>
    <row r="2404" ht="15.75" customHeight="1">
      <c r="A2404" s="88">
        <f t="shared" si="8"/>
        <v>45868</v>
      </c>
      <c r="B2404" s="72" t="str">
        <f t="shared" si="1"/>
        <v>20250730</v>
      </c>
      <c r="C2404" s="72" t="str">
        <f t="shared" si="2"/>
        <v>Wednesday</v>
      </c>
      <c r="D2404" s="72" t="str">
        <f t="shared" si="3"/>
        <v>July</v>
      </c>
      <c r="E2404" s="72" t="str">
        <f t="shared" si="4"/>
        <v>Q3</v>
      </c>
      <c r="F2404" s="72">
        <f t="shared" si="5"/>
        <v>2025</v>
      </c>
      <c r="G2404" s="89">
        <f t="shared" si="6"/>
        <v>45871</v>
      </c>
      <c r="H2404" s="72" t="str">
        <f t="shared" si="7"/>
        <v>Yes</v>
      </c>
    </row>
    <row r="2405" ht="15.75" customHeight="1">
      <c r="A2405" s="88">
        <f t="shared" si="8"/>
        <v>45869</v>
      </c>
      <c r="B2405" s="72" t="str">
        <f t="shared" si="1"/>
        <v>20250731</v>
      </c>
      <c r="C2405" s="72" t="str">
        <f t="shared" si="2"/>
        <v>Thursday</v>
      </c>
      <c r="D2405" s="72" t="str">
        <f t="shared" si="3"/>
        <v>July</v>
      </c>
      <c r="E2405" s="72" t="str">
        <f t="shared" si="4"/>
        <v>Q3</v>
      </c>
      <c r="F2405" s="72">
        <f t="shared" si="5"/>
        <v>2025</v>
      </c>
      <c r="G2405" s="89">
        <f t="shared" si="6"/>
        <v>45871</v>
      </c>
      <c r="H2405" s="72" t="str">
        <f t="shared" si="7"/>
        <v>Yes</v>
      </c>
    </row>
    <row r="2406" ht="15.75" customHeight="1">
      <c r="A2406" s="88">
        <f t="shared" si="8"/>
        <v>45870</v>
      </c>
      <c r="B2406" s="72" t="str">
        <f t="shared" si="1"/>
        <v>20250801</v>
      </c>
      <c r="C2406" s="72" t="str">
        <f t="shared" si="2"/>
        <v>Friday</v>
      </c>
      <c r="D2406" s="72" t="str">
        <f t="shared" si="3"/>
        <v>August</v>
      </c>
      <c r="E2406" s="72" t="str">
        <f t="shared" si="4"/>
        <v>Q3</v>
      </c>
      <c r="F2406" s="72">
        <f t="shared" si="5"/>
        <v>2025</v>
      </c>
      <c r="G2406" s="89">
        <f t="shared" si="6"/>
        <v>45871</v>
      </c>
      <c r="H2406" s="72" t="str">
        <f t="shared" si="7"/>
        <v>Yes</v>
      </c>
    </row>
    <row r="2407" ht="15.75" customHeight="1">
      <c r="A2407" s="88">
        <f t="shared" si="8"/>
        <v>45871</v>
      </c>
      <c r="B2407" s="72" t="str">
        <f t="shared" si="1"/>
        <v>20250802</v>
      </c>
      <c r="C2407" s="72" t="str">
        <f t="shared" si="2"/>
        <v>Saturday</v>
      </c>
      <c r="D2407" s="72" t="str">
        <f t="shared" si="3"/>
        <v>August</v>
      </c>
      <c r="E2407" s="72" t="str">
        <f t="shared" si="4"/>
        <v>Q3</v>
      </c>
      <c r="F2407" s="72">
        <f t="shared" si="5"/>
        <v>2025</v>
      </c>
      <c r="G2407" s="89">
        <f t="shared" si="6"/>
        <v>45871</v>
      </c>
      <c r="H2407" s="72" t="str">
        <f t="shared" si="7"/>
        <v>No</v>
      </c>
    </row>
    <row r="2408" ht="15.75" customHeight="1">
      <c r="A2408" s="88">
        <f t="shared" si="8"/>
        <v>45872</v>
      </c>
      <c r="B2408" s="72" t="str">
        <f t="shared" si="1"/>
        <v>20250803</v>
      </c>
      <c r="C2408" s="72" t="str">
        <f t="shared" si="2"/>
        <v>Sunday</v>
      </c>
      <c r="D2408" s="72" t="str">
        <f t="shared" si="3"/>
        <v>August</v>
      </c>
      <c r="E2408" s="72" t="str">
        <f t="shared" si="4"/>
        <v>Q3</v>
      </c>
      <c r="F2408" s="72">
        <f t="shared" si="5"/>
        <v>2025</v>
      </c>
      <c r="G2408" s="89">
        <f t="shared" si="6"/>
        <v>45878</v>
      </c>
      <c r="H2408" s="72" t="str">
        <f t="shared" si="7"/>
        <v>No</v>
      </c>
    </row>
    <row r="2409" ht="15.75" customHeight="1">
      <c r="A2409" s="88">
        <f t="shared" si="8"/>
        <v>45873</v>
      </c>
      <c r="B2409" s="72" t="str">
        <f t="shared" si="1"/>
        <v>20250804</v>
      </c>
      <c r="C2409" s="72" t="str">
        <f t="shared" si="2"/>
        <v>Monday</v>
      </c>
      <c r="D2409" s="72" t="str">
        <f t="shared" si="3"/>
        <v>August</v>
      </c>
      <c r="E2409" s="72" t="str">
        <f t="shared" si="4"/>
        <v>Q3</v>
      </c>
      <c r="F2409" s="72">
        <f t="shared" si="5"/>
        <v>2025</v>
      </c>
      <c r="G2409" s="89">
        <f t="shared" si="6"/>
        <v>45878</v>
      </c>
      <c r="H2409" s="72" t="str">
        <f t="shared" si="7"/>
        <v>Yes</v>
      </c>
    </row>
    <row r="2410" ht="15.75" customHeight="1">
      <c r="A2410" s="88">
        <f t="shared" si="8"/>
        <v>45874</v>
      </c>
      <c r="B2410" s="72" t="str">
        <f t="shared" si="1"/>
        <v>20250805</v>
      </c>
      <c r="C2410" s="72" t="str">
        <f t="shared" si="2"/>
        <v>Tuesday</v>
      </c>
      <c r="D2410" s="72" t="str">
        <f t="shared" si="3"/>
        <v>August</v>
      </c>
      <c r="E2410" s="72" t="str">
        <f t="shared" si="4"/>
        <v>Q3</v>
      </c>
      <c r="F2410" s="72">
        <f t="shared" si="5"/>
        <v>2025</v>
      </c>
      <c r="G2410" s="89">
        <f t="shared" si="6"/>
        <v>45878</v>
      </c>
      <c r="H2410" s="72" t="str">
        <f t="shared" si="7"/>
        <v>Yes</v>
      </c>
    </row>
    <row r="2411" ht="15.75" customHeight="1">
      <c r="A2411" s="88">
        <f t="shared" si="8"/>
        <v>45875</v>
      </c>
      <c r="B2411" s="72" t="str">
        <f t="shared" si="1"/>
        <v>20250806</v>
      </c>
      <c r="C2411" s="72" t="str">
        <f t="shared" si="2"/>
        <v>Wednesday</v>
      </c>
      <c r="D2411" s="72" t="str">
        <f t="shared" si="3"/>
        <v>August</v>
      </c>
      <c r="E2411" s="72" t="str">
        <f t="shared" si="4"/>
        <v>Q3</v>
      </c>
      <c r="F2411" s="72">
        <f t="shared" si="5"/>
        <v>2025</v>
      </c>
      <c r="G2411" s="89">
        <f t="shared" si="6"/>
        <v>45878</v>
      </c>
      <c r="H2411" s="72" t="str">
        <f t="shared" si="7"/>
        <v>Yes</v>
      </c>
    </row>
    <row r="2412" ht="15.75" customHeight="1">
      <c r="A2412" s="88">
        <f t="shared" si="8"/>
        <v>45876</v>
      </c>
      <c r="B2412" s="72" t="str">
        <f t="shared" si="1"/>
        <v>20250807</v>
      </c>
      <c r="C2412" s="72" t="str">
        <f t="shared" si="2"/>
        <v>Thursday</v>
      </c>
      <c r="D2412" s="72" t="str">
        <f t="shared" si="3"/>
        <v>August</v>
      </c>
      <c r="E2412" s="72" t="str">
        <f t="shared" si="4"/>
        <v>Q3</v>
      </c>
      <c r="F2412" s="72">
        <f t="shared" si="5"/>
        <v>2025</v>
      </c>
      <c r="G2412" s="89">
        <f t="shared" si="6"/>
        <v>45878</v>
      </c>
      <c r="H2412" s="72" t="str">
        <f t="shared" si="7"/>
        <v>Yes</v>
      </c>
    </row>
    <row r="2413" ht="15.75" customHeight="1">
      <c r="A2413" s="88">
        <f t="shared" si="8"/>
        <v>45877</v>
      </c>
      <c r="B2413" s="72" t="str">
        <f t="shared" si="1"/>
        <v>20250808</v>
      </c>
      <c r="C2413" s="72" t="str">
        <f t="shared" si="2"/>
        <v>Friday</v>
      </c>
      <c r="D2413" s="72" t="str">
        <f t="shared" si="3"/>
        <v>August</v>
      </c>
      <c r="E2413" s="72" t="str">
        <f t="shared" si="4"/>
        <v>Q3</v>
      </c>
      <c r="F2413" s="72">
        <f t="shared" si="5"/>
        <v>2025</v>
      </c>
      <c r="G2413" s="89">
        <f t="shared" si="6"/>
        <v>45878</v>
      </c>
      <c r="H2413" s="72" t="str">
        <f t="shared" si="7"/>
        <v>Yes</v>
      </c>
    </row>
    <row r="2414" ht="15.75" customHeight="1">
      <c r="A2414" s="88">
        <f t="shared" si="8"/>
        <v>45878</v>
      </c>
      <c r="B2414" s="72" t="str">
        <f t="shared" si="1"/>
        <v>20250809</v>
      </c>
      <c r="C2414" s="72" t="str">
        <f t="shared" si="2"/>
        <v>Saturday</v>
      </c>
      <c r="D2414" s="72" t="str">
        <f t="shared" si="3"/>
        <v>August</v>
      </c>
      <c r="E2414" s="72" t="str">
        <f t="shared" si="4"/>
        <v>Q3</v>
      </c>
      <c r="F2414" s="72">
        <f t="shared" si="5"/>
        <v>2025</v>
      </c>
      <c r="G2414" s="89">
        <f t="shared" si="6"/>
        <v>45878</v>
      </c>
      <c r="H2414" s="72" t="str">
        <f t="shared" si="7"/>
        <v>No</v>
      </c>
    </row>
    <row r="2415" ht="15.75" customHeight="1">
      <c r="A2415" s="88">
        <f t="shared" si="8"/>
        <v>45879</v>
      </c>
      <c r="B2415" s="72" t="str">
        <f t="shared" si="1"/>
        <v>20250810</v>
      </c>
      <c r="C2415" s="72" t="str">
        <f t="shared" si="2"/>
        <v>Sunday</v>
      </c>
      <c r="D2415" s="72" t="str">
        <f t="shared" si="3"/>
        <v>August</v>
      </c>
      <c r="E2415" s="72" t="str">
        <f t="shared" si="4"/>
        <v>Q3</v>
      </c>
      <c r="F2415" s="72">
        <f t="shared" si="5"/>
        <v>2025</v>
      </c>
      <c r="G2415" s="89">
        <f t="shared" si="6"/>
        <v>45885</v>
      </c>
      <c r="H2415" s="72" t="str">
        <f t="shared" si="7"/>
        <v>No</v>
      </c>
    </row>
    <row r="2416" ht="15.75" customHeight="1">
      <c r="A2416" s="88">
        <f t="shared" si="8"/>
        <v>45880</v>
      </c>
      <c r="B2416" s="72" t="str">
        <f t="shared" si="1"/>
        <v>20250811</v>
      </c>
      <c r="C2416" s="72" t="str">
        <f t="shared" si="2"/>
        <v>Monday</v>
      </c>
      <c r="D2416" s="72" t="str">
        <f t="shared" si="3"/>
        <v>August</v>
      </c>
      <c r="E2416" s="72" t="str">
        <f t="shared" si="4"/>
        <v>Q3</v>
      </c>
      <c r="F2416" s="72">
        <f t="shared" si="5"/>
        <v>2025</v>
      </c>
      <c r="G2416" s="89">
        <f t="shared" si="6"/>
        <v>45885</v>
      </c>
      <c r="H2416" s="72" t="str">
        <f t="shared" si="7"/>
        <v>Yes</v>
      </c>
    </row>
    <row r="2417" ht="15.75" customHeight="1">
      <c r="A2417" s="88">
        <f t="shared" si="8"/>
        <v>45881</v>
      </c>
      <c r="B2417" s="72" t="str">
        <f t="shared" si="1"/>
        <v>20250812</v>
      </c>
      <c r="C2417" s="72" t="str">
        <f t="shared" si="2"/>
        <v>Tuesday</v>
      </c>
      <c r="D2417" s="72" t="str">
        <f t="shared" si="3"/>
        <v>August</v>
      </c>
      <c r="E2417" s="72" t="str">
        <f t="shared" si="4"/>
        <v>Q3</v>
      </c>
      <c r="F2417" s="72">
        <f t="shared" si="5"/>
        <v>2025</v>
      </c>
      <c r="G2417" s="89">
        <f t="shared" si="6"/>
        <v>45885</v>
      </c>
      <c r="H2417" s="72" t="str">
        <f t="shared" si="7"/>
        <v>Yes</v>
      </c>
    </row>
    <row r="2418" ht="15.75" customHeight="1">
      <c r="A2418" s="88">
        <f t="shared" si="8"/>
        <v>45882</v>
      </c>
      <c r="B2418" s="72" t="str">
        <f t="shared" si="1"/>
        <v>20250813</v>
      </c>
      <c r="C2418" s="72" t="str">
        <f t="shared" si="2"/>
        <v>Wednesday</v>
      </c>
      <c r="D2418" s="72" t="str">
        <f t="shared" si="3"/>
        <v>August</v>
      </c>
      <c r="E2418" s="72" t="str">
        <f t="shared" si="4"/>
        <v>Q3</v>
      </c>
      <c r="F2418" s="72">
        <f t="shared" si="5"/>
        <v>2025</v>
      </c>
      <c r="G2418" s="89">
        <f t="shared" si="6"/>
        <v>45885</v>
      </c>
      <c r="H2418" s="72" t="str">
        <f t="shared" si="7"/>
        <v>Yes</v>
      </c>
    </row>
    <row r="2419" ht="15.75" customHeight="1">
      <c r="A2419" s="88">
        <f t="shared" si="8"/>
        <v>45883</v>
      </c>
      <c r="B2419" s="72" t="str">
        <f t="shared" si="1"/>
        <v>20250814</v>
      </c>
      <c r="C2419" s="72" t="str">
        <f t="shared" si="2"/>
        <v>Thursday</v>
      </c>
      <c r="D2419" s="72" t="str">
        <f t="shared" si="3"/>
        <v>August</v>
      </c>
      <c r="E2419" s="72" t="str">
        <f t="shared" si="4"/>
        <v>Q3</v>
      </c>
      <c r="F2419" s="72">
        <f t="shared" si="5"/>
        <v>2025</v>
      </c>
      <c r="G2419" s="89">
        <f t="shared" si="6"/>
        <v>45885</v>
      </c>
      <c r="H2419" s="72" t="str">
        <f t="shared" si="7"/>
        <v>Yes</v>
      </c>
    </row>
    <row r="2420" ht="15.75" customHeight="1">
      <c r="A2420" s="88">
        <f t="shared" si="8"/>
        <v>45884</v>
      </c>
      <c r="B2420" s="72" t="str">
        <f t="shared" si="1"/>
        <v>20250815</v>
      </c>
      <c r="C2420" s="72" t="str">
        <f t="shared" si="2"/>
        <v>Friday</v>
      </c>
      <c r="D2420" s="72" t="str">
        <f t="shared" si="3"/>
        <v>August</v>
      </c>
      <c r="E2420" s="72" t="str">
        <f t="shared" si="4"/>
        <v>Q3</v>
      </c>
      <c r="F2420" s="72">
        <f t="shared" si="5"/>
        <v>2025</v>
      </c>
      <c r="G2420" s="89">
        <f t="shared" si="6"/>
        <v>45885</v>
      </c>
      <c r="H2420" s="72" t="str">
        <f t="shared" si="7"/>
        <v>Yes</v>
      </c>
    </row>
    <row r="2421" ht="15.75" customHeight="1">
      <c r="A2421" s="88">
        <f t="shared" si="8"/>
        <v>45885</v>
      </c>
      <c r="B2421" s="72" t="str">
        <f t="shared" si="1"/>
        <v>20250816</v>
      </c>
      <c r="C2421" s="72" t="str">
        <f t="shared" si="2"/>
        <v>Saturday</v>
      </c>
      <c r="D2421" s="72" t="str">
        <f t="shared" si="3"/>
        <v>August</v>
      </c>
      <c r="E2421" s="72" t="str">
        <f t="shared" si="4"/>
        <v>Q3</v>
      </c>
      <c r="F2421" s="72">
        <f t="shared" si="5"/>
        <v>2025</v>
      </c>
      <c r="G2421" s="89">
        <f t="shared" si="6"/>
        <v>45885</v>
      </c>
      <c r="H2421" s="72" t="str">
        <f t="shared" si="7"/>
        <v>No</v>
      </c>
    </row>
    <row r="2422" ht="15.75" customHeight="1">
      <c r="A2422" s="88">
        <f t="shared" si="8"/>
        <v>45886</v>
      </c>
      <c r="B2422" s="72" t="str">
        <f t="shared" si="1"/>
        <v>20250817</v>
      </c>
      <c r="C2422" s="72" t="str">
        <f t="shared" si="2"/>
        <v>Sunday</v>
      </c>
      <c r="D2422" s="72" t="str">
        <f t="shared" si="3"/>
        <v>August</v>
      </c>
      <c r="E2422" s="72" t="str">
        <f t="shared" si="4"/>
        <v>Q3</v>
      </c>
      <c r="F2422" s="72">
        <f t="shared" si="5"/>
        <v>2025</v>
      </c>
      <c r="G2422" s="89">
        <f t="shared" si="6"/>
        <v>45892</v>
      </c>
      <c r="H2422" s="72" t="str">
        <f t="shared" si="7"/>
        <v>No</v>
      </c>
    </row>
    <row r="2423" ht="15.75" customHeight="1">
      <c r="A2423" s="88">
        <f t="shared" si="8"/>
        <v>45887</v>
      </c>
      <c r="B2423" s="72" t="str">
        <f t="shared" si="1"/>
        <v>20250818</v>
      </c>
      <c r="C2423" s="72" t="str">
        <f t="shared" si="2"/>
        <v>Monday</v>
      </c>
      <c r="D2423" s="72" t="str">
        <f t="shared" si="3"/>
        <v>August</v>
      </c>
      <c r="E2423" s="72" t="str">
        <f t="shared" si="4"/>
        <v>Q3</v>
      </c>
      <c r="F2423" s="72">
        <f t="shared" si="5"/>
        <v>2025</v>
      </c>
      <c r="G2423" s="89">
        <f t="shared" si="6"/>
        <v>45892</v>
      </c>
      <c r="H2423" s="72" t="str">
        <f t="shared" si="7"/>
        <v>Yes</v>
      </c>
    </row>
    <row r="2424" ht="15.75" customHeight="1">
      <c r="A2424" s="88">
        <f t="shared" si="8"/>
        <v>45888</v>
      </c>
      <c r="B2424" s="72" t="str">
        <f t="shared" si="1"/>
        <v>20250819</v>
      </c>
      <c r="C2424" s="72" t="str">
        <f t="shared" si="2"/>
        <v>Tuesday</v>
      </c>
      <c r="D2424" s="72" t="str">
        <f t="shared" si="3"/>
        <v>August</v>
      </c>
      <c r="E2424" s="72" t="str">
        <f t="shared" si="4"/>
        <v>Q3</v>
      </c>
      <c r="F2424" s="72">
        <f t="shared" si="5"/>
        <v>2025</v>
      </c>
      <c r="G2424" s="89">
        <f t="shared" si="6"/>
        <v>45892</v>
      </c>
      <c r="H2424" s="72" t="str">
        <f t="shared" si="7"/>
        <v>Yes</v>
      </c>
    </row>
    <row r="2425" ht="15.75" customHeight="1">
      <c r="A2425" s="88">
        <f t="shared" si="8"/>
        <v>45889</v>
      </c>
      <c r="B2425" s="72" t="str">
        <f t="shared" si="1"/>
        <v>20250820</v>
      </c>
      <c r="C2425" s="72" t="str">
        <f t="shared" si="2"/>
        <v>Wednesday</v>
      </c>
      <c r="D2425" s="72" t="str">
        <f t="shared" si="3"/>
        <v>August</v>
      </c>
      <c r="E2425" s="72" t="str">
        <f t="shared" si="4"/>
        <v>Q3</v>
      </c>
      <c r="F2425" s="72">
        <f t="shared" si="5"/>
        <v>2025</v>
      </c>
      <c r="G2425" s="89">
        <f t="shared" si="6"/>
        <v>45892</v>
      </c>
      <c r="H2425" s="72" t="str">
        <f t="shared" si="7"/>
        <v>Yes</v>
      </c>
    </row>
    <row r="2426" ht="15.75" customHeight="1">
      <c r="A2426" s="88">
        <f t="shared" si="8"/>
        <v>45890</v>
      </c>
      <c r="B2426" s="72" t="str">
        <f t="shared" si="1"/>
        <v>20250821</v>
      </c>
      <c r="C2426" s="72" t="str">
        <f t="shared" si="2"/>
        <v>Thursday</v>
      </c>
      <c r="D2426" s="72" t="str">
        <f t="shared" si="3"/>
        <v>August</v>
      </c>
      <c r="E2426" s="72" t="str">
        <f t="shared" si="4"/>
        <v>Q3</v>
      </c>
      <c r="F2426" s="72">
        <f t="shared" si="5"/>
        <v>2025</v>
      </c>
      <c r="G2426" s="89">
        <f t="shared" si="6"/>
        <v>45892</v>
      </c>
      <c r="H2426" s="72" t="str">
        <f t="shared" si="7"/>
        <v>Yes</v>
      </c>
    </row>
    <row r="2427" ht="15.75" customHeight="1">
      <c r="A2427" s="88">
        <f t="shared" si="8"/>
        <v>45891</v>
      </c>
      <c r="B2427" s="72" t="str">
        <f t="shared" si="1"/>
        <v>20250822</v>
      </c>
      <c r="C2427" s="72" t="str">
        <f t="shared" si="2"/>
        <v>Friday</v>
      </c>
      <c r="D2427" s="72" t="str">
        <f t="shared" si="3"/>
        <v>August</v>
      </c>
      <c r="E2427" s="72" t="str">
        <f t="shared" si="4"/>
        <v>Q3</v>
      </c>
      <c r="F2427" s="72">
        <f t="shared" si="5"/>
        <v>2025</v>
      </c>
      <c r="G2427" s="89">
        <f t="shared" si="6"/>
        <v>45892</v>
      </c>
      <c r="H2427" s="72" t="str">
        <f t="shared" si="7"/>
        <v>Yes</v>
      </c>
    </row>
    <row r="2428" ht="15.75" customHeight="1">
      <c r="A2428" s="88">
        <f t="shared" si="8"/>
        <v>45892</v>
      </c>
      <c r="B2428" s="72" t="str">
        <f t="shared" si="1"/>
        <v>20250823</v>
      </c>
      <c r="C2428" s="72" t="str">
        <f t="shared" si="2"/>
        <v>Saturday</v>
      </c>
      <c r="D2428" s="72" t="str">
        <f t="shared" si="3"/>
        <v>August</v>
      </c>
      <c r="E2428" s="72" t="str">
        <f t="shared" si="4"/>
        <v>Q3</v>
      </c>
      <c r="F2428" s="72">
        <f t="shared" si="5"/>
        <v>2025</v>
      </c>
      <c r="G2428" s="89">
        <f t="shared" si="6"/>
        <v>45892</v>
      </c>
      <c r="H2428" s="72" t="str">
        <f t="shared" si="7"/>
        <v>No</v>
      </c>
    </row>
    <row r="2429" ht="15.75" customHeight="1">
      <c r="A2429" s="88">
        <f t="shared" si="8"/>
        <v>45893</v>
      </c>
      <c r="B2429" s="72" t="str">
        <f t="shared" si="1"/>
        <v>20250824</v>
      </c>
      <c r="C2429" s="72" t="str">
        <f t="shared" si="2"/>
        <v>Sunday</v>
      </c>
      <c r="D2429" s="72" t="str">
        <f t="shared" si="3"/>
        <v>August</v>
      </c>
      <c r="E2429" s="72" t="str">
        <f t="shared" si="4"/>
        <v>Q3</v>
      </c>
      <c r="F2429" s="72">
        <f t="shared" si="5"/>
        <v>2025</v>
      </c>
      <c r="G2429" s="89">
        <f t="shared" si="6"/>
        <v>45899</v>
      </c>
      <c r="H2429" s="72" t="str">
        <f t="shared" si="7"/>
        <v>No</v>
      </c>
    </row>
    <row r="2430" ht="15.75" customHeight="1">
      <c r="A2430" s="88">
        <f t="shared" si="8"/>
        <v>45894</v>
      </c>
      <c r="B2430" s="72" t="str">
        <f t="shared" si="1"/>
        <v>20250825</v>
      </c>
      <c r="C2430" s="72" t="str">
        <f t="shared" si="2"/>
        <v>Monday</v>
      </c>
      <c r="D2430" s="72" t="str">
        <f t="shared" si="3"/>
        <v>August</v>
      </c>
      <c r="E2430" s="72" t="str">
        <f t="shared" si="4"/>
        <v>Q3</v>
      </c>
      <c r="F2430" s="72">
        <f t="shared" si="5"/>
        <v>2025</v>
      </c>
      <c r="G2430" s="89">
        <f t="shared" si="6"/>
        <v>45899</v>
      </c>
      <c r="H2430" s="72" t="str">
        <f t="shared" si="7"/>
        <v>Yes</v>
      </c>
    </row>
    <row r="2431" ht="15.75" customHeight="1">
      <c r="A2431" s="88">
        <f t="shared" si="8"/>
        <v>45895</v>
      </c>
      <c r="B2431" s="72" t="str">
        <f t="shared" si="1"/>
        <v>20250826</v>
      </c>
      <c r="C2431" s="72" t="str">
        <f t="shared" si="2"/>
        <v>Tuesday</v>
      </c>
      <c r="D2431" s="72" t="str">
        <f t="shared" si="3"/>
        <v>August</v>
      </c>
      <c r="E2431" s="72" t="str">
        <f t="shared" si="4"/>
        <v>Q3</v>
      </c>
      <c r="F2431" s="72">
        <f t="shared" si="5"/>
        <v>2025</v>
      </c>
      <c r="G2431" s="89">
        <f t="shared" si="6"/>
        <v>45899</v>
      </c>
      <c r="H2431" s="72" t="str">
        <f t="shared" si="7"/>
        <v>Yes</v>
      </c>
    </row>
    <row r="2432" ht="15.75" customHeight="1">
      <c r="A2432" s="88">
        <f t="shared" si="8"/>
        <v>45896</v>
      </c>
      <c r="B2432" s="72" t="str">
        <f t="shared" si="1"/>
        <v>20250827</v>
      </c>
      <c r="C2432" s="72" t="str">
        <f t="shared" si="2"/>
        <v>Wednesday</v>
      </c>
      <c r="D2432" s="72" t="str">
        <f t="shared" si="3"/>
        <v>August</v>
      </c>
      <c r="E2432" s="72" t="str">
        <f t="shared" si="4"/>
        <v>Q3</v>
      </c>
      <c r="F2432" s="72">
        <f t="shared" si="5"/>
        <v>2025</v>
      </c>
      <c r="G2432" s="89">
        <f t="shared" si="6"/>
        <v>45899</v>
      </c>
      <c r="H2432" s="72" t="str">
        <f t="shared" si="7"/>
        <v>Yes</v>
      </c>
    </row>
    <row r="2433" ht="15.75" customHeight="1">
      <c r="A2433" s="88">
        <f t="shared" si="8"/>
        <v>45897</v>
      </c>
      <c r="B2433" s="72" t="str">
        <f t="shared" si="1"/>
        <v>20250828</v>
      </c>
      <c r="C2433" s="72" t="str">
        <f t="shared" si="2"/>
        <v>Thursday</v>
      </c>
      <c r="D2433" s="72" t="str">
        <f t="shared" si="3"/>
        <v>August</v>
      </c>
      <c r="E2433" s="72" t="str">
        <f t="shared" si="4"/>
        <v>Q3</v>
      </c>
      <c r="F2433" s="72">
        <f t="shared" si="5"/>
        <v>2025</v>
      </c>
      <c r="G2433" s="89">
        <f t="shared" si="6"/>
        <v>45899</v>
      </c>
      <c r="H2433" s="72" t="str">
        <f t="shared" si="7"/>
        <v>Yes</v>
      </c>
    </row>
    <row r="2434" ht="15.75" customHeight="1">
      <c r="A2434" s="88">
        <f t="shared" si="8"/>
        <v>45898</v>
      </c>
      <c r="B2434" s="72" t="str">
        <f t="shared" si="1"/>
        <v>20250829</v>
      </c>
      <c r="C2434" s="72" t="str">
        <f t="shared" si="2"/>
        <v>Friday</v>
      </c>
      <c r="D2434" s="72" t="str">
        <f t="shared" si="3"/>
        <v>August</v>
      </c>
      <c r="E2434" s="72" t="str">
        <f t="shared" si="4"/>
        <v>Q3</v>
      </c>
      <c r="F2434" s="72">
        <f t="shared" si="5"/>
        <v>2025</v>
      </c>
      <c r="G2434" s="89">
        <f t="shared" si="6"/>
        <v>45899</v>
      </c>
      <c r="H2434" s="72" t="str">
        <f t="shared" si="7"/>
        <v>Yes</v>
      </c>
    </row>
    <row r="2435" ht="15.75" customHeight="1">
      <c r="A2435" s="88">
        <f t="shared" si="8"/>
        <v>45899</v>
      </c>
      <c r="B2435" s="72" t="str">
        <f t="shared" si="1"/>
        <v>20250830</v>
      </c>
      <c r="C2435" s="72" t="str">
        <f t="shared" si="2"/>
        <v>Saturday</v>
      </c>
      <c r="D2435" s="72" t="str">
        <f t="shared" si="3"/>
        <v>August</v>
      </c>
      <c r="E2435" s="72" t="str">
        <f t="shared" si="4"/>
        <v>Q3</v>
      </c>
      <c r="F2435" s="72">
        <f t="shared" si="5"/>
        <v>2025</v>
      </c>
      <c r="G2435" s="89">
        <f t="shared" si="6"/>
        <v>45899</v>
      </c>
      <c r="H2435" s="72" t="str">
        <f t="shared" si="7"/>
        <v>No</v>
      </c>
    </row>
    <row r="2436" ht="15.75" customHeight="1">
      <c r="A2436" s="88">
        <f t="shared" si="8"/>
        <v>45900</v>
      </c>
      <c r="B2436" s="72" t="str">
        <f t="shared" si="1"/>
        <v>20250831</v>
      </c>
      <c r="C2436" s="72" t="str">
        <f t="shared" si="2"/>
        <v>Sunday</v>
      </c>
      <c r="D2436" s="72" t="str">
        <f t="shared" si="3"/>
        <v>August</v>
      </c>
      <c r="E2436" s="72" t="str">
        <f t="shared" si="4"/>
        <v>Q3</v>
      </c>
      <c r="F2436" s="72">
        <f t="shared" si="5"/>
        <v>2025</v>
      </c>
      <c r="G2436" s="89">
        <f t="shared" si="6"/>
        <v>45906</v>
      </c>
      <c r="H2436" s="72" t="str">
        <f t="shared" si="7"/>
        <v>No</v>
      </c>
    </row>
    <row r="2437" ht="15.75" customHeight="1">
      <c r="A2437" s="88">
        <f t="shared" si="8"/>
        <v>45901</v>
      </c>
      <c r="B2437" s="72" t="str">
        <f t="shared" si="1"/>
        <v>20250901</v>
      </c>
      <c r="C2437" s="72" t="str">
        <f t="shared" si="2"/>
        <v>Monday</v>
      </c>
      <c r="D2437" s="72" t="str">
        <f t="shared" si="3"/>
        <v>September</v>
      </c>
      <c r="E2437" s="72" t="str">
        <f t="shared" si="4"/>
        <v>Q3</v>
      </c>
      <c r="F2437" s="72">
        <f t="shared" si="5"/>
        <v>2025</v>
      </c>
      <c r="G2437" s="89">
        <f t="shared" si="6"/>
        <v>45906</v>
      </c>
      <c r="H2437" s="72" t="str">
        <f t="shared" si="7"/>
        <v>Yes</v>
      </c>
    </row>
    <row r="2438" ht="15.75" customHeight="1">
      <c r="A2438" s="88">
        <f t="shared" si="8"/>
        <v>45902</v>
      </c>
      <c r="B2438" s="72" t="str">
        <f t="shared" si="1"/>
        <v>20250902</v>
      </c>
      <c r="C2438" s="72" t="str">
        <f t="shared" si="2"/>
        <v>Tuesday</v>
      </c>
      <c r="D2438" s="72" t="str">
        <f t="shared" si="3"/>
        <v>September</v>
      </c>
      <c r="E2438" s="72" t="str">
        <f t="shared" si="4"/>
        <v>Q3</v>
      </c>
      <c r="F2438" s="72">
        <f t="shared" si="5"/>
        <v>2025</v>
      </c>
      <c r="G2438" s="89">
        <f t="shared" si="6"/>
        <v>45906</v>
      </c>
      <c r="H2438" s="72" t="str">
        <f t="shared" si="7"/>
        <v>Yes</v>
      </c>
    </row>
    <row r="2439" ht="15.75" customHeight="1">
      <c r="A2439" s="88">
        <f t="shared" si="8"/>
        <v>45903</v>
      </c>
      <c r="B2439" s="72" t="str">
        <f t="shared" si="1"/>
        <v>20250903</v>
      </c>
      <c r="C2439" s="72" t="str">
        <f t="shared" si="2"/>
        <v>Wednesday</v>
      </c>
      <c r="D2439" s="72" t="str">
        <f t="shared" si="3"/>
        <v>September</v>
      </c>
      <c r="E2439" s="72" t="str">
        <f t="shared" si="4"/>
        <v>Q3</v>
      </c>
      <c r="F2439" s="72">
        <f t="shared" si="5"/>
        <v>2025</v>
      </c>
      <c r="G2439" s="89">
        <f t="shared" si="6"/>
        <v>45906</v>
      </c>
      <c r="H2439" s="72" t="str">
        <f t="shared" si="7"/>
        <v>Yes</v>
      </c>
    </row>
    <row r="2440" ht="15.75" customHeight="1">
      <c r="A2440" s="88">
        <f t="shared" si="8"/>
        <v>45904</v>
      </c>
      <c r="B2440" s="72" t="str">
        <f t="shared" si="1"/>
        <v>20250904</v>
      </c>
      <c r="C2440" s="72" t="str">
        <f t="shared" si="2"/>
        <v>Thursday</v>
      </c>
      <c r="D2440" s="72" t="str">
        <f t="shared" si="3"/>
        <v>September</v>
      </c>
      <c r="E2440" s="72" t="str">
        <f t="shared" si="4"/>
        <v>Q3</v>
      </c>
      <c r="F2440" s="72">
        <f t="shared" si="5"/>
        <v>2025</v>
      </c>
      <c r="G2440" s="89">
        <f t="shared" si="6"/>
        <v>45906</v>
      </c>
      <c r="H2440" s="72" t="str">
        <f t="shared" si="7"/>
        <v>Yes</v>
      </c>
    </row>
    <row r="2441" ht="15.75" customHeight="1">
      <c r="A2441" s="88">
        <f t="shared" si="8"/>
        <v>45905</v>
      </c>
      <c r="B2441" s="72" t="str">
        <f t="shared" si="1"/>
        <v>20250905</v>
      </c>
      <c r="C2441" s="72" t="str">
        <f t="shared" si="2"/>
        <v>Friday</v>
      </c>
      <c r="D2441" s="72" t="str">
        <f t="shared" si="3"/>
        <v>September</v>
      </c>
      <c r="E2441" s="72" t="str">
        <f t="shared" si="4"/>
        <v>Q3</v>
      </c>
      <c r="F2441" s="72">
        <f t="shared" si="5"/>
        <v>2025</v>
      </c>
      <c r="G2441" s="89">
        <f t="shared" si="6"/>
        <v>45906</v>
      </c>
      <c r="H2441" s="72" t="str">
        <f t="shared" si="7"/>
        <v>Yes</v>
      </c>
    </row>
    <row r="2442" ht="15.75" customHeight="1">
      <c r="A2442" s="88">
        <f t="shared" si="8"/>
        <v>45906</v>
      </c>
      <c r="B2442" s="72" t="str">
        <f t="shared" si="1"/>
        <v>20250906</v>
      </c>
      <c r="C2442" s="72" t="str">
        <f t="shared" si="2"/>
        <v>Saturday</v>
      </c>
      <c r="D2442" s="72" t="str">
        <f t="shared" si="3"/>
        <v>September</v>
      </c>
      <c r="E2442" s="72" t="str">
        <f t="shared" si="4"/>
        <v>Q3</v>
      </c>
      <c r="F2442" s="72">
        <f t="shared" si="5"/>
        <v>2025</v>
      </c>
      <c r="G2442" s="89">
        <f t="shared" si="6"/>
        <v>45906</v>
      </c>
      <c r="H2442" s="72" t="str">
        <f t="shared" si="7"/>
        <v>No</v>
      </c>
    </row>
    <row r="2443" ht="15.75" customHeight="1">
      <c r="A2443" s="88">
        <f t="shared" si="8"/>
        <v>45907</v>
      </c>
      <c r="B2443" s="72" t="str">
        <f t="shared" si="1"/>
        <v>20250907</v>
      </c>
      <c r="C2443" s="72" t="str">
        <f t="shared" si="2"/>
        <v>Sunday</v>
      </c>
      <c r="D2443" s="72" t="str">
        <f t="shared" si="3"/>
        <v>September</v>
      </c>
      <c r="E2443" s="72" t="str">
        <f t="shared" si="4"/>
        <v>Q3</v>
      </c>
      <c r="F2443" s="72">
        <f t="shared" si="5"/>
        <v>2025</v>
      </c>
      <c r="G2443" s="89">
        <f t="shared" si="6"/>
        <v>45913</v>
      </c>
      <c r="H2443" s="72" t="str">
        <f t="shared" si="7"/>
        <v>No</v>
      </c>
    </row>
    <row r="2444" ht="15.75" customHeight="1">
      <c r="A2444" s="88">
        <f t="shared" si="8"/>
        <v>45908</v>
      </c>
      <c r="B2444" s="72" t="str">
        <f t="shared" si="1"/>
        <v>20250908</v>
      </c>
      <c r="C2444" s="72" t="str">
        <f t="shared" si="2"/>
        <v>Monday</v>
      </c>
      <c r="D2444" s="72" t="str">
        <f t="shared" si="3"/>
        <v>September</v>
      </c>
      <c r="E2444" s="72" t="str">
        <f t="shared" si="4"/>
        <v>Q3</v>
      </c>
      <c r="F2444" s="72">
        <f t="shared" si="5"/>
        <v>2025</v>
      </c>
      <c r="G2444" s="89">
        <f t="shared" si="6"/>
        <v>45913</v>
      </c>
      <c r="H2444" s="72" t="str">
        <f t="shared" si="7"/>
        <v>Yes</v>
      </c>
    </row>
    <row r="2445" ht="15.75" customHeight="1">
      <c r="A2445" s="88">
        <f t="shared" si="8"/>
        <v>45909</v>
      </c>
      <c r="B2445" s="72" t="str">
        <f t="shared" si="1"/>
        <v>20250909</v>
      </c>
      <c r="C2445" s="72" t="str">
        <f t="shared" si="2"/>
        <v>Tuesday</v>
      </c>
      <c r="D2445" s="72" t="str">
        <f t="shared" si="3"/>
        <v>September</v>
      </c>
      <c r="E2445" s="72" t="str">
        <f t="shared" si="4"/>
        <v>Q3</v>
      </c>
      <c r="F2445" s="72">
        <f t="shared" si="5"/>
        <v>2025</v>
      </c>
      <c r="G2445" s="89">
        <f t="shared" si="6"/>
        <v>45913</v>
      </c>
      <c r="H2445" s="72" t="str">
        <f t="shared" si="7"/>
        <v>Yes</v>
      </c>
    </row>
    <row r="2446" ht="15.75" customHeight="1">
      <c r="A2446" s="88">
        <f t="shared" si="8"/>
        <v>45910</v>
      </c>
      <c r="B2446" s="72" t="str">
        <f t="shared" si="1"/>
        <v>20250910</v>
      </c>
      <c r="C2446" s="72" t="str">
        <f t="shared" si="2"/>
        <v>Wednesday</v>
      </c>
      <c r="D2446" s="72" t="str">
        <f t="shared" si="3"/>
        <v>September</v>
      </c>
      <c r="E2446" s="72" t="str">
        <f t="shared" si="4"/>
        <v>Q3</v>
      </c>
      <c r="F2446" s="72">
        <f t="shared" si="5"/>
        <v>2025</v>
      </c>
      <c r="G2446" s="89">
        <f t="shared" si="6"/>
        <v>45913</v>
      </c>
      <c r="H2446" s="72" t="str">
        <f t="shared" si="7"/>
        <v>Yes</v>
      </c>
    </row>
    <row r="2447" ht="15.75" customHeight="1">
      <c r="A2447" s="88">
        <f t="shared" si="8"/>
        <v>45911</v>
      </c>
      <c r="B2447" s="72" t="str">
        <f t="shared" si="1"/>
        <v>20250911</v>
      </c>
      <c r="C2447" s="72" t="str">
        <f t="shared" si="2"/>
        <v>Thursday</v>
      </c>
      <c r="D2447" s="72" t="str">
        <f t="shared" si="3"/>
        <v>September</v>
      </c>
      <c r="E2447" s="72" t="str">
        <f t="shared" si="4"/>
        <v>Q3</v>
      </c>
      <c r="F2447" s="72">
        <f t="shared" si="5"/>
        <v>2025</v>
      </c>
      <c r="G2447" s="89">
        <f t="shared" si="6"/>
        <v>45913</v>
      </c>
      <c r="H2447" s="72" t="str">
        <f t="shared" si="7"/>
        <v>Yes</v>
      </c>
    </row>
    <row r="2448" ht="15.75" customHeight="1">
      <c r="A2448" s="88">
        <f t="shared" si="8"/>
        <v>45912</v>
      </c>
      <c r="B2448" s="72" t="str">
        <f t="shared" si="1"/>
        <v>20250912</v>
      </c>
      <c r="C2448" s="72" t="str">
        <f t="shared" si="2"/>
        <v>Friday</v>
      </c>
      <c r="D2448" s="72" t="str">
        <f t="shared" si="3"/>
        <v>September</v>
      </c>
      <c r="E2448" s="72" t="str">
        <f t="shared" si="4"/>
        <v>Q3</v>
      </c>
      <c r="F2448" s="72">
        <f t="shared" si="5"/>
        <v>2025</v>
      </c>
      <c r="G2448" s="89">
        <f t="shared" si="6"/>
        <v>45913</v>
      </c>
      <c r="H2448" s="72" t="str">
        <f t="shared" si="7"/>
        <v>Yes</v>
      </c>
    </row>
    <row r="2449" ht="15.75" customHeight="1">
      <c r="A2449" s="88">
        <f t="shared" si="8"/>
        <v>45913</v>
      </c>
      <c r="B2449" s="72" t="str">
        <f t="shared" si="1"/>
        <v>20250913</v>
      </c>
      <c r="C2449" s="72" t="str">
        <f t="shared" si="2"/>
        <v>Saturday</v>
      </c>
      <c r="D2449" s="72" t="str">
        <f t="shared" si="3"/>
        <v>September</v>
      </c>
      <c r="E2449" s="72" t="str">
        <f t="shared" si="4"/>
        <v>Q3</v>
      </c>
      <c r="F2449" s="72">
        <f t="shared" si="5"/>
        <v>2025</v>
      </c>
      <c r="G2449" s="89">
        <f t="shared" si="6"/>
        <v>45913</v>
      </c>
      <c r="H2449" s="72" t="str">
        <f t="shared" si="7"/>
        <v>No</v>
      </c>
    </row>
    <row r="2450" ht="15.75" customHeight="1">
      <c r="A2450" s="88">
        <f t="shared" si="8"/>
        <v>45914</v>
      </c>
      <c r="B2450" s="72" t="str">
        <f t="shared" si="1"/>
        <v>20250914</v>
      </c>
      <c r="C2450" s="72" t="str">
        <f t="shared" si="2"/>
        <v>Sunday</v>
      </c>
      <c r="D2450" s="72" t="str">
        <f t="shared" si="3"/>
        <v>September</v>
      </c>
      <c r="E2450" s="72" t="str">
        <f t="shared" si="4"/>
        <v>Q3</v>
      </c>
      <c r="F2450" s="72">
        <f t="shared" si="5"/>
        <v>2025</v>
      </c>
      <c r="G2450" s="89">
        <f t="shared" si="6"/>
        <v>45920</v>
      </c>
      <c r="H2450" s="72" t="str">
        <f t="shared" si="7"/>
        <v>No</v>
      </c>
    </row>
    <row r="2451" ht="15.75" customHeight="1">
      <c r="A2451" s="88">
        <f t="shared" si="8"/>
        <v>45915</v>
      </c>
      <c r="B2451" s="72" t="str">
        <f t="shared" si="1"/>
        <v>20250915</v>
      </c>
      <c r="C2451" s="72" t="str">
        <f t="shared" si="2"/>
        <v>Monday</v>
      </c>
      <c r="D2451" s="72" t="str">
        <f t="shared" si="3"/>
        <v>September</v>
      </c>
      <c r="E2451" s="72" t="str">
        <f t="shared" si="4"/>
        <v>Q3</v>
      </c>
      <c r="F2451" s="72">
        <f t="shared" si="5"/>
        <v>2025</v>
      </c>
      <c r="G2451" s="89">
        <f t="shared" si="6"/>
        <v>45920</v>
      </c>
      <c r="H2451" s="72" t="str">
        <f t="shared" si="7"/>
        <v>Yes</v>
      </c>
    </row>
    <row r="2452" ht="15.75" customHeight="1">
      <c r="A2452" s="88">
        <f t="shared" si="8"/>
        <v>45916</v>
      </c>
      <c r="B2452" s="72" t="str">
        <f t="shared" si="1"/>
        <v>20250916</v>
      </c>
      <c r="C2452" s="72" t="str">
        <f t="shared" si="2"/>
        <v>Tuesday</v>
      </c>
      <c r="D2452" s="72" t="str">
        <f t="shared" si="3"/>
        <v>September</v>
      </c>
      <c r="E2452" s="72" t="str">
        <f t="shared" si="4"/>
        <v>Q3</v>
      </c>
      <c r="F2452" s="72">
        <f t="shared" si="5"/>
        <v>2025</v>
      </c>
      <c r="G2452" s="89">
        <f t="shared" si="6"/>
        <v>45920</v>
      </c>
      <c r="H2452" s="72" t="str">
        <f t="shared" si="7"/>
        <v>Yes</v>
      </c>
    </row>
    <row r="2453" ht="15.75" customHeight="1">
      <c r="A2453" s="88">
        <f t="shared" si="8"/>
        <v>45917</v>
      </c>
      <c r="B2453" s="72" t="str">
        <f t="shared" si="1"/>
        <v>20250917</v>
      </c>
      <c r="C2453" s="72" t="str">
        <f t="shared" si="2"/>
        <v>Wednesday</v>
      </c>
      <c r="D2453" s="72" t="str">
        <f t="shared" si="3"/>
        <v>September</v>
      </c>
      <c r="E2453" s="72" t="str">
        <f t="shared" si="4"/>
        <v>Q3</v>
      </c>
      <c r="F2453" s="72">
        <f t="shared" si="5"/>
        <v>2025</v>
      </c>
      <c r="G2453" s="89">
        <f t="shared" si="6"/>
        <v>45920</v>
      </c>
      <c r="H2453" s="72" t="str">
        <f t="shared" si="7"/>
        <v>Yes</v>
      </c>
    </row>
    <row r="2454" ht="15.75" customHeight="1">
      <c r="A2454" s="88">
        <f t="shared" si="8"/>
        <v>45918</v>
      </c>
      <c r="B2454" s="72" t="str">
        <f t="shared" si="1"/>
        <v>20250918</v>
      </c>
      <c r="C2454" s="72" t="str">
        <f t="shared" si="2"/>
        <v>Thursday</v>
      </c>
      <c r="D2454" s="72" t="str">
        <f t="shared" si="3"/>
        <v>September</v>
      </c>
      <c r="E2454" s="72" t="str">
        <f t="shared" si="4"/>
        <v>Q3</v>
      </c>
      <c r="F2454" s="72">
        <f t="shared" si="5"/>
        <v>2025</v>
      </c>
      <c r="G2454" s="89">
        <f t="shared" si="6"/>
        <v>45920</v>
      </c>
      <c r="H2454" s="72" t="str">
        <f t="shared" si="7"/>
        <v>Yes</v>
      </c>
    </row>
    <row r="2455" ht="15.75" customHeight="1">
      <c r="A2455" s="88">
        <f t="shared" si="8"/>
        <v>45919</v>
      </c>
      <c r="B2455" s="72" t="str">
        <f t="shared" si="1"/>
        <v>20250919</v>
      </c>
      <c r="C2455" s="72" t="str">
        <f t="shared" si="2"/>
        <v>Friday</v>
      </c>
      <c r="D2455" s="72" t="str">
        <f t="shared" si="3"/>
        <v>September</v>
      </c>
      <c r="E2455" s="72" t="str">
        <f t="shared" si="4"/>
        <v>Q3</v>
      </c>
      <c r="F2455" s="72">
        <f t="shared" si="5"/>
        <v>2025</v>
      </c>
      <c r="G2455" s="89">
        <f t="shared" si="6"/>
        <v>45920</v>
      </c>
      <c r="H2455" s="72" t="str">
        <f t="shared" si="7"/>
        <v>Yes</v>
      </c>
    </row>
    <row r="2456" ht="15.75" customHeight="1">
      <c r="A2456" s="88">
        <f t="shared" si="8"/>
        <v>45920</v>
      </c>
      <c r="B2456" s="72" t="str">
        <f t="shared" si="1"/>
        <v>20250920</v>
      </c>
      <c r="C2456" s="72" t="str">
        <f t="shared" si="2"/>
        <v>Saturday</v>
      </c>
      <c r="D2456" s="72" t="str">
        <f t="shared" si="3"/>
        <v>September</v>
      </c>
      <c r="E2456" s="72" t="str">
        <f t="shared" si="4"/>
        <v>Q3</v>
      </c>
      <c r="F2456" s="72">
        <f t="shared" si="5"/>
        <v>2025</v>
      </c>
      <c r="G2456" s="89">
        <f t="shared" si="6"/>
        <v>45920</v>
      </c>
      <c r="H2456" s="72" t="str">
        <f t="shared" si="7"/>
        <v>No</v>
      </c>
    </row>
    <row r="2457" ht="15.75" customHeight="1">
      <c r="A2457" s="88">
        <f t="shared" si="8"/>
        <v>45921</v>
      </c>
      <c r="B2457" s="72" t="str">
        <f t="shared" si="1"/>
        <v>20250921</v>
      </c>
      <c r="C2457" s="72" t="str">
        <f t="shared" si="2"/>
        <v>Sunday</v>
      </c>
      <c r="D2457" s="72" t="str">
        <f t="shared" si="3"/>
        <v>September</v>
      </c>
      <c r="E2457" s="72" t="str">
        <f t="shared" si="4"/>
        <v>Q3</v>
      </c>
      <c r="F2457" s="72">
        <f t="shared" si="5"/>
        <v>2025</v>
      </c>
      <c r="G2457" s="89">
        <f t="shared" si="6"/>
        <v>45927</v>
      </c>
      <c r="H2457" s="72" t="str">
        <f t="shared" si="7"/>
        <v>No</v>
      </c>
    </row>
    <row r="2458" ht="15.75" customHeight="1">
      <c r="A2458" s="88">
        <f t="shared" si="8"/>
        <v>45922</v>
      </c>
      <c r="B2458" s="72" t="str">
        <f t="shared" si="1"/>
        <v>20250922</v>
      </c>
      <c r="C2458" s="72" t="str">
        <f t="shared" si="2"/>
        <v>Monday</v>
      </c>
      <c r="D2458" s="72" t="str">
        <f t="shared" si="3"/>
        <v>September</v>
      </c>
      <c r="E2458" s="72" t="str">
        <f t="shared" si="4"/>
        <v>Q3</v>
      </c>
      <c r="F2458" s="72">
        <f t="shared" si="5"/>
        <v>2025</v>
      </c>
      <c r="G2458" s="89">
        <f t="shared" si="6"/>
        <v>45927</v>
      </c>
      <c r="H2458" s="72" t="str">
        <f t="shared" si="7"/>
        <v>Yes</v>
      </c>
    </row>
    <row r="2459" ht="15.75" customHeight="1">
      <c r="A2459" s="88">
        <f t="shared" si="8"/>
        <v>45923</v>
      </c>
      <c r="B2459" s="72" t="str">
        <f t="shared" si="1"/>
        <v>20250923</v>
      </c>
      <c r="C2459" s="72" t="str">
        <f t="shared" si="2"/>
        <v>Tuesday</v>
      </c>
      <c r="D2459" s="72" t="str">
        <f t="shared" si="3"/>
        <v>September</v>
      </c>
      <c r="E2459" s="72" t="str">
        <f t="shared" si="4"/>
        <v>Q3</v>
      </c>
      <c r="F2459" s="72">
        <f t="shared" si="5"/>
        <v>2025</v>
      </c>
      <c r="G2459" s="89">
        <f t="shared" si="6"/>
        <v>45927</v>
      </c>
      <c r="H2459" s="72" t="str">
        <f t="shared" si="7"/>
        <v>Yes</v>
      </c>
    </row>
    <row r="2460" ht="15.75" customHeight="1">
      <c r="A2460" s="88">
        <f t="shared" si="8"/>
        <v>45924</v>
      </c>
      <c r="B2460" s="72" t="str">
        <f t="shared" si="1"/>
        <v>20250924</v>
      </c>
      <c r="C2460" s="72" t="str">
        <f t="shared" si="2"/>
        <v>Wednesday</v>
      </c>
      <c r="D2460" s="72" t="str">
        <f t="shared" si="3"/>
        <v>September</v>
      </c>
      <c r="E2460" s="72" t="str">
        <f t="shared" si="4"/>
        <v>Q3</v>
      </c>
      <c r="F2460" s="72">
        <f t="shared" si="5"/>
        <v>2025</v>
      </c>
      <c r="G2460" s="89">
        <f t="shared" si="6"/>
        <v>45927</v>
      </c>
      <c r="H2460" s="72" t="str">
        <f t="shared" si="7"/>
        <v>Yes</v>
      </c>
    </row>
    <row r="2461" ht="15.75" customHeight="1">
      <c r="A2461" s="88">
        <f t="shared" si="8"/>
        <v>45925</v>
      </c>
      <c r="B2461" s="72" t="str">
        <f t="shared" si="1"/>
        <v>20250925</v>
      </c>
      <c r="C2461" s="72" t="str">
        <f t="shared" si="2"/>
        <v>Thursday</v>
      </c>
      <c r="D2461" s="72" t="str">
        <f t="shared" si="3"/>
        <v>September</v>
      </c>
      <c r="E2461" s="72" t="str">
        <f t="shared" si="4"/>
        <v>Q3</v>
      </c>
      <c r="F2461" s="72">
        <f t="shared" si="5"/>
        <v>2025</v>
      </c>
      <c r="G2461" s="89">
        <f t="shared" si="6"/>
        <v>45927</v>
      </c>
      <c r="H2461" s="72" t="str">
        <f t="shared" si="7"/>
        <v>Yes</v>
      </c>
    </row>
    <row r="2462" ht="15.75" customHeight="1">
      <c r="A2462" s="88">
        <f t="shared" si="8"/>
        <v>45926</v>
      </c>
      <c r="B2462" s="72" t="str">
        <f t="shared" si="1"/>
        <v>20250926</v>
      </c>
      <c r="C2462" s="72" t="str">
        <f t="shared" si="2"/>
        <v>Friday</v>
      </c>
      <c r="D2462" s="72" t="str">
        <f t="shared" si="3"/>
        <v>September</v>
      </c>
      <c r="E2462" s="72" t="str">
        <f t="shared" si="4"/>
        <v>Q3</v>
      </c>
      <c r="F2462" s="72">
        <f t="shared" si="5"/>
        <v>2025</v>
      </c>
      <c r="G2462" s="89">
        <f t="shared" si="6"/>
        <v>45927</v>
      </c>
      <c r="H2462" s="72" t="str">
        <f t="shared" si="7"/>
        <v>Yes</v>
      </c>
    </row>
    <row r="2463" ht="15.75" customHeight="1">
      <c r="A2463" s="88">
        <f t="shared" si="8"/>
        <v>45927</v>
      </c>
      <c r="B2463" s="72" t="str">
        <f t="shared" si="1"/>
        <v>20250927</v>
      </c>
      <c r="C2463" s="72" t="str">
        <f t="shared" si="2"/>
        <v>Saturday</v>
      </c>
      <c r="D2463" s="72" t="str">
        <f t="shared" si="3"/>
        <v>September</v>
      </c>
      <c r="E2463" s="72" t="str">
        <f t="shared" si="4"/>
        <v>Q3</v>
      </c>
      <c r="F2463" s="72">
        <f t="shared" si="5"/>
        <v>2025</v>
      </c>
      <c r="G2463" s="89">
        <f t="shared" si="6"/>
        <v>45927</v>
      </c>
      <c r="H2463" s="72" t="str">
        <f t="shared" si="7"/>
        <v>No</v>
      </c>
    </row>
    <row r="2464" ht="15.75" customHeight="1">
      <c r="A2464" s="88">
        <f t="shared" si="8"/>
        <v>45928</v>
      </c>
      <c r="B2464" s="72" t="str">
        <f t="shared" si="1"/>
        <v>20250928</v>
      </c>
      <c r="C2464" s="72" t="str">
        <f t="shared" si="2"/>
        <v>Sunday</v>
      </c>
      <c r="D2464" s="72" t="str">
        <f t="shared" si="3"/>
        <v>September</v>
      </c>
      <c r="E2464" s="72" t="str">
        <f t="shared" si="4"/>
        <v>Q3</v>
      </c>
      <c r="F2464" s="72">
        <f t="shared" si="5"/>
        <v>2025</v>
      </c>
      <c r="G2464" s="89">
        <f t="shared" si="6"/>
        <v>45934</v>
      </c>
      <c r="H2464" s="72" t="str">
        <f t="shared" si="7"/>
        <v>No</v>
      </c>
    </row>
    <row r="2465" ht="15.75" customHeight="1">
      <c r="A2465" s="88">
        <f t="shared" si="8"/>
        <v>45929</v>
      </c>
      <c r="B2465" s="72" t="str">
        <f t="shared" si="1"/>
        <v>20250929</v>
      </c>
      <c r="C2465" s="72" t="str">
        <f t="shared" si="2"/>
        <v>Monday</v>
      </c>
      <c r="D2465" s="72" t="str">
        <f t="shared" si="3"/>
        <v>September</v>
      </c>
      <c r="E2465" s="72" t="str">
        <f t="shared" si="4"/>
        <v>Q3</v>
      </c>
      <c r="F2465" s="72">
        <f t="shared" si="5"/>
        <v>2025</v>
      </c>
      <c r="G2465" s="89">
        <f t="shared" si="6"/>
        <v>45934</v>
      </c>
      <c r="H2465" s="72" t="str">
        <f t="shared" si="7"/>
        <v>Yes</v>
      </c>
    </row>
    <row r="2466" ht="15.75" customHeight="1">
      <c r="A2466" s="88">
        <f t="shared" si="8"/>
        <v>45930</v>
      </c>
      <c r="B2466" s="72" t="str">
        <f t="shared" si="1"/>
        <v>20250930</v>
      </c>
      <c r="C2466" s="72" t="str">
        <f t="shared" si="2"/>
        <v>Tuesday</v>
      </c>
      <c r="D2466" s="72" t="str">
        <f t="shared" si="3"/>
        <v>September</v>
      </c>
      <c r="E2466" s="72" t="str">
        <f t="shared" si="4"/>
        <v>Q3</v>
      </c>
      <c r="F2466" s="72">
        <f t="shared" si="5"/>
        <v>2025</v>
      </c>
      <c r="G2466" s="89">
        <f t="shared" si="6"/>
        <v>45934</v>
      </c>
      <c r="H2466" s="72" t="str">
        <f t="shared" si="7"/>
        <v>Yes</v>
      </c>
    </row>
    <row r="2467" ht="15.75" customHeight="1">
      <c r="A2467" s="88">
        <f t="shared" si="8"/>
        <v>45931</v>
      </c>
      <c r="B2467" s="72" t="str">
        <f t="shared" si="1"/>
        <v>20251001</v>
      </c>
      <c r="C2467" s="72" t="str">
        <f t="shared" si="2"/>
        <v>Wednesday</v>
      </c>
      <c r="D2467" s="72" t="str">
        <f t="shared" si="3"/>
        <v>October</v>
      </c>
      <c r="E2467" s="72" t="str">
        <f t="shared" si="4"/>
        <v>Q4</v>
      </c>
      <c r="F2467" s="72">
        <f t="shared" si="5"/>
        <v>2025</v>
      </c>
      <c r="G2467" s="89">
        <f t="shared" si="6"/>
        <v>45934</v>
      </c>
      <c r="H2467" s="72" t="str">
        <f t="shared" si="7"/>
        <v>Yes</v>
      </c>
    </row>
    <row r="2468" ht="15.75" customHeight="1">
      <c r="A2468" s="88">
        <f t="shared" si="8"/>
        <v>45932</v>
      </c>
      <c r="B2468" s="72" t="str">
        <f t="shared" si="1"/>
        <v>20251002</v>
      </c>
      <c r="C2468" s="72" t="str">
        <f t="shared" si="2"/>
        <v>Thursday</v>
      </c>
      <c r="D2468" s="72" t="str">
        <f t="shared" si="3"/>
        <v>October</v>
      </c>
      <c r="E2468" s="72" t="str">
        <f t="shared" si="4"/>
        <v>Q4</v>
      </c>
      <c r="F2468" s="72">
        <f t="shared" si="5"/>
        <v>2025</v>
      </c>
      <c r="G2468" s="89">
        <f t="shared" si="6"/>
        <v>45934</v>
      </c>
      <c r="H2468" s="72" t="str">
        <f t="shared" si="7"/>
        <v>Yes</v>
      </c>
    </row>
    <row r="2469" ht="15.75" customHeight="1">
      <c r="A2469" s="88">
        <f t="shared" si="8"/>
        <v>45933</v>
      </c>
      <c r="B2469" s="72" t="str">
        <f t="shared" si="1"/>
        <v>20251003</v>
      </c>
      <c r="C2469" s="72" t="str">
        <f t="shared" si="2"/>
        <v>Friday</v>
      </c>
      <c r="D2469" s="72" t="str">
        <f t="shared" si="3"/>
        <v>October</v>
      </c>
      <c r="E2469" s="72" t="str">
        <f t="shared" si="4"/>
        <v>Q4</v>
      </c>
      <c r="F2469" s="72">
        <f t="shared" si="5"/>
        <v>2025</v>
      </c>
      <c r="G2469" s="89">
        <f t="shared" si="6"/>
        <v>45934</v>
      </c>
      <c r="H2469" s="72" t="str">
        <f t="shared" si="7"/>
        <v>Yes</v>
      </c>
    </row>
    <row r="2470" ht="15.75" customHeight="1">
      <c r="A2470" s="88">
        <f t="shared" si="8"/>
        <v>45934</v>
      </c>
      <c r="B2470" s="72" t="str">
        <f t="shared" si="1"/>
        <v>20251004</v>
      </c>
      <c r="C2470" s="72" t="str">
        <f t="shared" si="2"/>
        <v>Saturday</v>
      </c>
      <c r="D2470" s="72" t="str">
        <f t="shared" si="3"/>
        <v>October</v>
      </c>
      <c r="E2470" s="72" t="str">
        <f t="shared" si="4"/>
        <v>Q4</v>
      </c>
      <c r="F2470" s="72">
        <f t="shared" si="5"/>
        <v>2025</v>
      </c>
      <c r="G2470" s="89">
        <f t="shared" si="6"/>
        <v>45934</v>
      </c>
      <c r="H2470" s="72" t="str">
        <f t="shared" si="7"/>
        <v>No</v>
      </c>
    </row>
    <row r="2471" ht="15.75" customHeight="1">
      <c r="A2471" s="88">
        <f t="shared" si="8"/>
        <v>45935</v>
      </c>
      <c r="B2471" s="72" t="str">
        <f t="shared" si="1"/>
        <v>20251005</v>
      </c>
      <c r="C2471" s="72" t="str">
        <f t="shared" si="2"/>
        <v>Sunday</v>
      </c>
      <c r="D2471" s="72" t="str">
        <f t="shared" si="3"/>
        <v>October</v>
      </c>
      <c r="E2471" s="72" t="str">
        <f t="shared" si="4"/>
        <v>Q4</v>
      </c>
      <c r="F2471" s="72">
        <f t="shared" si="5"/>
        <v>2025</v>
      </c>
      <c r="G2471" s="89">
        <f t="shared" si="6"/>
        <v>45941</v>
      </c>
      <c r="H2471" s="72" t="str">
        <f t="shared" si="7"/>
        <v>No</v>
      </c>
    </row>
    <row r="2472" ht="15.75" customHeight="1">
      <c r="A2472" s="88">
        <f t="shared" si="8"/>
        <v>45936</v>
      </c>
      <c r="B2472" s="72" t="str">
        <f t="shared" si="1"/>
        <v>20251006</v>
      </c>
      <c r="C2472" s="72" t="str">
        <f t="shared" si="2"/>
        <v>Monday</v>
      </c>
      <c r="D2472" s="72" t="str">
        <f t="shared" si="3"/>
        <v>October</v>
      </c>
      <c r="E2472" s="72" t="str">
        <f t="shared" si="4"/>
        <v>Q4</v>
      </c>
      <c r="F2472" s="72">
        <f t="shared" si="5"/>
        <v>2025</v>
      </c>
      <c r="G2472" s="89">
        <f t="shared" si="6"/>
        <v>45941</v>
      </c>
      <c r="H2472" s="72" t="str">
        <f t="shared" si="7"/>
        <v>Yes</v>
      </c>
    </row>
    <row r="2473" ht="15.75" customHeight="1">
      <c r="A2473" s="88">
        <f t="shared" si="8"/>
        <v>45937</v>
      </c>
      <c r="B2473" s="72" t="str">
        <f t="shared" si="1"/>
        <v>20251007</v>
      </c>
      <c r="C2473" s="72" t="str">
        <f t="shared" si="2"/>
        <v>Tuesday</v>
      </c>
      <c r="D2473" s="72" t="str">
        <f t="shared" si="3"/>
        <v>October</v>
      </c>
      <c r="E2473" s="72" t="str">
        <f t="shared" si="4"/>
        <v>Q4</v>
      </c>
      <c r="F2473" s="72">
        <f t="shared" si="5"/>
        <v>2025</v>
      </c>
      <c r="G2473" s="89">
        <f t="shared" si="6"/>
        <v>45941</v>
      </c>
      <c r="H2473" s="72" t="str">
        <f t="shared" si="7"/>
        <v>Yes</v>
      </c>
    </row>
    <row r="2474" ht="15.75" customHeight="1">
      <c r="A2474" s="88">
        <f t="shared" si="8"/>
        <v>45938</v>
      </c>
      <c r="B2474" s="72" t="str">
        <f t="shared" si="1"/>
        <v>20251008</v>
      </c>
      <c r="C2474" s="72" t="str">
        <f t="shared" si="2"/>
        <v>Wednesday</v>
      </c>
      <c r="D2474" s="72" t="str">
        <f t="shared" si="3"/>
        <v>October</v>
      </c>
      <c r="E2474" s="72" t="str">
        <f t="shared" si="4"/>
        <v>Q4</v>
      </c>
      <c r="F2474" s="72">
        <f t="shared" si="5"/>
        <v>2025</v>
      </c>
      <c r="G2474" s="89">
        <f t="shared" si="6"/>
        <v>45941</v>
      </c>
      <c r="H2474" s="72" t="str">
        <f t="shared" si="7"/>
        <v>Yes</v>
      </c>
    </row>
    <row r="2475" ht="15.75" customHeight="1">
      <c r="A2475" s="88">
        <f t="shared" si="8"/>
        <v>45939</v>
      </c>
      <c r="B2475" s="72" t="str">
        <f t="shared" si="1"/>
        <v>20251009</v>
      </c>
      <c r="C2475" s="72" t="str">
        <f t="shared" si="2"/>
        <v>Thursday</v>
      </c>
      <c r="D2475" s="72" t="str">
        <f t="shared" si="3"/>
        <v>October</v>
      </c>
      <c r="E2475" s="72" t="str">
        <f t="shared" si="4"/>
        <v>Q4</v>
      </c>
      <c r="F2475" s="72">
        <f t="shared" si="5"/>
        <v>2025</v>
      </c>
      <c r="G2475" s="89">
        <f t="shared" si="6"/>
        <v>45941</v>
      </c>
      <c r="H2475" s="72" t="str">
        <f t="shared" si="7"/>
        <v>Yes</v>
      </c>
    </row>
    <row r="2476" ht="15.75" customHeight="1">
      <c r="A2476" s="88">
        <f t="shared" si="8"/>
        <v>45940</v>
      </c>
      <c r="B2476" s="72" t="str">
        <f t="shared" si="1"/>
        <v>20251010</v>
      </c>
      <c r="C2476" s="72" t="str">
        <f t="shared" si="2"/>
        <v>Friday</v>
      </c>
      <c r="D2476" s="72" t="str">
        <f t="shared" si="3"/>
        <v>October</v>
      </c>
      <c r="E2476" s="72" t="str">
        <f t="shared" si="4"/>
        <v>Q4</v>
      </c>
      <c r="F2476" s="72">
        <f t="shared" si="5"/>
        <v>2025</v>
      </c>
      <c r="G2476" s="89">
        <f t="shared" si="6"/>
        <v>45941</v>
      </c>
      <c r="H2476" s="72" t="str">
        <f t="shared" si="7"/>
        <v>Yes</v>
      </c>
    </row>
    <row r="2477" ht="15.75" customHeight="1">
      <c r="A2477" s="88">
        <f t="shared" si="8"/>
        <v>45941</v>
      </c>
      <c r="B2477" s="72" t="str">
        <f t="shared" si="1"/>
        <v>20251011</v>
      </c>
      <c r="C2477" s="72" t="str">
        <f t="shared" si="2"/>
        <v>Saturday</v>
      </c>
      <c r="D2477" s="72" t="str">
        <f t="shared" si="3"/>
        <v>October</v>
      </c>
      <c r="E2477" s="72" t="str">
        <f t="shared" si="4"/>
        <v>Q4</v>
      </c>
      <c r="F2477" s="72">
        <f t="shared" si="5"/>
        <v>2025</v>
      </c>
      <c r="G2477" s="89">
        <f t="shared" si="6"/>
        <v>45941</v>
      </c>
      <c r="H2477" s="72" t="str">
        <f t="shared" si="7"/>
        <v>No</v>
      </c>
    </row>
    <row r="2478" ht="15.75" customHeight="1">
      <c r="A2478" s="88">
        <f t="shared" si="8"/>
        <v>45942</v>
      </c>
      <c r="B2478" s="72" t="str">
        <f t="shared" si="1"/>
        <v>20251012</v>
      </c>
      <c r="C2478" s="72" t="str">
        <f t="shared" si="2"/>
        <v>Sunday</v>
      </c>
      <c r="D2478" s="72" t="str">
        <f t="shared" si="3"/>
        <v>October</v>
      </c>
      <c r="E2478" s="72" t="str">
        <f t="shared" si="4"/>
        <v>Q4</v>
      </c>
      <c r="F2478" s="72">
        <f t="shared" si="5"/>
        <v>2025</v>
      </c>
      <c r="G2478" s="89">
        <f t="shared" si="6"/>
        <v>45948</v>
      </c>
      <c r="H2478" s="72" t="str">
        <f t="shared" si="7"/>
        <v>No</v>
      </c>
    </row>
    <row r="2479" ht="15.75" customHeight="1">
      <c r="A2479" s="88">
        <f t="shared" si="8"/>
        <v>45943</v>
      </c>
      <c r="B2479" s="72" t="str">
        <f t="shared" si="1"/>
        <v>20251013</v>
      </c>
      <c r="C2479" s="72" t="str">
        <f t="shared" si="2"/>
        <v>Monday</v>
      </c>
      <c r="D2479" s="72" t="str">
        <f t="shared" si="3"/>
        <v>October</v>
      </c>
      <c r="E2479" s="72" t="str">
        <f t="shared" si="4"/>
        <v>Q4</v>
      </c>
      <c r="F2479" s="72">
        <f t="shared" si="5"/>
        <v>2025</v>
      </c>
      <c r="G2479" s="89">
        <f t="shared" si="6"/>
        <v>45948</v>
      </c>
      <c r="H2479" s="72" t="str">
        <f t="shared" si="7"/>
        <v>Yes</v>
      </c>
    </row>
    <row r="2480" ht="15.75" customHeight="1">
      <c r="A2480" s="88">
        <f t="shared" si="8"/>
        <v>45944</v>
      </c>
      <c r="B2480" s="72" t="str">
        <f t="shared" si="1"/>
        <v>20251014</v>
      </c>
      <c r="C2480" s="72" t="str">
        <f t="shared" si="2"/>
        <v>Tuesday</v>
      </c>
      <c r="D2480" s="72" t="str">
        <f t="shared" si="3"/>
        <v>October</v>
      </c>
      <c r="E2480" s="72" t="str">
        <f t="shared" si="4"/>
        <v>Q4</v>
      </c>
      <c r="F2480" s="72">
        <f t="shared" si="5"/>
        <v>2025</v>
      </c>
      <c r="G2480" s="89">
        <f t="shared" si="6"/>
        <v>45948</v>
      </c>
      <c r="H2480" s="72" t="str">
        <f t="shared" si="7"/>
        <v>Yes</v>
      </c>
    </row>
    <row r="2481" ht="15.75" customHeight="1">
      <c r="A2481" s="88">
        <f t="shared" si="8"/>
        <v>45945</v>
      </c>
      <c r="B2481" s="72" t="str">
        <f t="shared" si="1"/>
        <v>20251015</v>
      </c>
      <c r="C2481" s="72" t="str">
        <f t="shared" si="2"/>
        <v>Wednesday</v>
      </c>
      <c r="D2481" s="72" t="str">
        <f t="shared" si="3"/>
        <v>October</v>
      </c>
      <c r="E2481" s="72" t="str">
        <f t="shared" si="4"/>
        <v>Q4</v>
      </c>
      <c r="F2481" s="72">
        <f t="shared" si="5"/>
        <v>2025</v>
      </c>
      <c r="G2481" s="89">
        <f t="shared" si="6"/>
        <v>45948</v>
      </c>
      <c r="H2481" s="72" t="str">
        <f t="shared" si="7"/>
        <v>Yes</v>
      </c>
    </row>
    <row r="2482" ht="15.75" customHeight="1">
      <c r="A2482" s="88">
        <f t="shared" si="8"/>
        <v>45946</v>
      </c>
      <c r="B2482" s="72" t="str">
        <f t="shared" si="1"/>
        <v>20251016</v>
      </c>
      <c r="C2482" s="72" t="str">
        <f t="shared" si="2"/>
        <v>Thursday</v>
      </c>
      <c r="D2482" s="72" t="str">
        <f t="shared" si="3"/>
        <v>October</v>
      </c>
      <c r="E2482" s="72" t="str">
        <f t="shared" si="4"/>
        <v>Q4</v>
      </c>
      <c r="F2482" s="72">
        <f t="shared" si="5"/>
        <v>2025</v>
      </c>
      <c r="G2482" s="89">
        <f t="shared" si="6"/>
        <v>45948</v>
      </c>
      <c r="H2482" s="72" t="str">
        <f t="shared" si="7"/>
        <v>Yes</v>
      </c>
    </row>
    <row r="2483" ht="15.75" customHeight="1">
      <c r="A2483" s="88">
        <f t="shared" si="8"/>
        <v>45947</v>
      </c>
      <c r="B2483" s="72" t="str">
        <f t="shared" si="1"/>
        <v>20251017</v>
      </c>
      <c r="C2483" s="72" t="str">
        <f t="shared" si="2"/>
        <v>Friday</v>
      </c>
      <c r="D2483" s="72" t="str">
        <f t="shared" si="3"/>
        <v>October</v>
      </c>
      <c r="E2483" s="72" t="str">
        <f t="shared" si="4"/>
        <v>Q4</v>
      </c>
      <c r="F2483" s="72">
        <f t="shared" si="5"/>
        <v>2025</v>
      </c>
      <c r="G2483" s="89">
        <f t="shared" si="6"/>
        <v>45948</v>
      </c>
      <c r="H2483" s="72" t="str">
        <f t="shared" si="7"/>
        <v>Yes</v>
      </c>
    </row>
    <row r="2484" ht="15.75" customHeight="1">
      <c r="A2484" s="88">
        <f t="shared" si="8"/>
        <v>45948</v>
      </c>
      <c r="B2484" s="72" t="str">
        <f t="shared" si="1"/>
        <v>20251018</v>
      </c>
      <c r="C2484" s="72" t="str">
        <f t="shared" si="2"/>
        <v>Saturday</v>
      </c>
      <c r="D2484" s="72" t="str">
        <f t="shared" si="3"/>
        <v>October</v>
      </c>
      <c r="E2484" s="72" t="str">
        <f t="shared" si="4"/>
        <v>Q4</v>
      </c>
      <c r="F2484" s="72">
        <f t="shared" si="5"/>
        <v>2025</v>
      </c>
      <c r="G2484" s="89">
        <f t="shared" si="6"/>
        <v>45948</v>
      </c>
      <c r="H2484" s="72" t="str">
        <f t="shared" si="7"/>
        <v>No</v>
      </c>
    </row>
    <row r="2485" ht="15.75" customHeight="1">
      <c r="A2485" s="88">
        <f t="shared" si="8"/>
        <v>45949</v>
      </c>
      <c r="B2485" s="72" t="str">
        <f t="shared" si="1"/>
        <v>20251019</v>
      </c>
      <c r="C2485" s="72" t="str">
        <f t="shared" si="2"/>
        <v>Sunday</v>
      </c>
      <c r="D2485" s="72" t="str">
        <f t="shared" si="3"/>
        <v>October</v>
      </c>
      <c r="E2485" s="72" t="str">
        <f t="shared" si="4"/>
        <v>Q4</v>
      </c>
      <c r="F2485" s="72">
        <f t="shared" si="5"/>
        <v>2025</v>
      </c>
      <c r="G2485" s="89">
        <f t="shared" si="6"/>
        <v>45955</v>
      </c>
      <c r="H2485" s="72" t="str">
        <f t="shared" si="7"/>
        <v>No</v>
      </c>
    </row>
    <row r="2486" ht="15.75" customHeight="1">
      <c r="A2486" s="88">
        <f t="shared" si="8"/>
        <v>45950</v>
      </c>
      <c r="B2486" s="72" t="str">
        <f t="shared" si="1"/>
        <v>20251020</v>
      </c>
      <c r="C2486" s="72" t="str">
        <f t="shared" si="2"/>
        <v>Monday</v>
      </c>
      <c r="D2486" s="72" t="str">
        <f t="shared" si="3"/>
        <v>October</v>
      </c>
      <c r="E2486" s="72" t="str">
        <f t="shared" si="4"/>
        <v>Q4</v>
      </c>
      <c r="F2486" s="72">
        <f t="shared" si="5"/>
        <v>2025</v>
      </c>
      <c r="G2486" s="89">
        <f t="shared" si="6"/>
        <v>45955</v>
      </c>
      <c r="H2486" s="72" t="str">
        <f t="shared" si="7"/>
        <v>Yes</v>
      </c>
    </row>
    <row r="2487" ht="15.75" customHeight="1">
      <c r="A2487" s="88">
        <f t="shared" si="8"/>
        <v>45951</v>
      </c>
      <c r="B2487" s="72" t="str">
        <f t="shared" si="1"/>
        <v>20251021</v>
      </c>
      <c r="C2487" s="72" t="str">
        <f t="shared" si="2"/>
        <v>Tuesday</v>
      </c>
      <c r="D2487" s="72" t="str">
        <f t="shared" si="3"/>
        <v>October</v>
      </c>
      <c r="E2487" s="72" t="str">
        <f t="shared" si="4"/>
        <v>Q4</v>
      </c>
      <c r="F2487" s="72">
        <f t="shared" si="5"/>
        <v>2025</v>
      </c>
      <c r="G2487" s="89">
        <f t="shared" si="6"/>
        <v>45955</v>
      </c>
      <c r="H2487" s="72" t="str">
        <f t="shared" si="7"/>
        <v>Yes</v>
      </c>
    </row>
    <row r="2488" ht="15.75" customHeight="1">
      <c r="A2488" s="88">
        <f t="shared" si="8"/>
        <v>45952</v>
      </c>
      <c r="B2488" s="72" t="str">
        <f t="shared" si="1"/>
        <v>20251022</v>
      </c>
      <c r="C2488" s="72" t="str">
        <f t="shared" si="2"/>
        <v>Wednesday</v>
      </c>
      <c r="D2488" s="72" t="str">
        <f t="shared" si="3"/>
        <v>October</v>
      </c>
      <c r="E2488" s="72" t="str">
        <f t="shared" si="4"/>
        <v>Q4</v>
      </c>
      <c r="F2488" s="72">
        <f t="shared" si="5"/>
        <v>2025</v>
      </c>
      <c r="G2488" s="89">
        <f t="shared" si="6"/>
        <v>45955</v>
      </c>
      <c r="H2488" s="72" t="str">
        <f t="shared" si="7"/>
        <v>Yes</v>
      </c>
    </row>
    <row r="2489" ht="15.75" customHeight="1">
      <c r="A2489" s="88">
        <f t="shared" si="8"/>
        <v>45953</v>
      </c>
      <c r="B2489" s="72" t="str">
        <f t="shared" si="1"/>
        <v>20251023</v>
      </c>
      <c r="C2489" s="72" t="str">
        <f t="shared" si="2"/>
        <v>Thursday</v>
      </c>
      <c r="D2489" s="72" t="str">
        <f t="shared" si="3"/>
        <v>October</v>
      </c>
      <c r="E2489" s="72" t="str">
        <f t="shared" si="4"/>
        <v>Q4</v>
      </c>
      <c r="F2489" s="72">
        <f t="shared" si="5"/>
        <v>2025</v>
      </c>
      <c r="G2489" s="89">
        <f t="shared" si="6"/>
        <v>45955</v>
      </c>
      <c r="H2489" s="72" t="str">
        <f t="shared" si="7"/>
        <v>Yes</v>
      </c>
    </row>
    <row r="2490" ht="15.75" customHeight="1">
      <c r="A2490" s="88">
        <f t="shared" si="8"/>
        <v>45954</v>
      </c>
      <c r="B2490" s="72" t="str">
        <f t="shared" si="1"/>
        <v>20251024</v>
      </c>
      <c r="C2490" s="72" t="str">
        <f t="shared" si="2"/>
        <v>Friday</v>
      </c>
      <c r="D2490" s="72" t="str">
        <f t="shared" si="3"/>
        <v>October</v>
      </c>
      <c r="E2490" s="72" t="str">
        <f t="shared" si="4"/>
        <v>Q4</v>
      </c>
      <c r="F2490" s="72">
        <f t="shared" si="5"/>
        <v>2025</v>
      </c>
      <c r="G2490" s="89">
        <f t="shared" si="6"/>
        <v>45955</v>
      </c>
      <c r="H2490" s="72" t="str">
        <f t="shared" si="7"/>
        <v>Yes</v>
      </c>
    </row>
    <row r="2491" ht="15.75" customHeight="1">
      <c r="A2491" s="88">
        <f t="shared" si="8"/>
        <v>45955</v>
      </c>
      <c r="B2491" s="72" t="str">
        <f t="shared" si="1"/>
        <v>20251025</v>
      </c>
      <c r="C2491" s="72" t="str">
        <f t="shared" si="2"/>
        <v>Saturday</v>
      </c>
      <c r="D2491" s="72" t="str">
        <f t="shared" si="3"/>
        <v>October</v>
      </c>
      <c r="E2491" s="72" t="str">
        <f t="shared" si="4"/>
        <v>Q4</v>
      </c>
      <c r="F2491" s="72">
        <f t="shared" si="5"/>
        <v>2025</v>
      </c>
      <c r="G2491" s="89">
        <f t="shared" si="6"/>
        <v>45955</v>
      </c>
      <c r="H2491" s="72" t="str">
        <f t="shared" si="7"/>
        <v>No</v>
      </c>
    </row>
    <row r="2492" ht="15.75" customHeight="1">
      <c r="A2492" s="88">
        <f t="shared" si="8"/>
        <v>45956</v>
      </c>
      <c r="B2492" s="72" t="str">
        <f t="shared" si="1"/>
        <v>20251026</v>
      </c>
      <c r="C2492" s="72" t="str">
        <f t="shared" si="2"/>
        <v>Sunday</v>
      </c>
      <c r="D2492" s="72" t="str">
        <f t="shared" si="3"/>
        <v>October</v>
      </c>
      <c r="E2492" s="72" t="str">
        <f t="shared" si="4"/>
        <v>Q4</v>
      </c>
      <c r="F2492" s="72">
        <f t="shared" si="5"/>
        <v>2025</v>
      </c>
      <c r="G2492" s="89">
        <f t="shared" si="6"/>
        <v>45962</v>
      </c>
      <c r="H2492" s="72" t="str">
        <f t="shared" si="7"/>
        <v>No</v>
      </c>
    </row>
    <row r="2493" ht="15.75" customHeight="1">
      <c r="A2493" s="88">
        <f t="shared" si="8"/>
        <v>45957</v>
      </c>
      <c r="B2493" s="72" t="str">
        <f t="shared" si="1"/>
        <v>20251027</v>
      </c>
      <c r="C2493" s="72" t="str">
        <f t="shared" si="2"/>
        <v>Monday</v>
      </c>
      <c r="D2493" s="72" t="str">
        <f t="shared" si="3"/>
        <v>October</v>
      </c>
      <c r="E2493" s="72" t="str">
        <f t="shared" si="4"/>
        <v>Q4</v>
      </c>
      <c r="F2493" s="72">
        <f t="shared" si="5"/>
        <v>2025</v>
      </c>
      <c r="G2493" s="89">
        <f t="shared" si="6"/>
        <v>45962</v>
      </c>
      <c r="H2493" s="72" t="str">
        <f t="shared" si="7"/>
        <v>Yes</v>
      </c>
    </row>
    <row r="2494" ht="15.75" customHeight="1">
      <c r="A2494" s="88">
        <f t="shared" si="8"/>
        <v>45958</v>
      </c>
      <c r="B2494" s="72" t="str">
        <f t="shared" si="1"/>
        <v>20251028</v>
      </c>
      <c r="C2494" s="72" t="str">
        <f t="shared" si="2"/>
        <v>Tuesday</v>
      </c>
      <c r="D2494" s="72" t="str">
        <f t="shared" si="3"/>
        <v>October</v>
      </c>
      <c r="E2494" s="72" t="str">
        <f t="shared" si="4"/>
        <v>Q4</v>
      </c>
      <c r="F2494" s="72">
        <f t="shared" si="5"/>
        <v>2025</v>
      </c>
      <c r="G2494" s="89">
        <f t="shared" si="6"/>
        <v>45962</v>
      </c>
      <c r="H2494" s="72" t="str">
        <f t="shared" si="7"/>
        <v>Yes</v>
      </c>
    </row>
    <row r="2495" ht="15.75" customHeight="1">
      <c r="A2495" s="88">
        <f t="shared" si="8"/>
        <v>45959</v>
      </c>
      <c r="B2495" s="72" t="str">
        <f t="shared" si="1"/>
        <v>20251029</v>
      </c>
      <c r="C2495" s="72" t="str">
        <f t="shared" si="2"/>
        <v>Wednesday</v>
      </c>
      <c r="D2495" s="72" t="str">
        <f t="shared" si="3"/>
        <v>October</v>
      </c>
      <c r="E2495" s="72" t="str">
        <f t="shared" si="4"/>
        <v>Q4</v>
      </c>
      <c r="F2495" s="72">
        <f t="shared" si="5"/>
        <v>2025</v>
      </c>
      <c r="G2495" s="89">
        <f t="shared" si="6"/>
        <v>45962</v>
      </c>
      <c r="H2495" s="72" t="str">
        <f t="shared" si="7"/>
        <v>Yes</v>
      </c>
    </row>
    <row r="2496" ht="15.75" customHeight="1">
      <c r="A2496" s="88">
        <f t="shared" si="8"/>
        <v>45960</v>
      </c>
      <c r="B2496" s="72" t="str">
        <f t="shared" si="1"/>
        <v>20251030</v>
      </c>
      <c r="C2496" s="72" t="str">
        <f t="shared" si="2"/>
        <v>Thursday</v>
      </c>
      <c r="D2496" s="72" t="str">
        <f t="shared" si="3"/>
        <v>October</v>
      </c>
      <c r="E2496" s="72" t="str">
        <f t="shared" si="4"/>
        <v>Q4</v>
      </c>
      <c r="F2496" s="72">
        <f t="shared" si="5"/>
        <v>2025</v>
      </c>
      <c r="G2496" s="89">
        <f t="shared" si="6"/>
        <v>45962</v>
      </c>
      <c r="H2496" s="72" t="str">
        <f t="shared" si="7"/>
        <v>Yes</v>
      </c>
    </row>
    <row r="2497" ht="15.75" customHeight="1">
      <c r="A2497" s="88">
        <f t="shared" si="8"/>
        <v>45961</v>
      </c>
      <c r="B2497" s="72" t="str">
        <f t="shared" si="1"/>
        <v>20251031</v>
      </c>
      <c r="C2497" s="72" t="str">
        <f t="shared" si="2"/>
        <v>Friday</v>
      </c>
      <c r="D2497" s="72" t="str">
        <f t="shared" si="3"/>
        <v>October</v>
      </c>
      <c r="E2497" s="72" t="str">
        <f t="shared" si="4"/>
        <v>Q4</v>
      </c>
      <c r="F2497" s="72">
        <f t="shared" si="5"/>
        <v>2025</v>
      </c>
      <c r="G2497" s="89">
        <f t="shared" si="6"/>
        <v>45962</v>
      </c>
      <c r="H2497" s="72" t="str">
        <f t="shared" si="7"/>
        <v>Yes</v>
      </c>
    </row>
    <row r="2498" ht="15.75" customHeight="1">
      <c r="A2498" s="88">
        <f t="shared" si="8"/>
        <v>45962</v>
      </c>
      <c r="B2498" s="72" t="str">
        <f t="shared" si="1"/>
        <v>20251101</v>
      </c>
      <c r="C2498" s="72" t="str">
        <f t="shared" si="2"/>
        <v>Saturday</v>
      </c>
      <c r="D2498" s="72" t="str">
        <f t="shared" si="3"/>
        <v>November</v>
      </c>
      <c r="E2498" s="72" t="str">
        <f t="shared" si="4"/>
        <v>Q4</v>
      </c>
      <c r="F2498" s="72">
        <f t="shared" si="5"/>
        <v>2025</v>
      </c>
      <c r="G2498" s="89">
        <f t="shared" si="6"/>
        <v>45962</v>
      </c>
      <c r="H2498" s="72" t="str">
        <f t="shared" si="7"/>
        <v>No</v>
      </c>
    </row>
    <row r="2499" ht="15.75" customHeight="1">
      <c r="A2499" s="88">
        <f t="shared" si="8"/>
        <v>45963</v>
      </c>
      <c r="B2499" s="72" t="str">
        <f t="shared" si="1"/>
        <v>20251102</v>
      </c>
      <c r="C2499" s="72" t="str">
        <f t="shared" si="2"/>
        <v>Sunday</v>
      </c>
      <c r="D2499" s="72" t="str">
        <f t="shared" si="3"/>
        <v>November</v>
      </c>
      <c r="E2499" s="72" t="str">
        <f t="shared" si="4"/>
        <v>Q4</v>
      </c>
      <c r="F2499" s="72">
        <f t="shared" si="5"/>
        <v>2025</v>
      </c>
      <c r="G2499" s="89">
        <f t="shared" si="6"/>
        <v>45969</v>
      </c>
      <c r="H2499" s="72" t="str">
        <f t="shared" si="7"/>
        <v>No</v>
      </c>
    </row>
    <row r="2500" ht="15.75" customHeight="1">
      <c r="A2500" s="88">
        <f t="shared" si="8"/>
        <v>45964</v>
      </c>
      <c r="B2500" s="72" t="str">
        <f t="shared" si="1"/>
        <v>20251103</v>
      </c>
      <c r="C2500" s="72" t="str">
        <f t="shared" si="2"/>
        <v>Monday</v>
      </c>
      <c r="D2500" s="72" t="str">
        <f t="shared" si="3"/>
        <v>November</v>
      </c>
      <c r="E2500" s="72" t="str">
        <f t="shared" si="4"/>
        <v>Q4</v>
      </c>
      <c r="F2500" s="72">
        <f t="shared" si="5"/>
        <v>2025</v>
      </c>
      <c r="G2500" s="89">
        <f t="shared" si="6"/>
        <v>45969</v>
      </c>
      <c r="H2500" s="72" t="str">
        <f t="shared" si="7"/>
        <v>Yes</v>
      </c>
    </row>
    <row r="2501" ht="15.75" customHeight="1">
      <c r="A2501" s="88">
        <f t="shared" si="8"/>
        <v>45965</v>
      </c>
      <c r="B2501" s="72" t="str">
        <f t="shared" si="1"/>
        <v>20251104</v>
      </c>
      <c r="C2501" s="72" t="str">
        <f t="shared" si="2"/>
        <v>Tuesday</v>
      </c>
      <c r="D2501" s="72" t="str">
        <f t="shared" si="3"/>
        <v>November</v>
      </c>
      <c r="E2501" s="72" t="str">
        <f t="shared" si="4"/>
        <v>Q4</v>
      </c>
      <c r="F2501" s="72">
        <f t="shared" si="5"/>
        <v>2025</v>
      </c>
      <c r="G2501" s="89">
        <f t="shared" si="6"/>
        <v>45969</v>
      </c>
      <c r="H2501" s="72" t="str">
        <f t="shared" si="7"/>
        <v>Yes</v>
      </c>
    </row>
    <row r="2502" ht="15.75" customHeight="1">
      <c r="A2502" s="88">
        <f t="shared" si="8"/>
        <v>45966</v>
      </c>
      <c r="B2502" s="72" t="str">
        <f t="shared" si="1"/>
        <v>20251105</v>
      </c>
      <c r="C2502" s="72" t="str">
        <f t="shared" si="2"/>
        <v>Wednesday</v>
      </c>
      <c r="D2502" s="72" t="str">
        <f t="shared" si="3"/>
        <v>November</v>
      </c>
      <c r="E2502" s="72" t="str">
        <f t="shared" si="4"/>
        <v>Q4</v>
      </c>
      <c r="F2502" s="72">
        <f t="shared" si="5"/>
        <v>2025</v>
      </c>
      <c r="G2502" s="89">
        <f t="shared" si="6"/>
        <v>45969</v>
      </c>
      <c r="H2502" s="72" t="str">
        <f t="shared" si="7"/>
        <v>Yes</v>
      </c>
    </row>
    <row r="2503" ht="15.75" customHeight="1">
      <c r="A2503" s="88">
        <f t="shared" si="8"/>
        <v>45967</v>
      </c>
      <c r="B2503" s="72" t="str">
        <f t="shared" si="1"/>
        <v>20251106</v>
      </c>
      <c r="C2503" s="72" t="str">
        <f t="shared" si="2"/>
        <v>Thursday</v>
      </c>
      <c r="D2503" s="72" t="str">
        <f t="shared" si="3"/>
        <v>November</v>
      </c>
      <c r="E2503" s="72" t="str">
        <f t="shared" si="4"/>
        <v>Q4</v>
      </c>
      <c r="F2503" s="72">
        <f t="shared" si="5"/>
        <v>2025</v>
      </c>
      <c r="G2503" s="89">
        <f t="shared" si="6"/>
        <v>45969</v>
      </c>
      <c r="H2503" s="72" t="str">
        <f t="shared" si="7"/>
        <v>Yes</v>
      </c>
    </row>
    <row r="2504" ht="15.75" customHeight="1">
      <c r="A2504" s="88">
        <f t="shared" si="8"/>
        <v>45968</v>
      </c>
      <c r="B2504" s="72" t="str">
        <f t="shared" si="1"/>
        <v>20251107</v>
      </c>
      <c r="C2504" s="72" t="str">
        <f t="shared" si="2"/>
        <v>Friday</v>
      </c>
      <c r="D2504" s="72" t="str">
        <f t="shared" si="3"/>
        <v>November</v>
      </c>
      <c r="E2504" s="72" t="str">
        <f t="shared" si="4"/>
        <v>Q4</v>
      </c>
      <c r="F2504" s="72">
        <f t="shared" si="5"/>
        <v>2025</v>
      </c>
      <c r="G2504" s="89">
        <f t="shared" si="6"/>
        <v>45969</v>
      </c>
      <c r="H2504" s="72" t="str">
        <f t="shared" si="7"/>
        <v>Yes</v>
      </c>
    </row>
    <row r="2505" ht="15.75" customHeight="1">
      <c r="A2505" s="88">
        <f t="shared" si="8"/>
        <v>45969</v>
      </c>
      <c r="B2505" s="72" t="str">
        <f t="shared" si="1"/>
        <v>20251108</v>
      </c>
      <c r="C2505" s="72" t="str">
        <f t="shared" si="2"/>
        <v>Saturday</v>
      </c>
      <c r="D2505" s="72" t="str">
        <f t="shared" si="3"/>
        <v>November</v>
      </c>
      <c r="E2505" s="72" t="str">
        <f t="shared" si="4"/>
        <v>Q4</v>
      </c>
      <c r="F2505" s="72">
        <f t="shared" si="5"/>
        <v>2025</v>
      </c>
      <c r="G2505" s="89">
        <f t="shared" si="6"/>
        <v>45969</v>
      </c>
      <c r="H2505" s="72" t="str">
        <f t="shared" si="7"/>
        <v>No</v>
      </c>
    </row>
    <row r="2506" ht="15.75" customHeight="1">
      <c r="A2506" s="88">
        <f t="shared" si="8"/>
        <v>45970</v>
      </c>
      <c r="B2506" s="72" t="str">
        <f t="shared" si="1"/>
        <v>20251109</v>
      </c>
      <c r="C2506" s="72" t="str">
        <f t="shared" si="2"/>
        <v>Sunday</v>
      </c>
      <c r="D2506" s="72" t="str">
        <f t="shared" si="3"/>
        <v>November</v>
      </c>
      <c r="E2506" s="72" t="str">
        <f t="shared" si="4"/>
        <v>Q4</v>
      </c>
      <c r="F2506" s="72">
        <f t="shared" si="5"/>
        <v>2025</v>
      </c>
      <c r="G2506" s="89">
        <f t="shared" si="6"/>
        <v>45976</v>
      </c>
      <c r="H2506" s="72" t="str">
        <f t="shared" si="7"/>
        <v>No</v>
      </c>
    </row>
    <row r="2507" ht="15.75" customHeight="1">
      <c r="A2507" s="88">
        <f t="shared" si="8"/>
        <v>45971</v>
      </c>
      <c r="B2507" s="72" t="str">
        <f t="shared" si="1"/>
        <v>20251110</v>
      </c>
      <c r="C2507" s="72" t="str">
        <f t="shared" si="2"/>
        <v>Monday</v>
      </c>
      <c r="D2507" s="72" t="str">
        <f t="shared" si="3"/>
        <v>November</v>
      </c>
      <c r="E2507" s="72" t="str">
        <f t="shared" si="4"/>
        <v>Q4</v>
      </c>
      <c r="F2507" s="72">
        <f t="shared" si="5"/>
        <v>2025</v>
      </c>
      <c r="G2507" s="89">
        <f t="shared" si="6"/>
        <v>45976</v>
      </c>
      <c r="H2507" s="72" t="str">
        <f t="shared" si="7"/>
        <v>Yes</v>
      </c>
    </row>
    <row r="2508" ht="15.75" customHeight="1">
      <c r="A2508" s="88">
        <f t="shared" si="8"/>
        <v>45972</v>
      </c>
      <c r="B2508" s="72" t="str">
        <f t="shared" si="1"/>
        <v>20251111</v>
      </c>
      <c r="C2508" s="72" t="str">
        <f t="shared" si="2"/>
        <v>Tuesday</v>
      </c>
      <c r="D2508" s="72" t="str">
        <f t="shared" si="3"/>
        <v>November</v>
      </c>
      <c r="E2508" s="72" t="str">
        <f t="shared" si="4"/>
        <v>Q4</v>
      </c>
      <c r="F2508" s="72">
        <f t="shared" si="5"/>
        <v>2025</v>
      </c>
      <c r="G2508" s="89">
        <f t="shared" si="6"/>
        <v>45976</v>
      </c>
      <c r="H2508" s="72" t="str">
        <f t="shared" si="7"/>
        <v>Yes</v>
      </c>
    </row>
    <row r="2509" ht="15.75" customHeight="1">
      <c r="A2509" s="88">
        <f t="shared" si="8"/>
        <v>45973</v>
      </c>
      <c r="B2509" s="72" t="str">
        <f t="shared" si="1"/>
        <v>20251112</v>
      </c>
      <c r="C2509" s="72" t="str">
        <f t="shared" si="2"/>
        <v>Wednesday</v>
      </c>
      <c r="D2509" s="72" t="str">
        <f t="shared" si="3"/>
        <v>November</v>
      </c>
      <c r="E2509" s="72" t="str">
        <f t="shared" si="4"/>
        <v>Q4</v>
      </c>
      <c r="F2509" s="72">
        <f t="shared" si="5"/>
        <v>2025</v>
      </c>
      <c r="G2509" s="89">
        <f t="shared" si="6"/>
        <v>45976</v>
      </c>
      <c r="H2509" s="72" t="str">
        <f t="shared" si="7"/>
        <v>Yes</v>
      </c>
    </row>
    <row r="2510" ht="15.75" customHeight="1">
      <c r="A2510" s="88">
        <f t="shared" si="8"/>
        <v>45974</v>
      </c>
      <c r="B2510" s="72" t="str">
        <f t="shared" si="1"/>
        <v>20251113</v>
      </c>
      <c r="C2510" s="72" t="str">
        <f t="shared" si="2"/>
        <v>Thursday</v>
      </c>
      <c r="D2510" s="72" t="str">
        <f t="shared" si="3"/>
        <v>November</v>
      </c>
      <c r="E2510" s="72" t="str">
        <f t="shared" si="4"/>
        <v>Q4</v>
      </c>
      <c r="F2510" s="72">
        <f t="shared" si="5"/>
        <v>2025</v>
      </c>
      <c r="G2510" s="89">
        <f t="shared" si="6"/>
        <v>45976</v>
      </c>
      <c r="H2510" s="72" t="str">
        <f t="shared" si="7"/>
        <v>Yes</v>
      </c>
    </row>
    <row r="2511" ht="15.75" customHeight="1">
      <c r="A2511" s="88">
        <f t="shared" si="8"/>
        <v>45975</v>
      </c>
      <c r="B2511" s="72" t="str">
        <f t="shared" si="1"/>
        <v>20251114</v>
      </c>
      <c r="C2511" s="72" t="str">
        <f t="shared" si="2"/>
        <v>Friday</v>
      </c>
      <c r="D2511" s="72" t="str">
        <f t="shared" si="3"/>
        <v>November</v>
      </c>
      <c r="E2511" s="72" t="str">
        <f t="shared" si="4"/>
        <v>Q4</v>
      </c>
      <c r="F2511" s="72">
        <f t="shared" si="5"/>
        <v>2025</v>
      </c>
      <c r="G2511" s="89">
        <f t="shared" si="6"/>
        <v>45976</v>
      </c>
      <c r="H2511" s="72" t="str">
        <f t="shared" si="7"/>
        <v>Yes</v>
      </c>
    </row>
    <row r="2512" ht="15.75" customHeight="1">
      <c r="A2512" s="88">
        <f t="shared" si="8"/>
        <v>45976</v>
      </c>
      <c r="B2512" s="72" t="str">
        <f t="shared" si="1"/>
        <v>20251115</v>
      </c>
      <c r="C2512" s="72" t="str">
        <f t="shared" si="2"/>
        <v>Saturday</v>
      </c>
      <c r="D2512" s="72" t="str">
        <f t="shared" si="3"/>
        <v>November</v>
      </c>
      <c r="E2512" s="72" t="str">
        <f t="shared" si="4"/>
        <v>Q4</v>
      </c>
      <c r="F2512" s="72">
        <f t="shared" si="5"/>
        <v>2025</v>
      </c>
      <c r="G2512" s="89">
        <f t="shared" si="6"/>
        <v>45976</v>
      </c>
      <c r="H2512" s="72" t="str">
        <f t="shared" si="7"/>
        <v>No</v>
      </c>
    </row>
    <row r="2513" ht="15.75" customHeight="1">
      <c r="A2513" s="88">
        <f t="shared" si="8"/>
        <v>45977</v>
      </c>
      <c r="B2513" s="72" t="str">
        <f t="shared" si="1"/>
        <v>20251116</v>
      </c>
      <c r="C2513" s="72" t="str">
        <f t="shared" si="2"/>
        <v>Sunday</v>
      </c>
      <c r="D2513" s="72" t="str">
        <f t="shared" si="3"/>
        <v>November</v>
      </c>
      <c r="E2513" s="72" t="str">
        <f t="shared" si="4"/>
        <v>Q4</v>
      </c>
      <c r="F2513" s="72">
        <f t="shared" si="5"/>
        <v>2025</v>
      </c>
      <c r="G2513" s="89">
        <f t="shared" si="6"/>
        <v>45983</v>
      </c>
      <c r="H2513" s="72" t="str">
        <f t="shared" si="7"/>
        <v>No</v>
      </c>
    </row>
    <row r="2514" ht="15.75" customHeight="1">
      <c r="A2514" s="88">
        <f t="shared" si="8"/>
        <v>45978</v>
      </c>
      <c r="B2514" s="72" t="str">
        <f t="shared" si="1"/>
        <v>20251117</v>
      </c>
      <c r="C2514" s="72" t="str">
        <f t="shared" si="2"/>
        <v>Monday</v>
      </c>
      <c r="D2514" s="72" t="str">
        <f t="shared" si="3"/>
        <v>November</v>
      </c>
      <c r="E2514" s="72" t="str">
        <f t="shared" si="4"/>
        <v>Q4</v>
      </c>
      <c r="F2514" s="72">
        <f t="shared" si="5"/>
        <v>2025</v>
      </c>
      <c r="G2514" s="89">
        <f t="shared" si="6"/>
        <v>45983</v>
      </c>
      <c r="H2514" s="72" t="str">
        <f t="shared" si="7"/>
        <v>Yes</v>
      </c>
    </row>
    <row r="2515" ht="15.75" customHeight="1">
      <c r="A2515" s="88">
        <f t="shared" si="8"/>
        <v>45979</v>
      </c>
      <c r="B2515" s="72" t="str">
        <f t="shared" si="1"/>
        <v>20251118</v>
      </c>
      <c r="C2515" s="72" t="str">
        <f t="shared" si="2"/>
        <v>Tuesday</v>
      </c>
      <c r="D2515" s="72" t="str">
        <f t="shared" si="3"/>
        <v>November</v>
      </c>
      <c r="E2515" s="72" t="str">
        <f t="shared" si="4"/>
        <v>Q4</v>
      </c>
      <c r="F2515" s="72">
        <f t="shared" si="5"/>
        <v>2025</v>
      </c>
      <c r="G2515" s="89">
        <f t="shared" si="6"/>
        <v>45983</v>
      </c>
      <c r="H2515" s="72" t="str">
        <f t="shared" si="7"/>
        <v>Yes</v>
      </c>
    </row>
    <row r="2516" ht="15.75" customHeight="1">
      <c r="A2516" s="88">
        <f t="shared" si="8"/>
        <v>45980</v>
      </c>
      <c r="B2516" s="72" t="str">
        <f t="shared" si="1"/>
        <v>20251119</v>
      </c>
      <c r="C2516" s="72" t="str">
        <f t="shared" si="2"/>
        <v>Wednesday</v>
      </c>
      <c r="D2516" s="72" t="str">
        <f t="shared" si="3"/>
        <v>November</v>
      </c>
      <c r="E2516" s="72" t="str">
        <f t="shared" si="4"/>
        <v>Q4</v>
      </c>
      <c r="F2516" s="72">
        <f t="shared" si="5"/>
        <v>2025</v>
      </c>
      <c r="G2516" s="89">
        <f t="shared" si="6"/>
        <v>45983</v>
      </c>
      <c r="H2516" s="72" t="str">
        <f t="shared" si="7"/>
        <v>Yes</v>
      </c>
    </row>
    <row r="2517" ht="15.75" customHeight="1">
      <c r="A2517" s="88">
        <f t="shared" si="8"/>
        <v>45981</v>
      </c>
      <c r="B2517" s="72" t="str">
        <f t="shared" si="1"/>
        <v>20251120</v>
      </c>
      <c r="C2517" s="72" t="str">
        <f t="shared" si="2"/>
        <v>Thursday</v>
      </c>
      <c r="D2517" s="72" t="str">
        <f t="shared" si="3"/>
        <v>November</v>
      </c>
      <c r="E2517" s="72" t="str">
        <f t="shared" si="4"/>
        <v>Q4</v>
      </c>
      <c r="F2517" s="72">
        <f t="shared" si="5"/>
        <v>2025</v>
      </c>
      <c r="G2517" s="89">
        <f t="shared" si="6"/>
        <v>45983</v>
      </c>
      <c r="H2517" s="72" t="str">
        <f t="shared" si="7"/>
        <v>Yes</v>
      </c>
    </row>
    <row r="2518" ht="15.75" customHeight="1">
      <c r="A2518" s="88">
        <f t="shared" si="8"/>
        <v>45982</v>
      </c>
      <c r="B2518" s="72" t="str">
        <f t="shared" si="1"/>
        <v>20251121</v>
      </c>
      <c r="C2518" s="72" t="str">
        <f t="shared" si="2"/>
        <v>Friday</v>
      </c>
      <c r="D2518" s="72" t="str">
        <f t="shared" si="3"/>
        <v>November</v>
      </c>
      <c r="E2518" s="72" t="str">
        <f t="shared" si="4"/>
        <v>Q4</v>
      </c>
      <c r="F2518" s="72">
        <f t="shared" si="5"/>
        <v>2025</v>
      </c>
      <c r="G2518" s="89">
        <f t="shared" si="6"/>
        <v>45983</v>
      </c>
      <c r="H2518" s="72" t="str">
        <f t="shared" si="7"/>
        <v>Yes</v>
      </c>
    </row>
    <row r="2519" ht="15.75" customHeight="1">
      <c r="A2519" s="88">
        <f t="shared" si="8"/>
        <v>45983</v>
      </c>
      <c r="B2519" s="72" t="str">
        <f t="shared" si="1"/>
        <v>20251122</v>
      </c>
      <c r="C2519" s="72" t="str">
        <f t="shared" si="2"/>
        <v>Saturday</v>
      </c>
      <c r="D2519" s="72" t="str">
        <f t="shared" si="3"/>
        <v>November</v>
      </c>
      <c r="E2519" s="72" t="str">
        <f t="shared" si="4"/>
        <v>Q4</v>
      </c>
      <c r="F2519" s="72">
        <f t="shared" si="5"/>
        <v>2025</v>
      </c>
      <c r="G2519" s="89">
        <f t="shared" si="6"/>
        <v>45983</v>
      </c>
      <c r="H2519" s="72" t="str">
        <f t="shared" si="7"/>
        <v>No</v>
      </c>
    </row>
    <row r="2520" ht="15.75" customHeight="1">
      <c r="A2520" s="88">
        <f t="shared" si="8"/>
        <v>45984</v>
      </c>
      <c r="B2520" s="72" t="str">
        <f t="shared" si="1"/>
        <v>20251123</v>
      </c>
      <c r="C2520" s="72" t="str">
        <f t="shared" si="2"/>
        <v>Sunday</v>
      </c>
      <c r="D2520" s="72" t="str">
        <f t="shared" si="3"/>
        <v>November</v>
      </c>
      <c r="E2520" s="72" t="str">
        <f t="shared" si="4"/>
        <v>Q4</v>
      </c>
      <c r="F2520" s="72">
        <f t="shared" si="5"/>
        <v>2025</v>
      </c>
      <c r="G2520" s="89">
        <f t="shared" si="6"/>
        <v>45990</v>
      </c>
      <c r="H2520" s="72" t="str">
        <f t="shared" si="7"/>
        <v>No</v>
      </c>
    </row>
    <row r="2521" ht="15.75" customHeight="1">
      <c r="A2521" s="88">
        <f t="shared" si="8"/>
        <v>45985</v>
      </c>
      <c r="B2521" s="72" t="str">
        <f t="shared" si="1"/>
        <v>20251124</v>
      </c>
      <c r="C2521" s="72" t="str">
        <f t="shared" si="2"/>
        <v>Monday</v>
      </c>
      <c r="D2521" s="72" t="str">
        <f t="shared" si="3"/>
        <v>November</v>
      </c>
      <c r="E2521" s="72" t="str">
        <f t="shared" si="4"/>
        <v>Q4</v>
      </c>
      <c r="F2521" s="72">
        <f t="shared" si="5"/>
        <v>2025</v>
      </c>
      <c r="G2521" s="89">
        <f t="shared" si="6"/>
        <v>45990</v>
      </c>
      <c r="H2521" s="72" t="str">
        <f t="shared" si="7"/>
        <v>Yes</v>
      </c>
    </row>
    <row r="2522" ht="15.75" customHeight="1">
      <c r="A2522" s="88">
        <f t="shared" si="8"/>
        <v>45986</v>
      </c>
      <c r="B2522" s="72" t="str">
        <f t="shared" si="1"/>
        <v>20251125</v>
      </c>
      <c r="C2522" s="72" t="str">
        <f t="shared" si="2"/>
        <v>Tuesday</v>
      </c>
      <c r="D2522" s="72" t="str">
        <f t="shared" si="3"/>
        <v>November</v>
      </c>
      <c r="E2522" s="72" t="str">
        <f t="shared" si="4"/>
        <v>Q4</v>
      </c>
      <c r="F2522" s="72">
        <f t="shared" si="5"/>
        <v>2025</v>
      </c>
      <c r="G2522" s="89">
        <f t="shared" si="6"/>
        <v>45990</v>
      </c>
      <c r="H2522" s="72" t="str">
        <f t="shared" si="7"/>
        <v>Yes</v>
      </c>
    </row>
    <row r="2523" ht="15.75" customHeight="1">
      <c r="A2523" s="88">
        <f t="shared" si="8"/>
        <v>45987</v>
      </c>
      <c r="B2523" s="72" t="str">
        <f t="shared" si="1"/>
        <v>20251126</v>
      </c>
      <c r="C2523" s="72" t="str">
        <f t="shared" si="2"/>
        <v>Wednesday</v>
      </c>
      <c r="D2523" s="72" t="str">
        <f t="shared" si="3"/>
        <v>November</v>
      </c>
      <c r="E2523" s="72" t="str">
        <f t="shared" si="4"/>
        <v>Q4</v>
      </c>
      <c r="F2523" s="72">
        <f t="shared" si="5"/>
        <v>2025</v>
      </c>
      <c r="G2523" s="89">
        <f t="shared" si="6"/>
        <v>45990</v>
      </c>
      <c r="H2523" s="72" t="str">
        <f t="shared" si="7"/>
        <v>Yes</v>
      </c>
    </row>
    <row r="2524" ht="15.75" customHeight="1">
      <c r="A2524" s="88">
        <f t="shared" si="8"/>
        <v>45988</v>
      </c>
      <c r="B2524" s="72" t="str">
        <f t="shared" si="1"/>
        <v>20251127</v>
      </c>
      <c r="C2524" s="72" t="str">
        <f t="shared" si="2"/>
        <v>Thursday</v>
      </c>
      <c r="D2524" s="72" t="str">
        <f t="shared" si="3"/>
        <v>November</v>
      </c>
      <c r="E2524" s="72" t="str">
        <f t="shared" si="4"/>
        <v>Q4</v>
      </c>
      <c r="F2524" s="72">
        <f t="shared" si="5"/>
        <v>2025</v>
      </c>
      <c r="G2524" s="89">
        <f t="shared" si="6"/>
        <v>45990</v>
      </c>
      <c r="H2524" s="72" t="str">
        <f t="shared" si="7"/>
        <v>Yes</v>
      </c>
    </row>
    <row r="2525" ht="15.75" customHeight="1">
      <c r="A2525" s="88">
        <f t="shared" si="8"/>
        <v>45989</v>
      </c>
      <c r="B2525" s="72" t="str">
        <f t="shared" si="1"/>
        <v>20251128</v>
      </c>
      <c r="C2525" s="72" t="str">
        <f t="shared" si="2"/>
        <v>Friday</v>
      </c>
      <c r="D2525" s="72" t="str">
        <f t="shared" si="3"/>
        <v>November</v>
      </c>
      <c r="E2525" s="72" t="str">
        <f t="shared" si="4"/>
        <v>Q4</v>
      </c>
      <c r="F2525" s="72">
        <f t="shared" si="5"/>
        <v>2025</v>
      </c>
      <c r="G2525" s="89">
        <f t="shared" si="6"/>
        <v>45990</v>
      </c>
      <c r="H2525" s="72" t="str">
        <f t="shared" si="7"/>
        <v>Yes</v>
      </c>
    </row>
    <row r="2526" ht="15.75" customHeight="1">
      <c r="A2526" s="88">
        <f t="shared" si="8"/>
        <v>45990</v>
      </c>
      <c r="B2526" s="72" t="str">
        <f t="shared" si="1"/>
        <v>20251129</v>
      </c>
      <c r="C2526" s="72" t="str">
        <f t="shared" si="2"/>
        <v>Saturday</v>
      </c>
      <c r="D2526" s="72" t="str">
        <f t="shared" si="3"/>
        <v>November</v>
      </c>
      <c r="E2526" s="72" t="str">
        <f t="shared" si="4"/>
        <v>Q4</v>
      </c>
      <c r="F2526" s="72">
        <f t="shared" si="5"/>
        <v>2025</v>
      </c>
      <c r="G2526" s="89">
        <f t="shared" si="6"/>
        <v>45990</v>
      </c>
      <c r="H2526" s="72" t="str">
        <f t="shared" si="7"/>
        <v>No</v>
      </c>
    </row>
    <row r="2527" ht="15.75" customHeight="1">
      <c r="A2527" s="88">
        <f t="shared" si="8"/>
        <v>45991</v>
      </c>
      <c r="B2527" s="72" t="str">
        <f t="shared" si="1"/>
        <v>20251130</v>
      </c>
      <c r="C2527" s="72" t="str">
        <f t="shared" si="2"/>
        <v>Sunday</v>
      </c>
      <c r="D2527" s="72" t="str">
        <f t="shared" si="3"/>
        <v>November</v>
      </c>
      <c r="E2527" s="72" t="str">
        <f t="shared" si="4"/>
        <v>Q4</v>
      </c>
      <c r="F2527" s="72">
        <f t="shared" si="5"/>
        <v>2025</v>
      </c>
      <c r="G2527" s="89">
        <f t="shared" si="6"/>
        <v>45997</v>
      </c>
      <c r="H2527" s="72" t="str">
        <f t="shared" si="7"/>
        <v>No</v>
      </c>
    </row>
    <row r="2528" ht="15.75" customHeight="1">
      <c r="A2528" s="88">
        <f t="shared" si="8"/>
        <v>45992</v>
      </c>
      <c r="B2528" s="72" t="str">
        <f t="shared" si="1"/>
        <v>20251201</v>
      </c>
      <c r="C2528" s="72" t="str">
        <f t="shared" si="2"/>
        <v>Monday</v>
      </c>
      <c r="D2528" s="72" t="str">
        <f t="shared" si="3"/>
        <v>December</v>
      </c>
      <c r="E2528" s="72" t="str">
        <f t="shared" si="4"/>
        <v>Q4</v>
      </c>
      <c r="F2528" s="72">
        <f t="shared" si="5"/>
        <v>2025</v>
      </c>
      <c r="G2528" s="89">
        <f t="shared" si="6"/>
        <v>45997</v>
      </c>
      <c r="H2528" s="72" t="str">
        <f t="shared" si="7"/>
        <v>Yes</v>
      </c>
    </row>
    <row r="2529" ht="15.75" customHeight="1">
      <c r="A2529" s="88">
        <f t="shared" si="8"/>
        <v>45993</v>
      </c>
      <c r="B2529" s="72" t="str">
        <f t="shared" si="1"/>
        <v>20251202</v>
      </c>
      <c r="C2529" s="72" t="str">
        <f t="shared" si="2"/>
        <v>Tuesday</v>
      </c>
      <c r="D2529" s="72" t="str">
        <f t="shared" si="3"/>
        <v>December</v>
      </c>
      <c r="E2529" s="72" t="str">
        <f t="shared" si="4"/>
        <v>Q4</v>
      </c>
      <c r="F2529" s="72">
        <f t="shared" si="5"/>
        <v>2025</v>
      </c>
      <c r="G2529" s="89">
        <f t="shared" si="6"/>
        <v>45997</v>
      </c>
      <c r="H2529" s="72" t="str">
        <f t="shared" si="7"/>
        <v>Yes</v>
      </c>
    </row>
    <row r="2530" ht="15.75" customHeight="1">
      <c r="A2530" s="88">
        <f t="shared" si="8"/>
        <v>45994</v>
      </c>
      <c r="B2530" s="72" t="str">
        <f t="shared" si="1"/>
        <v>20251203</v>
      </c>
      <c r="C2530" s="72" t="str">
        <f t="shared" si="2"/>
        <v>Wednesday</v>
      </c>
      <c r="D2530" s="72" t="str">
        <f t="shared" si="3"/>
        <v>December</v>
      </c>
      <c r="E2530" s="72" t="str">
        <f t="shared" si="4"/>
        <v>Q4</v>
      </c>
      <c r="F2530" s="72">
        <f t="shared" si="5"/>
        <v>2025</v>
      </c>
      <c r="G2530" s="89">
        <f t="shared" si="6"/>
        <v>45997</v>
      </c>
      <c r="H2530" s="72" t="str">
        <f t="shared" si="7"/>
        <v>Yes</v>
      </c>
    </row>
    <row r="2531" ht="15.75" customHeight="1">
      <c r="A2531" s="88">
        <f t="shared" si="8"/>
        <v>45995</v>
      </c>
      <c r="B2531" s="72" t="str">
        <f t="shared" si="1"/>
        <v>20251204</v>
      </c>
      <c r="C2531" s="72" t="str">
        <f t="shared" si="2"/>
        <v>Thursday</v>
      </c>
      <c r="D2531" s="72" t="str">
        <f t="shared" si="3"/>
        <v>December</v>
      </c>
      <c r="E2531" s="72" t="str">
        <f t="shared" si="4"/>
        <v>Q4</v>
      </c>
      <c r="F2531" s="72">
        <f t="shared" si="5"/>
        <v>2025</v>
      </c>
      <c r="G2531" s="89">
        <f t="shared" si="6"/>
        <v>45997</v>
      </c>
      <c r="H2531" s="72" t="str">
        <f t="shared" si="7"/>
        <v>Yes</v>
      </c>
    </row>
    <row r="2532" ht="15.75" customHeight="1">
      <c r="A2532" s="88">
        <f t="shared" si="8"/>
        <v>45996</v>
      </c>
      <c r="B2532" s="72" t="str">
        <f t="shared" si="1"/>
        <v>20251205</v>
      </c>
      <c r="C2532" s="72" t="str">
        <f t="shared" si="2"/>
        <v>Friday</v>
      </c>
      <c r="D2532" s="72" t="str">
        <f t="shared" si="3"/>
        <v>December</v>
      </c>
      <c r="E2532" s="72" t="str">
        <f t="shared" si="4"/>
        <v>Q4</v>
      </c>
      <c r="F2532" s="72">
        <f t="shared" si="5"/>
        <v>2025</v>
      </c>
      <c r="G2532" s="89">
        <f t="shared" si="6"/>
        <v>45997</v>
      </c>
      <c r="H2532" s="72" t="str">
        <f t="shared" si="7"/>
        <v>Yes</v>
      </c>
    </row>
    <row r="2533" ht="15.75" customHeight="1">
      <c r="A2533" s="88">
        <f t="shared" si="8"/>
        <v>45997</v>
      </c>
      <c r="B2533" s="72" t="str">
        <f t="shared" si="1"/>
        <v>20251206</v>
      </c>
      <c r="C2533" s="72" t="str">
        <f t="shared" si="2"/>
        <v>Saturday</v>
      </c>
      <c r="D2533" s="72" t="str">
        <f t="shared" si="3"/>
        <v>December</v>
      </c>
      <c r="E2533" s="72" t="str">
        <f t="shared" si="4"/>
        <v>Q4</v>
      </c>
      <c r="F2533" s="72">
        <f t="shared" si="5"/>
        <v>2025</v>
      </c>
      <c r="G2533" s="89">
        <f t="shared" si="6"/>
        <v>45997</v>
      </c>
      <c r="H2533" s="72" t="str">
        <f t="shared" si="7"/>
        <v>No</v>
      </c>
    </row>
    <row r="2534" ht="15.75" customHeight="1">
      <c r="A2534" s="88">
        <f t="shared" si="8"/>
        <v>45998</v>
      </c>
      <c r="B2534" s="72" t="str">
        <f t="shared" si="1"/>
        <v>20251207</v>
      </c>
      <c r="C2534" s="72" t="str">
        <f t="shared" si="2"/>
        <v>Sunday</v>
      </c>
      <c r="D2534" s="72" t="str">
        <f t="shared" si="3"/>
        <v>December</v>
      </c>
      <c r="E2534" s="72" t="str">
        <f t="shared" si="4"/>
        <v>Q4</v>
      </c>
      <c r="F2534" s="72">
        <f t="shared" si="5"/>
        <v>2025</v>
      </c>
      <c r="G2534" s="89">
        <f t="shared" si="6"/>
        <v>46004</v>
      </c>
      <c r="H2534" s="72" t="str">
        <f t="shared" si="7"/>
        <v>No</v>
      </c>
    </row>
    <row r="2535" ht="15.75" customHeight="1">
      <c r="A2535" s="88">
        <f t="shared" si="8"/>
        <v>45999</v>
      </c>
      <c r="B2535" s="72" t="str">
        <f t="shared" si="1"/>
        <v>20251208</v>
      </c>
      <c r="C2535" s="72" t="str">
        <f t="shared" si="2"/>
        <v>Monday</v>
      </c>
      <c r="D2535" s="72" t="str">
        <f t="shared" si="3"/>
        <v>December</v>
      </c>
      <c r="E2535" s="72" t="str">
        <f t="shared" si="4"/>
        <v>Q4</v>
      </c>
      <c r="F2535" s="72">
        <f t="shared" si="5"/>
        <v>2025</v>
      </c>
      <c r="G2535" s="89">
        <f t="shared" si="6"/>
        <v>46004</v>
      </c>
      <c r="H2535" s="72" t="str">
        <f t="shared" si="7"/>
        <v>Yes</v>
      </c>
    </row>
    <row r="2536" ht="15.75" customHeight="1">
      <c r="A2536" s="88">
        <f t="shared" si="8"/>
        <v>46000</v>
      </c>
      <c r="B2536" s="72" t="str">
        <f t="shared" si="1"/>
        <v>20251209</v>
      </c>
      <c r="C2536" s="72" t="str">
        <f t="shared" si="2"/>
        <v>Tuesday</v>
      </c>
      <c r="D2536" s="72" t="str">
        <f t="shared" si="3"/>
        <v>December</v>
      </c>
      <c r="E2536" s="72" t="str">
        <f t="shared" si="4"/>
        <v>Q4</v>
      </c>
      <c r="F2536" s="72">
        <f t="shared" si="5"/>
        <v>2025</v>
      </c>
      <c r="G2536" s="89">
        <f t="shared" si="6"/>
        <v>46004</v>
      </c>
      <c r="H2536" s="72" t="str">
        <f t="shared" si="7"/>
        <v>Yes</v>
      </c>
    </row>
    <row r="2537" ht="15.75" customHeight="1">
      <c r="A2537" s="88">
        <f t="shared" si="8"/>
        <v>46001</v>
      </c>
      <c r="B2537" s="72" t="str">
        <f t="shared" si="1"/>
        <v>20251210</v>
      </c>
      <c r="C2537" s="72" t="str">
        <f t="shared" si="2"/>
        <v>Wednesday</v>
      </c>
      <c r="D2537" s="72" t="str">
        <f t="shared" si="3"/>
        <v>December</v>
      </c>
      <c r="E2537" s="72" t="str">
        <f t="shared" si="4"/>
        <v>Q4</v>
      </c>
      <c r="F2537" s="72">
        <f t="shared" si="5"/>
        <v>2025</v>
      </c>
      <c r="G2537" s="89">
        <f t="shared" si="6"/>
        <v>46004</v>
      </c>
      <c r="H2537" s="72" t="str">
        <f t="shared" si="7"/>
        <v>Yes</v>
      </c>
    </row>
    <row r="2538" ht="15.75" customHeight="1">
      <c r="A2538" s="88">
        <f t="shared" si="8"/>
        <v>46002</v>
      </c>
      <c r="B2538" s="72" t="str">
        <f t="shared" si="1"/>
        <v>20251211</v>
      </c>
      <c r="C2538" s="72" t="str">
        <f t="shared" si="2"/>
        <v>Thursday</v>
      </c>
      <c r="D2538" s="72" t="str">
        <f t="shared" si="3"/>
        <v>December</v>
      </c>
      <c r="E2538" s="72" t="str">
        <f t="shared" si="4"/>
        <v>Q4</v>
      </c>
      <c r="F2538" s="72">
        <f t="shared" si="5"/>
        <v>2025</v>
      </c>
      <c r="G2538" s="89">
        <f t="shared" si="6"/>
        <v>46004</v>
      </c>
      <c r="H2538" s="72" t="str">
        <f t="shared" si="7"/>
        <v>Yes</v>
      </c>
    </row>
    <row r="2539" ht="15.75" customHeight="1">
      <c r="A2539" s="88">
        <f t="shared" si="8"/>
        <v>46003</v>
      </c>
      <c r="B2539" s="72" t="str">
        <f t="shared" si="1"/>
        <v>20251212</v>
      </c>
      <c r="C2539" s="72" t="str">
        <f t="shared" si="2"/>
        <v>Friday</v>
      </c>
      <c r="D2539" s="72" t="str">
        <f t="shared" si="3"/>
        <v>December</v>
      </c>
      <c r="E2539" s="72" t="str">
        <f t="shared" si="4"/>
        <v>Q4</v>
      </c>
      <c r="F2539" s="72">
        <f t="shared" si="5"/>
        <v>2025</v>
      </c>
      <c r="G2539" s="89">
        <f t="shared" si="6"/>
        <v>46004</v>
      </c>
      <c r="H2539" s="72" t="str">
        <f t="shared" si="7"/>
        <v>Yes</v>
      </c>
    </row>
    <row r="2540" ht="15.75" customHeight="1">
      <c r="A2540" s="88">
        <f t="shared" si="8"/>
        <v>46004</v>
      </c>
      <c r="B2540" s="72" t="str">
        <f t="shared" si="1"/>
        <v>20251213</v>
      </c>
      <c r="C2540" s="72" t="str">
        <f t="shared" si="2"/>
        <v>Saturday</v>
      </c>
      <c r="D2540" s="72" t="str">
        <f t="shared" si="3"/>
        <v>December</v>
      </c>
      <c r="E2540" s="72" t="str">
        <f t="shared" si="4"/>
        <v>Q4</v>
      </c>
      <c r="F2540" s="72">
        <f t="shared" si="5"/>
        <v>2025</v>
      </c>
      <c r="G2540" s="89">
        <f t="shared" si="6"/>
        <v>46004</v>
      </c>
      <c r="H2540" s="72" t="str">
        <f t="shared" si="7"/>
        <v>No</v>
      </c>
    </row>
    <row r="2541" ht="15.75" customHeight="1">
      <c r="A2541" s="88">
        <f t="shared" si="8"/>
        <v>46005</v>
      </c>
      <c r="B2541" s="72" t="str">
        <f t="shared" si="1"/>
        <v>20251214</v>
      </c>
      <c r="C2541" s="72" t="str">
        <f t="shared" si="2"/>
        <v>Sunday</v>
      </c>
      <c r="D2541" s="72" t="str">
        <f t="shared" si="3"/>
        <v>December</v>
      </c>
      <c r="E2541" s="72" t="str">
        <f t="shared" si="4"/>
        <v>Q4</v>
      </c>
      <c r="F2541" s="72">
        <f t="shared" si="5"/>
        <v>2025</v>
      </c>
      <c r="G2541" s="89">
        <f t="shared" si="6"/>
        <v>46011</v>
      </c>
      <c r="H2541" s="72" t="str">
        <f t="shared" si="7"/>
        <v>No</v>
      </c>
    </row>
    <row r="2542" ht="15.75" customHeight="1">
      <c r="A2542" s="88">
        <f t="shared" si="8"/>
        <v>46006</v>
      </c>
      <c r="B2542" s="72" t="str">
        <f t="shared" si="1"/>
        <v>20251215</v>
      </c>
      <c r="C2542" s="72" t="str">
        <f t="shared" si="2"/>
        <v>Monday</v>
      </c>
      <c r="D2542" s="72" t="str">
        <f t="shared" si="3"/>
        <v>December</v>
      </c>
      <c r="E2542" s="72" t="str">
        <f t="shared" si="4"/>
        <v>Q4</v>
      </c>
      <c r="F2542" s="72">
        <f t="shared" si="5"/>
        <v>2025</v>
      </c>
      <c r="G2542" s="89">
        <f t="shared" si="6"/>
        <v>46011</v>
      </c>
      <c r="H2542" s="72" t="str">
        <f t="shared" si="7"/>
        <v>Yes</v>
      </c>
    </row>
    <row r="2543" ht="15.75" customHeight="1">
      <c r="A2543" s="88">
        <f t="shared" si="8"/>
        <v>46007</v>
      </c>
      <c r="B2543" s="72" t="str">
        <f t="shared" si="1"/>
        <v>20251216</v>
      </c>
      <c r="C2543" s="72" t="str">
        <f t="shared" si="2"/>
        <v>Tuesday</v>
      </c>
      <c r="D2543" s="72" t="str">
        <f t="shared" si="3"/>
        <v>December</v>
      </c>
      <c r="E2543" s="72" t="str">
        <f t="shared" si="4"/>
        <v>Q4</v>
      </c>
      <c r="F2543" s="72">
        <f t="shared" si="5"/>
        <v>2025</v>
      </c>
      <c r="G2543" s="89">
        <f t="shared" si="6"/>
        <v>46011</v>
      </c>
      <c r="H2543" s="72" t="str">
        <f t="shared" si="7"/>
        <v>Yes</v>
      </c>
    </row>
    <row r="2544" ht="15.75" customHeight="1">
      <c r="A2544" s="88">
        <f t="shared" si="8"/>
        <v>46008</v>
      </c>
      <c r="B2544" s="72" t="str">
        <f t="shared" si="1"/>
        <v>20251217</v>
      </c>
      <c r="C2544" s="72" t="str">
        <f t="shared" si="2"/>
        <v>Wednesday</v>
      </c>
      <c r="D2544" s="72" t="str">
        <f t="shared" si="3"/>
        <v>December</v>
      </c>
      <c r="E2544" s="72" t="str">
        <f t="shared" si="4"/>
        <v>Q4</v>
      </c>
      <c r="F2544" s="72">
        <f t="shared" si="5"/>
        <v>2025</v>
      </c>
      <c r="G2544" s="89">
        <f t="shared" si="6"/>
        <v>46011</v>
      </c>
      <c r="H2544" s="72" t="str">
        <f t="shared" si="7"/>
        <v>Yes</v>
      </c>
    </row>
    <row r="2545" ht="15.75" customHeight="1">
      <c r="A2545" s="88">
        <f t="shared" si="8"/>
        <v>46009</v>
      </c>
      <c r="B2545" s="72" t="str">
        <f t="shared" si="1"/>
        <v>20251218</v>
      </c>
      <c r="C2545" s="72" t="str">
        <f t="shared" si="2"/>
        <v>Thursday</v>
      </c>
      <c r="D2545" s="72" t="str">
        <f t="shared" si="3"/>
        <v>December</v>
      </c>
      <c r="E2545" s="72" t="str">
        <f t="shared" si="4"/>
        <v>Q4</v>
      </c>
      <c r="F2545" s="72">
        <f t="shared" si="5"/>
        <v>2025</v>
      </c>
      <c r="G2545" s="89">
        <f t="shared" si="6"/>
        <v>46011</v>
      </c>
      <c r="H2545" s="72" t="str">
        <f t="shared" si="7"/>
        <v>Yes</v>
      </c>
    </row>
    <row r="2546" ht="15.75" customHeight="1">
      <c r="A2546" s="88">
        <f t="shared" si="8"/>
        <v>46010</v>
      </c>
      <c r="B2546" s="72" t="str">
        <f t="shared" si="1"/>
        <v>20251219</v>
      </c>
      <c r="C2546" s="72" t="str">
        <f t="shared" si="2"/>
        <v>Friday</v>
      </c>
      <c r="D2546" s="72" t="str">
        <f t="shared" si="3"/>
        <v>December</v>
      </c>
      <c r="E2546" s="72" t="str">
        <f t="shared" si="4"/>
        <v>Q4</v>
      </c>
      <c r="F2546" s="72">
        <f t="shared" si="5"/>
        <v>2025</v>
      </c>
      <c r="G2546" s="89">
        <f t="shared" si="6"/>
        <v>46011</v>
      </c>
      <c r="H2546" s="72" t="str">
        <f t="shared" si="7"/>
        <v>Yes</v>
      </c>
    </row>
    <row r="2547" ht="15.75" customHeight="1">
      <c r="A2547" s="88">
        <f t="shared" si="8"/>
        <v>46011</v>
      </c>
      <c r="B2547" s="72" t="str">
        <f t="shared" si="1"/>
        <v>20251220</v>
      </c>
      <c r="C2547" s="72" t="str">
        <f t="shared" si="2"/>
        <v>Saturday</v>
      </c>
      <c r="D2547" s="72" t="str">
        <f t="shared" si="3"/>
        <v>December</v>
      </c>
      <c r="E2547" s="72" t="str">
        <f t="shared" si="4"/>
        <v>Q4</v>
      </c>
      <c r="F2547" s="72">
        <f t="shared" si="5"/>
        <v>2025</v>
      </c>
      <c r="G2547" s="89">
        <f t="shared" si="6"/>
        <v>46011</v>
      </c>
      <c r="H2547" s="72" t="str">
        <f t="shared" si="7"/>
        <v>No</v>
      </c>
    </row>
    <row r="2548" ht="15.75" customHeight="1">
      <c r="A2548" s="88">
        <f t="shared" si="8"/>
        <v>46012</v>
      </c>
      <c r="B2548" s="72" t="str">
        <f t="shared" si="1"/>
        <v>20251221</v>
      </c>
      <c r="C2548" s="72" t="str">
        <f t="shared" si="2"/>
        <v>Sunday</v>
      </c>
      <c r="D2548" s="72" t="str">
        <f t="shared" si="3"/>
        <v>December</v>
      </c>
      <c r="E2548" s="72" t="str">
        <f t="shared" si="4"/>
        <v>Q4</v>
      </c>
      <c r="F2548" s="72">
        <f t="shared" si="5"/>
        <v>2025</v>
      </c>
      <c r="G2548" s="89">
        <f t="shared" si="6"/>
        <v>46018</v>
      </c>
      <c r="H2548" s="72" t="str">
        <f t="shared" si="7"/>
        <v>No</v>
      </c>
    </row>
    <row r="2549" ht="15.75" customHeight="1">
      <c r="A2549" s="88">
        <f t="shared" si="8"/>
        <v>46013</v>
      </c>
      <c r="B2549" s="72" t="str">
        <f t="shared" si="1"/>
        <v>20251222</v>
      </c>
      <c r="C2549" s="72" t="str">
        <f t="shared" si="2"/>
        <v>Monday</v>
      </c>
      <c r="D2549" s="72" t="str">
        <f t="shared" si="3"/>
        <v>December</v>
      </c>
      <c r="E2549" s="72" t="str">
        <f t="shared" si="4"/>
        <v>Q4</v>
      </c>
      <c r="F2549" s="72">
        <f t="shared" si="5"/>
        <v>2025</v>
      </c>
      <c r="G2549" s="89">
        <f t="shared" si="6"/>
        <v>46018</v>
      </c>
      <c r="H2549" s="72" t="str">
        <f t="shared" si="7"/>
        <v>Yes</v>
      </c>
    </row>
    <row r="2550" ht="15.75" customHeight="1">
      <c r="A2550" s="88">
        <f t="shared" si="8"/>
        <v>46014</v>
      </c>
      <c r="B2550" s="72" t="str">
        <f t="shared" si="1"/>
        <v>20251223</v>
      </c>
      <c r="C2550" s="72" t="str">
        <f t="shared" si="2"/>
        <v>Tuesday</v>
      </c>
      <c r="D2550" s="72" t="str">
        <f t="shared" si="3"/>
        <v>December</v>
      </c>
      <c r="E2550" s="72" t="str">
        <f t="shared" si="4"/>
        <v>Q4</v>
      </c>
      <c r="F2550" s="72">
        <f t="shared" si="5"/>
        <v>2025</v>
      </c>
      <c r="G2550" s="89">
        <f t="shared" si="6"/>
        <v>46018</v>
      </c>
      <c r="H2550" s="72" t="str">
        <f t="shared" si="7"/>
        <v>Yes</v>
      </c>
    </row>
    <row r="2551" ht="15.75" customHeight="1">
      <c r="A2551" s="88">
        <f t="shared" si="8"/>
        <v>46015</v>
      </c>
      <c r="B2551" s="72" t="str">
        <f t="shared" si="1"/>
        <v>20251224</v>
      </c>
      <c r="C2551" s="72" t="str">
        <f t="shared" si="2"/>
        <v>Wednesday</v>
      </c>
      <c r="D2551" s="72" t="str">
        <f t="shared" si="3"/>
        <v>December</v>
      </c>
      <c r="E2551" s="72" t="str">
        <f t="shared" si="4"/>
        <v>Q4</v>
      </c>
      <c r="F2551" s="72">
        <f t="shared" si="5"/>
        <v>2025</v>
      </c>
      <c r="G2551" s="89">
        <f t="shared" si="6"/>
        <v>46018</v>
      </c>
      <c r="H2551" s="72" t="str">
        <f t="shared" si="7"/>
        <v>Yes</v>
      </c>
    </row>
    <row r="2552" ht="15.75" customHeight="1">
      <c r="A2552" s="88">
        <f t="shared" si="8"/>
        <v>46016</v>
      </c>
      <c r="B2552" s="72" t="str">
        <f t="shared" si="1"/>
        <v>20251225</v>
      </c>
      <c r="C2552" s="72" t="str">
        <f t="shared" si="2"/>
        <v>Thursday</v>
      </c>
      <c r="D2552" s="72" t="str">
        <f t="shared" si="3"/>
        <v>December</v>
      </c>
      <c r="E2552" s="72" t="str">
        <f t="shared" si="4"/>
        <v>Q4</v>
      </c>
      <c r="F2552" s="72">
        <f t="shared" si="5"/>
        <v>2025</v>
      </c>
      <c r="G2552" s="89">
        <f t="shared" si="6"/>
        <v>46018</v>
      </c>
      <c r="H2552" s="72" t="str">
        <f t="shared" si="7"/>
        <v>Yes</v>
      </c>
    </row>
    <row r="2553" ht="15.75" customHeight="1">
      <c r="A2553" s="88">
        <f t="shared" si="8"/>
        <v>46017</v>
      </c>
      <c r="B2553" s="72" t="str">
        <f t="shared" si="1"/>
        <v>20251226</v>
      </c>
      <c r="C2553" s="72" t="str">
        <f t="shared" si="2"/>
        <v>Friday</v>
      </c>
      <c r="D2553" s="72" t="str">
        <f t="shared" si="3"/>
        <v>December</v>
      </c>
      <c r="E2553" s="72" t="str">
        <f t="shared" si="4"/>
        <v>Q4</v>
      </c>
      <c r="F2553" s="72">
        <f t="shared" si="5"/>
        <v>2025</v>
      </c>
      <c r="G2553" s="89">
        <f t="shared" si="6"/>
        <v>46018</v>
      </c>
      <c r="H2553" s="72" t="str">
        <f t="shared" si="7"/>
        <v>Yes</v>
      </c>
    </row>
    <row r="2554" ht="15.75" customHeight="1">
      <c r="A2554" s="88">
        <f t="shared" si="8"/>
        <v>46018</v>
      </c>
      <c r="B2554" s="72" t="str">
        <f t="shared" si="1"/>
        <v>20251227</v>
      </c>
      <c r="C2554" s="72" t="str">
        <f t="shared" si="2"/>
        <v>Saturday</v>
      </c>
      <c r="D2554" s="72" t="str">
        <f t="shared" si="3"/>
        <v>December</v>
      </c>
      <c r="E2554" s="72" t="str">
        <f t="shared" si="4"/>
        <v>Q4</v>
      </c>
      <c r="F2554" s="72">
        <f t="shared" si="5"/>
        <v>2025</v>
      </c>
      <c r="G2554" s="89">
        <f t="shared" si="6"/>
        <v>46018</v>
      </c>
      <c r="H2554" s="72" t="str">
        <f t="shared" si="7"/>
        <v>No</v>
      </c>
    </row>
    <row r="2555" ht="15.75" customHeight="1">
      <c r="A2555" s="88">
        <f t="shared" si="8"/>
        <v>46019</v>
      </c>
      <c r="B2555" s="72" t="str">
        <f t="shared" si="1"/>
        <v>20251228</v>
      </c>
      <c r="C2555" s="72" t="str">
        <f t="shared" si="2"/>
        <v>Sunday</v>
      </c>
      <c r="D2555" s="72" t="str">
        <f t="shared" si="3"/>
        <v>December</v>
      </c>
      <c r="E2555" s="72" t="str">
        <f t="shared" si="4"/>
        <v>Q4</v>
      </c>
      <c r="F2555" s="72">
        <f t="shared" si="5"/>
        <v>2025</v>
      </c>
      <c r="G2555" s="89">
        <f t="shared" si="6"/>
        <v>46025</v>
      </c>
      <c r="H2555" s="72" t="str">
        <f t="shared" si="7"/>
        <v>No</v>
      </c>
    </row>
    <row r="2556" ht="15.75" customHeight="1">
      <c r="A2556" s="88">
        <f t="shared" si="8"/>
        <v>46020</v>
      </c>
      <c r="B2556" s="72" t="str">
        <f t="shared" si="1"/>
        <v>20251229</v>
      </c>
      <c r="C2556" s="72" t="str">
        <f t="shared" si="2"/>
        <v>Monday</v>
      </c>
      <c r="D2556" s="72" t="str">
        <f t="shared" si="3"/>
        <v>December</v>
      </c>
      <c r="E2556" s="72" t="str">
        <f t="shared" si="4"/>
        <v>Q4</v>
      </c>
      <c r="F2556" s="72">
        <f t="shared" si="5"/>
        <v>2025</v>
      </c>
      <c r="G2556" s="89">
        <f t="shared" si="6"/>
        <v>46025</v>
      </c>
      <c r="H2556" s="72" t="str">
        <f t="shared" si="7"/>
        <v>Yes</v>
      </c>
    </row>
    <row r="2557" ht="15.75" customHeight="1">
      <c r="A2557" s="88">
        <f t="shared" si="8"/>
        <v>46021</v>
      </c>
      <c r="B2557" s="72" t="str">
        <f t="shared" si="1"/>
        <v>20251230</v>
      </c>
      <c r="C2557" s="72" t="str">
        <f t="shared" si="2"/>
        <v>Tuesday</v>
      </c>
      <c r="D2557" s="72" t="str">
        <f t="shared" si="3"/>
        <v>December</v>
      </c>
      <c r="E2557" s="72" t="str">
        <f t="shared" si="4"/>
        <v>Q4</v>
      </c>
      <c r="F2557" s="72">
        <f t="shared" si="5"/>
        <v>2025</v>
      </c>
      <c r="G2557" s="89">
        <f t="shared" si="6"/>
        <v>46025</v>
      </c>
      <c r="H2557" s="72" t="str">
        <f t="shared" si="7"/>
        <v>Yes</v>
      </c>
    </row>
    <row r="2558" ht="15.75" customHeight="1">
      <c r="A2558" s="88">
        <f t="shared" si="8"/>
        <v>46022</v>
      </c>
      <c r="B2558" s="72" t="str">
        <f t="shared" si="1"/>
        <v>20251231</v>
      </c>
      <c r="C2558" s="72" t="str">
        <f t="shared" si="2"/>
        <v>Wednesday</v>
      </c>
      <c r="D2558" s="72" t="str">
        <f t="shared" si="3"/>
        <v>December</v>
      </c>
      <c r="E2558" s="72" t="str">
        <f t="shared" si="4"/>
        <v>Q4</v>
      </c>
      <c r="F2558" s="72">
        <f t="shared" si="5"/>
        <v>2025</v>
      </c>
      <c r="G2558" s="89">
        <f t="shared" si="6"/>
        <v>46025</v>
      </c>
      <c r="H2558" s="72" t="str">
        <f t="shared" si="7"/>
        <v>Yes</v>
      </c>
    </row>
    <row r="2559" ht="15.75" customHeight="1">
      <c r="A2559" s="88">
        <f t="shared" si="8"/>
        <v>46023</v>
      </c>
      <c r="B2559" s="72" t="str">
        <f t="shared" si="1"/>
        <v>20260101</v>
      </c>
      <c r="C2559" s="72" t="str">
        <f t="shared" si="2"/>
        <v>Thursday</v>
      </c>
      <c r="D2559" s="72" t="str">
        <f t="shared" si="3"/>
        <v>January</v>
      </c>
      <c r="E2559" s="72" t="str">
        <f t="shared" si="4"/>
        <v>Q1</v>
      </c>
      <c r="F2559" s="72">
        <f t="shared" si="5"/>
        <v>2026</v>
      </c>
      <c r="G2559" s="89">
        <f t="shared" si="6"/>
        <v>46025</v>
      </c>
      <c r="H2559" s="72" t="str">
        <f t="shared" si="7"/>
        <v>Yes</v>
      </c>
    </row>
    <row r="2560" ht="15.75" customHeight="1">
      <c r="A2560" s="88">
        <f t="shared" si="8"/>
        <v>46024</v>
      </c>
      <c r="B2560" s="72" t="str">
        <f t="shared" si="1"/>
        <v>20260102</v>
      </c>
      <c r="C2560" s="72" t="str">
        <f t="shared" si="2"/>
        <v>Friday</v>
      </c>
      <c r="D2560" s="72" t="str">
        <f t="shared" si="3"/>
        <v>January</v>
      </c>
      <c r="E2560" s="72" t="str">
        <f t="shared" si="4"/>
        <v>Q1</v>
      </c>
      <c r="F2560" s="72">
        <f t="shared" si="5"/>
        <v>2026</v>
      </c>
      <c r="G2560" s="89">
        <f t="shared" si="6"/>
        <v>46025</v>
      </c>
      <c r="H2560" s="72" t="str">
        <f t="shared" si="7"/>
        <v>Yes</v>
      </c>
    </row>
    <row r="2561" ht="15.75" customHeight="1">
      <c r="A2561" s="88">
        <f t="shared" si="8"/>
        <v>46025</v>
      </c>
      <c r="B2561" s="72" t="str">
        <f t="shared" si="1"/>
        <v>20260103</v>
      </c>
      <c r="C2561" s="72" t="str">
        <f t="shared" si="2"/>
        <v>Saturday</v>
      </c>
      <c r="D2561" s="72" t="str">
        <f t="shared" si="3"/>
        <v>January</v>
      </c>
      <c r="E2561" s="72" t="str">
        <f t="shared" si="4"/>
        <v>Q1</v>
      </c>
      <c r="F2561" s="72">
        <f t="shared" si="5"/>
        <v>2026</v>
      </c>
      <c r="G2561" s="89">
        <f t="shared" si="6"/>
        <v>46025</v>
      </c>
      <c r="H2561" s="72" t="str">
        <f t="shared" si="7"/>
        <v>No</v>
      </c>
    </row>
    <row r="2562" ht="15.75" customHeight="1">
      <c r="A2562" s="88">
        <f t="shared" si="8"/>
        <v>46026</v>
      </c>
      <c r="B2562" s="72" t="str">
        <f t="shared" si="1"/>
        <v>20260104</v>
      </c>
      <c r="C2562" s="72" t="str">
        <f t="shared" si="2"/>
        <v>Sunday</v>
      </c>
      <c r="D2562" s="72" t="str">
        <f t="shared" si="3"/>
        <v>January</v>
      </c>
      <c r="E2562" s="72" t="str">
        <f t="shared" si="4"/>
        <v>Q1</v>
      </c>
      <c r="F2562" s="72">
        <f t="shared" si="5"/>
        <v>2026</v>
      </c>
      <c r="G2562" s="89">
        <f t="shared" si="6"/>
        <v>46032</v>
      </c>
      <c r="H2562" s="72" t="str">
        <f t="shared" si="7"/>
        <v>No</v>
      </c>
    </row>
    <row r="2563" ht="15.75" customHeight="1">
      <c r="A2563" s="88">
        <f t="shared" si="8"/>
        <v>46027</v>
      </c>
      <c r="B2563" s="72" t="str">
        <f t="shared" si="1"/>
        <v>20260105</v>
      </c>
      <c r="C2563" s="72" t="str">
        <f t="shared" si="2"/>
        <v>Monday</v>
      </c>
      <c r="D2563" s="72" t="str">
        <f t="shared" si="3"/>
        <v>January</v>
      </c>
      <c r="E2563" s="72" t="str">
        <f t="shared" si="4"/>
        <v>Q1</v>
      </c>
      <c r="F2563" s="72">
        <f t="shared" si="5"/>
        <v>2026</v>
      </c>
      <c r="G2563" s="89">
        <f t="shared" si="6"/>
        <v>46032</v>
      </c>
      <c r="H2563" s="72" t="str">
        <f t="shared" si="7"/>
        <v>Yes</v>
      </c>
    </row>
    <row r="2564" ht="15.75" customHeight="1">
      <c r="A2564" s="88">
        <f t="shared" si="8"/>
        <v>46028</v>
      </c>
      <c r="B2564" s="72" t="str">
        <f t="shared" si="1"/>
        <v>20260106</v>
      </c>
      <c r="C2564" s="72" t="str">
        <f t="shared" si="2"/>
        <v>Tuesday</v>
      </c>
      <c r="D2564" s="72" t="str">
        <f t="shared" si="3"/>
        <v>January</v>
      </c>
      <c r="E2564" s="72" t="str">
        <f t="shared" si="4"/>
        <v>Q1</v>
      </c>
      <c r="F2564" s="72">
        <f t="shared" si="5"/>
        <v>2026</v>
      </c>
      <c r="G2564" s="89">
        <f t="shared" si="6"/>
        <v>46032</v>
      </c>
      <c r="H2564" s="72" t="str">
        <f t="shared" si="7"/>
        <v>Yes</v>
      </c>
    </row>
    <row r="2565" ht="15.75" customHeight="1">
      <c r="A2565" s="88">
        <f t="shared" si="8"/>
        <v>46029</v>
      </c>
      <c r="B2565" s="72" t="str">
        <f t="shared" si="1"/>
        <v>20260107</v>
      </c>
      <c r="C2565" s="72" t="str">
        <f t="shared" si="2"/>
        <v>Wednesday</v>
      </c>
      <c r="D2565" s="72" t="str">
        <f t="shared" si="3"/>
        <v>January</v>
      </c>
      <c r="E2565" s="72" t="str">
        <f t="shared" si="4"/>
        <v>Q1</v>
      </c>
      <c r="F2565" s="72">
        <f t="shared" si="5"/>
        <v>2026</v>
      </c>
      <c r="G2565" s="89">
        <f t="shared" si="6"/>
        <v>46032</v>
      </c>
      <c r="H2565" s="72" t="str">
        <f t="shared" si="7"/>
        <v>Yes</v>
      </c>
    </row>
    <row r="2566" ht="15.75" customHeight="1">
      <c r="A2566" s="88">
        <f t="shared" si="8"/>
        <v>46030</v>
      </c>
      <c r="B2566" s="72" t="str">
        <f t="shared" si="1"/>
        <v>20260108</v>
      </c>
      <c r="C2566" s="72" t="str">
        <f t="shared" si="2"/>
        <v>Thursday</v>
      </c>
      <c r="D2566" s="72" t="str">
        <f t="shared" si="3"/>
        <v>January</v>
      </c>
      <c r="E2566" s="72" t="str">
        <f t="shared" si="4"/>
        <v>Q1</v>
      </c>
      <c r="F2566" s="72">
        <f t="shared" si="5"/>
        <v>2026</v>
      </c>
      <c r="G2566" s="89">
        <f t="shared" si="6"/>
        <v>46032</v>
      </c>
      <c r="H2566" s="72" t="str">
        <f t="shared" si="7"/>
        <v>Yes</v>
      </c>
    </row>
    <row r="2567" ht="15.75" customHeight="1">
      <c r="A2567" s="88">
        <f t="shared" si="8"/>
        <v>46031</v>
      </c>
      <c r="B2567" s="72" t="str">
        <f t="shared" si="1"/>
        <v>20260109</v>
      </c>
      <c r="C2567" s="72" t="str">
        <f t="shared" si="2"/>
        <v>Friday</v>
      </c>
      <c r="D2567" s="72" t="str">
        <f t="shared" si="3"/>
        <v>January</v>
      </c>
      <c r="E2567" s="72" t="str">
        <f t="shared" si="4"/>
        <v>Q1</v>
      </c>
      <c r="F2567" s="72">
        <f t="shared" si="5"/>
        <v>2026</v>
      </c>
      <c r="G2567" s="89">
        <f t="shared" si="6"/>
        <v>46032</v>
      </c>
      <c r="H2567" s="72" t="str">
        <f t="shared" si="7"/>
        <v>Yes</v>
      </c>
    </row>
    <row r="2568" ht="15.75" customHeight="1">
      <c r="A2568" s="88">
        <f t="shared" si="8"/>
        <v>46032</v>
      </c>
      <c r="B2568" s="72" t="str">
        <f t="shared" si="1"/>
        <v>20260110</v>
      </c>
      <c r="C2568" s="72" t="str">
        <f t="shared" si="2"/>
        <v>Saturday</v>
      </c>
      <c r="D2568" s="72" t="str">
        <f t="shared" si="3"/>
        <v>January</v>
      </c>
      <c r="E2568" s="72" t="str">
        <f t="shared" si="4"/>
        <v>Q1</v>
      </c>
      <c r="F2568" s="72">
        <f t="shared" si="5"/>
        <v>2026</v>
      </c>
      <c r="G2568" s="89">
        <f t="shared" si="6"/>
        <v>46032</v>
      </c>
      <c r="H2568" s="72" t="str">
        <f t="shared" si="7"/>
        <v>No</v>
      </c>
    </row>
    <row r="2569" ht="15.75" customHeight="1">
      <c r="A2569" s="88">
        <f t="shared" si="8"/>
        <v>46033</v>
      </c>
      <c r="B2569" s="72" t="str">
        <f t="shared" si="1"/>
        <v>20260111</v>
      </c>
      <c r="C2569" s="72" t="str">
        <f t="shared" si="2"/>
        <v>Sunday</v>
      </c>
      <c r="D2569" s="72" t="str">
        <f t="shared" si="3"/>
        <v>January</v>
      </c>
      <c r="E2569" s="72" t="str">
        <f t="shared" si="4"/>
        <v>Q1</v>
      </c>
      <c r="F2569" s="72">
        <f t="shared" si="5"/>
        <v>2026</v>
      </c>
      <c r="G2569" s="89">
        <f t="shared" si="6"/>
        <v>46039</v>
      </c>
      <c r="H2569" s="72" t="str">
        <f t="shared" si="7"/>
        <v>No</v>
      </c>
    </row>
    <row r="2570" ht="15.75" customHeight="1">
      <c r="A2570" s="88">
        <f t="shared" si="8"/>
        <v>46034</v>
      </c>
      <c r="B2570" s="72" t="str">
        <f t="shared" si="1"/>
        <v>20260112</v>
      </c>
      <c r="C2570" s="72" t="str">
        <f t="shared" si="2"/>
        <v>Monday</v>
      </c>
      <c r="D2570" s="72" t="str">
        <f t="shared" si="3"/>
        <v>January</v>
      </c>
      <c r="E2570" s="72" t="str">
        <f t="shared" si="4"/>
        <v>Q1</v>
      </c>
      <c r="F2570" s="72">
        <f t="shared" si="5"/>
        <v>2026</v>
      </c>
      <c r="G2570" s="89">
        <f t="shared" si="6"/>
        <v>46039</v>
      </c>
      <c r="H2570" s="72" t="str">
        <f t="shared" si="7"/>
        <v>Yes</v>
      </c>
    </row>
    <row r="2571" ht="15.75" customHeight="1">
      <c r="A2571" s="88">
        <f t="shared" si="8"/>
        <v>46035</v>
      </c>
      <c r="B2571" s="72" t="str">
        <f t="shared" si="1"/>
        <v>20260113</v>
      </c>
      <c r="C2571" s="72" t="str">
        <f t="shared" si="2"/>
        <v>Tuesday</v>
      </c>
      <c r="D2571" s="72" t="str">
        <f t="shared" si="3"/>
        <v>January</v>
      </c>
      <c r="E2571" s="72" t="str">
        <f t="shared" si="4"/>
        <v>Q1</v>
      </c>
      <c r="F2571" s="72">
        <f t="shared" si="5"/>
        <v>2026</v>
      </c>
      <c r="G2571" s="89">
        <f t="shared" si="6"/>
        <v>46039</v>
      </c>
      <c r="H2571" s="72" t="str">
        <f t="shared" si="7"/>
        <v>Yes</v>
      </c>
    </row>
    <row r="2572" ht="15.75" customHeight="1">
      <c r="A2572" s="88">
        <f t="shared" si="8"/>
        <v>46036</v>
      </c>
      <c r="B2572" s="72" t="str">
        <f t="shared" si="1"/>
        <v>20260114</v>
      </c>
      <c r="C2572" s="72" t="str">
        <f t="shared" si="2"/>
        <v>Wednesday</v>
      </c>
      <c r="D2572" s="72" t="str">
        <f t="shared" si="3"/>
        <v>January</v>
      </c>
      <c r="E2572" s="72" t="str">
        <f t="shared" si="4"/>
        <v>Q1</v>
      </c>
      <c r="F2572" s="72">
        <f t="shared" si="5"/>
        <v>2026</v>
      </c>
      <c r="G2572" s="89">
        <f t="shared" si="6"/>
        <v>46039</v>
      </c>
      <c r="H2572" s="72" t="str">
        <f t="shared" si="7"/>
        <v>Yes</v>
      </c>
    </row>
    <row r="2573" ht="15.75" customHeight="1">
      <c r="A2573" s="88">
        <f t="shared" si="8"/>
        <v>46037</v>
      </c>
      <c r="B2573" s="72" t="str">
        <f t="shared" si="1"/>
        <v>20260115</v>
      </c>
      <c r="C2573" s="72" t="str">
        <f t="shared" si="2"/>
        <v>Thursday</v>
      </c>
      <c r="D2573" s="72" t="str">
        <f t="shared" si="3"/>
        <v>January</v>
      </c>
      <c r="E2573" s="72" t="str">
        <f t="shared" si="4"/>
        <v>Q1</v>
      </c>
      <c r="F2573" s="72">
        <f t="shared" si="5"/>
        <v>2026</v>
      </c>
      <c r="G2573" s="89">
        <f t="shared" si="6"/>
        <v>46039</v>
      </c>
      <c r="H2573" s="72" t="str">
        <f t="shared" si="7"/>
        <v>Yes</v>
      </c>
    </row>
    <row r="2574" ht="15.75" customHeight="1">
      <c r="A2574" s="88">
        <f t="shared" si="8"/>
        <v>46038</v>
      </c>
      <c r="B2574" s="72" t="str">
        <f t="shared" si="1"/>
        <v>20260116</v>
      </c>
      <c r="C2574" s="72" t="str">
        <f t="shared" si="2"/>
        <v>Friday</v>
      </c>
      <c r="D2574" s="72" t="str">
        <f t="shared" si="3"/>
        <v>January</v>
      </c>
      <c r="E2574" s="72" t="str">
        <f t="shared" si="4"/>
        <v>Q1</v>
      </c>
      <c r="F2574" s="72">
        <f t="shared" si="5"/>
        <v>2026</v>
      </c>
      <c r="G2574" s="89">
        <f t="shared" si="6"/>
        <v>46039</v>
      </c>
      <c r="H2574" s="72" t="str">
        <f t="shared" si="7"/>
        <v>Yes</v>
      </c>
    </row>
    <row r="2575" ht="15.75" customHeight="1">
      <c r="A2575" s="88">
        <f t="shared" si="8"/>
        <v>46039</v>
      </c>
      <c r="B2575" s="72" t="str">
        <f t="shared" si="1"/>
        <v>20260117</v>
      </c>
      <c r="C2575" s="72" t="str">
        <f t="shared" si="2"/>
        <v>Saturday</v>
      </c>
      <c r="D2575" s="72" t="str">
        <f t="shared" si="3"/>
        <v>January</v>
      </c>
      <c r="E2575" s="72" t="str">
        <f t="shared" si="4"/>
        <v>Q1</v>
      </c>
      <c r="F2575" s="72">
        <f t="shared" si="5"/>
        <v>2026</v>
      </c>
      <c r="G2575" s="89">
        <f t="shared" si="6"/>
        <v>46039</v>
      </c>
      <c r="H2575" s="72" t="str">
        <f t="shared" si="7"/>
        <v>No</v>
      </c>
    </row>
    <row r="2576" ht="15.75" customHeight="1">
      <c r="A2576" s="88">
        <f t="shared" si="8"/>
        <v>46040</v>
      </c>
      <c r="B2576" s="72" t="str">
        <f t="shared" si="1"/>
        <v>20260118</v>
      </c>
      <c r="C2576" s="72" t="str">
        <f t="shared" si="2"/>
        <v>Sunday</v>
      </c>
      <c r="D2576" s="72" t="str">
        <f t="shared" si="3"/>
        <v>January</v>
      </c>
      <c r="E2576" s="72" t="str">
        <f t="shared" si="4"/>
        <v>Q1</v>
      </c>
      <c r="F2576" s="72">
        <f t="shared" si="5"/>
        <v>2026</v>
      </c>
      <c r="G2576" s="89">
        <f t="shared" si="6"/>
        <v>46046</v>
      </c>
      <c r="H2576" s="72" t="str">
        <f t="shared" si="7"/>
        <v>No</v>
      </c>
    </row>
    <row r="2577" ht="15.75" customHeight="1">
      <c r="A2577" s="88">
        <f t="shared" si="8"/>
        <v>46041</v>
      </c>
      <c r="B2577" s="72" t="str">
        <f t="shared" si="1"/>
        <v>20260119</v>
      </c>
      <c r="C2577" s="72" t="str">
        <f t="shared" si="2"/>
        <v>Monday</v>
      </c>
      <c r="D2577" s="72" t="str">
        <f t="shared" si="3"/>
        <v>January</v>
      </c>
      <c r="E2577" s="72" t="str">
        <f t="shared" si="4"/>
        <v>Q1</v>
      </c>
      <c r="F2577" s="72">
        <f t="shared" si="5"/>
        <v>2026</v>
      </c>
      <c r="G2577" s="89">
        <f t="shared" si="6"/>
        <v>46046</v>
      </c>
      <c r="H2577" s="72" t="str">
        <f t="shared" si="7"/>
        <v>Yes</v>
      </c>
    </row>
    <row r="2578" ht="15.75" customHeight="1">
      <c r="A2578" s="88">
        <f t="shared" si="8"/>
        <v>46042</v>
      </c>
      <c r="B2578" s="72" t="str">
        <f t="shared" si="1"/>
        <v>20260120</v>
      </c>
      <c r="C2578" s="72" t="str">
        <f t="shared" si="2"/>
        <v>Tuesday</v>
      </c>
      <c r="D2578" s="72" t="str">
        <f t="shared" si="3"/>
        <v>January</v>
      </c>
      <c r="E2578" s="72" t="str">
        <f t="shared" si="4"/>
        <v>Q1</v>
      </c>
      <c r="F2578" s="72">
        <f t="shared" si="5"/>
        <v>2026</v>
      </c>
      <c r="G2578" s="89">
        <f t="shared" si="6"/>
        <v>46046</v>
      </c>
      <c r="H2578" s="72" t="str">
        <f t="shared" si="7"/>
        <v>Yes</v>
      </c>
    </row>
    <row r="2579" ht="15.75" customHeight="1">
      <c r="A2579" s="88">
        <f t="shared" si="8"/>
        <v>46043</v>
      </c>
      <c r="B2579" s="72" t="str">
        <f t="shared" si="1"/>
        <v>20260121</v>
      </c>
      <c r="C2579" s="72" t="str">
        <f t="shared" si="2"/>
        <v>Wednesday</v>
      </c>
      <c r="D2579" s="72" t="str">
        <f t="shared" si="3"/>
        <v>January</v>
      </c>
      <c r="E2579" s="72" t="str">
        <f t="shared" si="4"/>
        <v>Q1</v>
      </c>
      <c r="F2579" s="72">
        <f t="shared" si="5"/>
        <v>2026</v>
      </c>
      <c r="G2579" s="89">
        <f t="shared" si="6"/>
        <v>46046</v>
      </c>
      <c r="H2579" s="72" t="str">
        <f t="shared" si="7"/>
        <v>Yes</v>
      </c>
    </row>
    <row r="2580" ht="15.75" customHeight="1">
      <c r="A2580" s="88">
        <f t="shared" si="8"/>
        <v>46044</v>
      </c>
      <c r="B2580" s="72" t="str">
        <f t="shared" si="1"/>
        <v>20260122</v>
      </c>
      <c r="C2580" s="72" t="str">
        <f t="shared" si="2"/>
        <v>Thursday</v>
      </c>
      <c r="D2580" s="72" t="str">
        <f t="shared" si="3"/>
        <v>January</v>
      </c>
      <c r="E2580" s="72" t="str">
        <f t="shared" si="4"/>
        <v>Q1</v>
      </c>
      <c r="F2580" s="72">
        <f t="shared" si="5"/>
        <v>2026</v>
      </c>
      <c r="G2580" s="89">
        <f t="shared" si="6"/>
        <v>46046</v>
      </c>
      <c r="H2580" s="72" t="str">
        <f t="shared" si="7"/>
        <v>Yes</v>
      </c>
    </row>
    <row r="2581" ht="15.75" customHeight="1">
      <c r="A2581" s="88">
        <f t="shared" si="8"/>
        <v>46045</v>
      </c>
      <c r="B2581" s="72" t="str">
        <f t="shared" si="1"/>
        <v>20260123</v>
      </c>
      <c r="C2581" s="72" t="str">
        <f t="shared" si="2"/>
        <v>Friday</v>
      </c>
      <c r="D2581" s="72" t="str">
        <f t="shared" si="3"/>
        <v>January</v>
      </c>
      <c r="E2581" s="72" t="str">
        <f t="shared" si="4"/>
        <v>Q1</v>
      </c>
      <c r="F2581" s="72">
        <f t="shared" si="5"/>
        <v>2026</v>
      </c>
      <c r="G2581" s="89">
        <f t="shared" si="6"/>
        <v>46046</v>
      </c>
      <c r="H2581" s="72" t="str">
        <f t="shared" si="7"/>
        <v>Yes</v>
      </c>
    </row>
    <row r="2582" ht="15.75" customHeight="1">
      <c r="A2582" s="88">
        <f t="shared" si="8"/>
        <v>46046</v>
      </c>
      <c r="B2582" s="72" t="str">
        <f t="shared" si="1"/>
        <v>20260124</v>
      </c>
      <c r="C2582" s="72" t="str">
        <f t="shared" si="2"/>
        <v>Saturday</v>
      </c>
      <c r="D2582" s="72" t="str">
        <f t="shared" si="3"/>
        <v>January</v>
      </c>
      <c r="E2582" s="72" t="str">
        <f t="shared" si="4"/>
        <v>Q1</v>
      </c>
      <c r="F2582" s="72">
        <f t="shared" si="5"/>
        <v>2026</v>
      </c>
      <c r="G2582" s="89">
        <f t="shared" si="6"/>
        <v>46046</v>
      </c>
      <c r="H2582" s="72" t="str">
        <f t="shared" si="7"/>
        <v>No</v>
      </c>
    </row>
    <row r="2583" ht="15.75" customHeight="1">
      <c r="A2583" s="88">
        <f t="shared" si="8"/>
        <v>46047</v>
      </c>
      <c r="B2583" s="72" t="str">
        <f t="shared" si="1"/>
        <v>20260125</v>
      </c>
      <c r="C2583" s="72" t="str">
        <f t="shared" si="2"/>
        <v>Sunday</v>
      </c>
      <c r="D2583" s="72" t="str">
        <f t="shared" si="3"/>
        <v>January</v>
      </c>
      <c r="E2583" s="72" t="str">
        <f t="shared" si="4"/>
        <v>Q1</v>
      </c>
      <c r="F2583" s="72">
        <f t="shared" si="5"/>
        <v>2026</v>
      </c>
      <c r="G2583" s="89">
        <f t="shared" si="6"/>
        <v>46053</v>
      </c>
      <c r="H2583" s="72" t="str">
        <f t="shared" si="7"/>
        <v>No</v>
      </c>
    </row>
    <row r="2584" ht="15.75" customHeight="1">
      <c r="A2584" s="88">
        <f t="shared" si="8"/>
        <v>46048</v>
      </c>
      <c r="B2584" s="72" t="str">
        <f t="shared" si="1"/>
        <v>20260126</v>
      </c>
      <c r="C2584" s="72" t="str">
        <f t="shared" si="2"/>
        <v>Monday</v>
      </c>
      <c r="D2584" s="72" t="str">
        <f t="shared" si="3"/>
        <v>January</v>
      </c>
      <c r="E2584" s="72" t="str">
        <f t="shared" si="4"/>
        <v>Q1</v>
      </c>
      <c r="F2584" s="72">
        <f t="shared" si="5"/>
        <v>2026</v>
      </c>
      <c r="G2584" s="89">
        <f t="shared" si="6"/>
        <v>46053</v>
      </c>
      <c r="H2584" s="72" t="str">
        <f t="shared" si="7"/>
        <v>Yes</v>
      </c>
    </row>
    <row r="2585" ht="15.75" customHeight="1">
      <c r="A2585" s="88">
        <f t="shared" si="8"/>
        <v>46049</v>
      </c>
      <c r="B2585" s="72" t="str">
        <f t="shared" si="1"/>
        <v>20260127</v>
      </c>
      <c r="C2585" s="72" t="str">
        <f t="shared" si="2"/>
        <v>Tuesday</v>
      </c>
      <c r="D2585" s="72" t="str">
        <f t="shared" si="3"/>
        <v>January</v>
      </c>
      <c r="E2585" s="72" t="str">
        <f t="shared" si="4"/>
        <v>Q1</v>
      </c>
      <c r="F2585" s="72">
        <f t="shared" si="5"/>
        <v>2026</v>
      </c>
      <c r="G2585" s="89">
        <f t="shared" si="6"/>
        <v>46053</v>
      </c>
      <c r="H2585" s="72" t="str">
        <f t="shared" si="7"/>
        <v>Yes</v>
      </c>
    </row>
    <row r="2586" ht="15.75" customHeight="1">
      <c r="A2586" s="88">
        <f t="shared" si="8"/>
        <v>46050</v>
      </c>
      <c r="B2586" s="72" t="str">
        <f t="shared" si="1"/>
        <v>20260128</v>
      </c>
      <c r="C2586" s="72" t="str">
        <f t="shared" si="2"/>
        <v>Wednesday</v>
      </c>
      <c r="D2586" s="72" t="str">
        <f t="shared" si="3"/>
        <v>January</v>
      </c>
      <c r="E2586" s="72" t="str">
        <f t="shared" si="4"/>
        <v>Q1</v>
      </c>
      <c r="F2586" s="72">
        <f t="shared" si="5"/>
        <v>2026</v>
      </c>
      <c r="G2586" s="89">
        <f t="shared" si="6"/>
        <v>46053</v>
      </c>
      <c r="H2586" s="72" t="str">
        <f t="shared" si="7"/>
        <v>Yes</v>
      </c>
    </row>
    <row r="2587" ht="15.75" customHeight="1">
      <c r="A2587" s="88">
        <f t="shared" si="8"/>
        <v>46051</v>
      </c>
      <c r="B2587" s="72" t="str">
        <f t="shared" si="1"/>
        <v>20260129</v>
      </c>
      <c r="C2587" s="72" t="str">
        <f t="shared" si="2"/>
        <v>Thursday</v>
      </c>
      <c r="D2587" s="72" t="str">
        <f t="shared" si="3"/>
        <v>January</v>
      </c>
      <c r="E2587" s="72" t="str">
        <f t="shared" si="4"/>
        <v>Q1</v>
      </c>
      <c r="F2587" s="72">
        <f t="shared" si="5"/>
        <v>2026</v>
      </c>
      <c r="G2587" s="89">
        <f t="shared" si="6"/>
        <v>46053</v>
      </c>
      <c r="H2587" s="72" t="str">
        <f t="shared" si="7"/>
        <v>Yes</v>
      </c>
    </row>
    <row r="2588" ht="15.75" customHeight="1">
      <c r="A2588" s="88">
        <f t="shared" si="8"/>
        <v>46052</v>
      </c>
      <c r="B2588" s="72" t="str">
        <f t="shared" si="1"/>
        <v>20260130</v>
      </c>
      <c r="C2588" s="72" t="str">
        <f t="shared" si="2"/>
        <v>Friday</v>
      </c>
      <c r="D2588" s="72" t="str">
        <f t="shared" si="3"/>
        <v>January</v>
      </c>
      <c r="E2588" s="72" t="str">
        <f t="shared" si="4"/>
        <v>Q1</v>
      </c>
      <c r="F2588" s="72">
        <f t="shared" si="5"/>
        <v>2026</v>
      </c>
      <c r="G2588" s="89">
        <f t="shared" si="6"/>
        <v>46053</v>
      </c>
      <c r="H2588" s="72" t="str">
        <f t="shared" si="7"/>
        <v>Yes</v>
      </c>
    </row>
    <row r="2589" ht="15.75" customHeight="1">
      <c r="A2589" s="88">
        <f t="shared" si="8"/>
        <v>46053</v>
      </c>
      <c r="B2589" s="72" t="str">
        <f t="shared" si="1"/>
        <v>20260131</v>
      </c>
      <c r="C2589" s="72" t="str">
        <f t="shared" si="2"/>
        <v>Saturday</v>
      </c>
      <c r="D2589" s="72" t="str">
        <f t="shared" si="3"/>
        <v>January</v>
      </c>
      <c r="E2589" s="72" t="str">
        <f t="shared" si="4"/>
        <v>Q1</v>
      </c>
      <c r="F2589" s="72">
        <f t="shared" si="5"/>
        <v>2026</v>
      </c>
      <c r="G2589" s="89">
        <f t="shared" si="6"/>
        <v>46053</v>
      </c>
      <c r="H2589" s="72" t="str">
        <f t="shared" si="7"/>
        <v>No</v>
      </c>
    </row>
    <row r="2590" ht="15.75" customHeight="1">
      <c r="A2590" s="88">
        <f t="shared" si="8"/>
        <v>46054</v>
      </c>
      <c r="B2590" s="72" t="str">
        <f t="shared" si="1"/>
        <v>20260201</v>
      </c>
      <c r="C2590" s="72" t="str">
        <f t="shared" si="2"/>
        <v>Sunday</v>
      </c>
      <c r="D2590" s="72" t="str">
        <f t="shared" si="3"/>
        <v>February</v>
      </c>
      <c r="E2590" s="72" t="str">
        <f t="shared" si="4"/>
        <v>Q1</v>
      </c>
      <c r="F2590" s="72">
        <f t="shared" si="5"/>
        <v>2026</v>
      </c>
      <c r="G2590" s="89">
        <f t="shared" si="6"/>
        <v>46060</v>
      </c>
      <c r="H2590" s="72" t="str">
        <f t="shared" si="7"/>
        <v>No</v>
      </c>
    </row>
    <row r="2591" ht="15.75" customHeight="1">
      <c r="A2591" s="88">
        <f t="shared" si="8"/>
        <v>46055</v>
      </c>
      <c r="B2591" s="72" t="str">
        <f t="shared" si="1"/>
        <v>20260202</v>
      </c>
      <c r="C2591" s="72" t="str">
        <f t="shared" si="2"/>
        <v>Monday</v>
      </c>
      <c r="D2591" s="72" t="str">
        <f t="shared" si="3"/>
        <v>February</v>
      </c>
      <c r="E2591" s="72" t="str">
        <f t="shared" si="4"/>
        <v>Q1</v>
      </c>
      <c r="F2591" s="72">
        <f t="shared" si="5"/>
        <v>2026</v>
      </c>
      <c r="G2591" s="89">
        <f t="shared" si="6"/>
        <v>46060</v>
      </c>
      <c r="H2591" s="72" t="str">
        <f t="shared" si="7"/>
        <v>Yes</v>
      </c>
    </row>
    <row r="2592" ht="15.75" customHeight="1">
      <c r="A2592" s="88">
        <f t="shared" si="8"/>
        <v>46056</v>
      </c>
      <c r="B2592" s="72" t="str">
        <f t="shared" si="1"/>
        <v>20260203</v>
      </c>
      <c r="C2592" s="72" t="str">
        <f t="shared" si="2"/>
        <v>Tuesday</v>
      </c>
      <c r="D2592" s="72" t="str">
        <f t="shared" si="3"/>
        <v>February</v>
      </c>
      <c r="E2592" s="72" t="str">
        <f t="shared" si="4"/>
        <v>Q1</v>
      </c>
      <c r="F2592" s="72">
        <f t="shared" si="5"/>
        <v>2026</v>
      </c>
      <c r="G2592" s="89">
        <f t="shared" si="6"/>
        <v>46060</v>
      </c>
      <c r="H2592" s="72" t="str">
        <f t="shared" si="7"/>
        <v>Yes</v>
      </c>
    </row>
    <row r="2593" ht="15.75" customHeight="1">
      <c r="A2593" s="88">
        <f t="shared" si="8"/>
        <v>46057</v>
      </c>
      <c r="B2593" s="72" t="str">
        <f t="shared" si="1"/>
        <v>20260204</v>
      </c>
      <c r="C2593" s="72" t="str">
        <f t="shared" si="2"/>
        <v>Wednesday</v>
      </c>
      <c r="D2593" s="72" t="str">
        <f t="shared" si="3"/>
        <v>February</v>
      </c>
      <c r="E2593" s="72" t="str">
        <f t="shared" si="4"/>
        <v>Q1</v>
      </c>
      <c r="F2593" s="72">
        <f t="shared" si="5"/>
        <v>2026</v>
      </c>
      <c r="G2593" s="89">
        <f t="shared" si="6"/>
        <v>46060</v>
      </c>
      <c r="H2593" s="72" t="str">
        <f t="shared" si="7"/>
        <v>Yes</v>
      </c>
    </row>
    <row r="2594" ht="15.75" customHeight="1">
      <c r="A2594" s="88">
        <f t="shared" si="8"/>
        <v>46058</v>
      </c>
      <c r="B2594" s="72" t="str">
        <f t="shared" si="1"/>
        <v>20260205</v>
      </c>
      <c r="C2594" s="72" t="str">
        <f t="shared" si="2"/>
        <v>Thursday</v>
      </c>
      <c r="D2594" s="72" t="str">
        <f t="shared" si="3"/>
        <v>February</v>
      </c>
      <c r="E2594" s="72" t="str">
        <f t="shared" si="4"/>
        <v>Q1</v>
      </c>
      <c r="F2594" s="72">
        <f t="shared" si="5"/>
        <v>2026</v>
      </c>
      <c r="G2594" s="89">
        <f t="shared" si="6"/>
        <v>46060</v>
      </c>
      <c r="H2594" s="72" t="str">
        <f t="shared" si="7"/>
        <v>Yes</v>
      </c>
    </row>
    <row r="2595" ht="15.75" customHeight="1">
      <c r="A2595" s="88">
        <f t="shared" si="8"/>
        <v>46059</v>
      </c>
      <c r="B2595" s="72" t="str">
        <f t="shared" si="1"/>
        <v>20260206</v>
      </c>
      <c r="C2595" s="72" t="str">
        <f t="shared" si="2"/>
        <v>Friday</v>
      </c>
      <c r="D2595" s="72" t="str">
        <f t="shared" si="3"/>
        <v>February</v>
      </c>
      <c r="E2595" s="72" t="str">
        <f t="shared" si="4"/>
        <v>Q1</v>
      </c>
      <c r="F2595" s="72">
        <f t="shared" si="5"/>
        <v>2026</v>
      </c>
      <c r="G2595" s="89">
        <f t="shared" si="6"/>
        <v>46060</v>
      </c>
      <c r="H2595" s="72" t="str">
        <f t="shared" si="7"/>
        <v>Yes</v>
      </c>
    </row>
    <row r="2596" ht="15.75" customHeight="1">
      <c r="A2596" s="88">
        <f t="shared" si="8"/>
        <v>46060</v>
      </c>
      <c r="B2596" s="72" t="str">
        <f t="shared" si="1"/>
        <v>20260207</v>
      </c>
      <c r="C2596" s="72" t="str">
        <f t="shared" si="2"/>
        <v>Saturday</v>
      </c>
      <c r="D2596" s="72" t="str">
        <f t="shared" si="3"/>
        <v>February</v>
      </c>
      <c r="E2596" s="72" t="str">
        <f t="shared" si="4"/>
        <v>Q1</v>
      </c>
      <c r="F2596" s="72">
        <f t="shared" si="5"/>
        <v>2026</v>
      </c>
      <c r="G2596" s="89">
        <f t="shared" si="6"/>
        <v>46060</v>
      </c>
      <c r="H2596" s="72" t="str">
        <f t="shared" si="7"/>
        <v>No</v>
      </c>
    </row>
    <row r="2597" ht="15.75" customHeight="1">
      <c r="A2597" s="88">
        <f t="shared" si="8"/>
        <v>46061</v>
      </c>
      <c r="B2597" s="72" t="str">
        <f t="shared" si="1"/>
        <v>20260208</v>
      </c>
      <c r="C2597" s="72" t="str">
        <f t="shared" si="2"/>
        <v>Sunday</v>
      </c>
      <c r="D2597" s="72" t="str">
        <f t="shared" si="3"/>
        <v>February</v>
      </c>
      <c r="E2597" s="72" t="str">
        <f t="shared" si="4"/>
        <v>Q1</v>
      </c>
      <c r="F2597" s="72">
        <f t="shared" si="5"/>
        <v>2026</v>
      </c>
      <c r="G2597" s="89">
        <f t="shared" si="6"/>
        <v>46067</v>
      </c>
      <c r="H2597" s="72" t="str">
        <f t="shared" si="7"/>
        <v>No</v>
      </c>
    </row>
    <row r="2598" ht="15.75" customHeight="1">
      <c r="A2598" s="88">
        <f t="shared" si="8"/>
        <v>46062</v>
      </c>
      <c r="B2598" s="72" t="str">
        <f t="shared" si="1"/>
        <v>20260209</v>
      </c>
      <c r="C2598" s="72" t="str">
        <f t="shared" si="2"/>
        <v>Monday</v>
      </c>
      <c r="D2598" s="72" t="str">
        <f t="shared" si="3"/>
        <v>February</v>
      </c>
      <c r="E2598" s="72" t="str">
        <f t="shared" si="4"/>
        <v>Q1</v>
      </c>
      <c r="F2598" s="72">
        <f t="shared" si="5"/>
        <v>2026</v>
      </c>
      <c r="G2598" s="89">
        <f t="shared" si="6"/>
        <v>46067</v>
      </c>
      <c r="H2598" s="72" t="str">
        <f t="shared" si="7"/>
        <v>Yes</v>
      </c>
    </row>
    <row r="2599" ht="15.75" customHeight="1">
      <c r="A2599" s="88">
        <f t="shared" si="8"/>
        <v>46063</v>
      </c>
      <c r="B2599" s="72" t="str">
        <f t="shared" si="1"/>
        <v>20260210</v>
      </c>
      <c r="C2599" s="72" t="str">
        <f t="shared" si="2"/>
        <v>Tuesday</v>
      </c>
      <c r="D2599" s="72" t="str">
        <f t="shared" si="3"/>
        <v>February</v>
      </c>
      <c r="E2599" s="72" t="str">
        <f t="shared" si="4"/>
        <v>Q1</v>
      </c>
      <c r="F2599" s="72">
        <f t="shared" si="5"/>
        <v>2026</v>
      </c>
      <c r="G2599" s="89">
        <f t="shared" si="6"/>
        <v>46067</v>
      </c>
      <c r="H2599" s="72" t="str">
        <f t="shared" si="7"/>
        <v>Yes</v>
      </c>
    </row>
    <row r="2600" ht="15.75" customHeight="1">
      <c r="A2600" s="88">
        <f t="shared" si="8"/>
        <v>46064</v>
      </c>
      <c r="B2600" s="72" t="str">
        <f t="shared" si="1"/>
        <v>20260211</v>
      </c>
      <c r="C2600" s="72" t="str">
        <f t="shared" si="2"/>
        <v>Wednesday</v>
      </c>
      <c r="D2600" s="72" t="str">
        <f t="shared" si="3"/>
        <v>February</v>
      </c>
      <c r="E2600" s="72" t="str">
        <f t="shared" si="4"/>
        <v>Q1</v>
      </c>
      <c r="F2600" s="72">
        <f t="shared" si="5"/>
        <v>2026</v>
      </c>
      <c r="G2600" s="89">
        <f t="shared" si="6"/>
        <v>46067</v>
      </c>
      <c r="H2600" s="72" t="str">
        <f t="shared" si="7"/>
        <v>Yes</v>
      </c>
    </row>
    <row r="2601" ht="15.75" customHeight="1">
      <c r="A2601" s="88">
        <f t="shared" si="8"/>
        <v>46065</v>
      </c>
      <c r="B2601" s="72" t="str">
        <f t="shared" si="1"/>
        <v>20260212</v>
      </c>
      <c r="C2601" s="72" t="str">
        <f t="shared" si="2"/>
        <v>Thursday</v>
      </c>
      <c r="D2601" s="72" t="str">
        <f t="shared" si="3"/>
        <v>February</v>
      </c>
      <c r="E2601" s="72" t="str">
        <f t="shared" si="4"/>
        <v>Q1</v>
      </c>
      <c r="F2601" s="72">
        <f t="shared" si="5"/>
        <v>2026</v>
      </c>
      <c r="G2601" s="89">
        <f t="shared" si="6"/>
        <v>46067</v>
      </c>
      <c r="H2601" s="72" t="str">
        <f t="shared" si="7"/>
        <v>Yes</v>
      </c>
    </row>
    <row r="2602" ht="15.75" customHeight="1">
      <c r="A2602" s="88">
        <f t="shared" si="8"/>
        <v>46066</v>
      </c>
      <c r="B2602" s="72" t="str">
        <f t="shared" si="1"/>
        <v>20260213</v>
      </c>
      <c r="C2602" s="72" t="str">
        <f t="shared" si="2"/>
        <v>Friday</v>
      </c>
      <c r="D2602" s="72" t="str">
        <f t="shared" si="3"/>
        <v>February</v>
      </c>
      <c r="E2602" s="72" t="str">
        <f t="shared" si="4"/>
        <v>Q1</v>
      </c>
      <c r="F2602" s="72">
        <f t="shared" si="5"/>
        <v>2026</v>
      </c>
      <c r="G2602" s="89">
        <f t="shared" si="6"/>
        <v>46067</v>
      </c>
      <c r="H2602" s="72" t="str">
        <f t="shared" si="7"/>
        <v>Yes</v>
      </c>
    </row>
    <row r="2603" ht="15.75" customHeight="1">
      <c r="A2603" s="88">
        <f t="shared" si="8"/>
        <v>46067</v>
      </c>
      <c r="B2603" s="72" t="str">
        <f t="shared" si="1"/>
        <v>20260214</v>
      </c>
      <c r="C2603" s="72" t="str">
        <f t="shared" si="2"/>
        <v>Saturday</v>
      </c>
      <c r="D2603" s="72" t="str">
        <f t="shared" si="3"/>
        <v>February</v>
      </c>
      <c r="E2603" s="72" t="str">
        <f t="shared" si="4"/>
        <v>Q1</v>
      </c>
      <c r="F2603" s="72">
        <f t="shared" si="5"/>
        <v>2026</v>
      </c>
      <c r="G2603" s="89">
        <f t="shared" si="6"/>
        <v>46067</v>
      </c>
      <c r="H2603" s="72" t="str">
        <f t="shared" si="7"/>
        <v>No</v>
      </c>
    </row>
    <row r="2604" ht="15.75" customHeight="1">
      <c r="A2604" s="88">
        <f t="shared" si="8"/>
        <v>46068</v>
      </c>
      <c r="B2604" s="72" t="str">
        <f t="shared" si="1"/>
        <v>20260215</v>
      </c>
      <c r="C2604" s="72" t="str">
        <f t="shared" si="2"/>
        <v>Sunday</v>
      </c>
      <c r="D2604" s="72" t="str">
        <f t="shared" si="3"/>
        <v>February</v>
      </c>
      <c r="E2604" s="72" t="str">
        <f t="shared" si="4"/>
        <v>Q1</v>
      </c>
      <c r="F2604" s="72">
        <f t="shared" si="5"/>
        <v>2026</v>
      </c>
      <c r="G2604" s="89">
        <f t="shared" si="6"/>
        <v>46074</v>
      </c>
      <c r="H2604" s="72" t="str">
        <f t="shared" si="7"/>
        <v>No</v>
      </c>
    </row>
    <row r="2605" ht="15.75" customHeight="1">
      <c r="A2605" s="88">
        <f t="shared" si="8"/>
        <v>46069</v>
      </c>
      <c r="B2605" s="72" t="str">
        <f t="shared" si="1"/>
        <v>20260216</v>
      </c>
      <c r="C2605" s="72" t="str">
        <f t="shared" si="2"/>
        <v>Monday</v>
      </c>
      <c r="D2605" s="72" t="str">
        <f t="shared" si="3"/>
        <v>February</v>
      </c>
      <c r="E2605" s="72" t="str">
        <f t="shared" si="4"/>
        <v>Q1</v>
      </c>
      <c r="F2605" s="72">
        <f t="shared" si="5"/>
        <v>2026</v>
      </c>
      <c r="G2605" s="89">
        <f t="shared" si="6"/>
        <v>46074</v>
      </c>
      <c r="H2605" s="72" t="str">
        <f t="shared" si="7"/>
        <v>Yes</v>
      </c>
    </row>
    <row r="2606" ht="15.75" customHeight="1">
      <c r="A2606" s="88">
        <f t="shared" si="8"/>
        <v>46070</v>
      </c>
      <c r="B2606" s="72" t="str">
        <f t="shared" si="1"/>
        <v>20260217</v>
      </c>
      <c r="C2606" s="72" t="str">
        <f t="shared" si="2"/>
        <v>Tuesday</v>
      </c>
      <c r="D2606" s="72" t="str">
        <f t="shared" si="3"/>
        <v>February</v>
      </c>
      <c r="E2606" s="72" t="str">
        <f t="shared" si="4"/>
        <v>Q1</v>
      </c>
      <c r="F2606" s="72">
        <f t="shared" si="5"/>
        <v>2026</v>
      </c>
      <c r="G2606" s="89">
        <f t="shared" si="6"/>
        <v>46074</v>
      </c>
      <c r="H2606" s="72" t="str">
        <f t="shared" si="7"/>
        <v>Yes</v>
      </c>
    </row>
    <row r="2607" ht="15.75" customHeight="1">
      <c r="A2607" s="88">
        <f t="shared" si="8"/>
        <v>46071</v>
      </c>
      <c r="B2607" s="72" t="str">
        <f t="shared" si="1"/>
        <v>20260218</v>
      </c>
      <c r="C2607" s="72" t="str">
        <f t="shared" si="2"/>
        <v>Wednesday</v>
      </c>
      <c r="D2607" s="72" t="str">
        <f t="shared" si="3"/>
        <v>February</v>
      </c>
      <c r="E2607" s="72" t="str">
        <f t="shared" si="4"/>
        <v>Q1</v>
      </c>
      <c r="F2607" s="72">
        <f t="shared" si="5"/>
        <v>2026</v>
      </c>
      <c r="G2607" s="89">
        <f t="shared" si="6"/>
        <v>46074</v>
      </c>
      <c r="H2607" s="72" t="str">
        <f t="shared" si="7"/>
        <v>Yes</v>
      </c>
    </row>
    <row r="2608" ht="15.75" customHeight="1">
      <c r="A2608" s="88">
        <f t="shared" si="8"/>
        <v>46072</v>
      </c>
      <c r="B2608" s="72" t="str">
        <f t="shared" si="1"/>
        <v>20260219</v>
      </c>
      <c r="C2608" s="72" t="str">
        <f t="shared" si="2"/>
        <v>Thursday</v>
      </c>
      <c r="D2608" s="72" t="str">
        <f t="shared" si="3"/>
        <v>February</v>
      </c>
      <c r="E2608" s="72" t="str">
        <f t="shared" si="4"/>
        <v>Q1</v>
      </c>
      <c r="F2608" s="72">
        <f t="shared" si="5"/>
        <v>2026</v>
      </c>
      <c r="G2608" s="89">
        <f t="shared" si="6"/>
        <v>46074</v>
      </c>
      <c r="H2608" s="72" t="str">
        <f t="shared" si="7"/>
        <v>Yes</v>
      </c>
    </row>
    <row r="2609" ht="15.75" customHeight="1">
      <c r="A2609" s="88">
        <f t="shared" si="8"/>
        <v>46073</v>
      </c>
      <c r="B2609" s="72" t="str">
        <f t="shared" si="1"/>
        <v>20260220</v>
      </c>
      <c r="C2609" s="72" t="str">
        <f t="shared" si="2"/>
        <v>Friday</v>
      </c>
      <c r="D2609" s="72" t="str">
        <f t="shared" si="3"/>
        <v>February</v>
      </c>
      <c r="E2609" s="72" t="str">
        <f t="shared" si="4"/>
        <v>Q1</v>
      </c>
      <c r="F2609" s="72">
        <f t="shared" si="5"/>
        <v>2026</v>
      </c>
      <c r="G2609" s="89">
        <f t="shared" si="6"/>
        <v>46074</v>
      </c>
      <c r="H2609" s="72" t="str">
        <f t="shared" si="7"/>
        <v>Yes</v>
      </c>
    </row>
    <row r="2610" ht="15.75" customHeight="1">
      <c r="A2610" s="88">
        <f t="shared" si="8"/>
        <v>46074</v>
      </c>
      <c r="B2610" s="72" t="str">
        <f t="shared" si="1"/>
        <v>20260221</v>
      </c>
      <c r="C2610" s="72" t="str">
        <f t="shared" si="2"/>
        <v>Saturday</v>
      </c>
      <c r="D2610" s="72" t="str">
        <f t="shared" si="3"/>
        <v>February</v>
      </c>
      <c r="E2610" s="72" t="str">
        <f t="shared" si="4"/>
        <v>Q1</v>
      </c>
      <c r="F2610" s="72">
        <f t="shared" si="5"/>
        <v>2026</v>
      </c>
      <c r="G2610" s="89">
        <f t="shared" si="6"/>
        <v>46074</v>
      </c>
      <c r="H2610" s="72" t="str">
        <f t="shared" si="7"/>
        <v>No</v>
      </c>
    </row>
    <row r="2611" ht="15.75" customHeight="1">
      <c r="A2611" s="88">
        <f t="shared" si="8"/>
        <v>46075</v>
      </c>
      <c r="B2611" s="72" t="str">
        <f t="shared" si="1"/>
        <v>20260222</v>
      </c>
      <c r="C2611" s="72" t="str">
        <f t="shared" si="2"/>
        <v>Sunday</v>
      </c>
      <c r="D2611" s="72" t="str">
        <f t="shared" si="3"/>
        <v>February</v>
      </c>
      <c r="E2611" s="72" t="str">
        <f t="shared" si="4"/>
        <v>Q1</v>
      </c>
      <c r="F2611" s="72">
        <f t="shared" si="5"/>
        <v>2026</v>
      </c>
      <c r="G2611" s="89">
        <f t="shared" si="6"/>
        <v>46081</v>
      </c>
      <c r="H2611" s="72" t="str">
        <f t="shared" si="7"/>
        <v>No</v>
      </c>
    </row>
    <row r="2612" ht="15.75" customHeight="1">
      <c r="A2612" s="88">
        <f t="shared" si="8"/>
        <v>46076</v>
      </c>
      <c r="B2612" s="72" t="str">
        <f t="shared" si="1"/>
        <v>20260223</v>
      </c>
      <c r="C2612" s="72" t="str">
        <f t="shared" si="2"/>
        <v>Monday</v>
      </c>
      <c r="D2612" s="72" t="str">
        <f t="shared" si="3"/>
        <v>February</v>
      </c>
      <c r="E2612" s="72" t="str">
        <f t="shared" si="4"/>
        <v>Q1</v>
      </c>
      <c r="F2612" s="72">
        <f t="shared" si="5"/>
        <v>2026</v>
      </c>
      <c r="G2612" s="89">
        <f t="shared" si="6"/>
        <v>46081</v>
      </c>
      <c r="H2612" s="72" t="str">
        <f t="shared" si="7"/>
        <v>Yes</v>
      </c>
    </row>
    <row r="2613" ht="15.75" customHeight="1">
      <c r="A2613" s="88">
        <f t="shared" si="8"/>
        <v>46077</v>
      </c>
      <c r="B2613" s="72" t="str">
        <f t="shared" si="1"/>
        <v>20260224</v>
      </c>
      <c r="C2613" s="72" t="str">
        <f t="shared" si="2"/>
        <v>Tuesday</v>
      </c>
      <c r="D2613" s="72" t="str">
        <f t="shared" si="3"/>
        <v>February</v>
      </c>
      <c r="E2613" s="72" t="str">
        <f t="shared" si="4"/>
        <v>Q1</v>
      </c>
      <c r="F2613" s="72">
        <f t="shared" si="5"/>
        <v>2026</v>
      </c>
      <c r="G2613" s="89">
        <f t="shared" si="6"/>
        <v>46081</v>
      </c>
      <c r="H2613" s="72" t="str">
        <f t="shared" si="7"/>
        <v>Yes</v>
      </c>
    </row>
    <row r="2614" ht="15.75" customHeight="1">
      <c r="A2614" s="88">
        <f t="shared" si="8"/>
        <v>46078</v>
      </c>
      <c r="B2614" s="72" t="str">
        <f t="shared" si="1"/>
        <v>20260225</v>
      </c>
      <c r="C2614" s="72" t="str">
        <f t="shared" si="2"/>
        <v>Wednesday</v>
      </c>
      <c r="D2614" s="72" t="str">
        <f t="shared" si="3"/>
        <v>February</v>
      </c>
      <c r="E2614" s="72" t="str">
        <f t="shared" si="4"/>
        <v>Q1</v>
      </c>
      <c r="F2614" s="72">
        <f t="shared" si="5"/>
        <v>2026</v>
      </c>
      <c r="G2614" s="89">
        <f t="shared" si="6"/>
        <v>46081</v>
      </c>
      <c r="H2614" s="72" t="str">
        <f t="shared" si="7"/>
        <v>Yes</v>
      </c>
    </row>
    <row r="2615" ht="15.75" customHeight="1">
      <c r="A2615" s="88">
        <f t="shared" si="8"/>
        <v>46079</v>
      </c>
      <c r="B2615" s="72" t="str">
        <f t="shared" si="1"/>
        <v>20260226</v>
      </c>
      <c r="C2615" s="72" t="str">
        <f t="shared" si="2"/>
        <v>Thursday</v>
      </c>
      <c r="D2615" s="72" t="str">
        <f t="shared" si="3"/>
        <v>February</v>
      </c>
      <c r="E2615" s="72" t="str">
        <f t="shared" si="4"/>
        <v>Q1</v>
      </c>
      <c r="F2615" s="72">
        <f t="shared" si="5"/>
        <v>2026</v>
      </c>
      <c r="G2615" s="89">
        <f t="shared" si="6"/>
        <v>46081</v>
      </c>
      <c r="H2615" s="72" t="str">
        <f t="shared" si="7"/>
        <v>Yes</v>
      </c>
    </row>
    <row r="2616" ht="15.75" customHeight="1">
      <c r="A2616" s="88">
        <f t="shared" si="8"/>
        <v>46080</v>
      </c>
      <c r="B2616" s="72" t="str">
        <f t="shared" si="1"/>
        <v>20260227</v>
      </c>
      <c r="C2616" s="72" t="str">
        <f t="shared" si="2"/>
        <v>Friday</v>
      </c>
      <c r="D2616" s="72" t="str">
        <f t="shared" si="3"/>
        <v>February</v>
      </c>
      <c r="E2616" s="72" t="str">
        <f t="shared" si="4"/>
        <v>Q1</v>
      </c>
      <c r="F2616" s="72">
        <f t="shared" si="5"/>
        <v>2026</v>
      </c>
      <c r="G2616" s="89">
        <f t="shared" si="6"/>
        <v>46081</v>
      </c>
      <c r="H2616" s="72" t="str">
        <f t="shared" si="7"/>
        <v>Yes</v>
      </c>
    </row>
    <row r="2617" ht="15.75" customHeight="1">
      <c r="A2617" s="88">
        <f t="shared" si="8"/>
        <v>46081</v>
      </c>
      <c r="B2617" s="72" t="str">
        <f t="shared" si="1"/>
        <v>20260228</v>
      </c>
      <c r="C2617" s="72" t="str">
        <f t="shared" si="2"/>
        <v>Saturday</v>
      </c>
      <c r="D2617" s="72" t="str">
        <f t="shared" si="3"/>
        <v>February</v>
      </c>
      <c r="E2617" s="72" t="str">
        <f t="shared" si="4"/>
        <v>Q1</v>
      </c>
      <c r="F2617" s="72">
        <f t="shared" si="5"/>
        <v>2026</v>
      </c>
      <c r="G2617" s="89">
        <f t="shared" si="6"/>
        <v>46081</v>
      </c>
      <c r="H2617" s="72" t="str">
        <f t="shared" si="7"/>
        <v>No</v>
      </c>
    </row>
    <row r="2618" ht="15.75" customHeight="1">
      <c r="A2618" s="88">
        <f t="shared" si="8"/>
        <v>46082</v>
      </c>
      <c r="B2618" s="72" t="str">
        <f t="shared" si="1"/>
        <v>20260301</v>
      </c>
      <c r="C2618" s="72" t="str">
        <f t="shared" si="2"/>
        <v>Sunday</v>
      </c>
      <c r="D2618" s="72" t="str">
        <f t="shared" si="3"/>
        <v>March</v>
      </c>
      <c r="E2618" s="72" t="str">
        <f t="shared" si="4"/>
        <v>Q1</v>
      </c>
      <c r="F2618" s="72">
        <f t="shared" si="5"/>
        <v>2026</v>
      </c>
      <c r="G2618" s="89">
        <f t="shared" si="6"/>
        <v>46088</v>
      </c>
      <c r="H2618" s="72" t="str">
        <f t="shared" si="7"/>
        <v>No</v>
      </c>
    </row>
    <row r="2619" ht="15.75" customHeight="1">
      <c r="A2619" s="88">
        <f t="shared" si="8"/>
        <v>46083</v>
      </c>
      <c r="B2619" s="72" t="str">
        <f t="shared" si="1"/>
        <v>20260302</v>
      </c>
      <c r="C2619" s="72" t="str">
        <f t="shared" si="2"/>
        <v>Monday</v>
      </c>
      <c r="D2619" s="72" t="str">
        <f t="shared" si="3"/>
        <v>March</v>
      </c>
      <c r="E2619" s="72" t="str">
        <f t="shared" si="4"/>
        <v>Q1</v>
      </c>
      <c r="F2619" s="72">
        <f t="shared" si="5"/>
        <v>2026</v>
      </c>
      <c r="G2619" s="89">
        <f t="shared" si="6"/>
        <v>46088</v>
      </c>
      <c r="H2619" s="72" t="str">
        <f t="shared" si="7"/>
        <v>Yes</v>
      </c>
    </row>
    <row r="2620" ht="15.75" customHeight="1">
      <c r="A2620" s="88">
        <f t="shared" si="8"/>
        <v>46084</v>
      </c>
      <c r="B2620" s="72" t="str">
        <f t="shared" si="1"/>
        <v>20260303</v>
      </c>
      <c r="C2620" s="72" t="str">
        <f t="shared" si="2"/>
        <v>Tuesday</v>
      </c>
      <c r="D2620" s="72" t="str">
        <f t="shared" si="3"/>
        <v>March</v>
      </c>
      <c r="E2620" s="72" t="str">
        <f t="shared" si="4"/>
        <v>Q1</v>
      </c>
      <c r="F2620" s="72">
        <f t="shared" si="5"/>
        <v>2026</v>
      </c>
      <c r="G2620" s="89">
        <f t="shared" si="6"/>
        <v>46088</v>
      </c>
      <c r="H2620" s="72" t="str">
        <f t="shared" si="7"/>
        <v>Yes</v>
      </c>
    </row>
    <row r="2621" ht="15.75" customHeight="1">
      <c r="A2621" s="88">
        <f t="shared" si="8"/>
        <v>46085</v>
      </c>
      <c r="B2621" s="72" t="str">
        <f t="shared" si="1"/>
        <v>20260304</v>
      </c>
      <c r="C2621" s="72" t="str">
        <f t="shared" si="2"/>
        <v>Wednesday</v>
      </c>
      <c r="D2621" s="72" t="str">
        <f t="shared" si="3"/>
        <v>March</v>
      </c>
      <c r="E2621" s="72" t="str">
        <f t="shared" si="4"/>
        <v>Q1</v>
      </c>
      <c r="F2621" s="72">
        <f t="shared" si="5"/>
        <v>2026</v>
      </c>
      <c r="G2621" s="89">
        <f t="shared" si="6"/>
        <v>46088</v>
      </c>
      <c r="H2621" s="72" t="str">
        <f t="shared" si="7"/>
        <v>Yes</v>
      </c>
    </row>
    <row r="2622" ht="15.75" customHeight="1">
      <c r="A2622" s="88">
        <f t="shared" si="8"/>
        <v>46086</v>
      </c>
      <c r="B2622" s="72" t="str">
        <f t="shared" si="1"/>
        <v>20260305</v>
      </c>
      <c r="C2622" s="72" t="str">
        <f t="shared" si="2"/>
        <v>Thursday</v>
      </c>
      <c r="D2622" s="72" t="str">
        <f t="shared" si="3"/>
        <v>March</v>
      </c>
      <c r="E2622" s="72" t="str">
        <f t="shared" si="4"/>
        <v>Q1</v>
      </c>
      <c r="F2622" s="72">
        <f t="shared" si="5"/>
        <v>2026</v>
      </c>
      <c r="G2622" s="89">
        <f t="shared" si="6"/>
        <v>46088</v>
      </c>
      <c r="H2622" s="72" t="str">
        <f t="shared" si="7"/>
        <v>Yes</v>
      </c>
    </row>
    <row r="2623" ht="15.75" customHeight="1">
      <c r="A2623" s="88">
        <f t="shared" si="8"/>
        <v>46087</v>
      </c>
      <c r="B2623" s="72" t="str">
        <f t="shared" si="1"/>
        <v>20260306</v>
      </c>
      <c r="C2623" s="72" t="str">
        <f t="shared" si="2"/>
        <v>Friday</v>
      </c>
      <c r="D2623" s="72" t="str">
        <f t="shared" si="3"/>
        <v>March</v>
      </c>
      <c r="E2623" s="72" t="str">
        <f t="shared" si="4"/>
        <v>Q1</v>
      </c>
      <c r="F2623" s="72">
        <f t="shared" si="5"/>
        <v>2026</v>
      </c>
      <c r="G2623" s="89">
        <f t="shared" si="6"/>
        <v>46088</v>
      </c>
      <c r="H2623" s="72" t="str">
        <f t="shared" si="7"/>
        <v>Yes</v>
      </c>
    </row>
    <row r="2624" ht="15.75" customHeight="1">
      <c r="A2624" s="88">
        <f t="shared" si="8"/>
        <v>46088</v>
      </c>
      <c r="B2624" s="72" t="str">
        <f t="shared" si="1"/>
        <v>20260307</v>
      </c>
      <c r="C2624" s="72" t="str">
        <f t="shared" si="2"/>
        <v>Saturday</v>
      </c>
      <c r="D2624" s="72" t="str">
        <f t="shared" si="3"/>
        <v>March</v>
      </c>
      <c r="E2624" s="72" t="str">
        <f t="shared" si="4"/>
        <v>Q1</v>
      </c>
      <c r="F2624" s="72">
        <f t="shared" si="5"/>
        <v>2026</v>
      </c>
      <c r="G2624" s="89">
        <f t="shared" si="6"/>
        <v>46088</v>
      </c>
      <c r="H2624" s="72" t="str">
        <f t="shared" si="7"/>
        <v>No</v>
      </c>
    </row>
    <row r="2625" ht="15.75" customHeight="1">
      <c r="A2625" s="88">
        <f t="shared" si="8"/>
        <v>46089</v>
      </c>
      <c r="B2625" s="72" t="str">
        <f t="shared" si="1"/>
        <v>20260308</v>
      </c>
      <c r="C2625" s="72" t="str">
        <f t="shared" si="2"/>
        <v>Sunday</v>
      </c>
      <c r="D2625" s="72" t="str">
        <f t="shared" si="3"/>
        <v>March</v>
      </c>
      <c r="E2625" s="72" t="str">
        <f t="shared" si="4"/>
        <v>Q1</v>
      </c>
      <c r="F2625" s="72">
        <f t="shared" si="5"/>
        <v>2026</v>
      </c>
      <c r="G2625" s="89">
        <f t="shared" si="6"/>
        <v>46095</v>
      </c>
      <c r="H2625" s="72" t="str">
        <f t="shared" si="7"/>
        <v>No</v>
      </c>
    </row>
    <row r="2626" ht="15.75" customHeight="1">
      <c r="A2626" s="88">
        <f t="shared" si="8"/>
        <v>46090</v>
      </c>
      <c r="B2626" s="72" t="str">
        <f t="shared" si="1"/>
        <v>20260309</v>
      </c>
      <c r="C2626" s="72" t="str">
        <f t="shared" si="2"/>
        <v>Monday</v>
      </c>
      <c r="D2626" s="72" t="str">
        <f t="shared" si="3"/>
        <v>March</v>
      </c>
      <c r="E2626" s="72" t="str">
        <f t="shared" si="4"/>
        <v>Q1</v>
      </c>
      <c r="F2626" s="72">
        <f t="shared" si="5"/>
        <v>2026</v>
      </c>
      <c r="G2626" s="89">
        <f t="shared" si="6"/>
        <v>46095</v>
      </c>
      <c r="H2626" s="72" t="str">
        <f t="shared" si="7"/>
        <v>Yes</v>
      </c>
    </row>
    <row r="2627" ht="15.75" customHeight="1">
      <c r="A2627" s="88">
        <f t="shared" si="8"/>
        <v>46091</v>
      </c>
      <c r="B2627" s="72" t="str">
        <f t="shared" si="1"/>
        <v>20260310</v>
      </c>
      <c r="C2627" s="72" t="str">
        <f t="shared" si="2"/>
        <v>Tuesday</v>
      </c>
      <c r="D2627" s="72" t="str">
        <f t="shared" si="3"/>
        <v>March</v>
      </c>
      <c r="E2627" s="72" t="str">
        <f t="shared" si="4"/>
        <v>Q1</v>
      </c>
      <c r="F2627" s="72">
        <f t="shared" si="5"/>
        <v>2026</v>
      </c>
      <c r="G2627" s="89">
        <f t="shared" si="6"/>
        <v>46095</v>
      </c>
      <c r="H2627" s="72" t="str">
        <f t="shared" si="7"/>
        <v>Yes</v>
      </c>
    </row>
    <row r="2628" ht="15.75" customHeight="1">
      <c r="A2628" s="88">
        <f t="shared" si="8"/>
        <v>46092</v>
      </c>
      <c r="B2628" s="72" t="str">
        <f t="shared" si="1"/>
        <v>20260311</v>
      </c>
      <c r="C2628" s="72" t="str">
        <f t="shared" si="2"/>
        <v>Wednesday</v>
      </c>
      <c r="D2628" s="72" t="str">
        <f t="shared" si="3"/>
        <v>March</v>
      </c>
      <c r="E2628" s="72" t="str">
        <f t="shared" si="4"/>
        <v>Q1</v>
      </c>
      <c r="F2628" s="72">
        <f t="shared" si="5"/>
        <v>2026</v>
      </c>
      <c r="G2628" s="89">
        <f t="shared" si="6"/>
        <v>46095</v>
      </c>
      <c r="H2628" s="72" t="str">
        <f t="shared" si="7"/>
        <v>Yes</v>
      </c>
    </row>
    <row r="2629" ht="15.75" customHeight="1">
      <c r="A2629" s="88">
        <f t="shared" si="8"/>
        <v>46093</v>
      </c>
      <c r="B2629" s="72" t="str">
        <f t="shared" si="1"/>
        <v>20260312</v>
      </c>
      <c r="C2629" s="72" t="str">
        <f t="shared" si="2"/>
        <v>Thursday</v>
      </c>
      <c r="D2629" s="72" t="str">
        <f t="shared" si="3"/>
        <v>March</v>
      </c>
      <c r="E2629" s="72" t="str">
        <f t="shared" si="4"/>
        <v>Q1</v>
      </c>
      <c r="F2629" s="72">
        <f t="shared" si="5"/>
        <v>2026</v>
      </c>
      <c r="G2629" s="89">
        <f t="shared" si="6"/>
        <v>46095</v>
      </c>
      <c r="H2629" s="72" t="str">
        <f t="shared" si="7"/>
        <v>Yes</v>
      </c>
    </row>
    <row r="2630" ht="15.75" customHeight="1">
      <c r="A2630" s="88">
        <f t="shared" si="8"/>
        <v>46094</v>
      </c>
      <c r="B2630" s="72" t="str">
        <f t="shared" si="1"/>
        <v>20260313</v>
      </c>
      <c r="C2630" s="72" t="str">
        <f t="shared" si="2"/>
        <v>Friday</v>
      </c>
      <c r="D2630" s="72" t="str">
        <f t="shared" si="3"/>
        <v>March</v>
      </c>
      <c r="E2630" s="72" t="str">
        <f t="shared" si="4"/>
        <v>Q1</v>
      </c>
      <c r="F2630" s="72">
        <f t="shared" si="5"/>
        <v>2026</v>
      </c>
      <c r="G2630" s="89">
        <f t="shared" si="6"/>
        <v>46095</v>
      </c>
      <c r="H2630" s="72" t="str">
        <f t="shared" si="7"/>
        <v>Yes</v>
      </c>
    </row>
    <row r="2631" ht="15.75" customHeight="1">
      <c r="A2631" s="88">
        <f t="shared" si="8"/>
        <v>46095</v>
      </c>
      <c r="B2631" s="72" t="str">
        <f t="shared" si="1"/>
        <v>20260314</v>
      </c>
      <c r="C2631" s="72" t="str">
        <f t="shared" si="2"/>
        <v>Saturday</v>
      </c>
      <c r="D2631" s="72" t="str">
        <f t="shared" si="3"/>
        <v>March</v>
      </c>
      <c r="E2631" s="72" t="str">
        <f t="shared" si="4"/>
        <v>Q1</v>
      </c>
      <c r="F2631" s="72">
        <f t="shared" si="5"/>
        <v>2026</v>
      </c>
      <c r="G2631" s="89">
        <f t="shared" si="6"/>
        <v>46095</v>
      </c>
      <c r="H2631" s="72" t="str">
        <f t="shared" si="7"/>
        <v>No</v>
      </c>
    </row>
    <row r="2632" ht="15.75" customHeight="1">
      <c r="A2632" s="88">
        <f t="shared" si="8"/>
        <v>46096</v>
      </c>
      <c r="B2632" s="72" t="str">
        <f t="shared" si="1"/>
        <v>20260315</v>
      </c>
      <c r="C2632" s="72" t="str">
        <f t="shared" si="2"/>
        <v>Sunday</v>
      </c>
      <c r="D2632" s="72" t="str">
        <f t="shared" si="3"/>
        <v>March</v>
      </c>
      <c r="E2632" s="72" t="str">
        <f t="shared" si="4"/>
        <v>Q1</v>
      </c>
      <c r="F2632" s="72">
        <f t="shared" si="5"/>
        <v>2026</v>
      </c>
      <c r="G2632" s="89">
        <f t="shared" si="6"/>
        <v>46102</v>
      </c>
      <c r="H2632" s="72" t="str">
        <f t="shared" si="7"/>
        <v>No</v>
      </c>
    </row>
    <row r="2633" ht="15.75" customHeight="1">
      <c r="A2633" s="88">
        <f t="shared" si="8"/>
        <v>46097</v>
      </c>
      <c r="B2633" s="72" t="str">
        <f t="shared" si="1"/>
        <v>20260316</v>
      </c>
      <c r="C2633" s="72" t="str">
        <f t="shared" si="2"/>
        <v>Monday</v>
      </c>
      <c r="D2633" s="72" t="str">
        <f t="shared" si="3"/>
        <v>March</v>
      </c>
      <c r="E2633" s="72" t="str">
        <f t="shared" si="4"/>
        <v>Q1</v>
      </c>
      <c r="F2633" s="72">
        <f t="shared" si="5"/>
        <v>2026</v>
      </c>
      <c r="G2633" s="89">
        <f t="shared" si="6"/>
        <v>46102</v>
      </c>
      <c r="H2633" s="72" t="str">
        <f t="shared" si="7"/>
        <v>Yes</v>
      </c>
    </row>
    <row r="2634" ht="15.75" customHeight="1">
      <c r="A2634" s="88">
        <f t="shared" si="8"/>
        <v>46098</v>
      </c>
      <c r="B2634" s="72" t="str">
        <f t="shared" si="1"/>
        <v>20260317</v>
      </c>
      <c r="C2634" s="72" t="str">
        <f t="shared" si="2"/>
        <v>Tuesday</v>
      </c>
      <c r="D2634" s="72" t="str">
        <f t="shared" si="3"/>
        <v>March</v>
      </c>
      <c r="E2634" s="72" t="str">
        <f t="shared" si="4"/>
        <v>Q1</v>
      </c>
      <c r="F2634" s="72">
        <f t="shared" si="5"/>
        <v>2026</v>
      </c>
      <c r="G2634" s="89">
        <f t="shared" si="6"/>
        <v>46102</v>
      </c>
      <c r="H2634" s="72" t="str">
        <f t="shared" si="7"/>
        <v>Yes</v>
      </c>
    </row>
    <row r="2635" ht="15.75" customHeight="1">
      <c r="A2635" s="88">
        <f t="shared" si="8"/>
        <v>46099</v>
      </c>
      <c r="B2635" s="72" t="str">
        <f t="shared" si="1"/>
        <v>20260318</v>
      </c>
      <c r="C2635" s="72" t="str">
        <f t="shared" si="2"/>
        <v>Wednesday</v>
      </c>
      <c r="D2635" s="72" t="str">
        <f t="shared" si="3"/>
        <v>March</v>
      </c>
      <c r="E2635" s="72" t="str">
        <f t="shared" si="4"/>
        <v>Q1</v>
      </c>
      <c r="F2635" s="72">
        <f t="shared" si="5"/>
        <v>2026</v>
      </c>
      <c r="G2635" s="89">
        <f t="shared" si="6"/>
        <v>46102</v>
      </c>
      <c r="H2635" s="72" t="str">
        <f t="shared" si="7"/>
        <v>Yes</v>
      </c>
    </row>
    <row r="2636" ht="15.75" customHeight="1">
      <c r="A2636" s="88">
        <f t="shared" si="8"/>
        <v>46100</v>
      </c>
      <c r="B2636" s="72" t="str">
        <f t="shared" si="1"/>
        <v>20260319</v>
      </c>
      <c r="C2636" s="72" t="str">
        <f t="shared" si="2"/>
        <v>Thursday</v>
      </c>
      <c r="D2636" s="72" t="str">
        <f t="shared" si="3"/>
        <v>March</v>
      </c>
      <c r="E2636" s="72" t="str">
        <f t="shared" si="4"/>
        <v>Q1</v>
      </c>
      <c r="F2636" s="72">
        <f t="shared" si="5"/>
        <v>2026</v>
      </c>
      <c r="G2636" s="89">
        <f t="shared" si="6"/>
        <v>46102</v>
      </c>
      <c r="H2636" s="72" t="str">
        <f t="shared" si="7"/>
        <v>Yes</v>
      </c>
    </row>
    <row r="2637" ht="15.75" customHeight="1">
      <c r="A2637" s="88">
        <f t="shared" si="8"/>
        <v>46101</v>
      </c>
      <c r="B2637" s="72" t="str">
        <f t="shared" si="1"/>
        <v>20260320</v>
      </c>
      <c r="C2637" s="72" t="str">
        <f t="shared" si="2"/>
        <v>Friday</v>
      </c>
      <c r="D2637" s="72" t="str">
        <f t="shared" si="3"/>
        <v>March</v>
      </c>
      <c r="E2637" s="72" t="str">
        <f t="shared" si="4"/>
        <v>Q1</v>
      </c>
      <c r="F2637" s="72">
        <f t="shared" si="5"/>
        <v>2026</v>
      </c>
      <c r="G2637" s="89">
        <f t="shared" si="6"/>
        <v>46102</v>
      </c>
      <c r="H2637" s="72" t="str">
        <f t="shared" si="7"/>
        <v>Yes</v>
      </c>
    </row>
    <row r="2638" ht="15.75" customHeight="1">
      <c r="A2638" s="88">
        <f t="shared" si="8"/>
        <v>46102</v>
      </c>
      <c r="B2638" s="72" t="str">
        <f t="shared" si="1"/>
        <v>20260321</v>
      </c>
      <c r="C2638" s="72" t="str">
        <f t="shared" si="2"/>
        <v>Saturday</v>
      </c>
      <c r="D2638" s="72" t="str">
        <f t="shared" si="3"/>
        <v>March</v>
      </c>
      <c r="E2638" s="72" t="str">
        <f t="shared" si="4"/>
        <v>Q1</v>
      </c>
      <c r="F2638" s="72">
        <f t="shared" si="5"/>
        <v>2026</v>
      </c>
      <c r="G2638" s="89">
        <f t="shared" si="6"/>
        <v>46102</v>
      </c>
      <c r="H2638" s="72" t="str">
        <f t="shared" si="7"/>
        <v>No</v>
      </c>
    </row>
    <row r="2639" ht="15.75" customHeight="1">
      <c r="A2639" s="88">
        <f t="shared" si="8"/>
        <v>46103</v>
      </c>
      <c r="B2639" s="72" t="str">
        <f t="shared" si="1"/>
        <v>20260322</v>
      </c>
      <c r="C2639" s="72" t="str">
        <f t="shared" si="2"/>
        <v>Sunday</v>
      </c>
      <c r="D2639" s="72" t="str">
        <f t="shared" si="3"/>
        <v>March</v>
      </c>
      <c r="E2639" s="72" t="str">
        <f t="shared" si="4"/>
        <v>Q1</v>
      </c>
      <c r="F2639" s="72">
        <f t="shared" si="5"/>
        <v>2026</v>
      </c>
      <c r="G2639" s="89">
        <f t="shared" si="6"/>
        <v>46109</v>
      </c>
      <c r="H2639" s="72" t="str">
        <f t="shared" si="7"/>
        <v>No</v>
      </c>
    </row>
    <row r="2640" ht="15.75" customHeight="1">
      <c r="A2640" s="88">
        <f t="shared" si="8"/>
        <v>46104</v>
      </c>
      <c r="B2640" s="72" t="str">
        <f t="shared" si="1"/>
        <v>20260323</v>
      </c>
      <c r="C2640" s="72" t="str">
        <f t="shared" si="2"/>
        <v>Monday</v>
      </c>
      <c r="D2640" s="72" t="str">
        <f t="shared" si="3"/>
        <v>March</v>
      </c>
      <c r="E2640" s="72" t="str">
        <f t="shared" si="4"/>
        <v>Q1</v>
      </c>
      <c r="F2640" s="72">
        <f t="shared" si="5"/>
        <v>2026</v>
      </c>
      <c r="G2640" s="89">
        <f t="shared" si="6"/>
        <v>46109</v>
      </c>
      <c r="H2640" s="72" t="str">
        <f t="shared" si="7"/>
        <v>Yes</v>
      </c>
    </row>
    <row r="2641" ht="15.75" customHeight="1">
      <c r="A2641" s="88">
        <f t="shared" si="8"/>
        <v>46105</v>
      </c>
      <c r="B2641" s="72" t="str">
        <f t="shared" si="1"/>
        <v>20260324</v>
      </c>
      <c r="C2641" s="72" t="str">
        <f t="shared" si="2"/>
        <v>Tuesday</v>
      </c>
      <c r="D2641" s="72" t="str">
        <f t="shared" si="3"/>
        <v>March</v>
      </c>
      <c r="E2641" s="72" t="str">
        <f t="shared" si="4"/>
        <v>Q1</v>
      </c>
      <c r="F2641" s="72">
        <f t="shared" si="5"/>
        <v>2026</v>
      </c>
      <c r="G2641" s="89">
        <f t="shared" si="6"/>
        <v>46109</v>
      </c>
      <c r="H2641" s="72" t="str">
        <f t="shared" si="7"/>
        <v>Yes</v>
      </c>
    </row>
    <row r="2642" ht="15.75" customHeight="1">
      <c r="A2642" s="88">
        <f t="shared" si="8"/>
        <v>46106</v>
      </c>
      <c r="B2642" s="72" t="str">
        <f t="shared" si="1"/>
        <v>20260325</v>
      </c>
      <c r="C2642" s="72" t="str">
        <f t="shared" si="2"/>
        <v>Wednesday</v>
      </c>
      <c r="D2642" s="72" t="str">
        <f t="shared" si="3"/>
        <v>March</v>
      </c>
      <c r="E2642" s="72" t="str">
        <f t="shared" si="4"/>
        <v>Q1</v>
      </c>
      <c r="F2642" s="72">
        <f t="shared" si="5"/>
        <v>2026</v>
      </c>
      <c r="G2642" s="89">
        <f t="shared" si="6"/>
        <v>46109</v>
      </c>
      <c r="H2642" s="72" t="str">
        <f t="shared" si="7"/>
        <v>Yes</v>
      </c>
    </row>
    <row r="2643" ht="15.75" customHeight="1">
      <c r="A2643" s="88">
        <f t="shared" si="8"/>
        <v>46107</v>
      </c>
      <c r="B2643" s="72" t="str">
        <f t="shared" si="1"/>
        <v>20260326</v>
      </c>
      <c r="C2643" s="72" t="str">
        <f t="shared" si="2"/>
        <v>Thursday</v>
      </c>
      <c r="D2643" s="72" t="str">
        <f t="shared" si="3"/>
        <v>March</v>
      </c>
      <c r="E2643" s="72" t="str">
        <f t="shared" si="4"/>
        <v>Q1</v>
      </c>
      <c r="F2643" s="72">
        <f t="shared" si="5"/>
        <v>2026</v>
      </c>
      <c r="G2643" s="89">
        <f t="shared" si="6"/>
        <v>46109</v>
      </c>
      <c r="H2643" s="72" t="str">
        <f t="shared" si="7"/>
        <v>Yes</v>
      </c>
    </row>
    <row r="2644" ht="15.75" customHeight="1">
      <c r="A2644" s="88">
        <f t="shared" si="8"/>
        <v>46108</v>
      </c>
      <c r="B2644" s="72" t="str">
        <f t="shared" si="1"/>
        <v>20260327</v>
      </c>
      <c r="C2644" s="72" t="str">
        <f t="shared" si="2"/>
        <v>Friday</v>
      </c>
      <c r="D2644" s="72" t="str">
        <f t="shared" si="3"/>
        <v>March</v>
      </c>
      <c r="E2644" s="72" t="str">
        <f t="shared" si="4"/>
        <v>Q1</v>
      </c>
      <c r="F2644" s="72">
        <f t="shared" si="5"/>
        <v>2026</v>
      </c>
      <c r="G2644" s="89">
        <f t="shared" si="6"/>
        <v>46109</v>
      </c>
      <c r="H2644" s="72" t="str">
        <f t="shared" si="7"/>
        <v>Yes</v>
      </c>
    </row>
    <row r="2645" ht="15.75" customHeight="1">
      <c r="A2645" s="88">
        <f t="shared" si="8"/>
        <v>46109</v>
      </c>
      <c r="B2645" s="72" t="str">
        <f t="shared" si="1"/>
        <v>20260328</v>
      </c>
      <c r="C2645" s="72" t="str">
        <f t="shared" si="2"/>
        <v>Saturday</v>
      </c>
      <c r="D2645" s="72" t="str">
        <f t="shared" si="3"/>
        <v>March</v>
      </c>
      <c r="E2645" s="72" t="str">
        <f t="shared" si="4"/>
        <v>Q1</v>
      </c>
      <c r="F2645" s="72">
        <f t="shared" si="5"/>
        <v>2026</v>
      </c>
      <c r="G2645" s="89">
        <f t="shared" si="6"/>
        <v>46109</v>
      </c>
      <c r="H2645" s="72" t="str">
        <f t="shared" si="7"/>
        <v>No</v>
      </c>
    </row>
    <row r="2646" ht="15.75" customHeight="1">
      <c r="A2646" s="88">
        <f t="shared" si="8"/>
        <v>46110</v>
      </c>
      <c r="B2646" s="72" t="str">
        <f t="shared" si="1"/>
        <v>20260329</v>
      </c>
      <c r="C2646" s="72" t="str">
        <f t="shared" si="2"/>
        <v>Sunday</v>
      </c>
      <c r="D2646" s="72" t="str">
        <f t="shared" si="3"/>
        <v>March</v>
      </c>
      <c r="E2646" s="72" t="str">
        <f t="shared" si="4"/>
        <v>Q1</v>
      </c>
      <c r="F2646" s="72">
        <f t="shared" si="5"/>
        <v>2026</v>
      </c>
      <c r="G2646" s="89">
        <f t="shared" si="6"/>
        <v>46116</v>
      </c>
      <c r="H2646" s="72" t="str">
        <f t="shared" si="7"/>
        <v>No</v>
      </c>
    </row>
    <row r="2647" ht="15.75" customHeight="1">
      <c r="A2647" s="88">
        <f t="shared" si="8"/>
        <v>46111</v>
      </c>
      <c r="B2647" s="72" t="str">
        <f t="shared" si="1"/>
        <v>20260330</v>
      </c>
      <c r="C2647" s="72" t="str">
        <f t="shared" si="2"/>
        <v>Monday</v>
      </c>
      <c r="D2647" s="72" t="str">
        <f t="shared" si="3"/>
        <v>March</v>
      </c>
      <c r="E2647" s="72" t="str">
        <f t="shared" si="4"/>
        <v>Q1</v>
      </c>
      <c r="F2647" s="72">
        <f t="shared" si="5"/>
        <v>2026</v>
      </c>
      <c r="G2647" s="89">
        <f t="shared" si="6"/>
        <v>46116</v>
      </c>
      <c r="H2647" s="72" t="str">
        <f t="shared" si="7"/>
        <v>Yes</v>
      </c>
    </row>
    <row r="2648" ht="15.75" customHeight="1">
      <c r="A2648" s="88">
        <f t="shared" si="8"/>
        <v>46112</v>
      </c>
      <c r="B2648" s="72" t="str">
        <f t="shared" si="1"/>
        <v>20260331</v>
      </c>
      <c r="C2648" s="72" t="str">
        <f t="shared" si="2"/>
        <v>Tuesday</v>
      </c>
      <c r="D2648" s="72" t="str">
        <f t="shared" si="3"/>
        <v>March</v>
      </c>
      <c r="E2648" s="72" t="str">
        <f t="shared" si="4"/>
        <v>Q1</v>
      </c>
      <c r="F2648" s="72">
        <f t="shared" si="5"/>
        <v>2026</v>
      </c>
      <c r="G2648" s="89">
        <f t="shared" si="6"/>
        <v>46116</v>
      </c>
      <c r="H2648" s="72" t="str">
        <f t="shared" si="7"/>
        <v>Yes</v>
      </c>
    </row>
    <row r="2649" ht="15.75" customHeight="1">
      <c r="A2649" s="88">
        <f t="shared" si="8"/>
        <v>46113</v>
      </c>
      <c r="B2649" s="72" t="str">
        <f t="shared" si="1"/>
        <v>20260401</v>
      </c>
      <c r="C2649" s="72" t="str">
        <f t="shared" si="2"/>
        <v>Wednesday</v>
      </c>
      <c r="D2649" s="72" t="str">
        <f t="shared" si="3"/>
        <v>April</v>
      </c>
      <c r="E2649" s="72" t="str">
        <f t="shared" si="4"/>
        <v>Q2</v>
      </c>
      <c r="F2649" s="72">
        <f t="shared" si="5"/>
        <v>2026</v>
      </c>
      <c r="G2649" s="89">
        <f t="shared" si="6"/>
        <v>46116</v>
      </c>
      <c r="H2649" s="72" t="str">
        <f t="shared" si="7"/>
        <v>Yes</v>
      </c>
    </row>
    <row r="2650" ht="15.75" customHeight="1">
      <c r="A2650" s="88">
        <f t="shared" si="8"/>
        <v>46114</v>
      </c>
      <c r="B2650" s="72" t="str">
        <f t="shared" si="1"/>
        <v>20260402</v>
      </c>
      <c r="C2650" s="72" t="str">
        <f t="shared" si="2"/>
        <v>Thursday</v>
      </c>
      <c r="D2650" s="72" t="str">
        <f t="shared" si="3"/>
        <v>April</v>
      </c>
      <c r="E2650" s="72" t="str">
        <f t="shared" si="4"/>
        <v>Q2</v>
      </c>
      <c r="F2650" s="72">
        <f t="shared" si="5"/>
        <v>2026</v>
      </c>
      <c r="G2650" s="89">
        <f t="shared" si="6"/>
        <v>46116</v>
      </c>
      <c r="H2650" s="72" t="str">
        <f t="shared" si="7"/>
        <v>Yes</v>
      </c>
    </row>
    <row r="2651" ht="15.75" customHeight="1">
      <c r="A2651" s="88">
        <f t="shared" si="8"/>
        <v>46115</v>
      </c>
      <c r="B2651" s="72" t="str">
        <f t="shared" si="1"/>
        <v>20260403</v>
      </c>
      <c r="C2651" s="72" t="str">
        <f t="shared" si="2"/>
        <v>Friday</v>
      </c>
      <c r="D2651" s="72" t="str">
        <f t="shared" si="3"/>
        <v>April</v>
      </c>
      <c r="E2651" s="72" t="str">
        <f t="shared" si="4"/>
        <v>Q2</v>
      </c>
      <c r="F2651" s="72">
        <f t="shared" si="5"/>
        <v>2026</v>
      </c>
      <c r="G2651" s="89">
        <f t="shared" si="6"/>
        <v>46116</v>
      </c>
      <c r="H2651" s="72" t="str">
        <f t="shared" si="7"/>
        <v>Yes</v>
      </c>
    </row>
    <row r="2652" ht="15.75" customHeight="1">
      <c r="A2652" s="88">
        <f t="shared" si="8"/>
        <v>46116</v>
      </c>
      <c r="B2652" s="72" t="str">
        <f t="shared" si="1"/>
        <v>20260404</v>
      </c>
      <c r="C2652" s="72" t="str">
        <f t="shared" si="2"/>
        <v>Saturday</v>
      </c>
      <c r="D2652" s="72" t="str">
        <f t="shared" si="3"/>
        <v>April</v>
      </c>
      <c r="E2652" s="72" t="str">
        <f t="shared" si="4"/>
        <v>Q2</v>
      </c>
      <c r="F2652" s="72">
        <f t="shared" si="5"/>
        <v>2026</v>
      </c>
      <c r="G2652" s="89">
        <f t="shared" si="6"/>
        <v>46116</v>
      </c>
      <c r="H2652" s="72" t="str">
        <f t="shared" si="7"/>
        <v>No</v>
      </c>
    </row>
    <row r="2653" ht="15.75" customHeight="1">
      <c r="A2653" s="88">
        <f t="shared" si="8"/>
        <v>46117</v>
      </c>
      <c r="B2653" s="72" t="str">
        <f t="shared" si="1"/>
        <v>20260405</v>
      </c>
      <c r="C2653" s="72" t="str">
        <f t="shared" si="2"/>
        <v>Sunday</v>
      </c>
      <c r="D2653" s="72" t="str">
        <f t="shared" si="3"/>
        <v>April</v>
      </c>
      <c r="E2653" s="72" t="str">
        <f t="shared" si="4"/>
        <v>Q2</v>
      </c>
      <c r="F2653" s="72">
        <f t="shared" si="5"/>
        <v>2026</v>
      </c>
      <c r="G2653" s="89">
        <f t="shared" si="6"/>
        <v>46123</v>
      </c>
      <c r="H2653" s="72" t="str">
        <f t="shared" si="7"/>
        <v>No</v>
      </c>
    </row>
    <row r="2654" ht="15.75" customHeight="1">
      <c r="A2654" s="88">
        <f t="shared" si="8"/>
        <v>46118</v>
      </c>
      <c r="B2654" s="72" t="str">
        <f t="shared" si="1"/>
        <v>20260406</v>
      </c>
      <c r="C2654" s="72" t="str">
        <f t="shared" si="2"/>
        <v>Monday</v>
      </c>
      <c r="D2654" s="72" t="str">
        <f t="shared" si="3"/>
        <v>April</v>
      </c>
      <c r="E2654" s="72" t="str">
        <f t="shared" si="4"/>
        <v>Q2</v>
      </c>
      <c r="F2654" s="72">
        <f t="shared" si="5"/>
        <v>2026</v>
      </c>
      <c r="G2654" s="89">
        <f t="shared" si="6"/>
        <v>46123</v>
      </c>
      <c r="H2654" s="72" t="str">
        <f t="shared" si="7"/>
        <v>Yes</v>
      </c>
    </row>
    <row r="2655" ht="15.75" customHeight="1">
      <c r="A2655" s="88">
        <f t="shared" si="8"/>
        <v>46119</v>
      </c>
      <c r="B2655" s="72" t="str">
        <f t="shared" si="1"/>
        <v>20260407</v>
      </c>
      <c r="C2655" s="72" t="str">
        <f t="shared" si="2"/>
        <v>Tuesday</v>
      </c>
      <c r="D2655" s="72" t="str">
        <f t="shared" si="3"/>
        <v>April</v>
      </c>
      <c r="E2655" s="72" t="str">
        <f t="shared" si="4"/>
        <v>Q2</v>
      </c>
      <c r="F2655" s="72">
        <f t="shared" si="5"/>
        <v>2026</v>
      </c>
      <c r="G2655" s="89">
        <f t="shared" si="6"/>
        <v>46123</v>
      </c>
      <c r="H2655" s="72" t="str">
        <f t="shared" si="7"/>
        <v>Yes</v>
      </c>
    </row>
    <row r="2656" ht="15.75" customHeight="1">
      <c r="A2656" s="88">
        <f t="shared" si="8"/>
        <v>46120</v>
      </c>
      <c r="B2656" s="72" t="str">
        <f t="shared" si="1"/>
        <v>20260408</v>
      </c>
      <c r="C2656" s="72" t="str">
        <f t="shared" si="2"/>
        <v>Wednesday</v>
      </c>
      <c r="D2656" s="72" t="str">
        <f t="shared" si="3"/>
        <v>April</v>
      </c>
      <c r="E2656" s="72" t="str">
        <f t="shared" si="4"/>
        <v>Q2</v>
      </c>
      <c r="F2656" s="72">
        <f t="shared" si="5"/>
        <v>2026</v>
      </c>
      <c r="G2656" s="89">
        <f t="shared" si="6"/>
        <v>46123</v>
      </c>
      <c r="H2656" s="72" t="str">
        <f t="shared" si="7"/>
        <v>Yes</v>
      </c>
    </row>
    <row r="2657" ht="15.75" customHeight="1">
      <c r="A2657" s="88">
        <f t="shared" si="8"/>
        <v>46121</v>
      </c>
      <c r="B2657" s="72" t="str">
        <f t="shared" si="1"/>
        <v>20260409</v>
      </c>
      <c r="C2657" s="72" t="str">
        <f t="shared" si="2"/>
        <v>Thursday</v>
      </c>
      <c r="D2657" s="72" t="str">
        <f t="shared" si="3"/>
        <v>April</v>
      </c>
      <c r="E2657" s="72" t="str">
        <f t="shared" si="4"/>
        <v>Q2</v>
      </c>
      <c r="F2657" s="72">
        <f t="shared" si="5"/>
        <v>2026</v>
      </c>
      <c r="G2657" s="89">
        <f t="shared" si="6"/>
        <v>46123</v>
      </c>
      <c r="H2657" s="72" t="str">
        <f t="shared" si="7"/>
        <v>Yes</v>
      </c>
    </row>
    <row r="2658" ht="15.75" customHeight="1">
      <c r="A2658" s="88">
        <f t="shared" si="8"/>
        <v>46122</v>
      </c>
      <c r="B2658" s="72" t="str">
        <f t="shared" si="1"/>
        <v>20260410</v>
      </c>
      <c r="C2658" s="72" t="str">
        <f t="shared" si="2"/>
        <v>Friday</v>
      </c>
      <c r="D2658" s="72" t="str">
        <f t="shared" si="3"/>
        <v>April</v>
      </c>
      <c r="E2658" s="72" t="str">
        <f t="shared" si="4"/>
        <v>Q2</v>
      </c>
      <c r="F2658" s="72">
        <f t="shared" si="5"/>
        <v>2026</v>
      </c>
      <c r="G2658" s="89">
        <f t="shared" si="6"/>
        <v>46123</v>
      </c>
      <c r="H2658" s="72" t="str">
        <f t="shared" si="7"/>
        <v>Yes</v>
      </c>
    </row>
    <row r="2659" ht="15.75" customHeight="1">
      <c r="A2659" s="88">
        <f t="shared" si="8"/>
        <v>46123</v>
      </c>
      <c r="B2659" s="72" t="str">
        <f t="shared" si="1"/>
        <v>20260411</v>
      </c>
      <c r="C2659" s="72" t="str">
        <f t="shared" si="2"/>
        <v>Saturday</v>
      </c>
      <c r="D2659" s="72" t="str">
        <f t="shared" si="3"/>
        <v>April</v>
      </c>
      <c r="E2659" s="72" t="str">
        <f t="shared" si="4"/>
        <v>Q2</v>
      </c>
      <c r="F2659" s="72">
        <f t="shared" si="5"/>
        <v>2026</v>
      </c>
      <c r="G2659" s="89">
        <f t="shared" si="6"/>
        <v>46123</v>
      </c>
      <c r="H2659" s="72" t="str">
        <f t="shared" si="7"/>
        <v>No</v>
      </c>
    </row>
    <row r="2660" ht="15.75" customHeight="1">
      <c r="A2660" s="88">
        <f t="shared" si="8"/>
        <v>46124</v>
      </c>
      <c r="B2660" s="72" t="str">
        <f t="shared" si="1"/>
        <v>20260412</v>
      </c>
      <c r="C2660" s="72" t="str">
        <f t="shared" si="2"/>
        <v>Sunday</v>
      </c>
      <c r="D2660" s="72" t="str">
        <f t="shared" si="3"/>
        <v>April</v>
      </c>
      <c r="E2660" s="72" t="str">
        <f t="shared" si="4"/>
        <v>Q2</v>
      </c>
      <c r="F2660" s="72">
        <f t="shared" si="5"/>
        <v>2026</v>
      </c>
      <c r="G2660" s="89">
        <f t="shared" si="6"/>
        <v>46130</v>
      </c>
      <c r="H2660" s="72" t="str">
        <f t="shared" si="7"/>
        <v>No</v>
      </c>
    </row>
    <row r="2661" ht="15.75" customHeight="1">
      <c r="A2661" s="88">
        <f t="shared" si="8"/>
        <v>46125</v>
      </c>
      <c r="B2661" s="72" t="str">
        <f t="shared" si="1"/>
        <v>20260413</v>
      </c>
      <c r="C2661" s="72" t="str">
        <f t="shared" si="2"/>
        <v>Monday</v>
      </c>
      <c r="D2661" s="72" t="str">
        <f t="shared" si="3"/>
        <v>April</v>
      </c>
      <c r="E2661" s="72" t="str">
        <f t="shared" si="4"/>
        <v>Q2</v>
      </c>
      <c r="F2661" s="72">
        <f t="shared" si="5"/>
        <v>2026</v>
      </c>
      <c r="G2661" s="89">
        <f t="shared" si="6"/>
        <v>46130</v>
      </c>
      <c r="H2661" s="72" t="str">
        <f t="shared" si="7"/>
        <v>Yes</v>
      </c>
    </row>
    <row r="2662" ht="15.75" customHeight="1">
      <c r="A2662" s="88">
        <f t="shared" si="8"/>
        <v>46126</v>
      </c>
      <c r="B2662" s="72" t="str">
        <f t="shared" si="1"/>
        <v>20260414</v>
      </c>
      <c r="C2662" s="72" t="str">
        <f t="shared" si="2"/>
        <v>Tuesday</v>
      </c>
      <c r="D2662" s="72" t="str">
        <f t="shared" si="3"/>
        <v>April</v>
      </c>
      <c r="E2662" s="72" t="str">
        <f t="shared" si="4"/>
        <v>Q2</v>
      </c>
      <c r="F2662" s="72">
        <f t="shared" si="5"/>
        <v>2026</v>
      </c>
      <c r="G2662" s="89">
        <f t="shared" si="6"/>
        <v>46130</v>
      </c>
      <c r="H2662" s="72" t="str">
        <f t="shared" si="7"/>
        <v>Yes</v>
      </c>
    </row>
    <row r="2663" ht="15.75" customHeight="1">
      <c r="A2663" s="88">
        <f t="shared" si="8"/>
        <v>46127</v>
      </c>
      <c r="B2663" s="72" t="str">
        <f t="shared" si="1"/>
        <v>20260415</v>
      </c>
      <c r="C2663" s="72" t="str">
        <f t="shared" si="2"/>
        <v>Wednesday</v>
      </c>
      <c r="D2663" s="72" t="str">
        <f t="shared" si="3"/>
        <v>April</v>
      </c>
      <c r="E2663" s="72" t="str">
        <f t="shared" si="4"/>
        <v>Q2</v>
      </c>
      <c r="F2663" s="72">
        <f t="shared" si="5"/>
        <v>2026</v>
      </c>
      <c r="G2663" s="89">
        <f t="shared" si="6"/>
        <v>46130</v>
      </c>
      <c r="H2663" s="72" t="str">
        <f t="shared" si="7"/>
        <v>Yes</v>
      </c>
    </row>
    <row r="2664" ht="15.75" customHeight="1">
      <c r="A2664" s="88">
        <f t="shared" si="8"/>
        <v>46128</v>
      </c>
      <c r="B2664" s="72" t="str">
        <f t="shared" si="1"/>
        <v>20260416</v>
      </c>
      <c r="C2664" s="72" t="str">
        <f t="shared" si="2"/>
        <v>Thursday</v>
      </c>
      <c r="D2664" s="72" t="str">
        <f t="shared" si="3"/>
        <v>April</v>
      </c>
      <c r="E2664" s="72" t="str">
        <f t="shared" si="4"/>
        <v>Q2</v>
      </c>
      <c r="F2664" s="72">
        <f t="shared" si="5"/>
        <v>2026</v>
      </c>
      <c r="G2664" s="89">
        <f t="shared" si="6"/>
        <v>46130</v>
      </c>
      <c r="H2664" s="72" t="str">
        <f t="shared" si="7"/>
        <v>Yes</v>
      </c>
    </row>
    <row r="2665" ht="15.75" customHeight="1">
      <c r="A2665" s="88">
        <f t="shared" si="8"/>
        <v>46129</v>
      </c>
      <c r="B2665" s="72" t="str">
        <f t="shared" si="1"/>
        <v>20260417</v>
      </c>
      <c r="C2665" s="72" t="str">
        <f t="shared" si="2"/>
        <v>Friday</v>
      </c>
      <c r="D2665" s="72" t="str">
        <f t="shared" si="3"/>
        <v>April</v>
      </c>
      <c r="E2665" s="72" t="str">
        <f t="shared" si="4"/>
        <v>Q2</v>
      </c>
      <c r="F2665" s="72">
        <f t="shared" si="5"/>
        <v>2026</v>
      </c>
      <c r="G2665" s="89">
        <f t="shared" si="6"/>
        <v>46130</v>
      </c>
      <c r="H2665" s="72" t="str">
        <f t="shared" si="7"/>
        <v>Yes</v>
      </c>
    </row>
    <row r="2666" ht="15.75" customHeight="1">
      <c r="A2666" s="88">
        <f t="shared" si="8"/>
        <v>46130</v>
      </c>
      <c r="B2666" s="72" t="str">
        <f t="shared" si="1"/>
        <v>20260418</v>
      </c>
      <c r="C2666" s="72" t="str">
        <f t="shared" si="2"/>
        <v>Saturday</v>
      </c>
      <c r="D2666" s="72" t="str">
        <f t="shared" si="3"/>
        <v>April</v>
      </c>
      <c r="E2666" s="72" t="str">
        <f t="shared" si="4"/>
        <v>Q2</v>
      </c>
      <c r="F2666" s="72">
        <f t="shared" si="5"/>
        <v>2026</v>
      </c>
      <c r="G2666" s="89">
        <f t="shared" si="6"/>
        <v>46130</v>
      </c>
      <c r="H2666" s="72" t="str">
        <f t="shared" si="7"/>
        <v>No</v>
      </c>
    </row>
    <row r="2667" ht="15.75" customHeight="1">
      <c r="A2667" s="88">
        <f t="shared" si="8"/>
        <v>46131</v>
      </c>
      <c r="B2667" s="72" t="str">
        <f t="shared" si="1"/>
        <v>20260419</v>
      </c>
      <c r="C2667" s="72" t="str">
        <f t="shared" si="2"/>
        <v>Sunday</v>
      </c>
      <c r="D2667" s="72" t="str">
        <f t="shared" si="3"/>
        <v>April</v>
      </c>
      <c r="E2667" s="72" t="str">
        <f t="shared" si="4"/>
        <v>Q2</v>
      </c>
      <c r="F2667" s="72">
        <f t="shared" si="5"/>
        <v>2026</v>
      </c>
      <c r="G2667" s="89">
        <f t="shared" si="6"/>
        <v>46137</v>
      </c>
      <c r="H2667" s="72" t="str">
        <f t="shared" si="7"/>
        <v>No</v>
      </c>
    </row>
    <row r="2668" ht="15.75" customHeight="1">
      <c r="A2668" s="88">
        <f t="shared" si="8"/>
        <v>46132</v>
      </c>
      <c r="B2668" s="72" t="str">
        <f t="shared" si="1"/>
        <v>20260420</v>
      </c>
      <c r="C2668" s="72" t="str">
        <f t="shared" si="2"/>
        <v>Monday</v>
      </c>
      <c r="D2668" s="72" t="str">
        <f t="shared" si="3"/>
        <v>April</v>
      </c>
      <c r="E2668" s="72" t="str">
        <f t="shared" si="4"/>
        <v>Q2</v>
      </c>
      <c r="F2668" s="72">
        <f t="shared" si="5"/>
        <v>2026</v>
      </c>
      <c r="G2668" s="89">
        <f t="shared" si="6"/>
        <v>46137</v>
      </c>
      <c r="H2668" s="72" t="str">
        <f t="shared" si="7"/>
        <v>Yes</v>
      </c>
    </row>
    <row r="2669" ht="15.75" customHeight="1">
      <c r="A2669" s="88">
        <f t="shared" si="8"/>
        <v>46133</v>
      </c>
      <c r="B2669" s="72" t="str">
        <f t="shared" si="1"/>
        <v>20260421</v>
      </c>
      <c r="C2669" s="72" t="str">
        <f t="shared" si="2"/>
        <v>Tuesday</v>
      </c>
      <c r="D2669" s="72" t="str">
        <f t="shared" si="3"/>
        <v>April</v>
      </c>
      <c r="E2669" s="72" t="str">
        <f t="shared" si="4"/>
        <v>Q2</v>
      </c>
      <c r="F2669" s="72">
        <f t="shared" si="5"/>
        <v>2026</v>
      </c>
      <c r="G2669" s="89">
        <f t="shared" si="6"/>
        <v>46137</v>
      </c>
      <c r="H2669" s="72" t="str">
        <f t="shared" si="7"/>
        <v>Yes</v>
      </c>
    </row>
    <row r="2670" ht="15.75" customHeight="1">
      <c r="A2670" s="88">
        <f t="shared" si="8"/>
        <v>46134</v>
      </c>
      <c r="B2670" s="72" t="str">
        <f t="shared" si="1"/>
        <v>20260422</v>
      </c>
      <c r="C2670" s="72" t="str">
        <f t="shared" si="2"/>
        <v>Wednesday</v>
      </c>
      <c r="D2670" s="72" t="str">
        <f t="shared" si="3"/>
        <v>April</v>
      </c>
      <c r="E2670" s="72" t="str">
        <f t="shared" si="4"/>
        <v>Q2</v>
      </c>
      <c r="F2670" s="72">
        <f t="shared" si="5"/>
        <v>2026</v>
      </c>
      <c r="G2670" s="89">
        <f t="shared" si="6"/>
        <v>46137</v>
      </c>
      <c r="H2670" s="72" t="str">
        <f t="shared" si="7"/>
        <v>Yes</v>
      </c>
    </row>
    <row r="2671" ht="15.75" customHeight="1">
      <c r="A2671" s="88">
        <f t="shared" si="8"/>
        <v>46135</v>
      </c>
      <c r="B2671" s="72" t="str">
        <f t="shared" si="1"/>
        <v>20260423</v>
      </c>
      <c r="C2671" s="72" t="str">
        <f t="shared" si="2"/>
        <v>Thursday</v>
      </c>
      <c r="D2671" s="72" t="str">
        <f t="shared" si="3"/>
        <v>April</v>
      </c>
      <c r="E2671" s="72" t="str">
        <f t="shared" si="4"/>
        <v>Q2</v>
      </c>
      <c r="F2671" s="72">
        <f t="shared" si="5"/>
        <v>2026</v>
      </c>
      <c r="G2671" s="89">
        <f t="shared" si="6"/>
        <v>46137</v>
      </c>
      <c r="H2671" s="72" t="str">
        <f t="shared" si="7"/>
        <v>Yes</v>
      </c>
    </row>
    <row r="2672" ht="15.75" customHeight="1">
      <c r="A2672" s="88">
        <f t="shared" si="8"/>
        <v>46136</v>
      </c>
      <c r="B2672" s="72" t="str">
        <f t="shared" si="1"/>
        <v>20260424</v>
      </c>
      <c r="C2672" s="72" t="str">
        <f t="shared" si="2"/>
        <v>Friday</v>
      </c>
      <c r="D2672" s="72" t="str">
        <f t="shared" si="3"/>
        <v>April</v>
      </c>
      <c r="E2672" s="72" t="str">
        <f t="shared" si="4"/>
        <v>Q2</v>
      </c>
      <c r="F2672" s="72">
        <f t="shared" si="5"/>
        <v>2026</v>
      </c>
      <c r="G2672" s="89">
        <f t="shared" si="6"/>
        <v>46137</v>
      </c>
      <c r="H2672" s="72" t="str">
        <f t="shared" si="7"/>
        <v>Yes</v>
      </c>
    </row>
    <row r="2673" ht="15.75" customHeight="1">
      <c r="A2673" s="88">
        <f t="shared" si="8"/>
        <v>46137</v>
      </c>
      <c r="B2673" s="72" t="str">
        <f t="shared" si="1"/>
        <v>20260425</v>
      </c>
      <c r="C2673" s="72" t="str">
        <f t="shared" si="2"/>
        <v>Saturday</v>
      </c>
      <c r="D2673" s="72" t="str">
        <f t="shared" si="3"/>
        <v>April</v>
      </c>
      <c r="E2673" s="72" t="str">
        <f t="shared" si="4"/>
        <v>Q2</v>
      </c>
      <c r="F2673" s="72">
        <f t="shared" si="5"/>
        <v>2026</v>
      </c>
      <c r="G2673" s="89">
        <f t="shared" si="6"/>
        <v>46137</v>
      </c>
      <c r="H2673" s="72" t="str">
        <f t="shared" si="7"/>
        <v>No</v>
      </c>
    </row>
    <row r="2674" ht="15.75" customHeight="1">
      <c r="A2674" s="88">
        <f t="shared" si="8"/>
        <v>46138</v>
      </c>
      <c r="B2674" s="72" t="str">
        <f t="shared" si="1"/>
        <v>20260426</v>
      </c>
      <c r="C2674" s="72" t="str">
        <f t="shared" si="2"/>
        <v>Sunday</v>
      </c>
      <c r="D2674" s="72" t="str">
        <f t="shared" si="3"/>
        <v>April</v>
      </c>
      <c r="E2674" s="72" t="str">
        <f t="shared" si="4"/>
        <v>Q2</v>
      </c>
      <c r="F2674" s="72">
        <f t="shared" si="5"/>
        <v>2026</v>
      </c>
      <c r="G2674" s="89">
        <f t="shared" si="6"/>
        <v>46144</v>
      </c>
      <c r="H2674" s="72" t="str">
        <f t="shared" si="7"/>
        <v>No</v>
      </c>
    </row>
    <row r="2675" ht="15.75" customHeight="1">
      <c r="A2675" s="88">
        <f t="shared" si="8"/>
        <v>46139</v>
      </c>
      <c r="B2675" s="72" t="str">
        <f t="shared" si="1"/>
        <v>20260427</v>
      </c>
      <c r="C2675" s="72" t="str">
        <f t="shared" si="2"/>
        <v>Monday</v>
      </c>
      <c r="D2675" s="72" t="str">
        <f t="shared" si="3"/>
        <v>April</v>
      </c>
      <c r="E2675" s="72" t="str">
        <f t="shared" si="4"/>
        <v>Q2</v>
      </c>
      <c r="F2675" s="72">
        <f t="shared" si="5"/>
        <v>2026</v>
      </c>
      <c r="G2675" s="89">
        <f t="shared" si="6"/>
        <v>46144</v>
      </c>
      <c r="H2675" s="72" t="str">
        <f t="shared" si="7"/>
        <v>Yes</v>
      </c>
    </row>
    <row r="2676" ht="15.75" customHeight="1">
      <c r="A2676" s="88">
        <f t="shared" si="8"/>
        <v>46140</v>
      </c>
      <c r="B2676" s="72" t="str">
        <f t="shared" si="1"/>
        <v>20260428</v>
      </c>
      <c r="C2676" s="72" t="str">
        <f t="shared" si="2"/>
        <v>Tuesday</v>
      </c>
      <c r="D2676" s="72" t="str">
        <f t="shared" si="3"/>
        <v>April</v>
      </c>
      <c r="E2676" s="72" t="str">
        <f t="shared" si="4"/>
        <v>Q2</v>
      </c>
      <c r="F2676" s="72">
        <f t="shared" si="5"/>
        <v>2026</v>
      </c>
      <c r="G2676" s="89">
        <f t="shared" si="6"/>
        <v>46144</v>
      </c>
      <c r="H2676" s="72" t="str">
        <f t="shared" si="7"/>
        <v>Yes</v>
      </c>
    </row>
    <row r="2677" ht="15.75" customHeight="1">
      <c r="A2677" s="88">
        <f t="shared" si="8"/>
        <v>46141</v>
      </c>
      <c r="B2677" s="72" t="str">
        <f t="shared" si="1"/>
        <v>20260429</v>
      </c>
      <c r="C2677" s="72" t="str">
        <f t="shared" si="2"/>
        <v>Wednesday</v>
      </c>
      <c r="D2677" s="72" t="str">
        <f t="shared" si="3"/>
        <v>April</v>
      </c>
      <c r="E2677" s="72" t="str">
        <f t="shared" si="4"/>
        <v>Q2</v>
      </c>
      <c r="F2677" s="72">
        <f t="shared" si="5"/>
        <v>2026</v>
      </c>
      <c r="G2677" s="89">
        <f t="shared" si="6"/>
        <v>46144</v>
      </c>
      <c r="H2677" s="72" t="str">
        <f t="shared" si="7"/>
        <v>Yes</v>
      </c>
    </row>
    <row r="2678" ht="15.75" customHeight="1">
      <c r="A2678" s="88">
        <f t="shared" si="8"/>
        <v>46142</v>
      </c>
      <c r="B2678" s="72" t="str">
        <f t="shared" si="1"/>
        <v>20260430</v>
      </c>
      <c r="C2678" s="72" t="str">
        <f t="shared" si="2"/>
        <v>Thursday</v>
      </c>
      <c r="D2678" s="72" t="str">
        <f t="shared" si="3"/>
        <v>April</v>
      </c>
      <c r="E2678" s="72" t="str">
        <f t="shared" si="4"/>
        <v>Q2</v>
      </c>
      <c r="F2678" s="72">
        <f t="shared" si="5"/>
        <v>2026</v>
      </c>
      <c r="G2678" s="89">
        <f t="shared" si="6"/>
        <v>46144</v>
      </c>
      <c r="H2678" s="72" t="str">
        <f t="shared" si="7"/>
        <v>Yes</v>
      </c>
    </row>
    <row r="2679" ht="15.75" customHeight="1">
      <c r="A2679" s="88">
        <f t="shared" si="8"/>
        <v>46143</v>
      </c>
      <c r="B2679" s="72" t="str">
        <f t="shared" si="1"/>
        <v>20260501</v>
      </c>
      <c r="C2679" s="72" t="str">
        <f t="shared" si="2"/>
        <v>Friday</v>
      </c>
      <c r="D2679" s="72" t="str">
        <f t="shared" si="3"/>
        <v>May</v>
      </c>
      <c r="E2679" s="72" t="str">
        <f t="shared" si="4"/>
        <v>Q2</v>
      </c>
      <c r="F2679" s="72">
        <f t="shared" si="5"/>
        <v>2026</v>
      </c>
      <c r="G2679" s="89">
        <f t="shared" si="6"/>
        <v>46144</v>
      </c>
      <c r="H2679" s="72" t="str">
        <f t="shared" si="7"/>
        <v>Yes</v>
      </c>
    </row>
    <row r="2680" ht="15.75" customHeight="1">
      <c r="A2680" s="88">
        <f t="shared" si="8"/>
        <v>46144</v>
      </c>
      <c r="B2680" s="72" t="str">
        <f t="shared" si="1"/>
        <v>20260502</v>
      </c>
      <c r="C2680" s="72" t="str">
        <f t="shared" si="2"/>
        <v>Saturday</v>
      </c>
      <c r="D2680" s="72" t="str">
        <f t="shared" si="3"/>
        <v>May</v>
      </c>
      <c r="E2680" s="72" t="str">
        <f t="shared" si="4"/>
        <v>Q2</v>
      </c>
      <c r="F2680" s="72">
        <f t="shared" si="5"/>
        <v>2026</v>
      </c>
      <c r="G2680" s="89">
        <f t="shared" si="6"/>
        <v>46144</v>
      </c>
      <c r="H2680" s="72" t="str">
        <f t="shared" si="7"/>
        <v>No</v>
      </c>
    </row>
    <row r="2681" ht="15.75" customHeight="1">
      <c r="A2681" s="88">
        <f t="shared" si="8"/>
        <v>46145</v>
      </c>
      <c r="B2681" s="72" t="str">
        <f t="shared" si="1"/>
        <v>20260503</v>
      </c>
      <c r="C2681" s="72" t="str">
        <f t="shared" si="2"/>
        <v>Sunday</v>
      </c>
      <c r="D2681" s="72" t="str">
        <f t="shared" si="3"/>
        <v>May</v>
      </c>
      <c r="E2681" s="72" t="str">
        <f t="shared" si="4"/>
        <v>Q2</v>
      </c>
      <c r="F2681" s="72">
        <f t="shared" si="5"/>
        <v>2026</v>
      </c>
      <c r="G2681" s="89">
        <f t="shared" si="6"/>
        <v>46151</v>
      </c>
      <c r="H2681" s="72" t="str">
        <f t="shared" si="7"/>
        <v>No</v>
      </c>
    </row>
    <row r="2682" ht="15.75" customHeight="1">
      <c r="A2682" s="88">
        <f t="shared" si="8"/>
        <v>46146</v>
      </c>
      <c r="B2682" s="72" t="str">
        <f t="shared" si="1"/>
        <v>20260504</v>
      </c>
      <c r="C2682" s="72" t="str">
        <f t="shared" si="2"/>
        <v>Monday</v>
      </c>
      <c r="D2682" s="72" t="str">
        <f t="shared" si="3"/>
        <v>May</v>
      </c>
      <c r="E2682" s="72" t="str">
        <f t="shared" si="4"/>
        <v>Q2</v>
      </c>
      <c r="F2682" s="72">
        <f t="shared" si="5"/>
        <v>2026</v>
      </c>
      <c r="G2682" s="89">
        <f t="shared" si="6"/>
        <v>46151</v>
      </c>
      <c r="H2682" s="72" t="str">
        <f t="shared" si="7"/>
        <v>Yes</v>
      </c>
    </row>
    <row r="2683" ht="15.75" customHeight="1">
      <c r="A2683" s="88">
        <f t="shared" si="8"/>
        <v>46147</v>
      </c>
      <c r="B2683" s="72" t="str">
        <f t="shared" si="1"/>
        <v>20260505</v>
      </c>
      <c r="C2683" s="72" t="str">
        <f t="shared" si="2"/>
        <v>Tuesday</v>
      </c>
      <c r="D2683" s="72" t="str">
        <f t="shared" si="3"/>
        <v>May</v>
      </c>
      <c r="E2683" s="72" t="str">
        <f t="shared" si="4"/>
        <v>Q2</v>
      </c>
      <c r="F2683" s="72">
        <f t="shared" si="5"/>
        <v>2026</v>
      </c>
      <c r="G2683" s="89">
        <f t="shared" si="6"/>
        <v>46151</v>
      </c>
      <c r="H2683" s="72" t="str">
        <f t="shared" si="7"/>
        <v>Yes</v>
      </c>
    </row>
    <row r="2684" ht="15.75" customHeight="1">
      <c r="A2684" s="88">
        <f t="shared" si="8"/>
        <v>46148</v>
      </c>
      <c r="B2684" s="72" t="str">
        <f t="shared" si="1"/>
        <v>20260506</v>
      </c>
      <c r="C2684" s="72" t="str">
        <f t="shared" si="2"/>
        <v>Wednesday</v>
      </c>
      <c r="D2684" s="72" t="str">
        <f t="shared" si="3"/>
        <v>May</v>
      </c>
      <c r="E2684" s="72" t="str">
        <f t="shared" si="4"/>
        <v>Q2</v>
      </c>
      <c r="F2684" s="72">
        <f t="shared" si="5"/>
        <v>2026</v>
      </c>
      <c r="G2684" s="89">
        <f t="shared" si="6"/>
        <v>46151</v>
      </c>
      <c r="H2684" s="72" t="str">
        <f t="shared" si="7"/>
        <v>Yes</v>
      </c>
    </row>
    <row r="2685" ht="15.75" customHeight="1">
      <c r="A2685" s="88">
        <f t="shared" si="8"/>
        <v>46149</v>
      </c>
      <c r="B2685" s="72" t="str">
        <f t="shared" si="1"/>
        <v>20260507</v>
      </c>
      <c r="C2685" s="72" t="str">
        <f t="shared" si="2"/>
        <v>Thursday</v>
      </c>
      <c r="D2685" s="72" t="str">
        <f t="shared" si="3"/>
        <v>May</v>
      </c>
      <c r="E2685" s="72" t="str">
        <f t="shared" si="4"/>
        <v>Q2</v>
      </c>
      <c r="F2685" s="72">
        <f t="shared" si="5"/>
        <v>2026</v>
      </c>
      <c r="G2685" s="89">
        <f t="shared" si="6"/>
        <v>46151</v>
      </c>
      <c r="H2685" s="72" t="str">
        <f t="shared" si="7"/>
        <v>Yes</v>
      </c>
    </row>
    <row r="2686" ht="15.75" customHeight="1">
      <c r="A2686" s="88">
        <f t="shared" si="8"/>
        <v>46150</v>
      </c>
      <c r="B2686" s="72" t="str">
        <f t="shared" si="1"/>
        <v>20260508</v>
      </c>
      <c r="C2686" s="72" t="str">
        <f t="shared" si="2"/>
        <v>Friday</v>
      </c>
      <c r="D2686" s="72" t="str">
        <f t="shared" si="3"/>
        <v>May</v>
      </c>
      <c r="E2686" s="72" t="str">
        <f t="shared" si="4"/>
        <v>Q2</v>
      </c>
      <c r="F2686" s="72">
        <f t="shared" si="5"/>
        <v>2026</v>
      </c>
      <c r="G2686" s="89">
        <f t="shared" si="6"/>
        <v>46151</v>
      </c>
      <c r="H2686" s="72" t="str">
        <f t="shared" si="7"/>
        <v>Yes</v>
      </c>
    </row>
    <row r="2687" ht="15.75" customHeight="1">
      <c r="A2687" s="88">
        <f t="shared" si="8"/>
        <v>46151</v>
      </c>
      <c r="B2687" s="72" t="str">
        <f t="shared" si="1"/>
        <v>20260509</v>
      </c>
      <c r="C2687" s="72" t="str">
        <f t="shared" si="2"/>
        <v>Saturday</v>
      </c>
      <c r="D2687" s="72" t="str">
        <f t="shared" si="3"/>
        <v>May</v>
      </c>
      <c r="E2687" s="72" t="str">
        <f t="shared" si="4"/>
        <v>Q2</v>
      </c>
      <c r="F2687" s="72">
        <f t="shared" si="5"/>
        <v>2026</v>
      </c>
      <c r="G2687" s="89">
        <f t="shared" si="6"/>
        <v>46151</v>
      </c>
      <c r="H2687" s="72" t="str">
        <f t="shared" si="7"/>
        <v>No</v>
      </c>
    </row>
    <row r="2688" ht="15.75" customHeight="1">
      <c r="A2688" s="88">
        <f t="shared" si="8"/>
        <v>46152</v>
      </c>
      <c r="B2688" s="72" t="str">
        <f t="shared" si="1"/>
        <v>20260510</v>
      </c>
      <c r="C2688" s="72" t="str">
        <f t="shared" si="2"/>
        <v>Sunday</v>
      </c>
      <c r="D2688" s="72" t="str">
        <f t="shared" si="3"/>
        <v>May</v>
      </c>
      <c r="E2688" s="72" t="str">
        <f t="shared" si="4"/>
        <v>Q2</v>
      </c>
      <c r="F2688" s="72">
        <f t="shared" si="5"/>
        <v>2026</v>
      </c>
      <c r="G2688" s="89">
        <f t="shared" si="6"/>
        <v>46158</v>
      </c>
      <c r="H2688" s="72" t="str">
        <f t="shared" si="7"/>
        <v>No</v>
      </c>
    </row>
    <row r="2689" ht="15.75" customHeight="1">
      <c r="A2689" s="88">
        <f t="shared" si="8"/>
        <v>46153</v>
      </c>
      <c r="B2689" s="72" t="str">
        <f t="shared" si="1"/>
        <v>20260511</v>
      </c>
      <c r="C2689" s="72" t="str">
        <f t="shared" si="2"/>
        <v>Monday</v>
      </c>
      <c r="D2689" s="72" t="str">
        <f t="shared" si="3"/>
        <v>May</v>
      </c>
      <c r="E2689" s="72" t="str">
        <f t="shared" si="4"/>
        <v>Q2</v>
      </c>
      <c r="F2689" s="72">
        <f t="shared" si="5"/>
        <v>2026</v>
      </c>
      <c r="G2689" s="89">
        <f t="shared" si="6"/>
        <v>46158</v>
      </c>
      <c r="H2689" s="72" t="str">
        <f t="shared" si="7"/>
        <v>Yes</v>
      </c>
    </row>
    <row r="2690" ht="15.75" customHeight="1">
      <c r="A2690" s="88">
        <f t="shared" si="8"/>
        <v>46154</v>
      </c>
      <c r="B2690" s="72" t="str">
        <f t="shared" si="1"/>
        <v>20260512</v>
      </c>
      <c r="C2690" s="72" t="str">
        <f t="shared" si="2"/>
        <v>Tuesday</v>
      </c>
      <c r="D2690" s="72" t="str">
        <f t="shared" si="3"/>
        <v>May</v>
      </c>
      <c r="E2690" s="72" t="str">
        <f t="shared" si="4"/>
        <v>Q2</v>
      </c>
      <c r="F2690" s="72">
        <f t="shared" si="5"/>
        <v>2026</v>
      </c>
      <c r="G2690" s="89">
        <f t="shared" si="6"/>
        <v>46158</v>
      </c>
      <c r="H2690" s="72" t="str">
        <f t="shared" si="7"/>
        <v>Yes</v>
      </c>
    </row>
    <row r="2691" ht="15.75" customHeight="1">
      <c r="A2691" s="88">
        <f t="shared" si="8"/>
        <v>46155</v>
      </c>
      <c r="B2691" s="72" t="str">
        <f t="shared" si="1"/>
        <v>20260513</v>
      </c>
      <c r="C2691" s="72" t="str">
        <f t="shared" si="2"/>
        <v>Wednesday</v>
      </c>
      <c r="D2691" s="72" t="str">
        <f t="shared" si="3"/>
        <v>May</v>
      </c>
      <c r="E2691" s="72" t="str">
        <f t="shared" si="4"/>
        <v>Q2</v>
      </c>
      <c r="F2691" s="72">
        <f t="shared" si="5"/>
        <v>2026</v>
      </c>
      <c r="G2691" s="89">
        <f t="shared" si="6"/>
        <v>46158</v>
      </c>
      <c r="H2691" s="72" t="str">
        <f t="shared" si="7"/>
        <v>Yes</v>
      </c>
    </row>
    <row r="2692" ht="15.75" customHeight="1">
      <c r="A2692" s="88">
        <f t="shared" si="8"/>
        <v>46156</v>
      </c>
      <c r="B2692" s="72" t="str">
        <f t="shared" si="1"/>
        <v>20260514</v>
      </c>
      <c r="C2692" s="72" t="str">
        <f t="shared" si="2"/>
        <v>Thursday</v>
      </c>
      <c r="D2692" s="72" t="str">
        <f t="shared" si="3"/>
        <v>May</v>
      </c>
      <c r="E2692" s="72" t="str">
        <f t="shared" si="4"/>
        <v>Q2</v>
      </c>
      <c r="F2692" s="72">
        <f t="shared" si="5"/>
        <v>2026</v>
      </c>
      <c r="G2692" s="89">
        <f t="shared" si="6"/>
        <v>46158</v>
      </c>
      <c r="H2692" s="72" t="str">
        <f t="shared" si="7"/>
        <v>Yes</v>
      </c>
    </row>
    <row r="2693" ht="15.75" customHeight="1">
      <c r="A2693" s="88">
        <f t="shared" si="8"/>
        <v>46157</v>
      </c>
      <c r="B2693" s="72" t="str">
        <f t="shared" si="1"/>
        <v>20260515</v>
      </c>
      <c r="C2693" s="72" t="str">
        <f t="shared" si="2"/>
        <v>Friday</v>
      </c>
      <c r="D2693" s="72" t="str">
        <f t="shared" si="3"/>
        <v>May</v>
      </c>
      <c r="E2693" s="72" t="str">
        <f t="shared" si="4"/>
        <v>Q2</v>
      </c>
      <c r="F2693" s="72">
        <f t="shared" si="5"/>
        <v>2026</v>
      </c>
      <c r="G2693" s="89">
        <f t="shared" si="6"/>
        <v>46158</v>
      </c>
      <c r="H2693" s="72" t="str">
        <f t="shared" si="7"/>
        <v>Yes</v>
      </c>
    </row>
    <row r="2694" ht="15.75" customHeight="1">
      <c r="A2694" s="88">
        <f t="shared" si="8"/>
        <v>46158</v>
      </c>
      <c r="B2694" s="72" t="str">
        <f t="shared" si="1"/>
        <v>20260516</v>
      </c>
      <c r="C2694" s="72" t="str">
        <f t="shared" si="2"/>
        <v>Saturday</v>
      </c>
      <c r="D2694" s="72" t="str">
        <f t="shared" si="3"/>
        <v>May</v>
      </c>
      <c r="E2694" s="72" t="str">
        <f t="shared" si="4"/>
        <v>Q2</v>
      </c>
      <c r="F2694" s="72">
        <f t="shared" si="5"/>
        <v>2026</v>
      </c>
      <c r="G2694" s="89">
        <f t="shared" si="6"/>
        <v>46158</v>
      </c>
      <c r="H2694" s="72" t="str">
        <f t="shared" si="7"/>
        <v>No</v>
      </c>
    </row>
    <row r="2695" ht="15.75" customHeight="1">
      <c r="A2695" s="88">
        <f t="shared" si="8"/>
        <v>46159</v>
      </c>
      <c r="B2695" s="72" t="str">
        <f t="shared" si="1"/>
        <v>20260517</v>
      </c>
      <c r="C2695" s="72" t="str">
        <f t="shared" si="2"/>
        <v>Sunday</v>
      </c>
      <c r="D2695" s="72" t="str">
        <f t="shared" si="3"/>
        <v>May</v>
      </c>
      <c r="E2695" s="72" t="str">
        <f t="shared" si="4"/>
        <v>Q2</v>
      </c>
      <c r="F2695" s="72">
        <f t="shared" si="5"/>
        <v>2026</v>
      </c>
      <c r="G2695" s="89">
        <f t="shared" si="6"/>
        <v>46165</v>
      </c>
      <c r="H2695" s="72" t="str">
        <f t="shared" si="7"/>
        <v>No</v>
      </c>
    </row>
    <row r="2696" ht="15.75" customHeight="1">
      <c r="A2696" s="88">
        <f t="shared" si="8"/>
        <v>46160</v>
      </c>
      <c r="B2696" s="72" t="str">
        <f t="shared" si="1"/>
        <v>20260518</v>
      </c>
      <c r="C2696" s="72" t="str">
        <f t="shared" si="2"/>
        <v>Monday</v>
      </c>
      <c r="D2696" s="72" t="str">
        <f t="shared" si="3"/>
        <v>May</v>
      </c>
      <c r="E2696" s="72" t="str">
        <f t="shared" si="4"/>
        <v>Q2</v>
      </c>
      <c r="F2696" s="72">
        <f t="shared" si="5"/>
        <v>2026</v>
      </c>
      <c r="G2696" s="89">
        <f t="shared" si="6"/>
        <v>46165</v>
      </c>
      <c r="H2696" s="72" t="str">
        <f t="shared" si="7"/>
        <v>Yes</v>
      </c>
    </row>
    <row r="2697" ht="15.75" customHeight="1">
      <c r="A2697" s="88">
        <f t="shared" si="8"/>
        <v>46161</v>
      </c>
      <c r="B2697" s="72" t="str">
        <f t="shared" si="1"/>
        <v>20260519</v>
      </c>
      <c r="C2697" s="72" t="str">
        <f t="shared" si="2"/>
        <v>Tuesday</v>
      </c>
      <c r="D2697" s="72" t="str">
        <f t="shared" si="3"/>
        <v>May</v>
      </c>
      <c r="E2697" s="72" t="str">
        <f t="shared" si="4"/>
        <v>Q2</v>
      </c>
      <c r="F2697" s="72">
        <f t="shared" si="5"/>
        <v>2026</v>
      </c>
      <c r="G2697" s="89">
        <f t="shared" si="6"/>
        <v>46165</v>
      </c>
      <c r="H2697" s="72" t="str">
        <f t="shared" si="7"/>
        <v>Yes</v>
      </c>
    </row>
    <row r="2698" ht="15.75" customHeight="1">
      <c r="A2698" s="88">
        <f t="shared" si="8"/>
        <v>46162</v>
      </c>
      <c r="B2698" s="72" t="str">
        <f t="shared" si="1"/>
        <v>20260520</v>
      </c>
      <c r="C2698" s="72" t="str">
        <f t="shared" si="2"/>
        <v>Wednesday</v>
      </c>
      <c r="D2698" s="72" t="str">
        <f t="shared" si="3"/>
        <v>May</v>
      </c>
      <c r="E2698" s="72" t="str">
        <f t="shared" si="4"/>
        <v>Q2</v>
      </c>
      <c r="F2698" s="72">
        <f t="shared" si="5"/>
        <v>2026</v>
      </c>
      <c r="G2698" s="89">
        <f t="shared" si="6"/>
        <v>46165</v>
      </c>
      <c r="H2698" s="72" t="str">
        <f t="shared" si="7"/>
        <v>Yes</v>
      </c>
    </row>
    <row r="2699" ht="15.75" customHeight="1">
      <c r="A2699" s="88">
        <f t="shared" si="8"/>
        <v>46163</v>
      </c>
      <c r="B2699" s="72" t="str">
        <f t="shared" si="1"/>
        <v>20260521</v>
      </c>
      <c r="C2699" s="72" t="str">
        <f t="shared" si="2"/>
        <v>Thursday</v>
      </c>
      <c r="D2699" s="72" t="str">
        <f t="shared" si="3"/>
        <v>May</v>
      </c>
      <c r="E2699" s="72" t="str">
        <f t="shared" si="4"/>
        <v>Q2</v>
      </c>
      <c r="F2699" s="72">
        <f t="shared" si="5"/>
        <v>2026</v>
      </c>
      <c r="G2699" s="89">
        <f t="shared" si="6"/>
        <v>46165</v>
      </c>
      <c r="H2699" s="72" t="str">
        <f t="shared" si="7"/>
        <v>Yes</v>
      </c>
    </row>
    <row r="2700" ht="15.75" customHeight="1">
      <c r="A2700" s="88">
        <f t="shared" si="8"/>
        <v>46164</v>
      </c>
      <c r="B2700" s="72" t="str">
        <f t="shared" si="1"/>
        <v>20260522</v>
      </c>
      <c r="C2700" s="72" t="str">
        <f t="shared" si="2"/>
        <v>Friday</v>
      </c>
      <c r="D2700" s="72" t="str">
        <f t="shared" si="3"/>
        <v>May</v>
      </c>
      <c r="E2700" s="72" t="str">
        <f t="shared" si="4"/>
        <v>Q2</v>
      </c>
      <c r="F2700" s="72">
        <f t="shared" si="5"/>
        <v>2026</v>
      </c>
      <c r="G2700" s="89">
        <f t="shared" si="6"/>
        <v>46165</v>
      </c>
      <c r="H2700" s="72" t="str">
        <f t="shared" si="7"/>
        <v>Yes</v>
      </c>
    </row>
    <row r="2701" ht="15.75" customHeight="1">
      <c r="A2701" s="88">
        <f t="shared" si="8"/>
        <v>46165</v>
      </c>
      <c r="B2701" s="72" t="str">
        <f t="shared" si="1"/>
        <v>20260523</v>
      </c>
      <c r="C2701" s="72" t="str">
        <f t="shared" si="2"/>
        <v>Saturday</v>
      </c>
      <c r="D2701" s="72" t="str">
        <f t="shared" si="3"/>
        <v>May</v>
      </c>
      <c r="E2701" s="72" t="str">
        <f t="shared" si="4"/>
        <v>Q2</v>
      </c>
      <c r="F2701" s="72">
        <f t="shared" si="5"/>
        <v>2026</v>
      </c>
      <c r="G2701" s="89">
        <f t="shared" si="6"/>
        <v>46165</v>
      </c>
      <c r="H2701" s="72" t="str">
        <f t="shared" si="7"/>
        <v>No</v>
      </c>
    </row>
    <row r="2702" ht="15.75" customHeight="1">
      <c r="A2702" s="88">
        <f t="shared" si="8"/>
        <v>46166</v>
      </c>
      <c r="B2702" s="72" t="str">
        <f t="shared" si="1"/>
        <v>20260524</v>
      </c>
      <c r="C2702" s="72" t="str">
        <f t="shared" si="2"/>
        <v>Sunday</v>
      </c>
      <c r="D2702" s="72" t="str">
        <f t="shared" si="3"/>
        <v>May</v>
      </c>
      <c r="E2702" s="72" t="str">
        <f t="shared" si="4"/>
        <v>Q2</v>
      </c>
      <c r="F2702" s="72">
        <f t="shared" si="5"/>
        <v>2026</v>
      </c>
      <c r="G2702" s="89">
        <f t="shared" si="6"/>
        <v>46172</v>
      </c>
      <c r="H2702" s="72" t="str">
        <f t="shared" si="7"/>
        <v>No</v>
      </c>
    </row>
    <row r="2703" ht="15.75" customHeight="1">
      <c r="A2703" s="88">
        <f t="shared" si="8"/>
        <v>46167</v>
      </c>
      <c r="B2703" s="72" t="str">
        <f t="shared" si="1"/>
        <v>20260525</v>
      </c>
      <c r="C2703" s="72" t="str">
        <f t="shared" si="2"/>
        <v>Monday</v>
      </c>
      <c r="D2703" s="72" t="str">
        <f t="shared" si="3"/>
        <v>May</v>
      </c>
      <c r="E2703" s="72" t="str">
        <f t="shared" si="4"/>
        <v>Q2</v>
      </c>
      <c r="F2703" s="72">
        <f t="shared" si="5"/>
        <v>2026</v>
      </c>
      <c r="G2703" s="89">
        <f t="shared" si="6"/>
        <v>46172</v>
      </c>
      <c r="H2703" s="72" t="str">
        <f t="shared" si="7"/>
        <v>Yes</v>
      </c>
    </row>
    <row r="2704" ht="15.75" customHeight="1">
      <c r="A2704" s="88">
        <f t="shared" si="8"/>
        <v>46168</v>
      </c>
      <c r="B2704" s="72" t="str">
        <f t="shared" si="1"/>
        <v>20260526</v>
      </c>
      <c r="C2704" s="72" t="str">
        <f t="shared" si="2"/>
        <v>Tuesday</v>
      </c>
      <c r="D2704" s="72" t="str">
        <f t="shared" si="3"/>
        <v>May</v>
      </c>
      <c r="E2704" s="72" t="str">
        <f t="shared" si="4"/>
        <v>Q2</v>
      </c>
      <c r="F2704" s="72">
        <f t="shared" si="5"/>
        <v>2026</v>
      </c>
      <c r="G2704" s="89">
        <f t="shared" si="6"/>
        <v>46172</v>
      </c>
      <c r="H2704" s="72" t="str">
        <f t="shared" si="7"/>
        <v>Yes</v>
      </c>
    </row>
    <row r="2705" ht="15.75" customHeight="1">
      <c r="A2705" s="88">
        <f t="shared" si="8"/>
        <v>46169</v>
      </c>
      <c r="B2705" s="72" t="str">
        <f t="shared" si="1"/>
        <v>20260527</v>
      </c>
      <c r="C2705" s="72" t="str">
        <f t="shared" si="2"/>
        <v>Wednesday</v>
      </c>
      <c r="D2705" s="72" t="str">
        <f t="shared" si="3"/>
        <v>May</v>
      </c>
      <c r="E2705" s="72" t="str">
        <f t="shared" si="4"/>
        <v>Q2</v>
      </c>
      <c r="F2705" s="72">
        <f t="shared" si="5"/>
        <v>2026</v>
      </c>
      <c r="G2705" s="89">
        <f t="shared" si="6"/>
        <v>46172</v>
      </c>
      <c r="H2705" s="72" t="str">
        <f t="shared" si="7"/>
        <v>Yes</v>
      </c>
    </row>
    <row r="2706" ht="15.75" customHeight="1">
      <c r="A2706" s="88">
        <f t="shared" si="8"/>
        <v>46170</v>
      </c>
      <c r="B2706" s="72" t="str">
        <f t="shared" si="1"/>
        <v>20260528</v>
      </c>
      <c r="C2706" s="72" t="str">
        <f t="shared" si="2"/>
        <v>Thursday</v>
      </c>
      <c r="D2706" s="72" t="str">
        <f t="shared" si="3"/>
        <v>May</v>
      </c>
      <c r="E2706" s="72" t="str">
        <f t="shared" si="4"/>
        <v>Q2</v>
      </c>
      <c r="F2706" s="72">
        <f t="shared" si="5"/>
        <v>2026</v>
      </c>
      <c r="G2706" s="89">
        <f t="shared" si="6"/>
        <v>46172</v>
      </c>
      <c r="H2706" s="72" t="str">
        <f t="shared" si="7"/>
        <v>Yes</v>
      </c>
    </row>
    <row r="2707" ht="15.75" customHeight="1">
      <c r="A2707" s="88">
        <f t="shared" si="8"/>
        <v>46171</v>
      </c>
      <c r="B2707" s="72" t="str">
        <f t="shared" si="1"/>
        <v>20260529</v>
      </c>
      <c r="C2707" s="72" t="str">
        <f t="shared" si="2"/>
        <v>Friday</v>
      </c>
      <c r="D2707" s="72" t="str">
        <f t="shared" si="3"/>
        <v>May</v>
      </c>
      <c r="E2707" s="72" t="str">
        <f t="shared" si="4"/>
        <v>Q2</v>
      </c>
      <c r="F2707" s="72">
        <f t="shared" si="5"/>
        <v>2026</v>
      </c>
      <c r="G2707" s="89">
        <f t="shared" si="6"/>
        <v>46172</v>
      </c>
      <c r="H2707" s="72" t="str">
        <f t="shared" si="7"/>
        <v>Yes</v>
      </c>
    </row>
    <row r="2708" ht="15.75" customHeight="1">
      <c r="A2708" s="88">
        <f t="shared" si="8"/>
        <v>46172</v>
      </c>
      <c r="B2708" s="72" t="str">
        <f t="shared" si="1"/>
        <v>20260530</v>
      </c>
      <c r="C2708" s="72" t="str">
        <f t="shared" si="2"/>
        <v>Saturday</v>
      </c>
      <c r="D2708" s="72" t="str">
        <f t="shared" si="3"/>
        <v>May</v>
      </c>
      <c r="E2708" s="72" t="str">
        <f t="shared" si="4"/>
        <v>Q2</v>
      </c>
      <c r="F2708" s="72">
        <f t="shared" si="5"/>
        <v>2026</v>
      </c>
      <c r="G2708" s="89">
        <f t="shared" si="6"/>
        <v>46172</v>
      </c>
      <c r="H2708" s="72" t="str">
        <f t="shared" si="7"/>
        <v>No</v>
      </c>
    </row>
    <row r="2709" ht="15.75" customHeight="1">
      <c r="A2709" s="88">
        <f t="shared" si="8"/>
        <v>46173</v>
      </c>
      <c r="B2709" s="72" t="str">
        <f t="shared" si="1"/>
        <v>20260531</v>
      </c>
      <c r="C2709" s="72" t="str">
        <f t="shared" si="2"/>
        <v>Sunday</v>
      </c>
      <c r="D2709" s="72" t="str">
        <f t="shared" si="3"/>
        <v>May</v>
      </c>
      <c r="E2709" s="72" t="str">
        <f t="shared" si="4"/>
        <v>Q2</v>
      </c>
      <c r="F2709" s="72">
        <f t="shared" si="5"/>
        <v>2026</v>
      </c>
      <c r="G2709" s="89">
        <f t="shared" si="6"/>
        <v>46179</v>
      </c>
      <c r="H2709" s="72" t="str">
        <f t="shared" si="7"/>
        <v>No</v>
      </c>
    </row>
    <row r="2710" ht="15.75" customHeight="1">
      <c r="A2710" s="88">
        <f t="shared" si="8"/>
        <v>46174</v>
      </c>
      <c r="B2710" s="72" t="str">
        <f t="shared" si="1"/>
        <v>20260601</v>
      </c>
      <c r="C2710" s="72" t="str">
        <f t="shared" si="2"/>
        <v>Monday</v>
      </c>
      <c r="D2710" s="72" t="str">
        <f t="shared" si="3"/>
        <v>June</v>
      </c>
      <c r="E2710" s="72" t="str">
        <f t="shared" si="4"/>
        <v>Q2</v>
      </c>
      <c r="F2710" s="72">
        <f t="shared" si="5"/>
        <v>2026</v>
      </c>
      <c r="G2710" s="89">
        <f t="shared" si="6"/>
        <v>46179</v>
      </c>
      <c r="H2710" s="72" t="str">
        <f t="shared" si="7"/>
        <v>Yes</v>
      </c>
    </row>
    <row r="2711" ht="15.75" customHeight="1">
      <c r="A2711" s="88">
        <f t="shared" si="8"/>
        <v>46175</v>
      </c>
      <c r="B2711" s="72" t="str">
        <f t="shared" si="1"/>
        <v>20260602</v>
      </c>
      <c r="C2711" s="72" t="str">
        <f t="shared" si="2"/>
        <v>Tuesday</v>
      </c>
      <c r="D2711" s="72" t="str">
        <f t="shared" si="3"/>
        <v>June</v>
      </c>
      <c r="E2711" s="72" t="str">
        <f t="shared" si="4"/>
        <v>Q2</v>
      </c>
      <c r="F2711" s="72">
        <f t="shared" si="5"/>
        <v>2026</v>
      </c>
      <c r="G2711" s="89">
        <f t="shared" si="6"/>
        <v>46179</v>
      </c>
      <c r="H2711" s="72" t="str">
        <f t="shared" si="7"/>
        <v>Yes</v>
      </c>
    </row>
    <row r="2712" ht="15.75" customHeight="1">
      <c r="A2712" s="88">
        <f t="shared" si="8"/>
        <v>46176</v>
      </c>
      <c r="B2712" s="72" t="str">
        <f t="shared" si="1"/>
        <v>20260603</v>
      </c>
      <c r="C2712" s="72" t="str">
        <f t="shared" si="2"/>
        <v>Wednesday</v>
      </c>
      <c r="D2712" s="72" t="str">
        <f t="shared" si="3"/>
        <v>June</v>
      </c>
      <c r="E2712" s="72" t="str">
        <f t="shared" si="4"/>
        <v>Q2</v>
      </c>
      <c r="F2712" s="72">
        <f t="shared" si="5"/>
        <v>2026</v>
      </c>
      <c r="G2712" s="89">
        <f t="shared" si="6"/>
        <v>46179</v>
      </c>
      <c r="H2712" s="72" t="str">
        <f t="shared" si="7"/>
        <v>Yes</v>
      </c>
    </row>
    <row r="2713" ht="15.75" customHeight="1">
      <c r="A2713" s="88">
        <f t="shared" si="8"/>
        <v>46177</v>
      </c>
      <c r="B2713" s="72" t="str">
        <f t="shared" si="1"/>
        <v>20260604</v>
      </c>
      <c r="C2713" s="72" t="str">
        <f t="shared" si="2"/>
        <v>Thursday</v>
      </c>
      <c r="D2713" s="72" t="str">
        <f t="shared" si="3"/>
        <v>June</v>
      </c>
      <c r="E2713" s="72" t="str">
        <f t="shared" si="4"/>
        <v>Q2</v>
      </c>
      <c r="F2713" s="72">
        <f t="shared" si="5"/>
        <v>2026</v>
      </c>
      <c r="G2713" s="89">
        <f t="shared" si="6"/>
        <v>46179</v>
      </c>
      <c r="H2713" s="72" t="str">
        <f t="shared" si="7"/>
        <v>Yes</v>
      </c>
    </row>
    <row r="2714" ht="15.75" customHeight="1">
      <c r="A2714" s="88">
        <f t="shared" si="8"/>
        <v>46178</v>
      </c>
      <c r="B2714" s="72" t="str">
        <f t="shared" si="1"/>
        <v>20260605</v>
      </c>
      <c r="C2714" s="72" t="str">
        <f t="shared" si="2"/>
        <v>Friday</v>
      </c>
      <c r="D2714" s="72" t="str">
        <f t="shared" si="3"/>
        <v>June</v>
      </c>
      <c r="E2714" s="72" t="str">
        <f t="shared" si="4"/>
        <v>Q2</v>
      </c>
      <c r="F2714" s="72">
        <f t="shared" si="5"/>
        <v>2026</v>
      </c>
      <c r="G2714" s="89">
        <f t="shared" si="6"/>
        <v>46179</v>
      </c>
      <c r="H2714" s="72" t="str">
        <f t="shared" si="7"/>
        <v>Yes</v>
      </c>
    </row>
    <row r="2715" ht="15.75" customHeight="1">
      <c r="A2715" s="88">
        <f t="shared" si="8"/>
        <v>46179</v>
      </c>
      <c r="B2715" s="72" t="str">
        <f t="shared" si="1"/>
        <v>20260606</v>
      </c>
      <c r="C2715" s="72" t="str">
        <f t="shared" si="2"/>
        <v>Saturday</v>
      </c>
      <c r="D2715" s="72" t="str">
        <f t="shared" si="3"/>
        <v>June</v>
      </c>
      <c r="E2715" s="72" t="str">
        <f t="shared" si="4"/>
        <v>Q2</v>
      </c>
      <c r="F2715" s="72">
        <f t="shared" si="5"/>
        <v>2026</v>
      </c>
      <c r="G2715" s="89">
        <f t="shared" si="6"/>
        <v>46179</v>
      </c>
      <c r="H2715" s="72" t="str">
        <f t="shared" si="7"/>
        <v>No</v>
      </c>
    </row>
    <row r="2716" ht="15.75" customHeight="1">
      <c r="A2716" s="88">
        <f t="shared" si="8"/>
        <v>46180</v>
      </c>
      <c r="B2716" s="72" t="str">
        <f t="shared" si="1"/>
        <v>20260607</v>
      </c>
      <c r="C2716" s="72" t="str">
        <f t="shared" si="2"/>
        <v>Sunday</v>
      </c>
      <c r="D2716" s="72" t="str">
        <f t="shared" si="3"/>
        <v>June</v>
      </c>
      <c r="E2716" s="72" t="str">
        <f t="shared" si="4"/>
        <v>Q2</v>
      </c>
      <c r="F2716" s="72">
        <f t="shared" si="5"/>
        <v>2026</v>
      </c>
      <c r="G2716" s="89">
        <f t="shared" si="6"/>
        <v>46186</v>
      </c>
      <c r="H2716" s="72" t="str">
        <f t="shared" si="7"/>
        <v>No</v>
      </c>
    </row>
    <row r="2717" ht="15.75" customHeight="1">
      <c r="A2717" s="88">
        <f t="shared" si="8"/>
        <v>46181</v>
      </c>
      <c r="B2717" s="72" t="str">
        <f t="shared" si="1"/>
        <v>20260608</v>
      </c>
      <c r="C2717" s="72" t="str">
        <f t="shared" si="2"/>
        <v>Monday</v>
      </c>
      <c r="D2717" s="72" t="str">
        <f t="shared" si="3"/>
        <v>June</v>
      </c>
      <c r="E2717" s="72" t="str">
        <f t="shared" si="4"/>
        <v>Q2</v>
      </c>
      <c r="F2717" s="72">
        <f t="shared" si="5"/>
        <v>2026</v>
      </c>
      <c r="G2717" s="89">
        <f t="shared" si="6"/>
        <v>46186</v>
      </c>
      <c r="H2717" s="72" t="str">
        <f t="shared" si="7"/>
        <v>Yes</v>
      </c>
    </row>
    <row r="2718" ht="15.75" customHeight="1">
      <c r="A2718" s="88">
        <f t="shared" si="8"/>
        <v>46182</v>
      </c>
      <c r="B2718" s="72" t="str">
        <f t="shared" si="1"/>
        <v>20260609</v>
      </c>
      <c r="C2718" s="72" t="str">
        <f t="shared" si="2"/>
        <v>Tuesday</v>
      </c>
      <c r="D2718" s="72" t="str">
        <f t="shared" si="3"/>
        <v>June</v>
      </c>
      <c r="E2718" s="72" t="str">
        <f t="shared" si="4"/>
        <v>Q2</v>
      </c>
      <c r="F2718" s="72">
        <f t="shared" si="5"/>
        <v>2026</v>
      </c>
      <c r="G2718" s="89">
        <f t="shared" si="6"/>
        <v>46186</v>
      </c>
      <c r="H2718" s="72" t="str">
        <f t="shared" si="7"/>
        <v>Yes</v>
      </c>
    </row>
    <row r="2719" ht="15.75" customHeight="1">
      <c r="A2719" s="88">
        <f t="shared" si="8"/>
        <v>46183</v>
      </c>
      <c r="B2719" s="72" t="str">
        <f t="shared" si="1"/>
        <v>20260610</v>
      </c>
      <c r="C2719" s="72" t="str">
        <f t="shared" si="2"/>
        <v>Wednesday</v>
      </c>
      <c r="D2719" s="72" t="str">
        <f t="shared" si="3"/>
        <v>June</v>
      </c>
      <c r="E2719" s="72" t="str">
        <f t="shared" si="4"/>
        <v>Q2</v>
      </c>
      <c r="F2719" s="72">
        <f t="shared" si="5"/>
        <v>2026</v>
      </c>
      <c r="G2719" s="89">
        <f t="shared" si="6"/>
        <v>46186</v>
      </c>
      <c r="H2719" s="72" t="str">
        <f t="shared" si="7"/>
        <v>Yes</v>
      </c>
    </row>
    <row r="2720" ht="15.75" customHeight="1">
      <c r="A2720" s="88">
        <f t="shared" si="8"/>
        <v>46184</v>
      </c>
      <c r="B2720" s="72" t="str">
        <f t="shared" si="1"/>
        <v>20260611</v>
      </c>
      <c r="C2720" s="72" t="str">
        <f t="shared" si="2"/>
        <v>Thursday</v>
      </c>
      <c r="D2720" s="72" t="str">
        <f t="shared" si="3"/>
        <v>June</v>
      </c>
      <c r="E2720" s="72" t="str">
        <f t="shared" si="4"/>
        <v>Q2</v>
      </c>
      <c r="F2720" s="72">
        <f t="shared" si="5"/>
        <v>2026</v>
      </c>
      <c r="G2720" s="89">
        <f t="shared" si="6"/>
        <v>46186</v>
      </c>
      <c r="H2720" s="72" t="str">
        <f t="shared" si="7"/>
        <v>Yes</v>
      </c>
    </row>
    <row r="2721" ht="15.75" customHeight="1">
      <c r="A2721" s="88">
        <f t="shared" si="8"/>
        <v>46185</v>
      </c>
      <c r="B2721" s="72" t="str">
        <f t="shared" si="1"/>
        <v>20260612</v>
      </c>
      <c r="C2721" s="72" t="str">
        <f t="shared" si="2"/>
        <v>Friday</v>
      </c>
      <c r="D2721" s="72" t="str">
        <f t="shared" si="3"/>
        <v>June</v>
      </c>
      <c r="E2721" s="72" t="str">
        <f t="shared" si="4"/>
        <v>Q2</v>
      </c>
      <c r="F2721" s="72">
        <f t="shared" si="5"/>
        <v>2026</v>
      </c>
      <c r="G2721" s="89">
        <f t="shared" si="6"/>
        <v>46186</v>
      </c>
      <c r="H2721" s="72" t="str">
        <f t="shared" si="7"/>
        <v>Yes</v>
      </c>
    </row>
    <row r="2722" ht="15.75" customHeight="1">
      <c r="A2722" s="88">
        <f t="shared" si="8"/>
        <v>46186</v>
      </c>
      <c r="B2722" s="72" t="str">
        <f t="shared" si="1"/>
        <v>20260613</v>
      </c>
      <c r="C2722" s="72" t="str">
        <f t="shared" si="2"/>
        <v>Saturday</v>
      </c>
      <c r="D2722" s="72" t="str">
        <f t="shared" si="3"/>
        <v>June</v>
      </c>
      <c r="E2722" s="72" t="str">
        <f t="shared" si="4"/>
        <v>Q2</v>
      </c>
      <c r="F2722" s="72">
        <f t="shared" si="5"/>
        <v>2026</v>
      </c>
      <c r="G2722" s="89">
        <f t="shared" si="6"/>
        <v>46186</v>
      </c>
      <c r="H2722" s="72" t="str">
        <f t="shared" si="7"/>
        <v>No</v>
      </c>
    </row>
    <row r="2723" ht="15.75" customHeight="1">
      <c r="A2723" s="88">
        <f t="shared" si="8"/>
        <v>46187</v>
      </c>
      <c r="B2723" s="72" t="str">
        <f t="shared" si="1"/>
        <v>20260614</v>
      </c>
      <c r="C2723" s="72" t="str">
        <f t="shared" si="2"/>
        <v>Sunday</v>
      </c>
      <c r="D2723" s="72" t="str">
        <f t="shared" si="3"/>
        <v>June</v>
      </c>
      <c r="E2723" s="72" t="str">
        <f t="shared" si="4"/>
        <v>Q2</v>
      </c>
      <c r="F2723" s="72">
        <f t="shared" si="5"/>
        <v>2026</v>
      </c>
      <c r="G2723" s="89">
        <f t="shared" si="6"/>
        <v>46193</v>
      </c>
      <c r="H2723" s="72" t="str">
        <f t="shared" si="7"/>
        <v>No</v>
      </c>
    </row>
    <row r="2724" ht="15.75" customHeight="1">
      <c r="A2724" s="88">
        <f t="shared" si="8"/>
        <v>46188</v>
      </c>
      <c r="B2724" s="72" t="str">
        <f t="shared" si="1"/>
        <v>20260615</v>
      </c>
      <c r="C2724" s="72" t="str">
        <f t="shared" si="2"/>
        <v>Monday</v>
      </c>
      <c r="D2724" s="72" t="str">
        <f t="shared" si="3"/>
        <v>June</v>
      </c>
      <c r="E2724" s="72" t="str">
        <f t="shared" si="4"/>
        <v>Q2</v>
      </c>
      <c r="F2724" s="72">
        <f t="shared" si="5"/>
        <v>2026</v>
      </c>
      <c r="G2724" s="89">
        <f t="shared" si="6"/>
        <v>46193</v>
      </c>
      <c r="H2724" s="72" t="str">
        <f t="shared" si="7"/>
        <v>Yes</v>
      </c>
    </row>
    <row r="2725" ht="15.75" customHeight="1">
      <c r="A2725" s="88">
        <f t="shared" si="8"/>
        <v>46189</v>
      </c>
      <c r="B2725" s="72" t="str">
        <f t="shared" si="1"/>
        <v>20260616</v>
      </c>
      <c r="C2725" s="72" t="str">
        <f t="shared" si="2"/>
        <v>Tuesday</v>
      </c>
      <c r="D2725" s="72" t="str">
        <f t="shared" si="3"/>
        <v>June</v>
      </c>
      <c r="E2725" s="72" t="str">
        <f t="shared" si="4"/>
        <v>Q2</v>
      </c>
      <c r="F2725" s="72">
        <f t="shared" si="5"/>
        <v>2026</v>
      </c>
      <c r="G2725" s="89">
        <f t="shared" si="6"/>
        <v>46193</v>
      </c>
      <c r="H2725" s="72" t="str">
        <f t="shared" si="7"/>
        <v>Yes</v>
      </c>
    </row>
    <row r="2726" ht="15.75" customHeight="1">
      <c r="A2726" s="88">
        <f t="shared" si="8"/>
        <v>46190</v>
      </c>
      <c r="B2726" s="72" t="str">
        <f t="shared" si="1"/>
        <v>20260617</v>
      </c>
      <c r="C2726" s="72" t="str">
        <f t="shared" si="2"/>
        <v>Wednesday</v>
      </c>
      <c r="D2726" s="72" t="str">
        <f t="shared" si="3"/>
        <v>June</v>
      </c>
      <c r="E2726" s="72" t="str">
        <f t="shared" si="4"/>
        <v>Q2</v>
      </c>
      <c r="F2726" s="72">
        <f t="shared" si="5"/>
        <v>2026</v>
      </c>
      <c r="G2726" s="89">
        <f t="shared" si="6"/>
        <v>46193</v>
      </c>
      <c r="H2726" s="72" t="str">
        <f t="shared" si="7"/>
        <v>Yes</v>
      </c>
    </row>
    <row r="2727" ht="15.75" customHeight="1">
      <c r="A2727" s="88">
        <f t="shared" si="8"/>
        <v>46191</v>
      </c>
      <c r="B2727" s="72" t="str">
        <f t="shared" si="1"/>
        <v>20260618</v>
      </c>
      <c r="C2727" s="72" t="str">
        <f t="shared" si="2"/>
        <v>Thursday</v>
      </c>
      <c r="D2727" s="72" t="str">
        <f t="shared" si="3"/>
        <v>June</v>
      </c>
      <c r="E2727" s="72" t="str">
        <f t="shared" si="4"/>
        <v>Q2</v>
      </c>
      <c r="F2727" s="72">
        <f t="shared" si="5"/>
        <v>2026</v>
      </c>
      <c r="G2727" s="89">
        <f t="shared" si="6"/>
        <v>46193</v>
      </c>
      <c r="H2727" s="72" t="str">
        <f t="shared" si="7"/>
        <v>Yes</v>
      </c>
    </row>
    <row r="2728" ht="15.75" customHeight="1">
      <c r="A2728" s="88">
        <f t="shared" si="8"/>
        <v>46192</v>
      </c>
      <c r="B2728" s="72" t="str">
        <f t="shared" si="1"/>
        <v>20260619</v>
      </c>
      <c r="C2728" s="72" t="str">
        <f t="shared" si="2"/>
        <v>Friday</v>
      </c>
      <c r="D2728" s="72" t="str">
        <f t="shared" si="3"/>
        <v>June</v>
      </c>
      <c r="E2728" s="72" t="str">
        <f t="shared" si="4"/>
        <v>Q2</v>
      </c>
      <c r="F2728" s="72">
        <f t="shared" si="5"/>
        <v>2026</v>
      </c>
      <c r="G2728" s="89">
        <f t="shared" si="6"/>
        <v>46193</v>
      </c>
      <c r="H2728" s="72" t="str">
        <f t="shared" si="7"/>
        <v>Yes</v>
      </c>
    </row>
    <row r="2729" ht="15.75" customHeight="1">
      <c r="A2729" s="88">
        <f t="shared" si="8"/>
        <v>46193</v>
      </c>
      <c r="B2729" s="72" t="str">
        <f t="shared" si="1"/>
        <v>20260620</v>
      </c>
      <c r="C2729" s="72" t="str">
        <f t="shared" si="2"/>
        <v>Saturday</v>
      </c>
      <c r="D2729" s="72" t="str">
        <f t="shared" si="3"/>
        <v>June</v>
      </c>
      <c r="E2729" s="72" t="str">
        <f t="shared" si="4"/>
        <v>Q2</v>
      </c>
      <c r="F2729" s="72">
        <f t="shared" si="5"/>
        <v>2026</v>
      </c>
      <c r="G2729" s="89">
        <f t="shared" si="6"/>
        <v>46193</v>
      </c>
      <c r="H2729" s="72" t="str">
        <f t="shared" si="7"/>
        <v>No</v>
      </c>
    </row>
    <row r="2730" ht="15.75" customHeight="1">
      <c r="A2730" s="88">
        <f t="shared" si="8"/>
        <v>46194</v>
      </c>
      <c r="B2730" s="72" t="str">
        <f t="shared" si="1"/>
        <v>20260621</v>
      </c>
      <c r="C2730" s="72" t="str">
        <f t="shared" si="2"/>
        <v>Sunday</v>
      </c>
      <c r="D2730" s="72" t="str">
        <f t="shared" si="3"/>
        <v>June</v>
      </c>
      <c r="E2730" s="72" t="str">
        <f t="shared" si="4"/>
        <v>Q2</v>
      </c>
      <c r="F2730" s="72">
        <f t="shared" si="5"/>
        <v>2026</v>
      </c>
      <c r="G2730" s="89">
        <f t="shared" si="6"/>
        <v>46200</v>
      </c>
      <c r="H2730" s="72" t="str">
        <f t="shared" si="7"/>
        <v>No</v>
      </c>
    </row>
    <row r="2731" ht="15.75" customHeight="1">
      <c r="A2731" s="88">
        <f t="shared" si="8"/>
        <v>46195</v>
      </c>
      <c r="B2731" s="72" t="str">
        <f t="shared" si="1"/>
        <v>20260622</v>
      </c>
      <c r="C2731" s="72" t="str">
        <f t="shared" si="2"/>
        <v>Monday</v>
      </c>
      <c r="D2731" s="72" t="str">
        <f t="shared" si="3"/>
        <v>June</v>
      </c>
      <c r="E2731" s="72" t="str">
        <f t="shared" si="4"/>
        <v>Q2</v>
      </c>
      <c r="F2731" s="72">
        <f t="shared" si="5"/>
        <v>2026</v>
      </c>
      <c r="G2731" s="89">
        <f t="shared" si="6"/>
        <v>46200</v>
      </c>
      <c r="H2731" s="72" t="str">
        <f t="shared" si="7"/>
        <v>Yes</v>
      </c>
    </row>
    <row r="2732" ht="15.75" customHeight="1">
      <c r="A2732" s="88">
        <f t="shared" si="8"/>
        <v>46196</v>
      </c>
      <c r="B2732" s="72" t="str">
        <f t="shared" si="1"/>
        <v>20260623</v>
      </c>
      <c r="C2732" s="72" t="str">
        <f t="shared" si="2"/>
        <v>Tuesday</v>
      </c>
      <c r="D2732" s="72" t="str">
        <f t="shared" si="3"/>
        <v>June</v>
      </c>
      <c r="E2732" s="72" t="str">
        <f t="shared" si="4"/>
        <v>Q2</v>
      </c>
      <c r="F2732" s="72">
        <f t="shared" si="5"/>
        <v>2026</v>
      </c>
      <c r="G2732" s="89">
        <f t="shared" si="6"/>
        <v>46200</v>
      </c>
      <c r="H2732" s="72" t="str">
        <f t="shared" si="7"/>
        <v>Yes</v>
      </c>
    </row>
    <row r="2733" ht="15.75" customHeight="1">
      <c r="A2733" s="88">
        <f t="shared" si="8"/>
        <v>46197</v>
      </c>
      <c r="B2733" s="72" t="str">
        <f t="shared" si="1"/>
        <v>20260624</v>
      </c>
      <c r="C2733" s="72" t="str">
        <f t="shared" si="2"/>
        <v>Wednesday</v>
      </c>
      <c r="D2733" s="72" t="str">
        <f t="shared" si="3"/>
        <v>June</v>
      </c>
      <c r="E2733" s="72" t="str">
        <f t="shared" si="4"/>
        <v>Q2</v>
      </c>
      <c r="F2733" s="72">
        <f t="shared" si="5"/>
        <v>2026</v>
      </c>
      <c r="G2733" s="89">
        <f t="shared" si="6"/>
        <v>46200</v>
      </c>
      <c r="H2733" s="72" t="str">
        <f t="shared" si="7"/>
        <v>Yes</v>
      </c>
    </row>
    <row r="2734" ht="15.75" customHeight="1">
      <c r="A2734" s="88">
        <f t="shared" si="8"/>
        <v>46198</v>
      </c>
      <c r="B2734" s="72" t="str">
        <f t="shared" si="1"/>
        <v>20260625</v>
      </c>
      <c r="C2734" s="72" t="str">
        <f t="shared" si="2"/>
        <v>Thursday</v>
      </c>
      <c r="D2734" s="72" t="str">
        <f t="shared" si="3"/>
        <v>June</v>
      </c>
      <c r="E2734" s="72" t="str">
        <f t="shared" si="4"/>
        <v>Q2</v>
      </c>
      <c r="F2734" s="72">
        <f t="shared" si="5"/>
        <v>2026</v>
      </c>
      <c r="G2734" s="89">
        <f t="shared" si="6"/>
        <v>46200</v>
      </c>
      <c r="H2734" s="72" t="str">
        <f t="shared" si="7"/>
        <v>Yes</v>
      </c>
    </row>
    <row r="2735" ht="15.75" customHeight="1">
      <c r="A2735" s="88">
        <f t="shared" si="8"/>
        <v>46199</v>
      </c>
      <c r="B2735" s="72" t="str">
        <f t="shared" si="1"/>
        <v>20260626</v>
      </c>
      <c r="C2735" s="72" t="str">
        <f t="shared" si="2"/>
        <v>Friday</v>
      </c>
      <c r="D2735" s="72" t="str">
        <f t="shared" si="3"/>
        <v>June</v>
      </c>
      <c r="E2735" s="72" t="str">
        <f t="shared" si="4"/>
        <v>Q2</v>
      </c>
      <c r="F2735" s="72">
        <f t="shared" si="5"/>
        <v>2026</v>
      </c>
      <c r="G2735" s="89">
        <f t="shared" si="6"/>
        <v>46200</v>
      </c>
      <c r="H2735" s="72" t="str">
        <f t="shared" si="7"/>
        <v>Yes</v>
      </c>
    </row>
    <row r="2736" ht="15.75" customHeight="1">
      <c r="A2736" s="88">
        <f t="shared" si="8"/>
        <v>46200</v>
      </c>
      <c r="B2736" s="72" t="str">
        <f t="shared" si="1"/>
        <v>20260627</v>
      </c>
      <c r="C2736" s="72" t="str">
        <f t="shared" si="2"/>
        <v>Saturday</v>
      </c>
      <c r="D2736" s="72" t="str">
        <f t="shared" si="3"/>
        <v>June</v>
      </c>
      <c r="E2736" s="72" t="str">
        <f t="shared" si="4"/>
        <v>Q2</v>
      </c>
      <c r="F2736" s="72">
        <f t="shared" si="5"/>
        <v>2026</v>
      </c>
      <c r="G2736" s="89">
        <f t="shared" si="6"/>
        <v>46200</v>
      </c>
      <c r="H2736" s="72" t="str">
        <f t="shared" si="7"/>
        <v>No</v>
      </c>
    </row>
    <row r="2737" ht="15.75" customHeight="1">
      <c r="A2737" s="88">
        <f t="shared" si="8"/>
        <v>46201</v>
      </c>
      <c r="B2737" s="72" t="str">
        <f t="shared" si="1"/>
        <v>20260628</v>
      </c>
      <c r="C2737" s="72" t="str">
        <f t="shared" si="2"/>
        <v>Sunday</v>
      </c>
      <c r="D2737" s="72" t="str">
        <f t="shared" si="3"/>
        <v>June</v>
      </c>
      <c r="E2737" s="72" t="str">
        <f t="shared" si="4"/>
        <v>Q2</v>
      </c>
      <c r="F2737" s="72">
        <f t="shared" si="5"/>
        <v>2026</v>
      </c>
      <c r="G2737" s="89">
        <f t="shared" si="6"/>
        <v>46207</v>
      </c>
      <c r="H2737" s="72" t="str">
        <f t="shared" si="7"/>
        <v>No</v>
      </c>
    </row>
    <row r="2738" ht="15.75" customHeight="1">
      <c r="A2738" s="88">
        <f t="shared" si="8"/>
        <v>46202</v>
      </c>
      <c r="B2738" s="72" t="str">
        <f t="shared" si="1"/>
        <v>20260629</v>
      </c>
      <c r="C2738" s="72" t="str">
        <f t="shared" si="2"/>
        <v>Monday</v>
      </c>
      <c r="D2738" s="72" t="str">
        <f t="shared" si="3"/>
        <v>June</v>
      </c>
      <c r="E2738" s="72" t="str">
        <f t="shared" si="4"/>
        <v>Q2</v>
      </c>
      <c r="F2738" s="72">
        <f t="shared" si="5"/>
        <v>2026</v>
      </c>
      <c r="G2738" s="89">
        <f t="shared" si="6"/>
        <v>46207</v>
      </c>
      <c r="H2738" s="72" t="str">
        <f t="shared" si="7"/>
        <v>Yes</v>
      </c>
    </row>
    <row r="2739" ht="15.75" customHeight="1">
      <c r="A2739" s="88">
        <f t="shared" si="8"/>
        <v>46203</v>
      </c>
      <c r="B2739" s="72" t="str">
        <f t="shared" si="1"/>
        <v>20260630</v>
      </c>
      <c r="C2739" s="72" t="str">
        <f t="shared" si="2"/>
        <v>Tuesday</v>
      </c>
      <c r="D2739" s="72" t="str">
        <f t="shared" si="3"/>
        <v>June</v>
      </c>
      <c r="E2739" s="72" t="str">
        <f t="shared" si="4"/>
        <v>Q2</v>
      </c>
      <c r="F2739" s="72">
        <f t="shared" si="5"/>
        <v>2026</v>
      </c>
      <c r="G2739" s="89">
        <f t="shared" si="6"/>
        <v>46207</v>
      </c>
      <c r="H2739" s="72" t="str">
        <f t="shared" si="7"/>
        <v>Yes</v>
      </c>
    </row>
    <row r="2740" ht="15.75" customHeight="1">
      <c r="A2740" s="88">
        <f t="shared" si="8"/>
        <v>46204</v>
      </c>
      <c r="B2740" s="72" t="str">
        <f t="shared" si="1"/>
        <v>20260701</v>
      </c>
      <c r="C2740" s="72" t="str">
        <f t="shared" si="2"/>
        <v>Wednesday</v>
      </c>
      <c r="D2740" s="72" t="str">
        <f t="shared" si="3"/>
        <v>July</v>
      </c>
      <c r="E2740" s="72" t="str">
        <f t="shared" si="4"/>
        <v>Q3</v>
      </c>
      <c r="F2740" s="72">
        <f t="shared" si="5"/>
        <v>2026</v>
      </c>
      <c r="G2740" s="89">
        <f t="shared" si="6"/>
        <v>46207</v>
      </c>
      <c r="H2740" s="72" t="str">
        <f t="shared" si="7"/>
        <v>Yes</v>
      </c>
    </row>
    <row r="2741" ht="15.75" customHeight="1">
      <c r="A2741" s="88">
        <f t="shared" si="8"/>
        <v>46205</v>
      </c>
      <c r="B2741" s="72" t="str">
        <f t="shared" si="1"/>
        <v>20260702</v>
      </c>
      <c r="C2741" s="72" t="str">
        <f t="shared" si="2"/>
        <v>Thursday</v>
      </c>
      <c r="D2741" s="72" t="str">
        <f t="shared" si="3"/>
        <v>July</v>
      </c>
      <c r="E2741" s="72" t="str">
        <f t="shared" si="4"/>
        <v>Q3</v>
      </c>
      <c r="F2741" s="72">
        <f t="shared" si="5"/>
        <v>2026</v>
      </c>
      <c r="G2741" s="89">
        <f t="shared" si="6"/>
        <v>46207</v>
      </c>
      <c r="H2741" s="72" t="str">
        <f t="shared" si="7"/>
        <v>Yes</v>
      </c>
    </row>
    <row r="2742" ht="15.75" customHeight="1">
      <c r="A2742" s="88">
        <f t="shared" si="8"/>
        <v>46206</v>
      </c>
      <c r="B2742" s="72" t="str">
        <f t="shared" si="1"/>
        <v>20260703</v>
      </c>
      <c r="C2742" s="72" t="str">
        <f t="shared" si="2"/>
        <v>Friday</v>
      </c>
      <c r="D2742" s="72" t="str">
        <f t="shared" si="3"/>
        <v>July</v>
      </c>
      <c r="E2742" s="72" t="str">
        <f t="shared" si="4"/>
        <v>Q3</v>
      </c>
      <c r="F2742" s="72">
        <f t="shared" si="5"/>
        <v>2026</v>
      </c>
      <c r="G2742" s="89">
        <f t="shared" si="6"/>
        <v>46207</v>
      </c>
      <c r="H2742" s="72" t="str">
        <f t="shared" si="7"/>
        <v>Yes</v>
      </c>
    </row>
    <row r="2743" ht="15.75" customHeight="1">
      <c r="A2743" s="88">
        <f t="shared" si="8"/>
        <v>46207</v>
      </c>
      <c r="B2743" s="72" t="str">
        <f t="shared" si="1"/>
        <v>20260704</v>
      </c>
      <c r="C2743" s="72" t="str">
        <f t="shared" si="2"/>
        <v>Saturday</v>
      </c>
      <c r="D2743" s="72" t="str">
        <f t="shared" si="3"/>
        <v>July</v>
      </c>
      <c r="E2743" s="72" t="str">
        <f t="shared" si="4"/>
        <v>Q3</v>
      </c>
      <c r="F2743" s="72">
        <f t="shared" si="5"/>
        <v>2026</v>
      </c>
      <c r="G2743" s="89">
        <f t="shared" si="6"/>
        <v>46207</v>
      </c>
      <c r="H2743" s="72" t="str">
        <f t="shared" si="7"/>
        <v>No</v>
      </c>
    </row>
    <row r="2744" ht="15.75" customHeight="1">
      <c r="A2744" s="88">
        <f t="shared" si="8"/>
        <v>46208</v>
      </c>
      <c r="B2744" s="72" t="str">
        <f t="shared" si="1"/>
        <v>20260705</v>
      </c>
      <c r="C2744" s="72" t="str">
        <f t="shared" si="2"/>
        <v>Sunday</v>
      </c>
      <c r="D2744" s="72" t="str">
        <f t="shared" si="3"/>
        <v>July</v>
      </c>
      <c r="E2744" s="72" t="str">
        <f t="shared" si="4"/>
        <v>Q3</v>
      </c>
      <c r="F2744" s="72">
        <f t="shared" si="5"/>
        <v>2026</v>
      </c>
      <c r="G2744" s="89">
        <f t="shared" si="6"/>
        <v>46214</v>
      </c>
      <c r="H2744" s="72" t="str">
        <f t="shared" si="7"/>
        <v>No</v>
      </c>
    </row>
    <row r="2745" ht="15.75" customHeight="1">
      <c r="A2745" s="88">
        <f t="shared" si="8"/>
        <v>46209</v>
      </c>
      <c r="B2745" s="72" t="str">
        <f t="shared" si="1"/>
        <v>20260706</v>
      </c>
      <c r="C2745" s="72" t="str">
        <f t="shared" si="2"/>
        <v>Monday</v>
      </c>
      <c r="D2745" s="72" t="str">
        <f t="shared" si="3"/>
        <v>July</v>
      </c>
      <c r="E2745" s="72" t="str">
        <f t="shared" si="4"/>
        <v>Q3</v>
      </c>
      <c r="F2745" s="72">
        <f t="shared" si="5"/>
        <v>2026</v>
      </c>
      <c r="G2745" s="89">
        <f t="shared" si="6"/>
        <v>46214</v>
      </c>
      <c r="H2745" s="72" t="str">
        <f t="shared" si="7"/>
        <v>Yes</v>
      </c>
    </row>
    <row r="2746" ht="15.75" customHeight="1">
      <c r="A2746" s="88">
        <f t="shared" si="8"/>
        <v>46210</v>
      </c>
      <c r="B2746" s="72" t="str">
        <f t="shared" si="1"/>
        <v>20260707</v>
      </c>
      <c r="C2746" s="72" t="str">
        <f t="shared" si="2"/>
        <v>Tuesday</v>
      </c>
      <c r="D2746" s="72" t="str">
        <f t="shared" si="3"/>
        <v>July</v>
      </c>
      <c r="E2746" s="72" t="str">
        <f t="shared" si="4"/>
        <v>Q3</v>
      </c>
      <c r="F2746" s="72">
        <f t="shared" si="5"/>
        <v>2026</v>
      </c>
      <c r="G2746" s="89">
        <f t="shared" si="6"/>
        <v>46214</v>
      </c>
      <c r="H2746" s="72" t="str">
        <f t="shared" si="7"/>
        <v>Yes</v>
      </c>
    </row>
    <row r="2747" ht="15.75" customHeight="1">
      <c r="A2747" s="88">
        <f t="shared" si="8"/>
        <v>46211</v>
      </c>
      <c r="B2747" s="72" t="str">
        <f t="shared" si="1"/>
        <v>20260708</v>
      </c>
      <c r="C2747" s="72" t="str">
        <f t="shared" si="2"/>
        <v>Wednesday</v>
      </c>
      <c r="D2747" s="72" t="str">
        <f t="shared" si="3"/>
        <v>July</v>
      </c>
      <c r="E2747" s="72" t="str">
        <f t="shared" si="4"/>
        <v>Q3</v>
      </c>
      <c r="F2747" s="72">
        <f t="shared" si="5"/>
        <v>2026</v>
      </c>
      <c r="G2747" s="89">
        <f t="shared" si="6"/>
        <v>46214</v>
      </c>
      <c r="H2747" s="72" t="str">
        <f t="shared" si="7"/>
        <v>Yes</v>
      </c>
    </row>
    <row r="2748" ht="15.75" customHeight="1">
      <c r="A2748" s="88">
        <f t="shared" si="8"/>
        <v>46212</v>
      </c>
      <c r="B2748" s="72" t="str">
        <f t="shared" si="1"/>
        <v>20260709</v>
      </c>
      <c r="C2748" s="72" t="str">
        <f t="shared" si="2"/>
        <v>Thursday</v>
      </c>
      <c r="D2748" s="72" t="str">
        <f t="shared" si="3"/>
        <v>July</v>
      </c>
      <c r="E2748" s="72" t="str">
        <f t="shared" si="4"/>
        <v>Q3</v>
      </c>
      <c r="F2748" s="72">
        <f t="shared" si="5"/>
        <v>2026</v>
      </c>
      <c r="G2748" s="89">
        <f t="shared" si="6"/>
        <v>46214</v>
      </c>
      <c r="H2748" s="72" t="str">
        <f t="shared" si="7"/>
        <v>Yes</v>
      </c>
    </row>
    <row r="2749" ht="15.75" customHeight="1">
      <c r="A2749" s="88">
        <f t="shared" si="8"/>
        <v>46213</v>
      </c>
      <c r="B2749" s="72" t="str">
        <f t="shared" si="1"/>
        <v>20260710</v>
      </c>
      <c r="C2749" s="72" t="str">
        <f t="shared" si="2"/>
        <v>Friday</v>
      </c>
      <c r="D2749" s="72" t="str">
        <f t="shared" si="3"/>
        <v>July</v>
      </c>
      <c r="E2749" s="72" t="str">
        <f t="shared" si="4"/>
        <v>Q3</v>
      </c>
      <c r="F2749" s="72">
        <f t="shared" si="5"/>
        <v>2026</v>
      </c>
      <c r="G2749" s="89">
        <f t="shared" si="6"/>
        <v>46214</v>
      </c>
      <c r="H2749" s="72" t="str">
        <f t="shared" si="7"/>
        <v>Yes</v>
      </c>
    </row>
    <row r="2750" ht="15.75" customHeight="1">
      <c r="A2750" s="88">
        <f t="shared" si="8"/>
        <v>46214</v>
      </c>
      <c r="B2750" s="72" t="str">
        <f t="shared" si="1"/>
        <v>20260711</v>
      </c>
      <c r="C2750" s="72" t="str">
        <f t="shared" si="2"/>
        <v>Saturday</v>
      </c>
      <c r="D2750" s="72" t="str">
        <f t="shared" si="3"/>
        <v>July</v>
      </c>
      <c r="E2750" s="72" t="str">
        <f t="shared" si="4"/>
        <v>Q3</v>
      </c>
      <c r="F2750" s="72">
        <f t="shared" si="5"/>
        <v>2026</v>
      </c>
      <c r="G2750" s="89">
        <f t="shared" si="6"/>
        <v>46214</v>
      </c>
      <c r="H2750" s="72" t="str">
        <f t="shared" si="7"/>
        <v>No</v>
      </c>
    </row>
    <row r="2751" ht="15.75" customHeight="1">
      <c r="A2751" s="88">
        <f t="shared" si="8"/>
        <v>46215</v>
      </c>
      <c r="B2751" s="72" t="str">
        <f t="shared" si="1"/>
        <v>20260712</v>
      </c>
      <c r="C2751" s="72" t="str">
        <f t="shared" si="2"/>
        <v>Sunday</v>
      </c>
      <c r="D2751" s="72" t="str">
        <f t="shared" si="3"/>
        <v>July</v>
      </c>
      <c r="E2751" s="72" t="str">
        <f t="shared" si="4"/>
        <v>Q3</v>
      </c>
      <c r="F2751" s="72">
        <f t="shared" si="5"/>
        <v>2026</v>
      </c>
      <c r="G2751" s="89">
        <f t="shared" si="6"/>
        <v>46221</v>
      </c>
      <c r="H2751" s="72" t="str">
        <f t="shared" si="7"/>
        <v>No</v>
      </c>
    </row>
    <row r="2752" ht="15.75" customHeight="1">
      <c r="A2752" s="88">
        <f t="shared" si="8"/>
        <v>46216</v>
      </c>
      <c r="B2752" s="72" t="str">
        <f t="shared" si="1"/>
        <v>20260713</v>
      </c>
      <c r="C2752" s="72" t="str">
        <f t="shared" si="2"/>
        <v>Monday</v>
      </c>
      <c r="D2752" s="72" t="str">
        <f t="shared" si="3"/>
        <v>July</v>
      </c>
      <c r="E2752" s="72" t="str">
        <f t="shared" si="4"/>
        <v>Q3</v>
      </c>
      <c r="F2752" s="72">
        <f t="shared" si="5"/>
        <v>2026</v>
      </c>
      <c r="G2752" s="89">
        <f t="shared" si="6"/>
        <v>46221</v>
      </c>
      <c r="H2752" s="72" t="str">
        <f t="shared" si="7"/>
        <v>Yes</v>
      </c>
    </row>
    <row r="2753" ht="15.75" customHeight="1">
      <c r="A2753" s="88">
        <f t="shared" si="8"/>
        <v>46217</v>
      </c>
      <c r="B2753" s="72" t="str">
        <f t="shared" si="1"/>
        <v>20260714</v>
      </c>
      <c r="C2753" s="72" t="str">
        <f t="shared" si="2"/>
        <v>Tuesday</v>
      </c>
      <c r="D2753" s="72" t="str">
        <f t="shared" si="3"/>
        <v>July</v>
      </c>
      <c r="E2753" s="72" t="str">
        <f t="shared" si="4"/>
        <v>Q3</v>
      </c>
      <c r="F2753" s="72">
        <f t="shared" si="5"/>
        <v>2026</v>
      </c>
      <c r="G2753" s="89">
        <f t="shared" si="6"/>
        <v>46221</v>
      </c>
      <c r="H2753" s="72" t="str">
        <f t="shared" si="7"/>
        <v>Yes</v>
      </c>
    </row>
    <row r="2754" ht="15.75" customHeight="1">
      <c r="A2754" s="88">
        <f t="shared" si="8"/>
        <v>46218</v>
      </c>
      <c r="B2754" s="72" t="str">
        <f t="shared" si="1"/>
        <v>20260715</v>
      </c>
      <c r="C2754" s="72" t="str">
        <f t="shared" si="2"/>
        <v>Wednesday</v>
      </c>
      <c r="D2754" s="72" t="str">
        <f t="shared" si="3"/>
        <v>July</v>
      </c>
      <c r="E2754" s="72" t="str">
        <f t="shared" si="4"/>
        <v>Q3</v>
      </c>
      <c r="F2754" s="72">
        <f t="shared" si="5"/>
        <v>2026</v>
      </c>
      <c r="G2754" s="89">
        <f t="shared" si="6"/>
        <v>46221</v>
      </c>
      <c r="H2754" s="72" t="str">
        <f t="shared" si="7"/>
        <v>Yes</v>
      </c>
    </row>
    <row r="2755" ht="15.75" customHeight="1">
      <c r="A2755" s="88">
        <f t="shared" si="8"/>
        <v>46219</v>
      </c>
      <c r="B2755" s="72" t="str">
        <f t="shared" si="1"/>
        <v>20260716</v>
      </c>
      <c r="C2755" s="72" t="str">
        <f t="shared" si="2"/>
        <v>Thursday</v>
      </c>
      <c r="D2755" s="72" t="str">
        <f t="shared" si="3"/>
        <v>July</v>
      </c>
      <c r="E2755" s="72" t="str">
        <f t="shared" si="4"/>
        <v>Q3</v>
      </c>
      <c r="F2755" s="72">
        <f t="shared" si="5"/>
        <v>2026</v>
      </c>
      <c r="G2755" s="89">
        <f t="shared" si="6"/>
        <v>46221</v>
      </c>
      <c r="H2755" s="72" t="str">
        <f t="shared" si="7"/>
        <v>Yes</v>
      </c>
    </row>
    <row r="2756" ht="15.75" customHeight="1">
      <c r="A2756" s="88">
        <f t="shared" si="8"/>
        <v>46220</v>
      </c>
      <c r="B2756" s="72" t="str">
        <f t="shared" si="1"/>
        <v>20260717</v>
      </c>
      <c r="C2756" s="72" t="str">
        <f t="shared" si="2"/>
        <v>Friday</v>
      </c>
      <c r="D2756" s="72" t="str">
        <f t="shared" si="3"/>
        <v>July</v>
      </c>
      <c r="E2756" s="72" t="str">
        <f t="shared" si="4"/>
        <v>Q3</v>
      </c>
      <c r="F2756" s="72">
        <f t="shared" si="5"/>
        <v>2026</v>
      </c>
      <c r="G2756" s="89">
        <f t="shared" si="6"/>
        <v>46221</v>
      </c>
      <c r="H2756" s="72" t="str">
        <f t="shared" si="7"/>
        <v>Yes</v>
      </c>
    </row>
    <row r="2757" ht="15.75" customHeight="1">
      <c r="A2757" s="88">
        <f t="shared" si="8"/>
        <v>46221</v>
      </c>
      <c r="B2757" s="72" t="str">
        <f t="shared" si="1"/>
        <v>20260718</v>
      </c>
      <c r="C2757" s="72" t="str">
        <f t="shared" si="2"/>
        <v>Saturday</v>
      </c>
      <c r="D2757" s="72" t="str">
        <f t="shared" si="3"/>
        <v>July</v>
      </c>
      <c r="E2757" s="72" t="str">
        <f t="shared" si="4"/>
        <v>Q3</v>
      </c>
      <c r="F2757" s="72">
        <f t="shared" si="5"/>
        <v>2026</v>
      </c>
      <c r="G2757" s="89">
        <f t="shared" si="6"/>
        <v>46221</v>
      </c>
      <c r="H2757" s="72" t="str">
        <f t="shared" si="7"/>
        <v>No</v>
      </c>
    </row>
    <row r="2758" ht="15.75" customHeight="1">
      <c r="A2758" s="88">
        <f t="shared" si="8"/>
        <v>46222</v>
      </c>
      <c r="B2758" s="72" t="str">
        <f t="shared" si="1"/>
        <v>20260719</v>
      </c>
      <c r="C2758" s="72" t="str">
        <f t="shared" si="2"/>
        <v>Sunday</v>
      </c>
      <c r="D2758" s="72" t="str">
        <f t="shared" si="3"/>
        <v>July</v>
      </c>
      <c r="E2758" s="72" t="str">
        <f t="shared" si="4"/>
        <v>Q3</v>
      </c>
      <c r="F2758" s="72">
        <f t="shared" si="5"/>
        <v>2026</v>
      </c>
      <c r="G2758" s="89">
        <f t="shared" si="6"/>
        <v>46228</v>
      </c>
      <c r="H2758" s="72" t="str">
        <f t="shared" si="7"/>
        <v>No</v>
      </c>
    </row>
    <row r="2759" ht="15.75" customHeight="1">
      <c r="A2759" s="88">
        <f t="shared" si="8"/>
        <v>46223</v>
      </c>
      <c r="B2759" s="72" t="str">
        <f t="shared" si="1"/>
        <v>20260720</v>
      </c>
      <c r="C2759" s="72" t="str">
        <f t="shared" si="2"/>
        <v>Monday</v>
      </c>
      <c r="D2759" s="72" t="str">
        <f t="shared" si="3"/>
        <v>July</v>
      </c>
      <c r="E2759" s="72" t="str">
        <f t="shared" si="4"/>
        <v>Q3</v>
      </c>
      <c r="F2759" s="72">
        <f t="shared" si="5"/>
        <v>2026</v>
      </c>
      <c r="G2759" s="89">
        <f t="shared" si="6"/>
        <v>46228</v>
      </c>
      <c r="H2759" s="72" t="str">
        <f t="shared" si="7"/>
        <v>Yes</v>
      </c>
    </row>
    <row r="2760" ht="15.75" customHeight="1">
      <c r="A2760" s="88">
        <f t="shared" si="8"/>
        <v>46224</v>
      </c>
      <c r="B2760" s="72" t="str">
        <f t="shared" si="1"/>
        <v>20260721</v>
      </c>
      <c r="C2760" s="72" t="str">
        <f t="shared" si="2"/>
        <v>Tuesday</v>
      </c>
      <c r="D2760" s="72" t="str">
        <f t="shared" si="3"/>
        <v>July</v>
      </c>
      <c r="E2760" s="72" t="str">
        <f t="shared" si="4"/>
        <v>Q3</v>
      </c>
      <c r="F2760" s="72">
        <f t="shared" si="5"/>
        <v>2026</v>
      </c>
      <c r="G2760" s="89">
        <f t="shared" si="6"/>
        <v>46228</v>
      </c>
      <c r="H2760" s="72" t="str">
        <f t="shared" si="7"/>
        <v>Yes</v>
      </c>
    </row>
    <row r="2761" ht="15.75" customHeight="1">
      <c r="A2761" s="88">
        <f t="shared" si="8"/>
        <v>46225</v>
      </c>
      <c r="B2761" s="72" t="str">
        <f t="shared" si="1"/>
        <v>20260722</v>
      </c>
      <c r="C2761" s="72" t="str">
        <f t="shared" si="2"/>
        <v>Wednesday</v>
      </c>
      <c r="D2761" s="72" t="str">
        <f t="shared" si="3"/>
        <v>July</v>
      </c>
      <c r="E2761" s="72" t="str">
        <f t="shared" si="4"/>
        <v>Q3</v>
      </c>
      <c r="F2761" s="72">
        <f t="shared" si="5"/>
        <v>2026</v>
      </c>
      <c r="G2761" s="89">
        <f t="shared" si="6"/>
        <v>46228</v>
      </c>
      <c r="H2761" s="72" t="str">
        <f t="shared" si="7"/>
        <v>Yes</v>
      </c>
    </row>
    <row r="2762" ht="15.75" customHeight="1">
      <c r="A2762" s="88">
        <f t="shared" si="8"/>
        <v>46226</v>
      </c>
      <c r="B2762" s="72" t="str">
        <f t="shared" si="1"/>
        <v>20260723</v>
      </c>
      <c r="C2762" s="72" t="str">
        <f t="shared" si="2"/>
        <v>Thursday</v>
      </c>
      <c r="D2762" s="72" t="str">
        <f t="shared" si="3"/>
        <v>July</v>
      </c>
      <c r="E2762" s="72" t="str">
        <f t="shared" si="4"/>
        <v>Q3</v>
      </c>
      <c r="F2762" s="72">
        <f t="shared" si="5"/>
        <v>2026</v>
      </c>
      <c r="G2762" s="89">
        <f t="shared" si="6"/>
        <v>46228</v>
      </c>
      <c r="H2762" s="72" t="str">
        <f t="shared" si="7"/>
        <v>Yes</v>
      </c>
    </row>
    <row r="2763" ht="15.75" customHeight="1">
      <c r="A2763" s="88">
        <f t="shared" si="8"/>
        <v>46227</v>
      </c>
      <c r="B2763" s="72" t="str">
        <f t="shared" si="1"/>
        <v>20260724</v>
      </c>
      <c r="C2763" s="72" t="str">
        <f t="shared" si="2"/>
        <v>Friday</v>
      </c>
      <c r="D2763" s="72" t="str">
        <f t="shared" si="3"/>
        <v>July</v>
      </c>
      <c r="E2763" s="72" t="str">
        <f t="shared" si="4"/>
        <v>Q3</v>
      </c>
      <c r="F2763" s="72">
        <f t="shared" si="5"/>
        <v>2026</v>
      </c>
      <c r="G2763" s="89">
        <f t="shared" si="6"/>
        <v>46228</v>
      </c>
      <c r="H2763" s="72" t="str">
        <f t="shared" si="7"/>
        <v>Yes</v>
      </c>
    </row>
    <row r="2764" ht="15.75" customHeight="1">
      <c r="A2764" s="88">
        <f t="shared" si="8"/>
        <v>46228</v>
      </c>
      <c r="B2764" s="72" t="str">
        <f t="shared" si="1"/>
        <v>20260725</v>
      </c>
      <c r="C2764" s="72" t="str">
        <f t="shared" si="2"/>
        <v>Saturday</v>
      </c>
      <c r="D2764" s="72" t="str">
        <f t="shared" si="3"/>
        <v>July</v>
      </c>
      <c r="E2764" s="72" t="str">
        <f t="shared" si="4"/>
        <v>Q3</v>
      </c>
      <c r="F2764" s="72">
        <f t="shared" si="5"/>
        <v>2026</v>
      </c>
      <c r="G2764" s="89">
        <f t="shared" si="6"/>
        <v>46228</v>
      </c>
      <c r="H2764" s="72" t="str">
        <f t="shared" si="7"/>
        <v>No</v>
      </c>
    </row>
    <row r="2765" ht="15.75" customHeight="1">
      <c r="A2765" s="88">
        <f t="shared" si="8"/>
        <v>46229</v>
      </c>
      <c r="B2765" s="72" t="str">
        <f t="shared" si="1"/>
        <v>20260726</v>
      </c>
      <c r="C2765" s="72" t="str">
        <f t="shared" si="2"/>
        <v>Sunday</v>
      </c>
      <c r="D2765" s="72" t="str">
        <f t="shared" si="3"/>
        <v>July</v>
      </c>
      <c r="E2765" s="72" t="str">
        <f t="shared" si="4"/>
        <v>Q3</v>
      </c>
      <c r="F2765" s="72">
        <f t="shared" si="5"/>
        <v>2026</v>
      </c>
      <c r="G2765" s="89">
        <f t="shared" si="6"/>
        <v>46235</v>
      </c>
      <c r="H2765" s="72" t="str">
        <f t="shared" si="7"/>
        <v>No</v>
      </c>
    </row>
    <row r="2766" ht="15.75" customHeight="1">
      <c r="A2766" s="88">
        <f t="shared" si="8"/>
        <v>46230</v>
      </c>
      <c r="B2766" s="72" t="str">
        <f t="shared" si="1"/>
        <v>20260727</v>
      </c>
      <c r="C2766" s="72" t="str">
        <f t="shared" si="2"/>
        <v>Monday</v>
      </c>
      <c r="D2766" s="72" t="str">
        <f t="shared" si="3"/>
        <v>July</v>
      </c>
      <c r="E2766" s="72" t="str">
        <f t="shared" si="4"/>
        <v>Q3</v>
      </c>
      <c r="F2766" s="72">
        <f t="shared" si="5"/>
        <v>2026</v>
      </c>
      <c r="G2766" s="89">
        <f t="shared" si="6"/>
        <v>46235</v>
      </c>
      <c r="H2766" s="72" t="str">
        <f t="shared" si="7"/>
        <v>Yes</v>
      </c>
    </row>
    <row r="2767" ht="15.75" customHeight="1">
      <c r="A2767" s="88">
        <f t="shared" si="8"/>
        <v>46231</v>
      </c>
      <c r="B2767" s="72" t="str">
        <f t="shared" si="1"/>
        <v>20260728</v>
      </c>
      <c r="C2767" s="72" t="str">
        <f t="shared" si="2"/>
        <v>Tuesday</v>
      </c>
      <c r="D2767" s="72" t="str">
        <f t="shared" si="3"/>
        <v>July</v>
      </c>
      <c r="E2767" s="72" t="str">
        <f t="shared" si="4"/>
        <v>Q3</v>
      </c>
      <c r="F2767" s="72">
        <f t="shared" si="5"/>
        <v>2026</v>
      </c>
      <c r="G2767" s="89">
        <f t="shared" si="6"/>
        <v>46235</v>
      </c>
      <c r="H2767" s="72" t="str">
        <f t="shared" si="7"/>
        <v>Yes</v>
      </c>
    </row>
    <row r="2768" ht="15.75" customHeight="1">
      <c r="A2768" s="88">
        <f t="shared" si="8"/>
        <v>46232</v>
      </c>
      <c r="B2768" s="72" t="str">
        <f t="shared" si="1"/>
        <v>20260729</v>
      </c>
      <c r="C2768" s="72" t="str">
        <f t="shared" si="2"/>
        <v>Wednesday</v>
      </c>
      <c r="D2768" s="72" t="str">
        <f t="shared" si="3"/>
        <v>July</v>
      </c>
      <c r="E2768" s="72" t="str">
        <f t="shared" si="4"/>
        <v>Q3</v>
      </c>
      <c r="F2768" s="72">
        <f t="shared" si="5"/>
        <v>2026</v>
      </c>
      <c r="G2768" s="89">
        <f t="shared" si="6"/>
        <v>46235</v>
      </c>
      <c r="H2768" s="72" t="str">
        <f t="shared" si="7"/>
        <v>Yes</v>
      </c>
    </row>
    <row r="2769" ht="15.75" customHeight="1">
      <c r="A2769" s="88">
        <f t="shared" si="8"/>
        <v>46233</v>
      </c>
      <c r="B2769" s="72" t="str">
        <f t="shared" si="1"/>
        <v>20260730</v>
      </c>
      <c r="C2769" s="72" t="str">
        <f t="shared" si="2"/>
        <v>Thursday</v>
      </c>
      <c r="D2769" s="72" t="str">
        <f t="shared" si="3"/>
        <v>July</v>
      </c>
      <c r="E2769" s="72" t="str">
        <f t="shared" si="4"/>
        <v>Q3</v>
      </c>
      <c r="F2769" s="72">
        <f t="shared" si="5"/>
        <v>2026</v>
      </c>
      <c r="G2769" s="89">
        <f t="shared" si="6"/>
        <v>46235</v>
      </c>
      <c r="H2769" s="72" t="str">
        <f t="shared" si="7"/>
        <v>Yes</v>
      </c>
    </row>
    <row r="2770" ht="15.75" customHeight="1">
      <c r="A2770" s="88">
        <f t="shared" si="8"/>
        <v>46234</v>
      </c>
      <c r="B2770" s="72" t="str">
        <f t="shared" si="1"/>
        <v>20260731</v>
      </c>
      <c r="C2770" s="72" t="str">
        <f t="shared" si="2"/>
        <v>Friday</v>
      </c>
      <c r="D2770" s="72" t="str">
        <f t="shared" si="3"/>
        <v>July</v>
      </c>
      <c r="E2770" s="72" t="str">
        <f t="shared" si="4"/>
        <v>Q3</v>
      </c>
      <c r="F2770" s="72">
        <f t="shared" si="5"/>
        <v>2026</v>
      </c>
      <c r="G2770" s="89">
        <f t="shared" si="6"/>
        <v>46235</v>
      </c>
      <c r="H2770" s="72" t="str">
        <f t="shared" si="7"/>
        <v>Yes</v>
      </c>
    </row>
    <row r="2771" ht="15.75" customHeight="1">
      <c r="A2771" s="88">
        <f t="shared" si="8"/>
        <v>46235</v>
      </c>
      <c r="B2771" s="72" t="str">
        <f t="shared" si="1"/>
        <v>20260801</v>
      </c>
      <c r="C2771" s="72" t="str">
        <f t="shared" si="2"/>
        <v>Saturday</v>
      </c>
      <c r="D2771" s="72" t="str">
        <f t="shared" si="3"/>
        <v>August</v>
      </c>
      <c r="E2771" s="72" t="str">
        <f t="shared" si="4"/>
        <v>Q3</v>
      </c>
      <c r="F2771" s="72">
        <f t="shared" si="5"/>
        <v>2026</v>
      </c>
      <c r="G2771" s="89">
        <f t="shared" si="6"/>
        <v>46235</v>
      </c>
      <c r="H2771" s="72" t="str">
        <f t="shared" si="7"/>
        <v>No</v>
      </c>
    </row>
    <row r="2772" ht="15.75" customHeight="1">
      <c r="A2772" s="88">
        <f t="shared" si="8"/>
        <v>46236</v>
      </c>
      <c r="B2772" s="72" t="str">
        <f t="shared" si="1"/>
        <v>20260802</v>
      </c>
      <c r="C2772" s="72" t="str">
        <f t="shared" si="2"/>
        <v>Sunday</v>
      </c>
      <c r="D2772" s="72" t="str">
        <f t="shared" si="3"/>
        <v>August</v>
      </c>
      <c r="E2772" s="72" t="str">
        <f t="shared" si="4"/>
        <v>Q3</v>
      </c>
      <c r="F2772" s="72">
        <f t="shared" si="5"/>
        <v>2026</v>
      </c>
      <c r="G2772" s="89">
        <f t="shared" si="6"/>
        <v>46242</v>
      </c>
      <c r="H2772" s="72" t="str">
        <f t="shared" si="7"/>
        <v>No</v>
      </c>
    </row>
    <row r="2773" ht="15.75" customHeight="1">
      <c r="A2773" s="88">
        <f t="shared" si="8"/>
        <v>46237</v>
      </c>
      <c r="B2773" s="72" t="str">
        <f t="shared" si="1"/>
        <v>20260803</v>
      </c>
      <c r="C2773" s="72" t="str">
        <f t="shared" si="2"/>
        <v>Monday</v>
      </c>
      <c r="D2773" s="72" t="str">
        <f t="shared" si="3"/>
        <v>August</v>
      </c>
      <c r="E2773" s="72" t="str">
        <f t="shared" si="4"/>
        <v>Q3</v>
      </c>
      <c r="F2773" s="72">
        <f t="shared" si="5"/>
        <v>2026</v>
      </c>
      <c r="G2773" s="89">
        <f t="shared" si="6"/>
        <v>46242</v>
      </c>
      <c r="H2773" s="72" t="str">
        <f t="shared" si="7"/>
        <v>Yes</v>
      </c>
    </row>
    <row r="2774" ht="15.75" customHeight="1">
      <c r="A2774" s="88">
        <f t="shared" si="8"/>
        <v>46238</v>
      </c>
      <c r="B2774" s="72" t="str">
        <f t="shared" si="1"/>
        <v>20260804</v>
      </c>
      <c r="C2774" s="72" t="str">
        <f t="shared" si="2"/>
        <v>Tuesday</v>
      </c>
      <c r="D2774" s="72" t="str">
        <f t="shared" si="3"/>
        <v>August</v>
      </c>
      <c r="E2774" s="72" t="str">
        <f t="shared" si="4"/>
        <v>Q3</v>
      </c>
      <c r="F2774" s="72">
        <f t="shared" si="5"/>
        <v>2026</v>
      </c>
      <c r="G2774" s="89">
        <f t="shared" si="6"/>
        <v>46242</v>
      </c>
      <c r="H2774" s="72" t="str">
        <f t="shared" si="7"/>
        <v>Yes</v>
      </c>
    </row>
    <row r="2775" ht="15.75" customHeight="1">
      <c r="A2775" s="88">
        <f t="shared" si="8"/>
        <v>46239</v>
      </c>
      <c r="B2775" s="72" t="str">
        <f t="shared" si="1"/>
        <v>20260805</v>
      </c>
      <c r="C2775" s="72" t="str">
        <f t="shared" si="2"/>
        <v>Wednesday</v>
      </c>
      <c r="D2775" s="72" t="str">
        <f t="shared" si="3"/>
        <v>August</v>
      </c>
      <c r="E2775" s="72" t="str">
        <f t="shared" si="4"/>
        <v>Q3</v>
      </c>
      <c r="F2775" s="72">
        <f t="shared" si="5"/>
        <v>2026</v>
      </c>
      <c r="G2775" s="89">
        <f t="shared" si="6"/>
        <v>46242</v>
      </c>
      <c r="H2775" s="72" t="str">
        <f t="shared" si="7"/>
        <v>Yes</v>
      </c>
    </row>
    <row r="2776" ht="15.75" customHeight="1">
      <c r="A2776" s="88">
        <f t="shared" si="8"/>
        <v>46240</v>
      </c>
      <c r="B2776" s="72" t="str">
        <f t="shared" si="1"/>
        <v>20260806</v>
      </c>
      <c r="C2776" s="72" t="str">
        <f t="shared" si="2"/>
        <v>Thursday</v>
      </c>
      <c r="D2776" s="72" t="str">
        <f t="shared" si="3"/>
        <v>August</v>
      </c>
      <c r="E2776" s="72" t="str">
        <f t="shared" si="4"/>
        <v>Q3</v>
      </c>
      <c r="F2776" s="72">
        <f t="shared" si="5"/>
        <v>2026</v>
      </c>
      <c r="G2776" s="89">
        <f t="shared" si="6"/>
        <v>46242</v>
      </c>
      <c r="H2776" s="72" t="str">
        <f t="shared" si="7"/>
        <v>Yes</v>
      </c>
    </row>
    <row r="2777" ht="15.75" customHeight="1">
      <c r="A2777" s="88">
        <f t="shared" si="8"/>
        <v>46241</v>
      </c>
      <c r="B2777" s="72" t="str">
        <f t="shared" si="1"/>
        <v>20260807</v>
      </c>
      <c r="C2777" s="72" t="str">
        <f t="shared" si="2"/>
        <v>Friday</v>
      </c>
      <c r="D2777" s="72" t="str">
        <f t="shared" si="3"/>
        <v>August</v>
      </c>
      <c r="E2777" s="72" t="str">
        <f t="shared" si="4"/>
        <v>Q3</v>
      </c>
      <c r="F2777" s="72">
        <f t="shared" si="5"/>
        <v>2026</v>
      </c>
      <c r="G2777" s="89">
        <f t="shared" si="6"/>
        <v>46242</v>
      </c>
      <c r="H2777" s="72" t="str">
        <f t="shared" si="7"/>
        <v>Yes</v>
      </c>
    </row>
    <row r="2778" ht="15.75" customHeight="1">
      <c r="A2778" s="88">
        <f t="shared" si="8"/>
        <v>46242</v>
      </c>
      <c r="B2778" s="72" t="str">
        <f t="shared" si="1"/>
        <v>20260808</v>
      </c>
      <c r="C2778" s="72" t="str">
        <f t="shared" si="2"/>
        <v>Saturday</v>
      </c>
      <c r="D2778" s="72" t="str">
        <f t="shared" si="3"/>
        <v>August</v>
      </c>
      <c r="E2778" s="72" t="str">
        <f t="shared" si="4"/>
        <v>Q3</v>
      </c>
      <c r="F2778" s="72">
        <f t="shared" si="5"/>
        <v>2026</v>
      </c>
      <c r="G2778" s="89">
        <f t="shared" si="6"/>
        <v>46242</v>
      </c>
      <c r="H2778" s="72" t="str">
        <f t="shared" si="7"/>
        <v>No</v>
      </c>
    </row>
    <row r="2779" ht="15.75" customHeight="1">
      <c r="A2779" s="88">
        <f t="shared" si="8"/>
        <v>46243</v>
      </c>
      <c r="B2779" s="72" t="str">
        <f t="shared" si="1"/>
        <v>20260809</v>
      </c>
      <c r="C2779" s="72" t="str">
        <f t="shared" si="2"/>
        <v>Sunday</v>
      </c>
      <c r="D2779" s="72" t="str">
        <f t="shared" si="3"/>
        <v>August</v>
      </c>
      <c r="E2779" s="72" t="str">
        <f t="shared" si="4"/>
        <v>Q3</v>
      </c>
      <c r="F2779" s="72">
        <f t="shared" si="5"/>
        <v>2026</v>
      </c>
      <c r="G2779" s="89">
        <f t="shared" si="6"/>
        <v>46249</v>
      </c>
      <c r="H2779" s="72" t="str">
        <f t="shared" si="7"/>
        <v>No</v>
      </c>
    </row>
    <row r="2780" ht="15.75" customHeight="1">
      <c r="A2780" s="88">
        <f t="shared" si="8"/>
        <v>46244</v>
      </c>
      <c r="B2780" s="72" t="str">
        <f t="shared" si="1"/>
        <v>20260810</v>
      </c>
      <c r="C2780" s="72" t="str">
        <f t="shared" si="2"/>
        <v>Monday</v>
      </c>
      <c r="D2780" s="72" t="str">
        <f t="shared" si="3"/>
        <v>August</v>
      </c>
      <c r="E2780" s="72" t="str">
        <f t="shared" si="4"/>
        <v>Q3</v>
      </c>
      <c r="F2780" s="72">
        <f t="shared" si="5"/>
        <v>2026</v>
      </c>
      <c r="G2780" s="89">
        <f t="shared" si="6"/>
        <v>46249</v>
      </c>
      <c r="H2780" s="72" t="str">
        <f t="shared" si="7"/>
        <v>Yes</v>
      </c>
    </row>
    <row r="2781" ht="15.75" customHeight="1">
      <c r="A2781" s="88">
        <f t="shared" si="8"/>
        <v>46245</v>
      </c>
      <c r="B2781" s="72" t="str">
        <f t="shared" si="1"/>
        <v>20260811</v>
      </c>
      <c r="C2781" s="72" t="str">
        <f t="shared" si="2"/>
        <v>Tuesday</v>
      </c>
      <c r="D2781" s="72" t="str">
        <f t="shared" si="3"/>
        <v>August</v>
      </c>
      <c r="E2781" s="72" t="str">
        <f t="shared" si="4"/>
        <v>Q3</v>
      </c>
      <c r="F2781" s="72">
        <f t="shared" si="5"/>
        <v>2026</v>
      </c>
      <c r="G2781" s="89">
        <f t="shared" si="6"/>
        <v>46249</v>
      </c>
      <c r="H2781" s="72" t="str">
        <f t="shared" si="7"/>
        <v>Yes</v>
      </c>
    </row>
    <row r="2782" ht="15.75" customHeight="1">
      <c r="A2782" s="88">
        <f t="shared" si="8"/>
        <v>46246</v>
      </c>
      <c r="B2782" s="72" t="str">
        <f t="shared" si="1"/>
        <v>20260812</v>
      </c>
      <c r="C2782" s="72" t="str">
        <f t="shared" si="2"/>
        <v>Wednesday</v>
      </c>
      <c r="D2782" s="72" t="str">
        <f t="shared" si="3"/>
        <v>August</v>
      </c>
      <c r="E2782" s="72" t="str">
        <f t="shared" si="4"/>
        <v>Q3</v>
      </c>
      <c r="F2782" s="72">
        <f t="shared" si="5"/>
        <v>2026</v>
      </c>
      <c r="G2782" s="89">
        <f t="shared" si="6"/>
        <v>46249</v>
      </c>
      <c r="H2782" s="72" t="str">
        <f t="shared" si="7"/>
        <v>Yes</v>
      </c>
    </row>
    <row r="2783" ht="15.75" customHeight="1">
      <c r="A2783" s="88">
        <f t="shared" si="8"/>
        <v>46247</v>
      </c>
      <c r="B2783" s="72" t="str">
        <f t="shared" si="1"/>
        <v>20260813</v>
      </c>
      <c r="C2783" s="72" t="str">
        <f t="shared" si="2"/>
        <v>Thursday</v>
      </c>
      <c r="D2783" s="72" t="str">
        <f t="shared" si="3"/>
        <v>August</v>
      </c>
      <c r="E2783" s="72" t="str">
        <f t="shared" si="4"/>
        <v>Q3</v>
      </c>
      <c r="F2783" s="72">
        <f t="shared" si="5"/>
        <v>2026</v>
      </c>
      <c r="G2783" s="89">
        <f t="shared" si="6"/>
        <v>46249</v>
      </c>
      <c r="H2783" s="72" t="str">
        <f t="shared" si="7"/>
        <v>Yes</v>
      </c>
    </row>
    <row r="2784" ht="15.75" customHeight="1">
      <c r="A2784" s="88">
        <f t="shared" si="8"/>
        <v>46248</v>
      </c>
      <c r="B2784" s="72" t="str">
        <f t="shared" si="1"/>
        <v>20260814</v>
      </c>
      <c r="C2784" s="72" t="str">
        <f t="shared" si="2"/>
        <v>Friday</v>
      </c>
      <c r="D2784" s="72" t="str">
        <f t="shared" si="3"/>
        <v>August</v>
      </c>
      <c r="E2784" s="72" t="str">
        <f t="shared" si="4"/>
        <v>Q3</v>
      </c>
      <c r="F2784" s="72">
        <f t="shared" si="5"/>
        <v>2026</v>
      </c>
      <c r="G2784" s="89">
        <f t="shared" si="6"/>
        <v>46249</v>
      </c>
      <c r="H2784" s="72" t="str">
        <f t="shared" si="7"/>
        <v>Yes</v>
      </c>
    </row>
    <row r="2785" ht="15.75" customHeight="1">
      <c r="A2785" s="88">
        <f t="shared" si="8"/>
        <v>46249</v>
      </c>
      <c r="B2785" s="72" t="str">
        <f t="shared" si="1"/>
        <v>20260815</v>
      </c>
      <c r="C2785" s="72" t="str">
        <f t="shared" si="2"/>
        <v>Saturday</v>
      </c>
      <c r="D2785" s="72" t="str">
        <f t="shared" si="3"/>
        <v>August</v>
      </c>
      <c r="E2785" s="72" t="str">
        <f t="shared" si="4"/>
        <v>Q3</v>
      </c>
      <c r="F2785" s="72">
        <f t="shared" si="5"/>
        <v>2026</v>
      </c>
      <c r="G2785" s="89">
        <f t="shared" si="6"/>
        <v>46249</v>
      </c>
      <c r="H2785" s="72" t="str">
        <f t="shared" si="7"/>
        <v>No</v>
      </c>
    </row>
    <row r="2786" ht="15.75" customHeight="1">
      <c r="A2786" s="88">
        <f t="shared" si="8"/>
        <v>46250</v>
      </c>
      <c r="B2786" s="72" t="str">
        <f t="shared" si="1"/>
        <v>20260816</v>
      </c>
      <c r="C2786" s="72" t="str">
        <f t="shared" si="2"/>
        <v>Sunday</v>
      </c>
      <c r="D2786" s="72" t="str">
        <f t="shared" si="3"/>
        <v>August</v>
      </c>
      <c r="E2786" s="72" t="str">
        <f t="shared" si="4"/>
        <v>Q3</v>
      </c>
      <c r="F2786" s="72">
        <f t="shared" si="5"/>
        <v>2026</v>
      </c>
      <c r="G2786" s="89">
        <f t="shared" si="6"/>
        <v>46256</v>
      </c>
      <c r="H2786" s="72" t="str">
        <f t="shared" si="7"/>
        <v>No</v>
      </c>
    </row>
    <row r="2787" ht="15.75" customHeight="1">
      <c r="A2787" s="88">
        <f t="shared" si="8"/>
        <v>46251</v>
      </c>
      <c r="B2787" s="72" t="str">
        <f t="shared" si="1"/>
        <v>20260817</v>
      </c>
      <c r="C2787" s="72" t="str">
        <f t="shared" si="2"/>
        <v>Monday</v>
      </c>
      <c r="D2787" s="72" t="str">
        <f t="shared" si="3"/>
        <v>August</v>
      </c>
      <c r="E2787" s="72" t="str">
        <f t="shared" si="4"/>
        <v>Q3</v>
      </c>
      <c r="F2787" s="72">
        <f t="shared" si="5"/>
        <v>2026</v>
      </c>
      <c r="G2787" s="89">
        <f t="shared" si="6"/>
        <v>46256</v>
      </c>
      <c r="H2787" s="72" t="str">
        <f t="shared" si="7"/>
        <v>Yes</v>
      </c>
    </row>
    <row r="2788" ht="15.75" customHeight="1">
      <c r="A2788" s="88">
        <f t="shared" si="8"/>
        <v>46252</v>
      </c>
      <c r="B2788" s="72" t="str">
        <f t="shared" si="1"/>
        <v>20260818</v>
      </c>
      <c r="C2788" s="72" t="str">
        <f t="shared" si="2"/>
        <v>Tuesday</v>
      </c>
      <c r="D2788" s="72" t="str">
        <f t="shared" si="3"/>
        <v>August</v>
      </c>
      <c r="E2788" s="72" t="str">
        <f t="shared" si="4"/>
        <v>Q3</v>
      </c>
      <c r="F2788" s="72">
        <f t="shared" si="5"/>
        <v>2026</v>
      </c>
      <c r="G2788" s="89">
        <f t="shared" si="6"/>
        <v>46256</v>
      </c>
      <c r="H2788" s="72" t="str">
        <f t="shared" si="7"/>
        <v>Yes</v>
      </c>
    </row>
    <row r="2789" ht="15.75" customHeight="1">
      <c r="A2789" s="88">
        <f t="shared" si="8"/>
        <v>46253</v>
      </c>
      <c r="B2789" s="72" t="str">
        <f t="shared" si="1"/>
        <v>20260819</v>
      </c>
      <c r="C2789" s="72" t="str">
        <f t="shared" si="2"/>
        <v>Wednesday</v>
      </c>
      <c r="D2789" s="72" t="str">
        <f t="shared" si="3"/>
        <v>August</v>
      </c>
      <c r="E2789" s="72" t="str">
        <f t="shared" si="4"/>
        <v>Q3</v>
      </c>
      <c r="F2789" s="72">
        <f t="shared" si="5"/>
        <v>2026</v>
      </c>
      <c r="G2789" s="89">
        <f t="shared" si="6"/>
        <v>46256</v>
      </c>
      <c r="H2789" s="72" t="str">
        <f t="shared" si="7"/>
        <v>Yes</v>
      </c>
    </row>
    <row r="2790" ht="15.75" customHeight="1">
      <c r="A2790" s="88">
        <f t="shared" si="8"/>
        <v>46254</v>
      </c>
      <c r="B2790" s="72" t="str">
        <f t="shared" si="1"/>
        <v>20260820</v>
      </c>
      <c r="C2790" s="72" t="str">
        <f t="shared" si="2"/>
        <v>Thursday</v>
      </c>
      <c r="D2790" s="72" t="str">
        <f t="shared" si="3"/>
        <v>August</v>
      </c>
      <c r="E2790" s="72" t="str">
        <f t="shared" si="4"/>
        <v>Q3</v>
      </c>
      <c r="F2790" s="72">
        <f t="shared" si="5"/>
        <v>2026</v>
      </c>
      <c r="G2790" s="89">
        <f t="shared" si="6"/>
        <v>46256</v>
      </c>
      <c r="H2790" s="72" t="str">
        <f t="shared" si="7"/>
        <v>Yes</v>
      </c>
    </row>
    <row r="2791" ht="15.75" customHeight="1">
      <c r="A2791" s="88">
        <f t="shared" si="8"/>
        <v>46255</v>
      </c>
      <c r="B2791" s="72" t="str">
        <f t="shared" si="1"/>
        <v>20260821</v>
      </c>
      <c r="C2791" s="72" t="str">
        <f t="shared" si="2"/>
        <v>Friday</v>
      </c>
      <c r="D2791" s="72" t="str">
        <f t="shared" si="3"/>
        <v>August</v>
      </c>
      <c r="E2791" s="72" t="str">
        <f t="shared" si="4"/>
        <v>Q3</v>
      </c>
      <c r="F2791" s="72">
        <f t="shared" si="5"/>
        <v>2026</v>
      </c>
      <c r="G2791" s="89">
        <f t="shared" si="6"/>
        <v>46256</v>
      </c>
      <c r="H2791" s="72" t="str">
        <f t="shared" si="7"/>
        <v>Yes</v>
      </c>
    </row>
    <row r="2792" ht="15.75" customHeight="1">
      <c r="A2792" s="88">
        <f t="shared" si="8"/>
        <v>46256</v>
      </c>
      <c r="B2792" s="72" t="str">
        <f t="shared" si="1"/>
        <v>20260822</v>
      </c>
      <c r="C2792" s="72" t="str">
        <f t="shared" si="2"/>
        <v>Saturday</v>
      </c>
      <c r="D2792" s="72" t="str">
        <f t="shared" si="3"/>
        <v>August</v>
      </c>
      <c r="E2792" s="72" t="str">
        <f t="shared" si="4"/>
        <v>Q3</v>
      </c>
      <c r="F2792" s="72">
        <f t="shared" si="5"/>
        <v>2026</v>
      </c>
      <c r="G2792" s="89">
        <f t="shared" si="6"/>
        <v>46256</v>
      </c>
      <c r="H2792" s="72" t="str">
        <f t="shared" si="7"/>
        <v>No</v>
      </c>
    </row>
    <row r="2793" ht="15.75" customHeight="1">
      <c r="A2793" s="88">
        <f t="shared" si="8"/>
        <v>46257</v>
      </c>
      <c r="B2793" s="72" t="str">
        <f t="shared" si="1"/>
        <v>20260823</v>
      </c>
      <c r="C2793" s="72" t="str">
        <f t="shared" si="2"/>
        <v>Sunday</v>
      </c>
      <c r="D2793" s="72" t="str">
        <f t="shared" si="3"/>
        <v>August</v>
      </c>
      <c r="E2793" s="72" t="str">
        <f t="shared" si="4"/>
        <v>Q3</v>
      </c>
      <c r="F2793" s="72">
        <f t="shared" si="5"/>
        <v>2026</v>
      </c>
      <c r="G2793" s="89">
        <f t="shared" si="6"/>
        <v>46263</v>
      </c>
      <c r="H2793" s="72" t="str">
        <f t="shared" si="7"/>
        <v>No</v>
      </c>
    </row>
    <row r="2794" ht="15.75" customHeight="1">
      <c r="A2794" s="88">
        <f t="shared" si="8"/>
        <v>46258</v>
      </c>
      <c r="B2794" s="72" t="str">
        <f t="shared" si="1"/>
        <v>20260824</v>
      </c>
      <c r="C2794" s="72" t="str">
        <f t="shared" si="2"/>
        <v>Monday</v>
      </c>
      <c r="D2794" s="72" t="str">
        <f t="shared" si="3"/>
        <v>August</v>
      </c>
      <c r="E2794" s="72" t="str">
        <f t="shared" si="4"/>
        <v>Q3</v>
      </c>
      <c r="F2794" s="72">
        <f t="shared" si="5"/>
        <v>2026</v>
      </c>
      <c r="G2794" s="89">
        <f t="shared" si="6"/>
        <v>46263</v>
      </c>
      <c r="H2794" s="72" t="str">
        <f t="shared" si="7"/>
        <v>Yes</v>
      </c>
    </row>
    <row r="2795" ht="15.75" customHeight="1">
      <c r="A2795" s="88">
        <f t="shared" si="8"/>
        <v>46259</v>
      </c>
      <c r="B2795" s="72" t="str">
        <f t="shared" si="1"/>
        <v>20260825</v>
      </c>
      <c r="C2795" s="72" t="str">
        <f t="shared" si="2"/>
        <v>Tuesday</v>
      </c>
      <c r="D2795" s="72" t="str">
        <f t="shared" si="3"/>
        <v>August</v>
      </c>
      <c r="E2795" s="72" t="str">
        <f t="shared" si="4"/>
        <v>Q3</v>
      </c>
      <c r="F2795" s="72">
        <f t="shared" si="5"/>
        <v>2026</v>
      </c>
      <c r="G2795" s="89">
        <f t="shared" si="6"/>
        <v>46263</v>
      </c>
      <c r="H2795" s="72" t="str">
        <f t="shared" si="7"/>
        <v>Yes</v>
      </c>
    </row>
    <row r="2796" ht="15.75" customHeight="1">
      <c r="A2796" s="88">
        <f t="shared" si="8"/>
        <v>46260</v>
      </c>
      <c r="B2796" s="72" t="str">
        <f t="shared" si="1"/>
        <v>20260826</v>
      </c>
      <c r="C2796" s="72" t="str">
        <f t="shared" si="2"/>
        <v>Wednesday</v>
      </c>
      <c r="D2796" s="72" t="str">
        <f t="shared" si="3"/>
        <v>August</v>
      </c>
      <c r="E2796" s="72" t="str">
        <f t="shared" si="4"/>
        <v>Q3</v>
      </c>
      <c r="F2796" s="72">
        <f t="shared" si="5"/>
        <v>2026</v>
      </c>
      <c r="G2796" s="89">
        <f t="shared" si="6"/>
        <v>46263</v>
      </c>
      <c r="H2796" s="72" t="str">
        <f t="shared" si="7"/>
        <v>Yes</v>
      </c>
    </row>
    <row r="2797" ht="15.75" customHeight="1">
      <c r="A2797" s="88">
        <f t="shared" si="8"/>
        <v>46261</v>
      </c>
      <c r="B2797" s="72" t="str">
        <f t="shared" si="1"/>
        <v>20260827</v>
      </c>
      <c r="C2797" s="72" t="str">
        <f t="shared" si="2"/>
        <v>Thursday</v>
      </c>
      <c r="D2797" s="72" t="str">
        <f t="shared" si="3"/>
        <v>August</v>
      </c>
      <c r="E2797" s="72" t="str">
        <f t="shared" si="4"/>
        <v>Q3</v>
      </c>
      <c r="F2797" s="72">
        <f t="shared" si="5"/>
        <v>2026</v>
      </c>
      <c r="G2797" s="89">
        <f t="shared" si="6"/>
        <v>46263</v>
      </c>
      <c r="H2797" s="72" t="str">
        <f t="shared" si="7"/>
        <v>Yes</v>
      </c>
    </row>
    <row r="2798" ht="15.75" customHeight="1">
      <c r="A2798" s="88">
        <f t="shared" si="8"/>
        <v>46262</v>
      </c>
      <c r="B2798" s="72" t="str">
        <f t="shared" si="1"/>
        <v>20260828</v>
      </c>
      <c r="C2798" s="72" t="str">
        <f t="shared" si="2"/>
        <v>Friday</v>
      </c>
      <c r="D2798" s="72" t="str">
        <f t="shared" si="3"/>
        <v>August</v>
      </c>
      <c r="E2798" s="72" t="str">
        <f t="shared" si="4"/>
        <v>Q3</v>
      </c>
      <c r="F2798" s="72">
        <f t="shared" si="5"/>
        <v>2026</v>
      </c>
      <c r="G2798" s="89">
        <f t="shared" si="6"/>
        <v>46263</v>
      </c>
      <c r="H2798" s="72" t="str">
        <f t="shared" si="7"/>
        <v>Yes</v>
      </c>
    </row>
    <row r="2799" ht="15.75" customHeight="1">
      <c r="A2799" s="88">
        <f t="shared" si="8"/>
        <v>46263</v>
      </c>
      <c r="B2799" s="72" t="str">
        <f t="shared" si="1"/>
        <v>20260829</v>
      </c>
      <c r="C2799" s="72" t="str">
        <f t="shared" si="2"/>
        <v>Saturday</v>
      </c>
      <c r="D2799" s="72" t="str">
        <f t="shared" si="3"/>
        <v>August</v>
      </c>
      <c r="E2799" s="72" t="str">
        <f t="shared" si="4"/>
        <v>Q3</v>
      </c>
      <c r="F2799" s="72">
        <f t="shared" si="5"/>
        <v>2026</v>
      </c>
      <c r="G2799" s="89">
        <f t="shared" si="6"/>
        <v>46263</v>
      </c>
      <c r="H2799" s="72" t="str">
        <f t="shared" si="7"/>
        <v>No</v>
      </c>
    </row>
    <row r="2800" ht="15.75" customHeight="1">
      <c r="A2800" s="88">
        <f t="shared" si="8"/>
        <v>46264</v>
      </c>
      <c r="B2800" s="72" t="str">
        <f t="shared" si="1"/>
        <v>20260830</v>
      </c>
      <c r="C2800" s="72" t="str">
        <f t="shared" si="2"/>
        <v>Sunday</v>
      </c>
      <c r="D2800" s="72" t="str">
        <f t="shared" si="3"/>
        <v>August</v>
      </c>
      <c r="E2800" s="72" t="str">
        <f t="shared" si="4"/>
        <v>Q3</v>
      </c>
      <c r="F2800" s="72">
        <f t="shared" si="5"/>
        <v>2026</v>
      </c>
      <c r="G2800" s="89">
        <f t="shared" si="6"/>
        <v>46270</v>
      </c>
      <c r="H2800" s="72" t="str">
        <f t="shared" si="7"/>
        <v>No</v>
      </c>
    </row>
    <row r="2801" ht="15.75" customHeight="1">
      <c r="A2801" s="88">
        <f t="shared" si="8"/>
        <v>46265</v>
      </c>
      <c r="B2801" s="72" t="str">
        <f t="shared" si="1"/>
        <v>20260831</v>
      </c>
      <c r="C2801" s="72" t="str">
        <f t="shared" si="2"/>
        <v>Monday</v>
      </c>
      <c r="D2801" s="72" t="str">
        <f t="shared" si="3"/>
        <v>August</v>
      </c>
      <c r="E2801" s="72" t="str">
        <f t="shared" si="4"/>
        <v>Q3</v>
      </c>
      <c r="F2801" s="72">
        <f t="shared" si="5"/>
        <v>2026</v>
      </c>
      <c r="G2801" s="89">
        <f t="shared" si="6"/>
        <v>46270</v>
      </c>
      <c r="H2801" s="72" t="str">
        <f t="shared" si="7"/>
        <v>Yes</v>
      </c>
    </row>
    <row r="2802" ht="15.75" customHeight="1">
      <c r="A2802" s="88">
        <f t="shared" si="8"/>
        <v>46266</v>
      </c>
      <c r="B2802" s="72" t="str">
        <f t="shared" si="1"/>
        <v>20260901</v>
      </c>
      <c r="C2802" s="72" t="str">
        <f t="shared" si="2"/>
        <v>Tuesday</v>
      </c>
      <c r="D2802" s="72" t="str">
        <f t="shared" si="3"/>
        <v>September</v>
      </c>
      <c r="E2802" s="72" t="str">
        <f t="shared" si="4"/>
        <v>Q3</v>
      </c>
      <c r="F2802" s="72">
        <f t="shared" si="5"/>
        <v>2026</v>
      </c>
      <c r="G2802" s="89">
        <f t="shared" si="6"/>
        <v>46270</v>
      </c>
      <c r="H2802" s="72" t="str">
        <f t="shared" si="7"/>
        <v>Yes</v>
      </c>
    </row>
    <row r="2803" ht="15.75" customHeight="1">
      <c r="A2803" s="88">
        <f t="shared" si="8"/>
        <v>46267</v>
      </c>
      <c r="B2803" s="72" t="str">
        <f t="shared" si="1"/>
        <v>20260902</v>
      </c>
      <c r="C2803" s="72" t="str">
        <f t="shared" si="2"/>
        <v>Wednesday</v>
      </c>
      <c r="D2803" s="72" t="str">
        <f t="shared" si="3"/>
        <v>September</v>
      </c>
      <c r="E2803" s="72" t="str">
        <f t="shared" si="4"/>
        <v>Q3</v>
      </c>
      <c r="F2803" s="72">
        <f t="shared" si="5"/>
        <v>2026</v>
      </c>
      <c r="G2803" s="89">
        <f t="shared" si="6"/>
        <v>46270</v>
      </c>
      <c r="H2803" s="72" t="str">
        <f t="shared" si="7"/>
        <v>Yes</v>
      </c>
    </row>
    <row r="2804" ht="15.75" customHeight="1">
      <c r="A2804" s="88">
        <f t="shared" si="8"/>
        <v>46268</v>
      </c>
      <c r="B2804" s="72" t="str">
        <f t="shared" si="1"/>
        <v>20260903</v>
      </c>
      <c r="C2804" s="72" t="str">
        <f t="shared" si="2"/>
        <v>Thursday</v>
      </c>
      <c r="D2804" s="72" t="str">
        <f t="shared" si="3"/>
        <v>September</v>
      </c>
      <c r="E2804" s="72" t="str">
        <f t="shared" si="4"/>
        <v>Q3</v>
      </c>
      <c r="F2804" s="72">
        <f t="shared" si="5"/>
        <v>2026</v>
      </c>
      <c r="G2804" s="89">
        <f t="shared" si="6"/>
        <v>46270</v>
      </c>
      <c r="H2804" s="72" t="str">
        <f t="shared" si="7"/>
        <v>Yes</v>
      </c>
    </row>
    <row r="2805" ht="15.75" customHeight="1">
      <c r="A2805" s="88">
        <f t="shared" si="8"/>
        <v>46269</v>
      </c>
      <c r="B2805" s="72" t="str">
        <f t="shared" si="1"/>
        <v>20260904</v>
      </c>
      <c r="C2805" s="72" t="str">
        <f t="shared" si="2"/>
        <v>Friday</v>
      </c>
      <c r="D2805" s="72" t="str">
        <f t="shared" si="3"/>
        <v>September</v>
      </c>
      <c r="E2805" s="72" t="str">
        <f t="shared" si="4"/>
        <v>Q3</v>
      </c>
      <c r="F2805" s="72">
        <f t="shared" si="5"/>
        <v>2026</v>
      </c>
      <c r="G2805" s="89">
        <f t="shared" si="6"/>
        <v>46270</v>
      </c>
      <c r="H2805" s="72" t="str">
        <f t="shared" si="7"/>
        <v>Yes</v>
      </c>
    </row>
    <row r="2806" ht="15.75" customHeight="1">
      <c r="A2806" s="88">
        <f t="shared" si="8"/>
        <v>46270</v>
      </c>
      <c r="B2806" s="72" t="str">
        <f t="shared" si="1"/>
        <v>20260905</v>
      </c>
      <c r="C2806" s="72" t="str">
        <f t="shared" si="2"/>
        <v>Saturday</v>
      </c>
      <c r="D2806" s="72" t="str">
        <f t="shared" si="3"/>
        <v>September</v>
      </c>
      <c r="E2806" s="72" t="str">
        <f t="shared" si="4"/>
        <v>Q3</v>
      </c>
      <c r="F2806" s="72">
        <f t="shared" si="5"/>
        <v>2026</v>
      </c>
      <c r="G2806" s="89">
        <f t="shared" si="6"/>
        <v>46270</v>
      </c>
      <c r="H2806" s="72" t="str">
        <f t="shared" si="7"/>
        <v>No</v>
      </c>
    </row>
    <row r="2807" ht="15.75" customHeight="1">
      <c r="A2807" s="88">
        <f t="shared" si="8"/>
        <v>46271</v>
      </c>
      <c r="B2807" s="72" t="str">
        <f t="shared" si="1"/>
        <v>20260906</v>
      </c>
      <c r="C2807" s="72" t="str">
        <f t="shared" si="2"/>
        <v>Sunday</v>
      </c>
      <c r="D2807" s="72" t="str">
        <f t="shared" si="3"/>
        <v>September</v>
      </c>
      <c r="E2807" s="72" t="str">
        <f t="shared" si="4"/>
        <v>Q3</v>
      </c>
      <c r="F2807" s="72">
        <f t="shared" si="5"/>
        <v>2026</v>
      </c>
      <c r="G2807" s="89">
        <f t="shared" si="6"/>
        <v>46277</v>
      </c>
      <c r="H2807" s="72" t="str">
        <f t="shared" si="7"/>
        <v>No</v>
      </c>
    </row>
    <row r="2808" ht="15.75" customHeight="1">
      <c r="A2808" s="88">
        <f t="shared" si="8"/>
        <v>46272</v>
      </c>
      <c r="B2808" s="72" t="str">
        <f t="shared" si="1"/>
        <v>20260907</v>
      </c>
      <c r="C2808" s="72" t="str">
        <f t="shared" si="2"/>
        <v>Monday</v>
      </c>
      <c r="D2808" s="72" t="str">
        <f t="shared" si="3"/>
        <v>September</v>
      </c>
      <c r="E2808" s="72" t="str">
        <f t="shared" si="4"/>
        <v>Q3</v>
      </c>
      <c r="F2808" s="72">
        <f t="shared" si="5"/>
        <v>2026</v>
      </c>
      <c r="G2808" s="89">
        <f t="shared" si="6"/>
        <v>46277</v>
      </c>
      <c r="H2808" s="72" t="str">
        <f t="shared" si="7"/>
        <v>Yes</v>
      </c>
    </row>
    <row r="2809" ht="15.75" customHeight="1">
      <c r="A2809" s="88">
        <f t="shared" si="8"/>
        <v>46273</v>
      </c>
      <c r="B2809" s="72" t="str">
        <f t="shared" si="1"/>
        <v>20260908</v>
      </c>
      <c r="C2809" s="72" t="str">
        <f t="shared" si="2"/>
        <v>Tuesday</v>
      </c>
      <c r="D2809" s="72" t="str">
        <f t="shared" si="3"/>
        <v>September</v>
      </c>
      <c r="E2809" s="72" t="str">
        <f t="shared" si="4"/>
        <v>Q3</v>
      </c>
      <c r="F2809" s="72">
        <f t="shared" si="5"/>
        <v>2026</v>
      </c>
      <c r="G2809" s="89">
        <f t="shared" si="6"/>
        <v>46277</v>
      </c>
      <c r="H2809" s="72" t="str">
        <f t="shared" si="7"/>
        <v>Yes</v>
      </c>
    </row>
    <row r="2810" ht="15.75" customHeight="1">
      <c r="A2810" s="88">
        <f t="shared" si="8"/>
        <v>46274</v>
      </c>
      <c r="B2810" s="72" t="str">
        <f t="shared" si="1"/>
        <v>20260909</v>
      </c>
      <c r="C2810" s="72" t="str">
        <f t="shared" si="2"/>
        <v>Wednesday</v>
      </c>
      <c r="D2810" s="72" t="str">
        <f t="shared" si="3"/>
        <v>September</v>
      </c>
      <c r="E2810" s="72" t="str">
        <f t="shared" si="4"/>
        <v>Q3</v>
      </c>
      <c r="F2810" s="72">
        <f t="shared" si="5"/>
        <v>2026</v>
      </c>
      <c r="G2810" s="89">
        <f t="shared" si="6"/>
        <v>46277</v>
      </c>
      <c r="H2810" s="72" t="str">
        <f t="shared" si="7"/>
        <v>Yes</v>
      </c>
    </row>
    <row r="2811" ht="15.75" customHeight="1">
      <c r="A2811" s="88">
        <f t="shared" si="8"/>
        <v>46275</v>
      </c>
      <c r="B2811" s="72" t="str">
        <f t="shared" si="1"/>
        <v>20260910</v>
      </c>
      <c r="C2811" s="72" t="str">
        <f t="shared" si="2"/>
        <v>Thursday</v>
      </c>
      <c r="D2811" s="72" t="str">
        <f t="shared" si="3"/>
        <v>September</v>
      </c>
      <c r="E2811" s="72" t="str">
        <f t="shared" si="4"/>
        <v>Q3</v>
      </c>
      <c r="F2811" s="72">
        <f t="shared" si="5"/>
        <v>2026</v>
      </c>
      <c r="G2811" s="89">
        <f t="shared" si="6"/>
        <v>46277</v>
      </c>
      <c r="H2811" s="72" t="str">
        <f t="shared" si="7"/>
        <v>Yes</v>
      </c>
    </row>
    <row r="2812" ht="15.75" customHeight="1">
      <c r="A2812" s="88">
        <f t="shared" si="8"/>
        <v>46276</v>
      </c>
      <c r="B2812" s="72" t="str">
        <f t="shared" si="1"/>
        <v>20260911</v>
      </c>
      <c r="C2812" s="72" t="str">
        <f t="shared" si="2"/>
        <v>Friday</v>
      </c>
      <c r="D2812" s="72" t="str">
        <f t="shared" si="3"/>
        <v>September</v>
      </c>
      <c r="E2812" s="72" t="str">
        <f t="shared" si="4"/>
        <v>Q3</v>
      </c>
      <c r="F2812" s="72">
        <f t="shared" si="5"/>
        <v>2026</v>
      </c>
      <c r="G2812" s="89">
        <f t="shared" si="6"/>
        <v>46277</v>
      </c>
      <c r="H2812" s="72" t="str">
        <f t="shared" si="7"/>
        <v>Yes</v>
      </c>
    </row>
    <row r="2813" ht="15.75" customHeight="1">
      <c r="A2813" s="88">
        <f t="shared" si="8"/>
        <v>46277</v>
      </c>
      <c r="B2813" s="72" t="str">
        <f t="shared" si="1"/>
        <v>20260912</v>
      </c>
      <c r="C2813" s="72" t="str">
        <f t="shared" si="2"/>
        <v>Saturday</v>
      </c>
      <c r="D2813" s="72" t="str">
        <f t="shared" si="3"/>
        <v>September</v>
      </c>
      <c r="E2813" s="72" t="str">
        <f t="shared" si="4"/>
        <v>Q3</v>
      </c>
      <c r="F2813" s="72">
        <f t="shared" si="5"/>
        <v>2026</v>
      </c>
      <c r="G2813" s="89">
        <f t="shared" si="6"/>
        <v>46277</v>
      </c>
      <c r="H2813" s="72" t="str">
        <f t="shared" si="7"/>
        <v>No</v>
      </c>
    </row>
    <row r="2814" ht="15.75" customHeight="1">
      <c r="A2814" s="88">
        <f t="shared" si="8"/>
        <v>46278</v>
      </c>
      <c r="B2814" s="72" t="str">
        <f t="shared" si="1"/>
        <v>20260913</v>
      </c>
      <c r="C2814" s="72" t="str">
        <f t="shared" si="2"/>
        <v>Sunday</v>
      </c>
      <c r="D2814" s="72" t="str">
        <f t="shared" si="3"/>
        <v>September</v>
      </c>
      <c r="E2814" s="72" t="str">
        <f t="shared" si="4"/>
        <v>Q3</v>
      </c>
      <c r="F2814" s="72">
        <f t="shared" si="5"/>
        <v>2026</v>
      </c>
      <c r="G2814" s="89">
        <f t="shared" si="6"/>
        <v>46284</v>
      </c>
      <c r="H2814" s="72" t="str">
        <f t="shared" si="7"/>
        <v>No</v>
      </c>
    </row>
    <row r="2815" ht="15.75" customHeight="1">
      <c r="A2815" s="88">
        <f t="shared" si="8"/>
        <v>46279</v>
      </c>
      <c r="B2815" s="72" t="str">
        <f t="shared" si="1"/>
        <v>20260914</v>
      </c>
      <c r="C2815" s="72" t="str">
        <f t="shared" si="2"/>
        <v>Monday</v>
      </c>
      <c r="D2815" s="72" t="str">
        <f t="shared" si="3"/>
        <v>September</v>
      </c>
      <c r="E2815" s="72" t="str">
        <f t="shared" si="4"/>
        <v>Q3</v>
      </c>
      <c r="F2815" s="72">
        <f t="shared" si="5"/>
        <v>2026</v>
      </c>
      <c r="G2815" s="89">
        <f t="shared" si="6"/>
        <v>46284</v>
      </c>
      <c r="H2815" s="72" t="str">
        <f t="shared" si="7"/>
        <v>Yes</v>
      </c>
    </row>
    <row r="2816" ht="15.75" customHeight="1">
      <c r="A2816" s="88">
        <f t="shared" si="8"/>
        <v>46280</v>
      </c>
      <c r="B2816" s="72" t="str">
        <f t="shared" si="1"/>
        <v>20260915</v>
      </c>
      <c r="C2816" s="72" t="str">
        <f t="shared" si="2"/>
        <v>Tuesday</v>
      </c>
      <c r="D2816" s="72" t="str">
        <f t="shared" si="3"/>
        <v>September</v>
      </c>
      <c r="E2816" s="72" t="str">
        <f t="shared" si="4"/>
        <v>Q3</v>
      </c>
      <c r="F2816" s="72">
        <f t="shared" si="5"/>
        <v>2026</v>
      </c>
      <c r="G2816" s="89">
        <f t="shared" si="6"/>
        <v>46284</v>
      </c>
      <c r="H2816" s="72" t="str">
        <f t="shared" si="7"/>
        <v>Yes</v>
      </c>
    </row>
    <row r="2817" ht="15.75" customHeight="1">
      <c r="A2817" s="88">
        <f t="shared" si="8"/>
        <v>46281</v>
      </c>
      <c r="B2817" s="72" t="str">
        <f t="shared" si="1"/>
        <v>20260916</v>
      </c>
      <c r="C2817" s="72" t="str">
        <f t="shared" si="2"/>
        <v>Wednesday</v>
      </c>
      <c r="D2817" s="72" t="str">
        <f t="shared" si="3"/>
        <v>September</v>
      </c>
      <c r="E2817" s="72" t="str">
        <f t="shared" si="4"/>
        <v>Q3</v>
      </c>
      <c r="F2817" s="72">
        <f t="shared" si="5"/>
        <v>2026</v>
      </c>
      <c r="G2817" s="89">
        <f t="shared" si="6"/>
        <v>46284</v>
      </c>
      <c r="H2817" s="72" t="str">
        <f t="shared" si="7"/>
        <v>Yes</v>
      </c>
    </row>
    <row r="2818" ht="15.75" customHeight="1">
      <c r="A2818" s="88">
        <f t="shared" si="8"/>
        <v>46282</v>
      </c>
      <c r="B2818" s="72" t="str">
        <f t="shared" si="1"/>
        <v>20260917</v>
      </c>
      <c r="C2818" s="72" t="str">
        <f t="shared" si="2"/>
        <v>Thursday</v>
      </c>
      <c r="D2818" s="72" t="str">
        <f t="shared" si="3"/>
        <v>September</v>
      </c>
      <c r="E2818" s="72" t="str">
        <f t="shared" si="4"/>
        <v>Q3</v>
      </c>
      <c r="F2818" s="72">
        <f t="shared" si="5"/>
        <v>2026</v>
      </c>
      <c r="G2818" s="89">
        <f t="shared" si="6"/>
        <v>46284</v>
      </c>
      <c r="H2818" s="72" t="str">
        <f t="shared" si="7"/>
        <v>Yes</v>
      </c>
    </row>
    <row r="2819" ht="15.75" customHeight="1">
      <c r="A2819" s="88">
        <f t="shared" si="8"/>
        <v>46283</v>
      </c>
      <c r="B2819" s="72" t="str">
        <f t="shared" si="1"/>
        <v>20260918</v>
      </c>
      <c r="C2819" s="72" t="str">
        <f t="shared" si="2"/>
        <v>Friday</v>
      </c>
      <c r="D2819" s="72" t="str">
        <f t="shared" si="3"/>
        <v>September</v>
      </c>
      <c r="E2819" s="72" t="str">
        <f t="shared" si="4"/>
        <v>Q3</v>
      </c>
      <c r="F2819" s="72">
        <f t="shared" si="5"/>
        <v>2026</v>
      </c>
      <c r="G2819" s="89">
        <f t="shared" si="6"/>
        <v>46284</v>
      </c>
      <c r="H2819" s="72" t="str">
        <f t="shared" si="7"/>
        <v>Yes</v>
      </c>
    </row>
    <row r="2820" ht="15.75" customHeight="1">
      <c r="A2820" s="88">
        <f t="shared" si="8"/>
        <v>46284</v>
      </c>
      <c r="B2820" s="72" t="str">
        <f t="shared" si="1"/>
        <v>20260919</v>
      </c>
      <c r="C2820" s="72" t="str">
        <f t="shared" si="2"/>
        <v>Saturday</v>
      </c>
      <c r="D2820" s="72" t="str">
        <f t="shared" si="3"/>
        <v>September</v>
      </c>
      <c r="E2820" s="72" t="str">
        <f t="shared" si="4"/>
        <v>Q3</v>
      </c>
      <c r="F2820" s="72">
        <f t="shared" si="5"/>
        <v>2026</v>
      </c>
      <c r="G2820" s="89">
        <f t="shared" si="6"/>
        <v>46284</v>
      </c>
      <c r="H2820" s="72" t="str">
        <f t="shared" si="7"/>
        <v>No</v>
      </c>
    </row>
    <row r="2821" ht="15.75" customHeight="1">
      <c r="A2821" s="88">
        <f t="shared" si="8"/>
        <v>46285</v>
      </c>
      <c r="B2821" s="72" t="str">
        <f t="shared" si="1"/>
        <v>20260920</v>
      </c>
      <c r="C2821" s="72" t="str">
        <f t="shared" si="2"/>
        <v>Sunday</v>
      </c>
      <c r="D2821" s="72" t="str">
        <f t="shared" si="3"/>
        <v>September</v>
      </c>
      <c r="E2821" s="72" t="str">
        <f t="shared" si="4"/>
        <v>Q3</v>
      </c>
      <c r="F2821" s="72">
        <f t="shared" si="5"/>
        <v>2026</v>
      </c>
      <c r="G2821" s="89">
        <f t="shared" si="6"/>
        <v>46291</v>
      </c>
      <c r="H2821" s="72" t="str">
        <f t="shared" si="7"/>
        <v>No</v>
      </c>
    </row>
    <row r="2822" ht="15.75" customHeight="1">
      <c r="A2822" s="88">
        <f t="shared" si="8"/>
        <v>46286</v>
      </c>
      <c r="B2822" s="72" t="str">
        <f t="shared" si="1"/>
        <v>20260921</v>
      </c>
      <c r="C2822" s="72" t="str">
        <f t="shared" si="2"/>
        <v>Monday</v>
      </c>
      <c r="D2822" s="72" t="str">
        <f t="shared" si="3"/>
        <v>September</v>
      </c>
      <c r="E2822" s="72" t="str">
        <f t="shared" si="4"/>
        <v>Q3</v>
      </c>
      <c r="F2822" s="72">
        <f t="shared" si="5"/>
        <v>2026</v>
      </c>
      <c r="G2822" s="89">
        <f t="shared" si="6"/>
        <v>46291</v>
      </c>
      <c r="H2822" s="72" t="str">
        <f t="shared" si="7"/>
        <v>Yes</v>
      </c>
    </row>
    <row r="2823" ht="15.75" customHeight="1">
      <c r="A2823" s="88">
        <f t="shared" si="8"/>
        <v>46287</v>
      </c>
      <c r="B2823" s="72" t="str">
        <f t="shared" si="1"/>
        <v>20260922</v>
      </c>
      <c r="C2823" s="72" t="str">
        <f t="shared" si="2"/>
        <v>Tuesday</v>
      </c>
      <c r="D2823" s="72" t="str">
        <f t="shared" si="3"/>
        <v>September</v>
      </c>
      <c r="E2823" s="72" t="str">
        <f t="shared" si="4"/>
        <v>Q3</v>
      </c>
      <c r="F2823" s="72">
        <f t="shared" si="5"/>
        <v>2026</v>
      </c>
      <c r="G2823" s="89">
        <f t="shared" si="6"/>
        <v>46291</v>
      </c>
      <c r="H2823" s="72" t="str">
        <f t="shared" si="7"/>
        <v>Yes</v>
      </c>
    </row>
    <row r="2824" ht="15.75" customHeight="1">
      <c r="A2824" s="88">
        <f t="shared" si="8"/>
        <v>46288</v>
      </c>
      <c r="B2824" s="72" t="str">
        <f t="shared" si="1"/>
        <v>20260923</v>
      </c>
      <c r="C2824" s="72" t="str">
        <f t="shared" si="2"/>
        <v>Wednesday</v>
      </c>
      <c r="D2824" s="72" t="str">
        <f t="shared" si="3"/>
        <v>September</v>
      </c>
      <c r="E2824" s="72" t="str">
        <f t="shared" si="4"/>
        <v>Q3</v>
      </c>
      <c r="F2824" s="72">
        <f t="shared" si="5"/>
        <v>2026</v>
      </c>
      <c r="G2824" s="89">
        <f t="shared" si="6"/>
        <v>46291</v>
      </c>
      <c r="H2824" s="72" t="str">
        <f t="shared" si="7"/>
        <v>Yes</v>
      </c>
    </row>
    <row r="2825" ht="15.75" customHeight="1">
      <c r="A2825" s="88">
        <f t="shared" si="8"/>
        <v>46289</v>
      </c>
      <c r="B2825" s="72" t="str">
        <f t="shared" si="1"/>
        <v>20260924</v>
      </c>
      <c r="C2825" s="72" t="str">
        <f t="shared" si="2"/>
        <v>Thursday</v>
      </c>
      <c r="D2825" s="72" t="str">
        <f t="shared" si="3"/>
        <v>September</v>
      </c>
      <c r="E2825" s="72" t="str">
        <f t="shared" si="4"/>
        <v>Q3</v>
      </c>
      <c r="F2825" s="72">
        <f t="shared" si="5"/>
        <v>2026</v>
      </c>
      <c r="G2825" s="89">
        <f t="shared" si="6"/>
        <v>46291</v>
      </c>
      <c r="H2825" s="72" t="str">
        <f t="shared" si="7"/>
        <v>Yes</v>
      </c>
    </row>
    <row r="2826" ht="15.75" customHeight="1">
      <c r="A2826" s="88">
        <f t="shared" si="8"/>
        <v>46290</v>
      </c>
      <c r="B2826" s="72" t="str">
        <f t="shared" si="1"/>
        <v>20260925</v>
      </c>
      <c r="C2826" s="72" t="str">
        <f t="shared" si="2"/>
        <v>Friday</v>
      </c>
      <c r="D2826" s="72" t="str">
        <f t="shared" si="3"/>
        <v>September</v>
      </c>
      <c r="E2826" s="72" t="str">
        <f t="shared" si="4"/>
        <v>Q3</v>
      </c>
      <c r="F2826" s="72">
        <f t="shared" si="5"/>
        <v>2026</v>
      </c>
      <c r="G2826" s="89">
        <f t="shared" si="6"/>
        <v>46291</v>
      </c>
      <c r="H2826" s="72" t="str">
        <f t="shared" si="7"/>
        <v>Yes</v>
      </c>
    </row>
    <row r="2827" ht="15.75" customHeight="1">
      <c r="A2827" s="88">
        <f t="shared" si="8"/>
        <v>46291</v>
      </c>
      <c r="B2827" s="72" t="str">
        <f t="shared" si="1"/>
        <v>20260926</v>
      </c>
      <c r="C2827" s="72" t="str">
        <f t="shared" si="2"/>
        <v>Saturday</v>
      </c>
      <c r="D2827" s="72" t="str">
        <f t="shared" si="3"/>
        <v>September</v>
      </c>
      <c r="E2827" s="72" t="str">
        <f t="shared" si="4"/>
        <v>Q3</v>
      </c>
      <c r="F2827" s="72">
        <f t="shared" si="5"/>
        <v>2026</v>
      </c>
      <c r="G2827" s="89">
        <f t="shared" si="6"/>
        <v>46291</v>
      </c>
      <c r="H2827" s="72" t="str">
        <f t="shared" si="7"/>
        <v>No</v>
      </c>
    </row>
    <row r="2828" ht="15.75" customHeight="1">
      <c r="A2828" s="88">
        <f t="shared" si="8"/>
        <v>46292</v>
      </c>
      <c r="B2828" s="72" t="str">
        <f t="shared" si="1"/>
        <v>20260927</v>
      </c>
      <c r="C2828" s="72" t="str">
        <f t="shared" si="2"/>
        <v>Sunday</v>
      </c>
      <c r="D2828" s="72" t="str">
        <f t="shared" si="3"/>
        <v>September</v>
      </c>
      <c r="E2828" s="72" t="str">
        <f t="shared" si="4"/>
        <v>Q3</v>
      </c>
      <c r="F2828" s="72">
        <f t="shared" si="5"/>
        <v>2026</v>
      </c>
      <c r="G2828" s="89">
        <f t="shared" si="6"/>
        <v>46298</v>
      </c>
      <c r="H2828" s="72" t="str">
        <f t="shared" si="7"/>
        <v>No</v>
      </c>
    </row>
    <row r="2829" ht="15.75" customHeight="1">
      <c r="A2829" s="88">
        <f t="shared" si="8"/>
        <v>46293</v>
      </c>
      <c r="B2829" s="72" t="str">
        <f t="shared" si="1"/>
        <v>20260928</v>
      </c>
      <c r="C2829" s="72" t="str">
        <f t="shared" si="2"/>
        <v>Monday</v>
      </c>
      <c r="D2829" s="72" t="str">
        <f t="shared" si="3"/>
        <v>September</v>
      </c>
      <c r="E2829" s="72" t="str">
        <f t="shared" si="4"/>
        <v>Q3</v>
      </c>
      <c r="F2829" s="72">
        <f t="shared" si="5"/>
        <v>2026</v>
      </c>
      <c r="G2829" s="89">
        <f t="shared" si="6"/>
        <v>46298</v>
      </c>
      <c r="H2829" s="72" t="str">
        <f t="shared" si="7"/>
        <v>Yes</v>
      </c>
    </row>
    <row r="2830" ht="15.75" customHeight="1">
      <c r="A2830" s="88">
        <f t="shared" si="8"/>
        <v>46294</v>
      </c>
      <c r="B2830" s="72" t="str">
        <f t="shared" si="1"/>
        <v>20260929</v>
      </c>
      <c r="C2830" s="72" t="str">
        <f t="shared" si="2"/>
        <v>Tuesday</v>
      </c>
      <c r="D2830" s="72" t="str">
        <f t="shared" si="3"/>
        <v>September</v>
      </c>
      <c r="E2830" s="72" t="str">
        <f t="shared" si="4"/>
        <v>Q3</v>
      </c>
      <c r="F2830" s="72">
        <f t="shared" si="5"/>
        <v>2026</v>
      </c>
      <c r="G2830" s="89">
        <f t="shared" si="6"/>
        <v>46298</v>
      </c>
      <c r="H2830" s="72" t="str">
        <f t="shared" si="7"/>
        <v>Yes</v>
      </c>
    </row>
    <row r="2831" ht="15.75" customHeight="1">
      <c r="A2831" s="88">
        <f t="shared" si="8"/>
        <v>46295</v>
      </c>
      <c r="B2831" s="72" t="str">
        <f t="shared" si="1"/>
        <v>20260930</v>
      </c>
      <c r="C2831" s="72" t="str">
        <f t="shared" si="2"/>
        <v>Wednesday</v>
      </c>
      <c r="D2831" s="72" t="str">
        <f t="shared" si="3"/>
        <v>September</v>
      </c>
      <c r="E2831" s="72" t="str">
        <f t="shared" si="4"/>
        <v>Q3</v>
      </c>
      <c r="F2831" s="72">
        <f t="shared" si="5"/>
        <v>2026</v>
      </c>
      <c r="G2831" s="89">
        <f t="shared" si="6"/>
        <v>46298</v>
      </c>
      <c r="H2831" s="72" t="str">
        <f t="shared" si="7"/>
        <v>Yes</v>
      </c>
    </row>
    <row r="2832" ht="15.75" customHeight="1">
      <c r="A2832" s="88">
        <f t="shared" si="8"/>
        <v>46296</v>
      </c>
      <c r="B2832" s="72" t="str">
        <f t="shared" si="1"/>
        <v>20261001</v>
      </c>
      <c r="C2832" s="72" t="str">
        <f t="shared" si="2"/>
        <v>Thursday</v>
      </c>
      <c r="D2832" s="72" t="str">
        <f t="shared" si="3"/>
        <v>October</v>
      </c>
      <c r="E2832" s="72" t="str">
        <f t="shared" si="4"/>
        <v>Q4</v>
      </c>
      <c r="F2832" s="72">
        <f t="shared" si="5"/>
        <v>2026</v>
      </c>
      <c r="G2832" s="89">
        <f t="shared" si="6"/>
        <v>46298</v>
      </c>
      <c r="H2832" s="72" t="str">
        <f t="shared" si="7"/>
        <v>Yes</v>
      </c>
    </row>
    <row r="2833" ht="15.75" customHeight="1">
      <c r="A2833" s="88">
        <f t="shared" si="8"/>
        <v>46297</v>
      </c>
      <c r="B2833" s="72" t="str">
        <f t="shared" si="1"/>
        <v>20261002</v>
      </c>
      <c r="C2833" s="72" t="str">
        <f t="shared" si="2"/>
        <v>Friday</v>
      </c>
      <c r="D2833" s="72" t="str">
        <f t="shared" si="3"/>
        <v>October</v>
      </c>
      <c r="E2833" s="72" t="str">
        <f t="shared" si="4"/>
        <v>Q4</v>
      </c>
      <c r="F2833" s="72">
        <f t="shared" si="5"/>
        <v>2026</v>
      </c>
      <c r="G2833" s="89">
        <f t="shared" si="6"/>
        <v>46298</v>
      </c>
      <c r="H2833" s="72" t="str">
        <f t="shared" si="7"/>
        <v>Yes</v>
      </c>
    </row>
    <row r="2834" ht="15.75" customHeight="1">
      <c r="A2834" s="88">
        <f t="shared" si="8"/>
        <v>46298</v>
      </c>
      <c r="B2834" s="72" t="str">
        <f t="shared" si="1"/>
        <v>20261003</v>
      </c>
      <c r="C2834" s="72" t="str">
        <f t="shared" si="2"/>
        <v>Saturday</v>
      </c>
      <c r="D2834" s="72" t="str">
        <f t="shared" si="3"/>
        <v>October</v>
      </c>
      <c r="E2834" s="72" t="str">
        <f t="shared" si="4"/>
        <v>Q4</v>
      </c>
      <c r="F2834" s="72">
        <f t="shared" si="5"/>
        <v>2026</v>
      </c>
      <c r="G2834" s="89">
        <f t="shared" si="6"/>
        <v>46298</v>
      </c>
      <c r="H2834" s="72" t="str">
        <f t="shared" si="7"/>
        <v>No</v>
      </c>
    </row>
    <row r="2835" ht="15.75" customHeight="1">
      <c r="A2835" s="88">
        <f t="shared" si="8"/>
        <v>46299</v>
      </c>
      <c r="B2835" s="72" t="str">
        <f t="shared" si="1"/>
        <v>20261004</v>
      </c>
      <c r="C2835" s="72" t="str">
        <f t="shared" si="2"/>
        <v>Sunday</v>
      </c>
      <c r="D2835" s="72" t="str">
        <f t="shared" si="3"/>
        <v>October</v>
      </c>
      <c r="E2835" s="72" t="str">
        <f t="shared" si="4"/>
        <v>Q4</v>
      </c>
      <c r="F2835" s="72">
        <f t="shared" si="5"/>
        <v>2026</v>
      </c>
      <c r="G2835" s="89">
        <f t="shared" si="6"/>
        <v>46305</v>
      </c>
      <c r="H2835" s="72" t="str">
        <f t="shared" si="7"/>
        <v>No</v>
      </c>
    </row>
    <row r="2836" ht="15.75" customHeight="1">
      <c r="A2836" s="88">
        <f t="shared" si="8"/>
        <v>46300</v>
      </c>
      <c r="B2836" s="72" t="str">
        <f t="shared" si="1"/>
        <v>20261005</v>
      </c>
      <c r="C2836" s="72" t="str">
        <f t="shared" si="2"/>
        <v>Monday</v>
      </c>
      <c r="D2836" s="72" t="str">
        <f t="shared" si="3"/>
        <v>October</v>
      </c>
      <c r="E2836" s="72" t="str">
        <f t="shared" si="4"/>
        <v>Q4</v>
      </c>
      <c r="F2836" s="72">
        <f t="shared" si="5"/>
        <v>2026</v>
      </c>
      <c r="G2836" s="89">
        <f t="shared" si="6"/>
        <v>46305</v>
      </c>
      <c r="H2836" s="72" t="str">
        <f t="shared" si="7"/>
        <v>Yes</v>
      </c>
    </row>
    <row r="2837" ht="15.75" customHeight="1">
      <c r="A2837" s="88">
        <f t="shared" si="8"/>
        <v>46301</v>
      </c>
      <c r="B2837" s="72" t="str">
        <f t="shared" si="1"/>
        <v>20261006</v>
      </c>
      <c r="C2837" s="72" t="str">
        <f t="shared" si="2"/>
        <v>Tuesday</v>
      </c>
      <c r="D2837" s="72" t="str">
        <f t="shared" si="3"/>
        <v>October</v>
      </c>
      <c r="E2837" s="72" t="str">
        <f t="shared" si="4"/>
        <v>Q4</v>
      </c>
      <c r="F2837" s="72">
        <f t="shared" si="5"/>
        <v>2026</v>
      </c>
      <c r="G2837" s="89">
        <f t="shared" si="6"/>
        <v>46305</v>
      </c>
      <c r="H2837" s="72" t="str">
        <f t="shared" si="7"/>
        <v>Yes</v>
      </c>
    </row>
    <row r="2838" ht="15.75" customHeight="1">
      <c r="A2838" s="88">
        <f t="shared" si="8"/>
        <v>46302</v>
      </c>
      <c r="B2838" s="72" t="str">
        <f t="shared" si="1"/>
        <v>20261007</v>
      </c>
      <c r="C2838" s="72" t="str">
        <f t="shared" si="2"/>
        <v>Wednesday</v>
      </c>
      <c r="D2838" s="72" t="str">
        <f t="shared" si="3"/>
        <v>October</v>
      </c>
      <c r="E2838" s="72" t="str">
        <f t="shared" si="4"/>
        <v>Q4</v>
      </c>
      <c r="F2838" s="72">
        <f t="shared" si="5"/>
        <v>2026</v>
      </c>
      <c r="G2838" s="89">
        <f t="shared" si="6"/>
        <v>46305</v>
      </c>
      <c r="H2838" s="72" t="str">
        <f t="shared" si="7"/>
        <v>Yes</v>
      </c>
    </row>
    <row r="2839" ht="15.75" customHeight="1">
      <c r="A2839" s="88">
        <f t="shared" si="8"/>
        <v>46303</v>
      </c>
      <c r="B2839" s="72" t="str">
        <f t="shared" si="1"/>
        <v>20261008</v>
      </c>
      <c r="C2839" s="72" t="str">
        <f t="shared" si="2"/>
        <v>Thursday</v>
      </c>
      <c r="D2839" s="72" t="str">
        <f t="shared" si="3"/>
        <v>October</v>
      </c>
      <c r="E2839" s="72" t="str">
        <f t="shared" si="4"/>
        <v>Q4</v>
      </c>
      <c r="F2839" s="72">
        <f t="shared" si="5"/>
        <v>2026</v>
      </c>
      <c r="G2839" s="89">
        <f t="shared" si="6"/>
        <v>46305</v>
      </c>
      <c r="H2839" s="72" t="str">
        <f t="shared" si="7"/>
        <v>Yes</v>
      </c>
    </row>
    <row r="2840" ht="15.75" customHeight="1">
      <c r="A2840" s="88">
        <f t="shared" si="8"/>
        <v>46304</v>
      </c>
      <c r="B2840" s="72" t="str">
        <f t="shared" si="1"/>
        <v>20261009</v>
      </c>
      <c r="C2840" s="72" t="str">
        <f t="shared" si="2"/>
        <v>Friday</v>
      </c>
      <c r="D2840" s="72" t="str">
        <f t="shared" si="3"/>
        <v>October</v>
      </c>
      <c r="E2840" s="72" t="str">
        <f t="shared" si="4"/>
        <v>Q4</v>
      </c>
      <c r="F2840" s="72">
        <f t="shared" si="5"/>
        <v>2026</v>
      </c>
      <c r="G2840" s="89">
        <f t="shared" si="6"/>
        <v>46305</v>
      </c>
      <c r="H2840" s="72" t="str">
        <f t="shared" si="7"/>
        <v>Yes</v>
      </c>
    </row>
    <row r="2841" ht="15.75" customHeight="1">
      <c r="A2841" s="88">
        <f t="shared" si="8"/>
        <v>46305</v>
      </c>
      <c r="B2841" s="72" t="str">
        <f t="shared" si="1"/>
        <v>20261010</v>
      </c>
      <c r="C2841" s="72" t="str">
        <f t="shared" si="2"/>
        <v>Saturday</v>
      </c>
      <c r="D2841" s="72" t="str">
        <f t="shared" si="3"/>
        <v>October</v>
      </c>
      <c r="E2841" s="72" t="str">
        <f t="shared" si="4"/>
        <v>Q4</v>
      </c>
      <c r="F2841" s="72">
        <f t="shared" si="5"/>
        <v>2026</v>
      </c>
      <c r="G2841" s="89">
        <f t="shared" si="6"/>
        <v>46305</v>
      </c>
      <c r="H2841" s="72" t="str">
        <f t="shared" si="7"/>
        <v>No</v>
      </c>
    </row>
    <row r="2842" ht="15.75" customHeight="1">
      <c r="A2842" s="88">
        <f t="shared" si="8"/>
        <v>46306</v>
      </c>
      <c r="B2842" s="72" t="str">
        <f t="shared" si="1"/>
        <v>20261011</v>
      </c>
      <c r="C2842" s="72" t="str">
        <f t="shared" si="2"/>
        <v>Sunday</v>
      </c>
      <c r="D2842" s="72" t="str">
        <f t="shared" si="3"/>
        <v>October</v>
      </c>
      <c r="E2842" s="72" t="str">
        <f t="shared" si="4"/>
        <v>Q4</v>
      </c>
      <c r="F2842" s="72">
        <f t="shared" si="5"/>
        <v>2026</v>
      </c>
      <c r="G2842" s="89">
        <f t="shared" si="6"/>
        <v>46312</v>
      </c>
      <c r="H2842" s="72" t="str">
        <f t="shared" si="7"/>
        <v>No</v>
      </c>
    </row>
    <row r="2843" ht="15.75" customHeight="1">
      <c r="A2843" s="88">
        <f t="shared" si="8"/>
        <v>46307</v>
      </c>
      <c r="B2843" s="72" t="str">
        <f t="shared" si="1"/>
        <v>20261012</v>
      </c>
      <c r="C2843" s="72" t="str">
        <f t="shared" si="2"/>
        <v>Monday</v>
      </c>
      <c r="D2843" s="72" t="str">
        <f t="shared" si="3"/>
        <v>October</v>
      </c>
      <c r="E2843" s="72" t="str">
        <f t="shared" si="4"/>
        <v>Q4</v>
      </c>
      <c r="F2843" s="72">
        <f t="shared" si="5"/>
        <v>2026</v>
      </c>
      <c r="G2843" s="89">
        <f t="shared" si="6"/>
        <v>46312</v>
      </c>
      <c r="H2843" s="72" t="str">
        <f t="shared" si="7"/>
        <v>Yes</v>
      </c>
    </row>
    <row r="2844" ht="15.75" customHeight="1">
      <c r="A2844" s="88">
        <f t="shared" si="8"/>
        <v>46308</v>
      </c>
      <c r="B2844" s="72" t="str">
        <f t="shared" si="1"/>
        <v>20261013</v>
      </c>
      <c r="C2844" s="72" t="str">
        <f t="shared" si="2"/>
        <v>Tuesday</v>
      </c>
      <c r="D2844" s="72" t="str">
        <f t="shared" si="3"/>
        <v>October</v>
      </c>
      <c r="E2844" s="72" t="str">
        <f t="shared" si="4"/>
        <v>Q4</v>
      </c>
      <c r="F2844" s="72">
        <f t="shared" si="5"/>
        <v>2026</v>
      </c>
      <c r="G2844" s="89">
        <f t="shared" si="6"/>
        <v>46312</v>
      </c>
      <c r="H2844" s="72" t="str">
        <f t="shared" si="7"/>
        <v>Yes</v>
      </c>
    </row>
    <row r="2845" ht="15.75" customHeight="1">
      <c r="A2845" s="88">
        <f t="shared" si="8"/>
        <v>46309</v>
      </c>
      <c r="B2845" s="72" t="str">
        <f t="shared" si="1"/>
        <v>20261014</v>
      </c>
      <c r="C2845" s="72" t="str">
        <f t="shared" si="2"/>
        <v>Wednesday</v>
      </c>
      <c r="D2845" s="72" t="str">
        <f t="shared" si="3"/>
        <v>October</v>
      </c>
      <c r="E2845" s="72" t="str">
        <f t="shared" si="4"/>
        <v>Q4</v>
      </c>
      <c r="F2845" s="72">
        <f t="shared" si="5"/>
        <v>2026</v>
      </c>
      <c r="G2845" s="89">
        <f t="shared" si="6"/>
        <v>46312</v>
      </c>
      <c r="H2845" s="72" t="str">
        <f t="shared" si="7"/>
        <v>Yes</v>
      </c>
    </row>
    <row r="2846" ht="15.75" customHeight="1">
      <c r="A2846" s="88">
        <f t="shared" si="8"/>
        <v>46310</v>
      </c>
      <c r="B2846" s="72" t="str">
        <f t="shared" si="1"/>
        <v>20261015</v>
      </c>
      <c r="C2846" s="72" t="str">
        <f t="shared" si="2"/>
        <v>Thursday</v>
      </c>
      <c r="D2846" s="72" t="str">
        <f t="shared" si="3"/>
        <v>October</v>
      </c>
      <c r="E2846" s="72" t="str">
        <f t="shared" si="4"/>
        <v>Q4</v>
      </c>
      <c r="F2846" s="72">
        <f t="shared" si="5"/>
        <v>2026</v>
      </c>
      <c r="G2846" s="89">
        <f t="shared" si="6"/>
        <v>46312</v>
      </c>
      <c r="H2846" s="72" t="str">
        <f t="shared" si="7"/>
        <v>Yes</v>
      </c>
    </row>
    <row r="2847" ht="15.75" customHeight="1">
      <c r="A2847" s="88">
        <f t="shared" si="8"/>
        <v>46311</v>
      </c>
      <c r="B2847" s="72" t="str">
        <f t="shared" si="1"/>
        <v>20261016</v>
      </c>
      <c r="C2847" s="72" t="str">
        <f t="shared" si="2"/>
        <v>Friday</v>
      </c>
      <c r="D2847" s="72" t="str">
        <f t="shared" si="3"/>
        <v>October</v>
      </c>
      <c r="E2847" s="72" t="str">
        <f t="shared" si="4"/>
        <v>Q4</v>
      </c>
      <c r="F2847" s="72">
        <f t="shared" si="5"/>
        <v>2026</v>
      </c>
      <c r="G2847" s="89">
        <f t="shared" si="6"/>
        <v>46312</v>
      </c>
      <c r="H2847" s="72" t="str">
        <f t="shared" si="7"/>
        <v>Yes</v>
      </c>
    </row>
    <row r="2848" ht="15.75" customHeight="1">
      <c r="A2848" s="88">
        <f t="shared" si="8"/>
        <v>46312</v>
      </c>
      <c r="B2848" s="72" t="str">
        <f t="shared" si="1"/>
        <v>20261017</v>
      </c>
      <c r="C2848" s="72" t="str">
        <f t="shared" si="2"/>
        <v>Saturday</v>
      </c>
      <c r="D2848" s="72" t="str">
        <f t="shared" si="3"/>
        <v>October</v>
      </c>
      <c r="E2848" s="72" t="str">
        <f t="shared" si="4"/>
        <v>Q4</v>
      </c>
      <c r="F2848" s="72">
        <f t="shared" si="5"/>
        <v>2026</v>
      </c>
      <c r="G2848" s="89">
        <f t="shared" si="6"/>
        <v>46312</v>
      </c>
      <c r="H2848" s="72" t="str">
        <f t="shared" si="7"/>
        <v>No</v>
      </c>
    </row>
    <row r="2849" ht="15.75" customHeight="1">
      <c r="A2849" s="88">
        <f t="shared" si="8"/>
        <v>46313</v>
      </c>
      <c r="B2849" s="72" t="str">
        <f t="shared" si="1"/>
        <v>20261018</v>
      </c>
      <c r="C2849" s="72" t="str">
        <f t="shared" si="2"/>
        <v>Sunday</v>
      </c>
      <c r="D2849" s="72" t="str">
        <f t="shared" si="3"/>
        <v>October</v>
      </c>
      <c r="E2849" s="72" t="str">
        <f t="shared" si="4"/>
        <v>Q4</v>
      </c>
      <c r="F2849" s="72">
        <f t="shared" si="5"/>
        <v>2026</v>
      </c>
      <c r="G2849" s="89">
        <f t="shared" si="6"/>
        <v>46319</v>
      </c>
      <c r="H2849" s="72" t="str">
        <f t="shared" si="7"/>
        <v>No</v>
      </c>
    </row>
    <row r="2850" ht="15.75" customHeight="1">
      <c r="A2850" s="88">
        <f t="shared" si="8"/>
        <v>46314</v>
      </c>
      <c r="B2850" s="72" t="str">
        <f t="shared" si="1"/>
        <v>20261019</v>
      </c>
      <c r="C2850" s="72" t="str">
        <f t="shared" si="2"/>
        <v>Monday</v>
      </c>
      <c r="D2850" s="72" t="str">
        <f t="shared" si="3"/>
        <v>October</v>
      </c>
      <c r="E2850" s="72" t="str">
        <f t="shared" si="4"/>
        <v>Q4</v>
      </c>
      <c r="F2850" s="72">
        <f t="shared" si="5"/>
        <v>2026</v>
      </c>
      <c r="G2850" s="89">
        <f t="shared" si="6"/>
        <v>46319</v>
      </c>
      <c r="H2850" s="72" t="str">
        <f t="shared" si="7"/>
        <v>Yes</v>
      </c>
    </row>
    <row r="2851" ht="15.75" customHeight="1">
      <c r="A2851" s="88">
        <f t="shared" si="8"/>
        <v>46315</v>
      </c>
      <c r="B2851" s="72" t="str">
        <f t="shared" si="1"/>
        <v>20261020</v>
      </c>
      <c r="C2851" s="72" t="str">
        <f t="shared" si="2"/>
        <v>Tuesday</v>
      </c>
      <c r="D2851" s="72" t="str">
        <f t="shared" si="3"/>
        <v>October</v>
      </c>
      <c r="E2851" s="72" t="str">
        <f t="shared" si="4"/>
        <v>Q4</v>
      </c>
      <c r="F2851" s="72">
        <f t="shared" si="5"/>
        <v>2026</v>
      </c>
      <c r="G2851" s="89">
        <f t="shared" si="6"/>
        <v>46319</v>
      </c>
      <c r="H2851" s="72" t="str">
        <f t="shared" si="7"/>
        <v>Yes</v>
      </c>
    </row>
    <row r="2852" ht="15.75" customHeight="1">
      <c r="A2852" s="88">
        <f t="shared" si="8"/>
        <v>46316</v>
      </c>
      <c r="B2852" s="72" t="str">
        <f t="shared" si="1"/>
        <v>20261021</v>
      </c>
      <c r="C2852" s="72" t="str">
        <f t="shared" si="2"/>
        <v>Wednesday</v>
      </c>
      <c r="D2852" s="72" t="str">
        <f t="shared" si="3"/>
        <v>October</v>
      </c>
      <c r="E2852" s="72" t="str">
        <f t="shared" si="4"/>
        <v>Q4</v>
      </c>
      <c r="F2852" s="72">
        <f t="shared" si="5"/>
        <v>2026</v>
      </c>
      <c r="G2852" s="89">
        <f t="shared" si="6"/>
        <v>46319</v>
      </c>
      <c r="H2852" s="72" t="str">
        <f t="shared" si="7"/>
        <v>Yes</v>
      </c>
    </row>
    <row r="2853" ht="15.75" customHeight="1">
      <c r="A2853" s="88">
        <f t="shared" si="8"/>
        <v>46317</v>
      </c>
      <c r="B2853" s="72" t="str">
        <f t="shared" si="1"/>
        <v>20261022</v>
      </c>
      <c r="C2853" s="72" t="str">
        <f t="shared" si="2"/>
        <v>Thursday</v>
      </c>
      <c r="D2853" s="72" t="str">
        <f t="shared" si="3"/>
        <v>October</v>
      </c>
      <c r="E2853" s="72" t="str">
        <f t="shared" si="4"/>
        <v>Q4</v>
      </c>
      <c r="F2853" s="72">
        <f t="shared" si="5"/>
        <v>2026</v>
      </c>
      <c r="G2853" s="89">
        <f t="shared" si="6"/>
        <v>46319</v>
      </c>
      <c r="H2853" s="72" t="str">
        <f t="shared" si="7"/>
        <v>Yes</v>
      </c>
    </row>
    <row r="2854" ht="15.75" customHeight="1">
      <c r="A2854" s="88">
        <f t="shared" si="8"/>
        <v>46318</v>
      </c>
      <c r="B2854" s="72" t="str">
        <f t="shared" si="1"/>
        <v>20261023</v>
      </c>
      <c r="C2854" s="72" t="str">
        <f t="shared" si="2"/>
        <v>Friday</v>
      </c>
      <c r="D2854" s="72" t="str">
        <f t="shared" si="3"/>
        <v>October</v>
      </c>
      <c r="E2854" s="72" t="str">
        <f t="shared" si="4"/>
        <v>Q4</v>
      </c>
      <c r="F2854" s="72">
        <f t="shared" si="5"/>
        <v>2026</v>
      </c>
      <c r="G2854" s="89">
        <f t="shared" si="6"/>
        <v>46319</v>
      </c>
      <c r="H2854" s="72" t="str">
        <f t="shared" si="7"/>
        <v>Yes</v>
      </c>
    </row>
    <row r="2855" ht="15.75" customHeight="1">
      <c r="A2855" s="88">
        <f t="shared" si="8"/>
        <v>46319</v>
      </c>
      <c r="B2855" s="72" t="str">
        <f t="shared" si="1"/>
        <v>20261024</v>
      </c>
      <c r="C2855" s="72" t="str">
        <f t="shared" si="2"/>
        <v>Saturday</v>
      </c>
      <c r="D2855" s="72" t="str">
        <f t="shared" si="3"/>
        <v>October</v>
      </c>
      <c r="E2855" s="72" t="str">
        <f t="shared" si="4"/>
        <v>Q4</v>
      </c>
      <c r="F2855" s="72">
        <f t="shared" si="5"/>
        <v>2026</v>
      </c>
      <c r="G2855" s="89">
        <f t="shared" si="6"/>
        <v>46319</v>
      </c>
      <c r="H2855" s="72" t="str">
        <f t="shared" si="7"/>
        <v>No</v>
      </c>
    </row>
    <row r="2856" ht="15.75" customHeight="1">
      <c r="A2856" s="88">
        <f t="shared" si="8"/>
        <v>46320</v>
      </c>
      <c r="B2856" s="72" t="str">
        <f t="shared" si="1"/>
        <v>20261025</v>
      </c>
      <c r="C2856" s="72" t="str">
        <f t="shared" si="2"/>
        <v>Sunday</v>
      </c>
      <c r="D2856" s="72" t="str">
        <f t="shared" si="3"/>
        <v>October</v>
      </c>
      <c r="E2856" s="72" t="str">
        <f t="shared" si="4"/>
        <v>Q4</v>
      </c>
      <c r="F2856" s="72">
        <f t="shared" si="5"/>
        <v>2026</v>
      </c>
      <c r="G2856" s="89">
        <f t="shared" si="6"/>
        <v>46326</v>
      </c>
      <c r="H2856" s="72" t="str">
        <f t="shared" si="7"/>
        <v>No</v>
      </c>
    </row>
    <row r="2857" ht="15.75" customHeight="1">
      <c r="A2857" s="88">
        <f t="shared" si="8"/>
        <v>46321</v>
      </c>
      <c r="B2857" s="72" t="str">
        <f t="shared" si="1"/>
        <v>20261026</v>
      </c>
      <c r="C2857" s="72" t="str">
        <f t="shared" si="2"/>
        <v>Monday</v>
      </c>
      <c r="D2857" s="72" t="str">
        <f t="shared" si="3"/>
        <v>October</v>
      </c>
      <c r="E2857" s="72" t="str">
        <f t="shared" si="4"/>
        <v>Q4</v>
      </c>
      <c r="F2857" s="72">
        <f t="shared" si="5"/>
        <v>2026</v>
      </c>
      <c r="G2857" s="89">
        <f t="shared" si="6"/>
        <v>46326</v>
      </c>
      <c r="H2857" s="72" t="str">
        <f t="shared" si="7"/>
        <v>Yes</v>
      </c>
    </row>
    <row r="2858" ht="15.75" customHeight="1">
      <c r="A2858" s="88">
        <f t="shared" si="8"/>
        <v>46322</v>
      </c>
      <c r="B2858" s="72" t="str">
        <f t="shared" si="1"/>
        <v>20261027</v>
      </c>
      <c r="C2858" s="72" t="str">
        <f t="shared" si="2"/>
        <v>Tuesday</v>
      </c>
      <c r="D2858" s="72" t="str">
        <f t="shared" si="3"/>
        <v>October</v>
      </c>
      <c r="E2858" s="72" t="str">
        <f t="shared" si="4"/>
        <v>Q4</v>
      </c>
      <c r="F2858" s="72">
        <f t="shared" si="5"/>
        <v>2026</v>
      </c>
      <c r="G2858" s="89">
        <f t="shared" si="6"/>
        <v>46326</v>
      </c>
      <c r="H2858" s="72" t="str">
        <f t="shared" si="7"/>
        <v>Yes</v>
      </c>
    </row>
    <row r="2859" ht="15.75" customHeight="1">
      <c r="A2859" s="88">
        <f t="shared" si="8"/>
        <v>46323</v>
      </c>
      <c r="B2859" s="72" t="str">
        <f t="shared" si="1"/>
        <v>20261028</v>
      </c>
      <c r="C2859" s="72" t="str">
        <f t="shared" si="2"/>
        <v>Wednesday</v>
      </c>
      <c r="D2859" s="72" t="str">
        <f t="shared" si="3"/>
        <v>October</v>
      </c>
      <c r="E2859" s="72" t="str">
        <f t="shared" si="4"/>
        <v>Q4</v>
      </c>
      <c r="F2859" s="72">
        <f t="shared" si="5"/>
        <v>2026</v>
      </c>
      <c r="G2859" s="89">
        <f t="shared" si="6"/>
        <v>46326</v>
      </c>
      <c r="H2859" s="72" t="str">
        <f t="shared" si="7"/>
        <v>Yes</v>
      </c>
    </row>
    <row r="2860" ht="15.75" customHeight="1">
      <c r="A2860" s="88">
        <f t="shared" si="8"/>
        <v>46324</v>
      </c>
      <c r="B2860" s="72" t="str">
        <f t="shared" si="1"/>
        <v>20261029</v>
      </c>
      <c r="C2860" s="72" t="str">
        <f t="shared" si="2"/>
        <v>Thursday</v>
      </c>
      <c r="D2860" s="72" t="str">
        <f t="shared" si="3"/>
        <v>October</v>
      </c>
      <c r="E2860" s="72" t="str">
        <f t="shared" si="4"/>
        <v>Q4</v>
      </c>
      <c r="F2860" s="72">
        <f t="shared" si="5"/>
        <v>2026</v>
      </c>
      <c r="G2860" s="89">
        <f t="shared" si="6"/>
        <v>46326</v>
      </c>
      <c r="H2860" s="72" t="str">
        <f t="shared" si="7"/>
        <v>Yes</v>
      </c>
    </row>
    <row r="2861" ht="15.75" customHeight="1">
      <c r="A2861" s="88">
        <f t="shared" si="8"/>
        <v>46325</v>
      </c>
      <c r="B2861" s="72" t="str">
        <f t="shared" si="1"/>
        <v>20261030</v>
      </c>
      <c r="C2861" s="72" t="str">
        <f t="shared" si="2"/>
        <v>Friday</v>
      </c>
      <c r="D2861" s="72" t="str">
        <f t="shared" si="3"/>
        <v>October</v>
      </c>
      <c r="E2861" s="72" t="str">
        <f t="shared" si="4"/>
        <v>Q4</v>
      </c>
      <c r="F2861" s="72">
        <f t="shared" si="5"/>
        <v>2026</v>
      </c>
      <c r="G2861" s="89">
        <f t="shared" si="6"/>
        <v>46326</v>
      </c>
      <c r="H2861" s="72" t="str">
        <f t="shared" si="7"/>
        <v>Yes</v>
      </c>
    </row>
    <row r="2862" ht="15.75" customHeight="1">
      <c r="A2862" s="88">
        <f t="shared" si="8"/>
        <v>46326</v>
      </c>
      <c r="B2862" s="72" t="str">
        <f t="shared" si="1"/>
        <v>20261031</v>
      </c>
      <c r="C2862" s="72" t="str">
        <f t="shared" si="2"/>
        <v>Saturday</v>
      </c>
      <c r="D2862" s="72" t="str">
        <f t="shared" si="3"/>
        <v>October</v>
      </c>
      <c r="E2862" s="72" t="str">
        <f t="shared" si="4"/>
        <v>Q4</v>
      </c>
      <c r="F2862" s="72">
        <f t="shared" si="5"/>
        <v>2026</v>
      </c>
      <c r="G2862" s="89">
        <f t="shared" si="6"/>
        <v>46326</v>
      </c>
      <c r="H2862" s="72" t="str">
        <f t="shared" si="7"/>
        <v>No</v>
      </c>
    </row>
    <row r="2863" ht="15.75" customHeight="1">
      <c r="A2863" s="88">
        <f t="shared" si="8"/>
        <v>46327</v>
      </c>
      <c r="B2863" s="72" t="str">
        <f t="shared" si="1"/>
        <v>20261101</v>
      </c>
      <c r="C2863" s="72" t="str">
        <f t="shared" si="2"/>
        <v>Sunday</v>
      </c>
      <c r="D2863" s="72" t="str">
        <f t="shared" si="3"/>
        <v>November</v>
      </c>
      <c r="E2863" s="72" t="str">
        <f t="shared" si="4"/>
        <v>Q4</v>
      </c>
      <c r="F2863" s="72">
        <f t="shared" si="5"/>
        <v>2026</v>
      </c>
      <c r="G2863" s="89">
        <f t="shared" si="6"/>
        <v>46333</v>
      </c>
      <c r="H2863" s="72" t="str">
        <f t="shared" si="7"/>
        <v>No</v>
      </c>
    </row>
    <row r="2864" ht="15.75" customHeight="1">
      <c r="A2864" s="88">
        <f t="shared" si="8"/>
        <v>46328</v>
      </c>
      <c r="B2864" s="72" t="str">
        <f t="shared" si="1"/>
        <v>20261102</v>
      </c>
      <c r="C2864" s="72" t="str">
        <f t="shared" si="2"/>
        <v>Monday</v>
      </c>
      <c r="D2864" s="72" t="str">
        <f t="shared" si="3"/>
        <v>November</v>
      </c>
      <c r="E2864" s="72" t="str">
        <f t="shared" si="4"/>
        <v>Q4</v>
      </c>
      <c r="F2864" s="72">
        <f t="shared" si="5"/>
        <v>2026</v>
      </c>
      <c r="G2864" s="89">
        <f t="shared" si="6"/>
        <v>46333</v>
      </c>
      <c r="H2864" s="72" t="str">
        <f t="shared" si="7"/>
        <v>Yes</v>
      </c>
    </row>
    <row r="2865" ht="15.75" customHeight="1">
      <c r="A2865" s="88">
        <f t="shared" si="8"/>
        <v>46329</v>
      </c>
      <c r="B2865" s="72" t="str">
        <f t="shared" si="1"/>
        <v>20261103</v>
      </c>
      <c r="C2865" s="72" t="str">
        <f t="shared" si="2"/>
        <v>Tuesday</v>
      </c>
      <c r="D2865" s="72" t="str">
        <f t="shared" si="3"/>
        <v>November</v>
      </c>
      <c r="E2865" s="72" t="str">
        <f t="shared" si="4"/>
        <v>Q4</v>
      </c>
      <c r="F2865" s="72">
        <f t="shared" si="5"/>
        <v>2026</v>
      </c>
      <c r="G2865" s="89">
        <f t="shared" si="6"/>
        <v>46333</v>
      </c>
      <c r="H2865" s="72" t="str">
        <f t="shared" si="7"/>
        <v>Yes</v>
      </c>
    </row>
    <row r="2866" ht="15.75" customHeight="1">
      <c r="A2866" s="88">
        <f t="shared" si="8"/>
        <v>46330</v>
      </c>
      <c r="B2866" s="72" t="str">
        <f t="shared" si="1"/>
        <v>20261104</v>
      </c>
      <c r="C2866" s="72" t="str">
        <f t="shared" si="2"/>
        <v>Wednesday</v>
      </c>
      <c r="D2866" s="72" t="str">
        <f t="shared" si="3"/>
        <v>November</v>
      </c>
      <c r="E2866" s="72" t="str">
        <f t="shared" si="4"/>
        <v>Q4</v>
      </c>
      <c r="F2866" s="72">
        <f t="shared" si="5"/>
        <v>2026</v>
      </c>
      <c r="G2866" s="89">
        <f t="shared" si="6"/>
        <v>46333</v>
      </c>
      <c r="H2866" s="72" t="str">
        <f t="shared" si="7"/>
        <v>Yes</v>
      </c>
    </row>
    <row r="2867" ht="15.75" customHeight="1">
      <c r="A2867" s="88">
        <f t="shared" si="8"/>
        <v>46331</v>
      </c>
      <c r="B2867" s="72" t="str">
        <f t="shared" si="1"/>
        <v>20261105</v>
      </c>
      <c r="C2867" s="72" t="str">
        <f t="shared" si="2"/>
        <v>Thursday</v>
      </c>
      <c r="D2867" s="72" t="str">
        <f t="shared" si="3"/>
        <v>November</v>
      </c>
      <c r="E2867" s="72" t="str">
        <f t="shared" si="4"/>
        <v>Q4</v>
      </c>
      <c r="F2867" s="72">
        <f t="shared" si="5"/>
        <v>2026</v>
      </c>
      <c r="G2867" s="89">
        <f t="shared" si="6"/>
        <v>46333</v>
      </c>
      <c r="H2867" s="72" t="str">
        <f t="shared" si="7"/>
        <v>Yes</v>
      </c>
    </row>
    <row r="2868" ht="15.75" customHeight="1">
      <c r="A2868" s="88">
        <f t="shared" si="8"/>
        <v>46332</v>
      </c>
      <c r="B2868" s="72" t="str">
        <f t="shared" si="1"/>
        <v>20261106</v>
      </c>
      <c r="C2868" s="72" t="str">
        <f t="shared" si="2"/>
        <v>Friday</v>
      </c>
      <c r="D2868" s="72" t="str">
        <f t="shared" si="3"/>
        <v>November</v>
      </c>
      <c r="E2868" s="72" t="str">
        <f t="shared" si="4"/>
        <v>Q4</v>
      </c>
      <c r="F2868" s="72">
        <f t="shared" si="5"/>
        <v>2026</v>
      </c>
      <c r="G2868" s="89">
        <f t="shared" si="6"/>
        <v>46333</v>
      </c>
      <c r="H2868" s="72" t="str">
        <f t="shared" si="7"/>
        <v>Yes</v>
      </c>
    </row>
    <row r="2869" ht="15.75" customHeight="1">
      <c r="A2869" s="88">
        <f t="shared" si="8"/>
        <v>46333</v>
      </c>
      <c r="B2869" s="72" t="str">
        <f t="shared" si="1"/>
        <v>20261107</v>
      </c>
      <c r="C2869" s="72" t="str">
        <f t="shared" si="2"/>
        <v>Saturday</v>
      </c>
      <c r="D2869" s="72" t="str">
        <f t="shared" si="3"/>
        <v>November</v>
      </c>
      <c r="E2869" s="72" t="str">
        <f t="shared" si="4"/>
        <v>Q4</v>
      </c>
      <c r="F2869" s="72">
        <f t="shared" si="5"/>
        <v>2026</v>
      </c>
      <c r="G2869" s="89">
        <f t="shared" si="6"/>
        <v>46333</v>
      </c>
      <c r="H2869" s="72" t="str">
        <f t="shared" si="7"/>
        <v>No</v>
      </c>
    </row>
    <row r="2870" ht="15.75" customHeight="1">
      <c r="A2870" s="88">
        <f t="shared" si="8"/>
        <v>46334</v>
      </c>
      <c r="B2870" s="72" t="str">
        <f t="shared" si="1"/>
        <v>20261108</v>
      </c>
      <c r="C2870" s="72" t="str">
        <f t="shared" si="2"/>
        <v>Sunday</v>
      </c>
      <c r="D2870" s="72" t="str">
        <f t="shared" si="3"/>
        <v>November</v>
      </c>
      <c r="E2870" s="72" t="str">
        <f t="shared" si="4"/>
        <v>Q4</v>
      </c>
      <c r="F2870" s="72">
        <f t="shared" si="5"/>
        <v>2026</v>
      </c>
      <c r="G2870" s="89">
        <f t="shared" si="6"/>
        <v>46340</v>
      </c>
      <c r="H2870" s="72" t="str">
        <f t="shared" si="7"/>
        <v>No</v>
      </c>
    </row>
    <row r="2871" ht="15.75" customHeight="1">
      <c r="A2871" s="88">
        <f t="shared" si="8"/>
        <v>46335</v>
      </c>
      <c r="B2871" s="72" t="str">
        <f t="shared" si="1"/>
        <v>20261109</v>
      </c>
      <c r="C2871" s="72" t="str">
        <f t="shared" si="2"/>
        <v>Monday</v>
      </c>
      <c r="D2871" s="72" t="str">
        <f t="shared" si="3"/>
        <v>November</v>
      </c>
      <c r="E2871" s="72" t="str">
        <f t="shared" si="4"/>
        <v>Q4</v>
      </c>
      <c r="F2871" s="72">
        <f t="shared" si="5"/>
        <v>2026</v>
      </c>
      <c r="G2871" s="89">
        <f t="shared" si="6"/>
        <v>46340</v>
      </c>
      <c r="H2871" s="72" t="str">
        <f t="shared" si="7"/>
        <v>Yes</v>
      </c>
    </row>
    <row r="2872" ht="15.75" customHeight="1">
      <c r="A2872" s="88">
        <f t="shared" si="8"/>
        <v>46336</v>
      </c>
      <c r="B2872" s="72" t="str">
        <f t="shared" si="1"/>
        <v>20261110</v>
      </c>
      <c r="C2872" s="72" t="str">
        <f t="shared" si="2"/>
        <v>Tuesday</v>
      </c>
      <c r="D2872" s="72" t="str">
        <f t="shared" si="3"/>
        <v>November</v>
      </c>
      <c r="E2872" s="72" t="str">
        <f t="shared" si="4"/>
        <v>Q4</v>
      </c>
      <c r="F2872" s="72">
        <f t="shared" si="5"/>
        <v>2026</v>
      </c>
      <c r="G2872" s="89">
        <f t="shared" si="6"/>
        <v>46340</v>
      </c>
      <c r="H2872" s="72" t="str">
        <f t="shared" si="7"/>
        <v>Yes</v>
      </c>
    </row>
    <row r="2873" ht="15.75" customHeight="1">
      <c r="A2873" s="88">
        <f t="shared" si="8"/>
        <v>46337</v>
      </c>
      <c r="B2873" s="72" t="str">
        <f t="shared" si="1"/>
        <v>20261111</v>
      </c>
      <c r="C2873" s="72" t="str">
        <f t="shared" si="2"/>
        <v>Wednesday</v>
      </c>
      <c r="D2873" s="72" t="str">
        <f t="shared" si="3"/>
        <v>November</v>
      </c>
      <c r="E2873" s="72" t="str">
        <f t="shared" si="4"/>
        <v>Q4</v>
      </c>
      <c r="F2873" s="72">
        <f t="shared" si="5"/>
        <v>2026</v>
      </c>
      <c r="G2873" s="89">
        <f t="shared" si="6"/>
        <v>46340</v>
      </c>
      <c r="H2873" s="72" t="str">
        <f t="shared" si="7"/>
        <v>Yes</v>
      </c>
    </row>
    <row r="2874" ht="15.75" customHeight="1">
      <c r="A2874" s="88">
        <f t="shared" si="8"/>
        <v>46338</v>
      </c>
      <c r="B2874" s="72" t="str">
        <f t="shared" si="1"/>
        <v>20261112</v>
      </c>
      <c r="C2874" s="72" t="str">
        <f t="shared" si="2"/>
        <v>Thursday</v>
      </c>
      <c r="D2874" s="72" t="str">
        <f t="shared" si="3"/>
        <v>November</v>
      </c>
      <c r="E2874" s="72" t="str">
        <f t="shared" si="4"/>
        <v>Q4</v>
      </c>
      <c r="F2874" s="72">
        <f t="shared" si="5"/>
        <v>2026</v>
      </c>
      <c r="G2874" s="89">
        <f t="shared" si="6"/>
        <v>46340</v>
      </c>
      <c r="H2874" s="72" t="str">
        <f t="shared" si="7"/>
        <v>Yes</v>
      </c>
    </row>
    <row r="2875" ht="15.75" customHeight="1">
      <c r="A2875" s="88">
        <f t="shared" si="8"/>
        <v>46339</v>
      </c>
      <c r="B2875" s="72" t="str">
        <f t="shared" si="1"/>
        <v>20261113</v>
      </c>
      <c r="C2875" s="72" t="str">
        <f t="shared" si="2"/>
        <v>Friday</v>
      </c>
      <c r="D2875" s="72" t="str">
        <f t="shared" si="3"/>
        <v>November</v>
      </c>
      <c r="E2875" s="72" t="str">
        <f t="shared" si="4"/>
        <v>Q4</v>
      </c>
      <c r="F2875" s="72">
        <f t="shared" si="5"/>
        <v>2026</v>
      </c>
      <c r="G2875" s="89">
        <f t="shared" si="6"/>
        <v>46340</v>
      </c>
      <c r="H2875" s="72" t="str">
        <f t="shared" si="7"/>
        <v>Yes</v>
      </c>
    </row>
    <row r="2876" ht="15.75" customHeight="1">
      <c r="A2876" s="88">
        <f t="shared" si="8"/>
        <v>46340</v>
      </c>
      <c r="B2876" s="72" t="str">
        <f t="shared" si="1"/>
        <v>20261114</v>
      </c>
      <c r="C2876" s="72" t="str">
        <f t="shared" si="2"/>
        <v>Saturday</v>
      </c>
      <c r="D2876" s="72" t="str">
        <f t="shared" si="3"/>
        <v>November</v>
      </c>
      <c r="E2876" s="72" t="str">
        <f t="shared" si="4"/>
        <v>Q4</v>
      </c>
      <c r="F2876" s="72">
        <f t="shared" si="5"/>
        <v>2026</v>
      </c>
      <c r="G2876" s="89">
        <f t="shared" si="6"/>
        <v>46340</v>
      </c>
      <c r="H2876" s="72" t="str">
        <f t="shared" si="7"/>
        <v>No</v>
      </c>
    </row>
    <row r="2877" ht="15.75" customHeight="1">
      <c r="A2877" s="88">
        <f t="shared" si="8"/>
        <v>46341</v>
      </c>
      <c r="B2877" s="72" t="str">
        <f t="shared" si="1"/>
        <v>20261115</v>
      </c>
      <c r="C2877" s="72" t="str">
        <f t="shared" si="2"/>
        <v>Sunday</v>
      </c>
      <c r="D2877" s="72" t="str">
        <f t="shared" si="3"/>
        <v>November</v>
      </c>
      <c r="E2877" s="72" t="str">
        <f t="shared" si="4"/>
        <v>Q4</v>
      </c>
      <c r="F2877" s="72">
        <f t="shared" si="5"/>
        <v>2026</v>
      </c>
      <c r="G2877" s="89">
        <f t="shared" si="6"/>
        <v>46347</v>
      </c>
      <c r="H2877" s="72" t="str">
        <f t="shared" si="7"/>
        <v>No</v>
      </c>
    </row>
    <row r="2878" ht="15.75" customHeight="1">
      <c r="A2878" s="88">
        <f t="shared" si="8"/>
        <v>46342</v>
      </c>
      <c r="B2878" s="72" t="str">
        <f t="shared" si="1"/>
        <v>20261116</v>
      </c>
      <c r="C2878" s="72" t="str">
        <f t="shared" si="2"/>
        <v>Monday</v>
      </c>
      <c r="D2878" s="72" t="str">
        <f t="shared" si="3"/>
        <v>November</v>
      </c>
      <c r="E2878" s="72" t="str">
        <f t="shared" si="4"/>
        <v>Q4</v>
      </c>
      <c r="F2878" s="72">
        <f t="shared" si="5"/>
        <v>2026</v>
      </c>
      <c r="G2878" s="89">
        <f t="shared" si="6"/>
        <v>46347</v>
      </c>
      <c r="H2878" s="72" t="str">
        <f t="shared" si="7"/>
        <v>Yes</v>
      </c>
    </row>
    <row r="2879" ht="15.75" customHeight="1">
      <c r="A2879" s="88">
        <f t="shared" si="8"/>
        <v>46343</v>
      </c>
      <c r="B2879" s="72" t="str">
        <f t="shared" si="1"/>
        <v>20261117</v>
      </c>
      <c r="C2879" s="72" t="str">
        <f t="shared" si="2"/>
        <v>Tuesday</v>
      </c>
      <c r="D2879" s="72" t="str">
        <f t="shared" si="3"/>
        <v>November</v>
      </c>
      <c r="E2879" s="72" t="str">
        <f t="shared" si="4"/>
        <v>Q4</v>
      </c>
      <c r="F2879" s="72">
        <f t="shared" si="5"/>
        <v>2026</v>
      </c>
      <c r="G2879" s="89">
        <f t="shared" si="6"/>
        <v>46347</v>
      </c>
      <c r="H2879" s="72" t="str">
        <f t="shared" si="7"/>
        <v>Yes</v>
      </c>
    </row>
    <row r="2880" ht="15.75" customHeight="1">
      <c r="A2880" s="88">
        <f t="shared" si="8"/>
        <v>46344</v>
      </c>
      <c r="B2880" s="72" t="str">
        <f t="shared" si="1"/>
        <v>20261118</v>
      </c>
      <c r="C2880" s="72" t="str">
        <f t="shared" si="2"/>
        <v>Wednesday</v>
      </c>
      <c r="D2880" s="72" t="str">
        <f t="shared" si="3"/>
        <v>November</v>
      </c>
      <c r="E2880" s="72" t="str">
        <f t="shared" si="4"/>
        <v>Q4</v>
      </c>
      <c r="F2880" s="72">
        <f t="shared" si="5"/>
        <v>2026</v>
      </c>
      <c r="G2880" s="89">
        <f t="shared" si="6"/>
        <v>46347</v>
      </c>
      <c r="H2880" s="72" t="str">
        <f t="shared" si="7"/>
        <v>Yes</v>
      </c>
    </row>
    <row r="2881" ht="15.75" customHeight="1">
      <c r="A2881" s="88">
        <f t="shared" si="8"/>
        <v>46345</v>
      </c>
      <c r="B2881" s="72" t="str">
        <f t="shared" si="1"/>
        <v>20261119</v>
      </c>
      <c r="C2881" s="72" t="str">
        <f t="shared" si="2"/>
        <v>Thursday</v>
      </c>
      <c r="D2881" s="72" t="str">
        <f t="shared" si="3"/>
        <v>November</v>
      </c>
      <c r="E2881" s="72" t="str">
        <f t="shared" si="4"/>
        <v>Q4</v>
      </c>
      <c r="F2881" s="72">
        <f t="shared" si="5"/>
        <v>2026</v>
      </c>
      <c r="G2881" s="89">
        <f t="shared" si="6"/>
        <v>46347</v>
      </c>
      <c r="H2881" s="72" t="str">
        <f t="shared" si="7"/>
        <v>Yes</v>
      </c>
    </row>
    <row r="2882" ht="15.75" customHeight="1">
      <c r="A2882" s="88">
        <f t="shared" si="8"/>
        <v>46346</v>
      </c>
      <c r="B2882" s="72" t="str">
        <f t="shared" si="1"/>
        <v>20261120</v>
      </c>
      <c r="C2882" s="72" t="str">
        <f t="shared" si="2"/>
        <v>Friday</v>
      </c>
      <c r="D2882" s="72" t="str">
        <f t="shared" si="3"/>
        <v>November</v>
      </c>
      <c r="E2882" s="72" t="str">
        <f t="shared" si="4"/>
        <v>Q4</v>
      </c>
      <c r="F2882" s="72">
        <f t="shared" si="5"/>
        <v>2026</v>
      </c>
      <c r="G2882" s="89">
        <f t="shared" si="6"/>
        <v>46347</v>
      </c>
      <c r="H2882" s="72" t="str">
        <f t="shared" si="7"/>
        <v>Yes</v>
      </c>
    </row>
    <row r="2883" ht="15.75" customHeight="1">
      <c r="A2883" s="88">
        <f t="shared" si="8"/>
        <v>46347</v>
      </c>
      <c r="B2883" s="72" t="str">
        <f t="shared" si="1"/>
        <v>20261121</v>
      </c>
      <c r="C2883" s="72" t="str">
        <f t="shared" si="2"/>
        <v>Saturday</v>
      </c>
      <c r="D2883" s="72" t="str">
        <f t="shared" si="3"/>
        <v>November</v>
      </c>
      <c r="E2883" s="72" t="str">
        <f t="shared" si="4"/>
        <v>Q4</v>
      </c>
      <c r="F2883" s="72">
        <f t="shared" si="5"/>
        <v>2026</v>
      </c>
      <c r="G2883" s="89">
        <f t="shared" si="6"/>
        <v>46347</v>
      </c>
      <c r="H2883" s="72" t="str">
        <f t="shared" si="7"/>
        <v>No</v>
      </c>
    </row>
    <row r="2884" ht="15.75" customHeight="1">
      <c r="A2884" s="88">
        <f t="shared" si="8"/>
        <v>46348</v>
      </c>
      <c r="B2884" s="72" t="str">
        <f t="shared" si="1"/>
        <v>20261122</v>
      </c>
      <c r="C2884" s="72" t="str">
        <f t="shared" si="2"/>
        <v>Sunday</v>
      </c>
      <c r="D2884" s="72" t="str">
        <f t="shared" si="3"/>
        <v>November</v>
      </c>
      <c r="E2884" s="72" t="str">
        <f t="shared" si="4"/>
        <v>Q4</v>
      </c>
      <c r="F2884" s="72">
        <f t="shared" si="5"/>
        <v>2026</v>
      </c>
      <c r="G2884" s="89">
        <f t="shared" si="6"/>
        <v>46354</v>
      </c>
      <c r="H2884" s="72" t="str">
        <f t="shared" si="7"/>
        <v>No</v>
      </c>
    </row>
    <row r="2885" ht="15.75" customHeight="1">
      <c r="A2885" s="88">
        <f t="shared" si="8"/>
        <v>46349</v>
      </c>
      <c r="B2885" s="72" t="str">
        <f t="shared" si="1"/>
        <v>20261123</v>
      </c>
      <c r="C2885" s="72" t="str">
        <f t="shared" si="2"/>
        <v>Monday</v>
      </c>
      <c r="D2885" s="72" t="str">
        <f t="shared" si="3"/>
        <v>November</v>
      </c>
      <c r="E2885" s="72" t="str">
        <f t="shared" si="4"/>
        <v>Q4</v>
      </c>
      <c r="F2885" s="72">
        <f t="shared" si="5"/>
        <v>2026</v>
      </c>
      <c r="G2885" s="89">
        <f t="shared" si="6"/>
        <v>46354</v>
      </c>
      <c r="H2885" s="72" t="str">
        <f t="shared" si="7"/>
        <v>Yes</v>
      </c>
    </row>
    <row r="2886" ht="15.75" customHeight="1">
      <c r="A2886" s="88">
        <f t="shared" si="8"/>
        <v>46350</v>
      </c>
      <c r="B2886" s="72" t="str">
        <f t="shared" si="1"/>
        <v>20261124</v>
      </c>
      <c r="C2886" s="72" t="str">
        <f t="shared" si="2"/>
        <v>Tuesday</v>
      </c>
      <c r="D2886" s="72" t="str">
        <f t="shared" si="3"/>
        <v>November</v>
      </c>
      <c r="E2886" s="72" t="str">
        <f t="shared" si="4"/>
        <v>Q4</v>
      </c>
      <c r="F2886" s="72">
        <f t="shared" si="5"/>
        <v>2026</v>
      </c>
      <c r="G2886" s="89">
        <f t="shared" si="6"/>
        <v>46354</v>
      </c>
      <c r="H2886" s="72" t="str">
        <f t="shared" si="7"/>
        <v>Yes</v>
      </c>
    </row>
    <row r="2887" ht="15.75" customHeight="1">
      <c r="A2887" s="88">
        <f t="shared" si="8"/>
        <v>46351</v>
      </c>
      <c r="B2887" s="72" t="str">
        <f t="shared" si="1"/>
        <v>20261125</v>
      </c>
      <c r="C2887" s="72" t="str">
        <f t="shared" si="2"/>
        <v>Wednesday</v>
      </c>
      <c r="D2887" s="72" t="str">
        <f t="shared" si="3"/>
        <v>November</v>
      </c>
      <c r="E2887" s="72" t="str">
        <f t="shared" si="4"/>
        <v>Q4</v>
      </c>
      <c r="F2887" s="72">
        <f t="shared" si="5"/>
        <v>2026</v>
      </c>
      <c r="G2887" s="89">
        <f t="shared" si="6"/>
        <v>46354</v>
      </c>
      <c r="H2887" s="72" t="str">
        <f t="shared" si="7"/>
        <v>Yes</v>
      </c>
    </row>
    <row r="2888" ht="15.75" customHeight="1">
      <c r="A2888" s="88">
        <f t="shared" si="8"/>
        <v>46352</v>
      </c>
      <c r="B2888" s="72" t="str">
        <f t="shared" si="1"/>
        <v>20261126</v>
      </c>
      <c r="C2888" s="72" t="str">
        <f t="shared" si="2"/>
        <v>Thursday</v>
      </c>
      <c r="D2888" s="72" t="str">
        <f t="shared" si="3"/>
        <v>November</v>
      </c>
      <c r="E2888" s="72" t="str">
        <f t="shared" si="4"/>
        <v>Q4</v>
      </c>
      <c r="F2888" s="72">
        <f t="shared" si="5"/>
        <v>2026</v>
      </c>
      <c r="G2888" s="89">
        <f t="shared" si="6"/>
        <v>46354</v>
      </c>
      <c r="H2888" s="72" t="str">
        <f t="shared" si="7"/>
        <v>Yes</v>
      </c>
    </row>
    <row r="2889" ht="15.75" customHeight="1">
      <c r="A2889" s="88">
        <f t="shared" si="8"/>
        <v>46353</v>
      </c>
      <c r="B2889" s="72" t="str">
        <f t="shared" si="1"/>
        <v>20261127</v>
      </c>
      <c r="C2889" s="72" t="str">
        <f t="shared" si="2"/>
        <v>Friday</v>
      </c>
      <c r="D2889" s="72" t="str">
        <f t="shared" si="3"/>
        <v>November</v>
      </c>
      <c r="E2889" s="72" t="str">
        <f t="shared" si="4"/>
        <v>Q4</v>
      </c>
      <c r="F2889" s="72">
        <f t="shared" si="5"/>
        <v>2026</v>
      </c>
      <c r="G2889" s="89">
        <f t="shared" si="6"/>
        <v>46354</v>
      </c>
      <c r="H2889" s="72" t="str">
        <f t="shared" si="7"/>
        <v>Yes</v>
      </c>
    </row>
    <row r="2890" ht="15.75" customHeight="1">
      <c r="A2890" s="88">
        <f t="shared" si="8"/>
        <v>46354</v>
      </c>
      <c r="B2890" s="72" t="str">
        <f t="shared" si="1"/>
        <v>20261128</v>
      </c>
      <c r="C2890" s="72" t="str">
        <f t="shared" si="2"/>
        <v>Saturday</v>
      </c>
      <c r="D2890" s="72" t="str">
        <f t="shared" si="3"/>
        <v>November</v>
      </c>
      <c r="E2890" s="72" t="str">
        <f t="shared" si="4"/>
        <v>Q4</v>
      </c>
      <c r="F2890" s="72">
        <f t="shared" si="5"/>
        <v>2026</v>
      </c>
      <c r="G2890" s="89">
        <f t="shared" si="6"/>
        <v>46354</v>
      </c>
      <c r="H2890" s="72" t="str">
        <f t="shared" si="7"/>
        <v>No</v>
      </c>
    </row>
    <row r="2891" ht="15.75" customHeight="1">
      <c r="A2891" s="88">
        <f t="shared" si="8"/>
        <v>46355</v>
      </c>
      <c r="B2891" s="72" t="str">
        <f t="shared" si="1"/>
        <v>20261129</v>
      </c>
      <c r="C2891" s="72" t="str">
        <f t="shared" si="2"/>
        <v>Sunday</v>
      </c>
      <c r="D2891" s="72" t="str">
        <f t="shared" si="3"/>
        <v>November</v>
      </c>
      <c r="E2891" s="72" t="str">
        <f t="shared" si="4"/>
        <v>Q4</v>
      </c>
      <c r="F2891" s="72">
        <f t="shared" si="5"/>
        <v>2026</v>
      </c>
      <c r="G2891" s="89">
        <f t="shared" si="6"/>
        <v>46361</v>
      </c>
      <c r="H2891" s="72" t="str">
        <f t="shared" si="7"/>
        <v>No</v>
      </c>
    </row>
    <row r="2892" ht="15.75" customHeight="1">
      <c r="A2892" s="88">
        <f t="shared" si="8"/>
        <v>46356</v>
      </c>
      <c r="B2892" s="72" t="str">
        <f t="shared" si="1"/>
        <v>20261130</v>
      </c>
      <c r="C2892" s="72" t="str">
        <f t="shared" si="2"/>
        <v>Monday</v>
      </c>
      <c r="D2892" s="72" t="str">
        <f t="shared" si="3"/>
        <v>November</v>
      </c>
      <c r="E2892" s="72" t="str">
        <f t="shared" si="4"/>
        <v>Q4</v>
      </c>
      <c r="F2892" s="72">
        <f t="shared" si="5"/>
        <v>2026</v>
      </c>
      <c r="G2892" s="89">
        <f t="shared" si="6"/>
        <v>46361</v>
      </c>
      <c r="H2892" s="72" t="str">
        <f t="shared" si="7"/>
        <v>Yes</v>
      </c>
    </row>
    <row r="2893" ht="15.75" customHeight="1">
      <c r="A2893" s="88">
        <f t="shared" si="8"/>
        <v>46357</v>
      </c>
      <c r="B2893" s="72" t="str">
        <f t="shared" si="1"/>
        <v>20261201</v>
      </c>
      <c r="C2893" s="72" t="str">
        <f t="shared" si="2"/>
        <v>Tuesday</v>
      </c>
      <c r="D2893" s="72" t="str">
        <f t="shared" si="3"/>
        <v>December</v>
      </c>
      <c r="E2893" s="72" t="str">
        <f t="shared" si="4"/>
        <v>Q4</v>
      </c>
      <c r="F2893" s="72">
        <f t="shared" si="5"/>
        <v>2026</v>
      </c>
      <c r="G2893" s="89">
        <f t="shared" si="6"/>
        <v>46361</v>
      </c>
      <c r="H2893" s="72" t="str">
        <f t="shared" si="7"/>
        <v>Yes</v>
      </c>
    </row>
    <row r="2894" ht="15.75" customHeight="1">
      <c r="A2894" s="88">
        <f t="shared" si="8"/>
        <v>46358</v>
      </c>
      <c r="B2894" s="72" t="str">
        <f t="shared" si="1"/>
        <v>20261202</v>
      </c>
      <c r="C2894" s="72" t="str">
        <f t="shared" si="2"/>
        <v>Wednesday</v>
      </c>
      <c r="D2894" s="72" t="str">
        <f t="shared" si="3"/>
        <v>December</v>
      </c>
      <c r="E2894" s="72" t="str">
        <f t="shared" si="4"/>
        <v>Q4</v>
      </c>
      <c r="F2894" s="72">
        <f t="shared" si="5"/>
        <v>2026</v>
      </c>
      <c r="G2894" s="89">
        <f t="shared" si="6"/>
        <v>46361</v>
      </c>
      <c r="H2894" s="72" t="str">
        <f t="shared" si="7"/>
        <v>Yes</v>
      </c>
    </row>
    <row r="2895" ht="15.75" customHeight="1">
      <c r="A2895" s="88">
        <f t="shared" si="8"/>
        <v>46359</v>
      </c>
      <c r="B2895" s="72" t="str">
        <f t="shared" si="1"/>
        <v>20261203</v>
      </c>
      <c r="C2895" s="72" t="str">
        <f t="shared" si="2"/>
        <v>Thursday</v>
      </c>
      <c r="D2895" s="72" t="str">
        <f t="shared" si="3"/>
        <v>December</v>
      </c>
      <c r="E2895" s="72" t="str">
        <f t="shared" si="4"/>
        <v>Q4</v>
      </c>
      <c r="F2895" s="72">
        <f t="shared" si="5"/>
        <v>2026</v>
      </c>
      <c r="G2895" s="89">
        <f t="shared" si="6"/>
        <v>46361</v>
      </c>
      <c r="H2895" s="72" t="str">
        <f t="shared" si="7"/>
        <v>Yes</v>
      </c>
    </row>
    <row r="2896" ht="15.75" customHeight="1">
      <c r="A2896" s="88">
        <f t="shared" si="8"/>
        <v>46360</v>
      </c>
      <c r="B2896" s="72" t="str">
        <f t="shared" si="1"/>
        <v>20261204</v>
      </c>
      <c r="C2896" s="72" t="str">
        <f t="shared" si="2"/>
        <v>Friday</v>
      </c>
      <c r="D2896" s="72" t="str">
        <f t="shared" si="3"/>
        <v>December</v>
      </c>
      <c r="E2896" s="72" t="str">
        <f t="shared" si="4"/>
        <v>Q4</v>
      </c>
      <c r="F2896" s="72">
        <f t="shared" si="5"/>
        <v>2026</v>
      </c>
      <c r="G2896" s="89">
        <f t="shared" si="6"/>
        <v>46361</v>
      </c>
      <c r="H2896" s="72" t="str">
        <f t="shared" si="7"/>
        <v>Yes</v>
      </c>
    </row>
    <row r="2897" ht="15.75" customHeight="1">
      <c r="A2897" s="88">
        <f t="shared" si="8"/>
        <v>46361</v>
      </c>
      <c r="B2897" s="72" t="str">
        <f t="shared" si="1"/>
        <v>20261205</v>
      </c>
      <c r="C2897" s="72" t="str">
        <f t="shared" si="2"/>
        <v>Saturday</v>
      </c>
      <c r="D2897" s="72" t="str">
        <f t="shared" si="3"/>
        <v>December</v>
      </c>
      <c r="E2897" s="72" t="str">
        <f t="shared" si="4"/>
        <v>Q4</v>
      </c>
      <c r="F2897" s="72">
        <f t="shared" si="5"/>
        <v>2026</v>
      </c>
      <c r="G2897" s="89">
        <f t="shared" si="6"/>
        <v>46361</v>
      </c>
      <c r="H2897" s="72" t="str">
        <f t="shared" si="7"/>
        <v>No</v>
      </c>
    </row>
    <row r="2898" ht="15.75" customHeight="1">
      <c r="A2898" s="88">
        <f t="shared" si="8"/>
        <v>46362</v>
      </c>
      <c r="B2898" s="72" t="str">
        <f t="shared" si="1"/>
        <v>20261206</v>
      </c>
      <c r="C2898" s="72" t="str">
        <f t="shared" si="2"/>
        <v>Sunday</v>
      </c>
      <c r="D2898" s="72" t="str">
        <f t="shared" si="3"/>
        <v>December</v>
      </c>
      <c r="E2898" s="72" t="str">
        <f t="shared" si="4"/>
        <v>Q4</v>
      </c>
      <c r="F2898" s="72">
        <f t="shared" si="5"/>
        <v>2026</v>
      </c>
      <c r="G2898" s="89">
        <f t="shared" si="6"/>
        <v>46368</v>
      </c>
      <c r="H2898" s="72" t="str">
        <f t="shared" si="7"/>
        <v>No</v>
      </c>
    </row>
    <row r="2899" ht="15.75" customHeight="1">
      <c r="A2899" s="88">
        <f t="shared" si="8"/>
        <v>46363</v>
      </c>
      <c r="B2899" s="72" t="str">
        <f t="shared" si="1"/>
        <v>20261207</v>
      </c>
      <c r="C2899" s="72" t="str">
        <f t="shared" si="2"/>
        <v>Monday</v>
      </c>
      <c r="D2899" s="72" t="str">
        <f t="shared" si="3"/>
        <v>December</v>
      </c>
      <c r="E2899" s="72" t="str">
        <f t="shared" si="4"/>
        <v>Q4</v>
      </c>
      <c r="F2899" s="72">
        <f t="shared" si="5"/>
        <v>2026</v>
      </c>
      <c r="G2899" s="89">
        <f t="shared" si="6"/>
        <v>46368</v>
      </c>
      <c r="H2899" s="72" t="str">
        <f t="shared" si="7"/>
        <v>Yes</v>
      </c>
    </row>
    <row r="2900" ht="15.75" customHeight="1">
      <c r="A2900" s="88">
        <f t="shared" si="8"/>
        <v>46364</v>
      </c>
      <c r="B2900" s="72" t="str">
        <f t="shared" si="1"/>
        <v>20261208</v>
      </c>
      <c r="C2900" s="72" t="str">
        <f t="shared" si="2"/>
        <v>Tuesday</v>
      </c>
      <c r="D2900" s="72" t="str">
        <f t="shared" si="3"/>
        <v>December</v>
      </c>
      <c r="E2900" s="72" t="str">
        <f t="shared" si="4"/>
        <v>Q4</v>
      </c>
      <c r="F2900" s="72">
        <f t="shared" si="5"/>
        <v>2026</v>
      </c>
      <c r="G2900" s="89">
        <f t="shared" si="6"/>
        <v>46368</v>
      </c>
      <c r="H2900" s="72" t="str">
        <f t="shared" si="7"/>
        <v>Yes</v>
      </c>
    </row>
    <row r="2901" ht="15.75" customHeight="1">
      <c r="A2901" s="88">
        <f t="shared" si="8"/>
        <v>46365</v>
      </c>
      <c r="B2901" s="72" t="str">
        <f t="shared" si="1"/>
        <v>20261209</v>
      </c>
      <c r="C2901" s="72" t="str">
        <f t="shared" si="2"/>
        <v>Wednesday</v>
      </c>
      <c r="D2901" s="72" t="str">
        <f t="shared" si="3"/>
        <v>December</v>
      </c>
      <c r="E2901" s="72" t="str">
        <f t="shared" si="4"/>
        <v>Q4</v>
      </c>
      <c r="F2901" s="72">
        <f t="shared" si="5"/>
        <v>2026</v>
      </c>
      <c r="G2901" s="89">
        <f t="shared" si="6"/>
        <v>46368</v>
      </c>
      <c r="H2901" s="72" t="str">
        <f t="shared" si="7"/>
        <v>Yes</v>
      </c>
    </row>
    <row r="2902" ht="15.75" customHeight="1">
      <c r="A2902" s="88">
        <f t="shared" si="8"/>
        <v>46366</v>
      </c>
      <c r="B2902" s="72" t="str">
        <f t="shared" si="1"/>
        <v>20261210</v>
      </c>
      <c r="C2902" s="72" t="str">
        <f t="shared" si="2"/>
        <v>Thursday</v>
      </c>
      <c r="D2902" s="72" t="str">
        <f t="shared" si="3"/>
        <v>December</v>
      </c>
      <c r="E2902" s="72" t="str">
        <f t="shared" si="4"/>
        <v>Q4</v>
      </c>
      <c r="F2902" s="72">
        <f t="shared" si="5"/>
        <v>2026</v>
      </c>
      <c r="G2902" s="89">
        <f t="shared" si="6"/>
        <v>46368</v>
      </c>
      <c r="H2902" s="72" t="str">
        <f t="shared" si="7"/>
        <v>Yes</v>
      </c>
    </row>
    <row r="2903" ht="15.75" customHeight="1">
      <c r="A2903" s="88">
        <f t="shared" si="8"/>
        <v>46367</v>
      </c>
      <c r="B2903" s="72" t="str">
        <f t="shared" si="1"/>
        <v>20261211</v>
      </c>
      <c r="C2903" s="72" t="str">
        <f t="shared" si="2"/>
        <v>Friday</v>
      </c>
      <c r="D2903" s="72" t="str">
        <f t="shared" si="3"/>
        <v>December</v>
      </c>
      <c r="E2903" s="72" t="str">
        <f t="shared" si="4"/>
        <v>Q4</v>
      </c>
      <c r="F2903" s="72">
        <f t="shared" si="5"/>
        <v>2026</v>
      </c>
      <c r="G2903" s="89">
        <f t="shared" si="6"/>
        <v>46368</v>
      </c>
      <c r="H2903" s="72" t="str">
        <f t="shared" si="7"/>
        <v>Yes</v>
      </c>
    </row>
    <row r="2904" ht="15.75" customHeight="1">
      <c r="A2904" s="88">
        <f t="shared" si="8"/>
        <v>46368</v>
      </c>
      <c r="B2904" s="72" t="str">
        <f t="shared" si="1"/>
        <v>20261212</v>
      </c>
      <c r="C2904" s="72" t="str">
        <f t="shared" si="2"/>
        <v>Saturday</v>
      </c>
      <c r="D2904" s="72" t="str">
        <f t="shared" si="3"/>
        <v>December</v>
      </c>
      <c r="E2904" s="72" t="str">
        <f t="shared" si="4"/>
        <v>Q4</v>
      </c>
      <c r="F2904" s="72">
        <f t="shared" si="5"/>
        <v>2026</v>
      </c>
      <c r="G2904" s="89">
        <f t="shared" si="6"/>
        <v>46368</v>
      </c>
      <c r="H2904" s="72" t="str">
        <f t="shared" si="7"/>
        <v>No</v>
      </c>
    </row>
    <row r="2905" ht="15.75" customHeight="1">
      <c r="A2905" s="88">
        <f t="shared" si="8"/>
        <v>46369</v>
      </c>
      <c r="B2905" s="72" t="str">
        <f t="shared" si="1"/>
        <v>20261213</v>
      </c>
      <c r="C2905" s="72" t="str">
        <f t="shared" si="2"/>
        <v>Sunday</v>
      </c>
      <c r="D2905" s="72" t="str">
        <f t="shared" si="3"/>
        <v>December</v>
      </c>
      <c r="E2905" s="72" t="str">
        <f t="shared" si="4"/>
        <v>Q4</v>
      </c>
      <c r="F2905" s="72">
        <f t="shared" si="5"/>
        <v>2026</v>
      </c>
      <c r="G2905" s="89">
        <f t="shared" si="6"/>
        <v>46375</v>
      </c>
      <c r="H2905" s="72" t="str">
        <f t="shared" si="7"/>
        <v>No</v>
      </c>
    </row>
    <row r="2906" ht="15.75" customHeight="1">
      <c r="A2906" s="88">
        <f t="shared" si="8"/>
        <v>46370</v>
      </c>
      <c r="B2906" s="72" t="str">
        <f t="shared" si="1"/>
        <v>20261214</v>
      </c>
      <c r="C2906" s="72" t="str">
        <f t="shared" si="2"/>
        <v>Monday</v>
      </c>
      <c r="D2906" s="72" t="str">
        <f t="shared" si="3"/>
        <v>December</v>
      </c>
      <c r="E2906" s="72" t="str">
        <f t="shared" si="4"/>
        <v>Q4</v>
      </c>
      <c r="F2906" s="72">
        <f t="shared" si="5"/>
        <v>2026</v>
      </c>
      <c r="G2906" s="89">
        <f t="shared" si="6"/>
        <v>46375</v>
      </c>
      <c r="H2906" s="72" t="str">
        <f t="shared" si="7"/>
        <v>Yes</v>
      </c>
    </row>
    <row r="2907" ht="15.75" customHeight="1">
      <c r="A2907" s="88">
        <f t="shared" si="8"/>
        <v>46371</v>
      </c>
      <c r="B2907" s="72" t="str">
        <f t="shared" si="1"/>
        <v>20261215</v>
      </c>
      <c r="C2907" s="72" t="str">
        <f t="shared" si="2"/>
        <v>Tuesday</v>
      </c>
      <c r="D2907" s="72" t="str">
        <f t="shared" si="3"/>
        <v>December</v>
      </c>
      <c r="E2907" s="72" t="str">
        <f t="shared" si="4"/>
        <v>Q4</v>
      </c>
      <c r="F2907" s="72">
        <f t="shared" si="5"/>
        <v>2026</v>
      </c>
      <c r="G2907" s="89">
        <f t="shared" si="6"/>
        <v>46375</v>
      </c>
      <c r="H2907" s="72" t="str">
        <f t="shared" si="7"/>
        <v>Yes</v>
      </c>
    </row>
    <row r="2908" ht="15.75" customHeight="1">
      <c r="A2908" s="88">
        <f t="shared" si="8"/>
        <v>46372</v>
      </c>
      <c r="B2908" s="72" t="str">
        <f t="shared" si="1"/>
        <v>20261216</v>
      </c>
      <c r="C2908" s="72" t="str">
        <f t="shared" si="2"/>
        <v>Wednesday</v>
      </c>
      <c r="D2908" s="72" t="str">
        <f t="shared" si="3"/>
        <v>December</v>
      </c>
      <c r="E2908" s="72" t="str">
        <f t="shared" si="4"/>
        <v>Q4</v>
      </c>
      <c r="F2908" s="72">
        <f t="shared" si="5"/>
        <v>2026</v>
      </c>
      <c r="G2908" s="89">
        <f t="shared" si="6"/>
        <v>46375</v>
      </c>
      <c r="H2908" s="72" t="str">
        <f t="shared" si="7"/>
        <v>Yes</v>
      </c>
    </row>
    <row r="2909" ht="15.75" customHeight="1">
      <c r="A2909" s="88">
        <f t="shared" si="8"/>
        <v>46373</v>
      </c>
      <c r="B2909" s="72" t="str">
        <f t="shared" si="1"/>
        <v>20261217</v>
      </c>
      <c r="C2909" s="72" t="str">
        <f t="shared" si="2"/>
        <v>Thursday</v>
      </c>
      <c r="D2909" s="72" t="str">
        <f t="shared" si="3"/>
        <v>December</v>
      </c>
      <c r="E2909" s="72" t="str">
        <f t="shared" si="4"/>
        <v>Q4</v>
      </c>
      <c r="F2909" s="72">
        <f t="shared" si="5"/>
        <v>2026</v>
      </c>
      <c r="G2909" s="89">
        <f t="shared" si="6"/>
        <v>46375</v>
      </c>
      <c r="H2909" s="72" t="str">
        <f t="shared" si="7"/>
        <v>Yes</v>
      </c>
    </row>
    <row r="2910" ht="15.75" customHeight="1">
      <c r="A2910" s="88">
        <f t="shared" si="8"/>
        <v>46374</v>
      </c>
      <c r="B2910" s="72" t="str">
        <f t="shared" si="1"/>
        <v>20261218</v>
      </c>
      <c r="C2910" s="72" t="str">
        <f t="shared" si="2"/>
        <v>Friday</v>
      </c>
      <c r="D2910" s="72" t="str">
        <f t="shared" si="3"/>
        <v>December</v>
      </c>
      <c r="E2910" s="72" t="str">
        <f t="shared" si="4"/>
        <v>Q4</v>
      </c>
      <c r="F2910" s="72">
        <f t="shared" si="5"/>
        <v>2026</v>
      </c>
      <c r="G2910" s="89">
        <f t="shared" si="6"/>
        <v>46375</v>
      </c>
      <c r="H2910" s="72" t="str">
        <f t="shared" si="7"/>
        <v>Yes</v>
      </c>
    </row>
    <row r="2911" ht="15.75" customHeight="1">
      <c r="A2911" s="88">
        <f t="shared" si="8"/>
        <v>46375</v>
      </c>
      <c r="B2911" s="72" t="str">
        <f t="shared" si="1"/>
        <v>20261219</v>
      </c>
      <c r="C2911" s="72" t="str">
        <f t="shared" si="2"/>
        <v>Saturday</v>
      </c>
      <c r="D2911" s="72" t="str">
        <f t="shared" si="3"/>
        <v>December</v>
      </c>
      <c r="E2911" s="72" t="str">
        <f t="shared" si="4"/>
        <v>Q4</v>
      </c>
      <c r="F2911" s="72">
        <f t="shared" si="5"/>
        <v>2026</v>
      </c>
      <c r="G2911" s="89">
        <f t="shared" si="6"/>
        <v>46375</v>
      </c>
      <c r="H2911" s="72" t="str">
        <f t="shared" si="7"/>
        <v>No</v>
      </c>
    </row>
    <row r="2912" ht="15.75" customHeight="1">
      <c r="A2912" s="88">
        <f t="shared" si="8"/>
        <v>46376</v>
      </c>
      <c r="B2912" s="72" t="str">
        <f t="shared" si="1"/>
        <v>20261220</v>
      </c>
      <c r="C2912" s="72" t="str">
        <f t="shared" si="2"/>
        <v>Sunday</v>
      </c>
      <c r="D2912" s="72" t="str">
        <f t="shared" si="3"/>
        <v>December</v>
      </c>
      <c r="E2912" s="72" t="str">
        <f t="shared" si="4"/>
        <v>Q4</v>
      </c>
      <c r="F2912" s="72">
        <f t="shared" si="5"/>
        <v>2026</v>
      </c>
      <c r="G2912" s="89">
        <f t="shared" si="6"/>
        <v>46382</v>
      </c>
      <c r="H2912" s="72" t="str">
        <f t="shared" si="7"/>
        <v>No</v>
      </c>
    </row>
    <row r="2913" ht="15.75" customHeight="1">
      <c r="A2913" s="88">
        <f t="shared" si="8"/>
        <v>46377</v>
      </c>
      <c r="B2913" s="72" t="str">
        <f t="shared" si="1"/>
        <v>20261221</v>
      </c>
      <c r="C2913" s="72" t="str">
        <f t="shared" si="2"/>
        <v>Monday</v>
      </c>
      <c r="D2913" s="72" t="str">
        <f t="shared" si="3"/>
        <v>December</v>
      </c>
      <c r="E2913" s="72" t="str">
        <f t="shared" si="4"/>
        <v>Q4</v>
      </c>
      <c r="F2913" s="72">
        <f t="shared" si="5"/>
        <v>2026</v>
      </c>
      <c r="G2913" s="89">
        <f t="shared" si="6"/>
        <v>46382</v>
      </c>
      <c r="H2913" s="72" t="str">
        <f t="shared" si="7"/>
        <v>Yes</v>
      </c>
    </row>
    <row r="2914" ht="15.75" customHeight="1">
      <c r="A2914" s="88">
        <f t="shared" si="8"/>
        <v>46378</v>
      </c>
      <c r="B2914" s="72" t="str">
        <f t="shared" si="1"/>
        <v>20261222</v>
      </c>
      <c r="C2914" s="72" t="str">
        <f t="shared" si="2"/>
        <v>Tuesday</v>
      </c>
      <c r="D2914" s="72" t="str">
        <f t="shared" si="3"/>
        <v>December</v>
      </c>
      <c r="E2914" s="72" t="str">
        <f t="shared" si="4"/>
        <v>Q4</v>
      </c>
      <c r="F2914" s="72">
        <f t="shared" si="5"/>
        <v>2026</v>
      </c>
      <c r="G2914" s="89">
        <f t="shared" si="6"/>
        <v>46382</v>
      </c>
      <c r="H2914" s="72" t="str">
        <f t="shared" si="7"/>
        <v>Yes</v>
      </c>
    </row>
    <row r="2915" ht="15.75" customHeight="1">
      <c r="A2915" s="88">
        <f t="shared" si="8"/>
        <v>46379</v>
      </c>
      <c r="B2915" s="72" t="str">
        <f t="shared" si="1"/>
        <v>20261223</v>
      </c>
      <c r="C2915" s="72" t="str">
        <f t="shared" si="2"/>
        <v>Wednesday</v>
      </c>
      <c r="D2915" s="72" t="str">
        <f t="shared" si="3"/>
        <v>December</v>
      </c>
      <c r="E2915" s="72" t="str">
        <f t="shared" si="4"/>
        <v>Q4</v>
      </c>
      <c r="F2915" s="72">
        <f t="shared" si="5"/>
        <v>2026</v>
      </c>
      <c r="G2915" s="89">
        <f t="shared" si="6"/>
        <v>46382</v>
      </c>
      <c r="H2915" s="72" t="str">
        <f t="shared" si="7"/>
        <v>Yes</v>
      </c>
    </row>
    <row r="2916" ht="15.75" customHeight="1">
      <c r="A2916" s="88">
        <f t="shared" si="8"/>
        <v>46380</v>
      </c>
      <c r="B2916" s="72" t="str">
        <f t="shared" si="1"/>
        <v>20261224</v>
      </c>
      <c r="C2916" s="72" t="str">
        <f t="shared" si="2"/>
        <v>Thursday</v>
      </c>
      <c r="D2916" s="72" t="str">
        <f t="shared" si="3"/>
        <v>December</v>
      </c>
      <c r="E2916" s="72" t="str">
        <f t="shared" si="4"/>
        <v>Q4</v>
      </c>
      <c r="F2916" s="72">
        <f t="shared" si="5"/>
        <v>2026</v>
      </c>
      <c r="G2916" s="89">
        <f t="shared" si="6"/>
        <v>46382</v>
      </c>
      <c r="H2916" s="72" t="str">
        <f t="shared" si="7"/>
        <v>Yes</v>
      </c>
    </row>
    <row r="2917" ht="15.75" customHeight="1">
      <c r="A2917" s="88">
        <f t="shared" si="8"/>
        <v>46381</v>
      </c>
      <c r="B2917" s="72" t="str">
        <f t="shared" si="1"/>
        <v>20261225</v>
      </c>
      <c r="C2917" s="72" t="str">
        <f t="shared" si="2"/>
        <v>Friday</v>
      </c>
      <c r="D2917" s="72" t="str">
        <f t="shared" si="3"/>
        <v>December</v>
      </c>
      <c r="E2917" s="72" t="str">
        <f t="shared" si="4"/>
        <v>Q4</v>
      </c>
      <c r="F2917" s="72">
        <f t="shared" si="5"/>
        <v>2026</v>
      </c>
      <c r="G2917" s="89">
        <f t="shared" si="6"/>
        <v>46382</v>
      </c>
      <c r="H2917" s="72" t="str">
        <f t="shared" si="7"/>
        <v>Yes</v>
      </c>
    </row>
    <row r="2918" ht="15.75" customHeight="1">
      <c r="A2918" s="88">
        <f t="shared" si="8"/>
        <v>46382</v>
      </c>
      <c r="B2918" s="72" t="str">
        <f t="shared" si="1"/>
        <v>20261226</v>
      </c>
      <c r="C2918" s="72" t="str">
        <f t="shared" si="2"/>
        <v>Saturday</v>
      </c>
      <c r="D2918" s="72" t="str">
        <f t="shared" si="3"/>
        <v>December</v>
      </c>
      <c r="E2918" s="72" t="str">
        <f t="shared" si="4"/>
        <v>Q4</v>
      </c>
      <c r="F2918" s="72">
        <f t="shared" si="5"/>
        <v>2026</v>
      </c>
      <c r="G2918" s="89">
        <f t="shared" si="6"/>
        <v>46382</v>
      </c>
      <c r="H2918" s="72" t="str">
        <f t="shared" si="7"/>
        <v>No</v>
      </c>
    </row>
    <row r="2919" ht="15.75" customHeight="1">
      <c r="A2919" s="88">
        <f t="shared" si="8"/>
        <v>46383</v>
      </c>
      <c r="B2919" s="72" t="str">
        <f t="shared" si="1"/>
        <v>20261227</v>
      </c>
      <c r="C2919" s="72" t="str">
        <f t="shared" si="2"/>
        <v>Sunday</v>
      </c>
      <c r="D2919" s="72" t="str">
        <f t="shared" si="3"/>
        <v>December</v>
      </c>
      <c r="E2919" s="72" t="str">
        <f t="shared" si="4"/>
        <v>Q4</v>
      </c>
      <c r="F2919" s="72">
        <f t="shared" si="5"/>
        <v>2026</v>
      </c>
      <c r="G2919" s="89">
        <f t="shared" si="6"/>
        <v>46389</v>
      </c>
      <c r="H2919" s="72" t="str">
        <f t="shared" si="7"/>
        <v>No</v>
      </c>
    </row>
    <row r="2920" ht="15.75" customHeight="1">
      <c r="A2920" s="88">
        <f t="shared" si="8"/>
        <v>46384</v>
      </c>
      <c r="B2920" s="72" t="str">
        <f t="shared" si="1"/>
        <v>20261228</v>
      </c>
      <c r="C2920" s="72" t="str">
        <f t="shared" si="2"/>
        <v>Monday</v>
      </c>
      <c r="D2920" s="72" t="str">
        <f t="shared" si="3"/>
        <v>December</v>
      </c>
      <c r="E2920" s="72" t="str">
        <f t="shared" si="4"/>
        <v>Q4</v>
      </c>
      <c r="F2920" s="72">
        <f t="shared" si="5"/>
        <v>2026</v>
      </c>
      <c r="G2920" s="89">
        <f t="shared" si="6"/>
        <v>46389</v>
      </c>
      <c r="H2920" s="72" t="str">
        <f t="shared" si="7"/>
        <v>Yes</v>
      </c>
    </row>
    <row r="2921" ht="15.75" customHeight="1">
      <c r="A2921" s="88">
        <f t="shared" si="8"/>
        <v>46385</v>
      </c>
      <c r="B2921" s="72" t="str">
        <f t="shared" si="1"/>
        <v>20261229</v>
      </c>
      <c r="C2921" s="72" t="str">
        <f t="shared" si="2"/>
        <v>Tuesday</v>
      </c>
      <c r="D2921" s="72" t="str">
        <f t="shared" si="3"/>
        <v>December</v>
      </c>
      <c r="E2921" s="72" t="str">
        <f t="shared" si="4"/>
        <v>Q4</v>
      </c>
      <c r="F2921" s="72">
        <f t="shared" si="5"/>
        <v>2026</v>
      </c>
      <c r="G2921" s="89">
        <f t="shared" si="6"/>
        <v>46389</v>
      </c>
      <c r="H2921" s="72" t="str">
        <f t="shared" si="7"/>
        <v>Yes</v>
      </c>
    </row>
    <row r="2922" ht="15.75" customHeight="1">
      <c r="A2922" s="88">
        <f t="shared" si="8"/>
        <v>46386</v>
      </c>
      <c r="B2922" s="72" t="str">
        <f t="shared" si="1"/>
        <v>20261230</v>
      </c>
      <c r="C2922" s="72" t="str">
        <f t="shared" si="2"/>
        <v>Wednesday</v>
      </c>
      <c r="D2922" s="72" t="str">
        <f t="shared" si="3"/>
        <v>December</v>
      </c>
      <c r="E2922" s="72" t="str">
        <f t="shared" si="4"/>
        <v>Q4</v>
      </c>
      <c r="F2922" s="72">
        <f t="shared" si="5"/>
        <v>2026</v>
      </c>
      <c r="G2922" s="89">
        <f t="shared" si="6"/>
        <v>46389</v>
      </c>
      <c r="H2922" s="72" t="str">
        <f t="shared" si="7"/>
        <v>Yes</v>
      </c>
    </row>
    <row r="2923" ht="15.75" customHeight="1">
      <c r="A2923" s="88">
        <f t="shared" si="8"/>
        <v>46387</v>
      </c>
      <c r="B2923" s="72" t="str">
        <f t="shared" si="1"/>
        <v>20261231</v>
      </c>
      <c r="C2923" s="72" t="str">
        <f t="shared" si="2"/>
        <v>Thursday</v>
      </c>
      <c r="D2923" s="72" t="str">
        <f t="shared" si="3"/>
        <v>December</v>
      </c>
      <c r="E2923" s="72" t="str">
        <f t="shared" si="4"/>
        <v>Q4</v>
      </c>
      <c r="F2923" s="72">
        <f t="shared" si="5"/>
        <v>2026</v>
      </c>
      <c r="G2923" s="89">
        <f t="shared" si="6"/>
        <v>46389</v>
      </c>
      <c r="H2923" s="72" t="str">
        <f t="shared" si="7"/>
        <v>Yes</v>
      </c>
    </row>
    <row r="2924" ht="15.75" customHeight="1">
      <c r="A2924" s="88">
        <f t="shared" si="8"/>
        <v>46388</v>
      </c>
      <c r="B2924" s="72" t="str">
        <f t="shared" si="1"/>
        <v>20270101</v>
      </c>
      <c r="C2924" s="72" t="str">
        <f t="shared" si="2"/>
        <v>Friday</v>
      </c>
      <c r="D2924" s="72" t="str">
        <f t="shared" si="3"/>
        <v>January</v>
      </c>
      <c r="E2924" s="72" t="str">
        <f t="shared" si="4"/>
        <v>Q1</v>
      </c>
      <c r="F2924" s="72">
        <f t="shared" si="5"/>
        <v>2027</v>
      </c>
      <c r="G2924" s="89">
        <f t="shared" si="6"/>
        <v>46389</v>
      </c>
      <c r="H2924" s="72" t="str">
        <f t="shared" si="7"/>
        <v>Yes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13"/>
    <col customWidth="1" min="2" max="2" width="9.0"/>
    <col customWidth="1" min="3" max="3" width="11.63"/>
    <col customWidth="1" min="4" max="5" width="16.25"/>
    <col customWidth="1" min="6" max="8" width="15.38"/>
    <col customWidth="1" min="9" max="18" width="8.63"/>
  </cols>
  <sheetData>
    <row r="1">
      <c r="A1" s="6" t="s">
        <v>853</v>
      </c>
      <c r="B1" s="6" t="s">
        <v>136</v>
      </c>
      <c r="C1" s="6" t="s">
        <v>15</v>
      </c>
      <c r="D1" s="6" t="s">
        <v>102</v>
      </c>
      <c r="E1" s="82" t="s">
        <v>854</v>
      </c>
      <c r="F1" s="82" t="s">
        <v>855</v>
      </c>
      <c r="G1" s="82" t="s">
        <v>856</v>
      </c>
      <c r="H1" s="82" t="s">
        <v>147</v>
      </c>
      <c r="I1" s="7"/>
      <c r="J1" s="7"/>
      <c r="K1" s="7"/>
      <c r="L1" s="7"/>
      <c r="M1" s="7"/>
      <c r="N1" s="7"/>
      <c r="O1" s="7"/>
      <c r="P1" s="7"/>
      <c r="Q1" s="7"/>
      <c r="R1" s="7"/>
    </row>
    <row r="2">
      <c r="A2" s="72">
        <v>1.0</v>
      </c>
      <c r="B2" s="72" t="str">
        <f>stg_job_list!A2</f>
        <v>22S-029</v>
      </c>
      <c r="C2" s="72" t="str">
        <f>TRIM(stg_job_list!$D2)</f>
        <v>85451</v>
      </c>
      <c r="D2" s="71" t="s">
        <v>7</v>
      </c>
      <c r="E2" s="90">
        <v>305.0</v>
      </c>
      <c r="F2" s="91">
        <v>3108.44</v>
      </c>
      <c r="G2" s="59">
        <v>44758.0</v>
      </c>
      <c r="H2" s="59">
        <v>46000.0</v>
      </c>
      <c r="I2" s="7"/>
      <c r="J2" s="7"/>
      <c r="K2" s="7"/>
      <c r="L2" s="7"/>
      <c r="M2" s="7"/>
      <c r="N2" s="7"/>
      <c r="O2" s="7"/>
      <c r="P2" s="7"/>
      <c r="Q2" s="7"/>
      <c r="R2" s="7"/>
    </row>
    <row r="3">
      <c r="A3" s="72">
        <v>2.0</v>
      </c>
      <c r="B3" s="72" t="str">
        <f>stg_job_list!A3</f>
        <v>22S-079</v>
      </c>
      <c r="C3" s="72" t="str">
        <f>TRIM(stg_job_list!$D3)</f>
        <v>86933</v>
      </c>
      <c r="D3" s="71" t="s">
        <v>7</v>
      </c>
      <c r="E3" s="90">
        <v>312.0</v>
      </c>
      <c r="F3" s="91">
        <v>1867.45</v>
      </c>
      <c r="G3" s="59">
        <v>44911.0</v>
      </c>
      <c r="H3" s="59">
        <v>46038.0</v>
      </c>
      <c r="I3" s="7"/>
      <c r="J3" s="7"/>
      <c r="K3" s="7"/>
      <c r="L3" s="7"/>
      <c r="M3" s="7"/>
      <c r="N3" s="7"/>
      <c r="O3" s="7"/>
      <c r="P3" s="7"/>
      <c r="Q3" s="7"/>
      <c r="R3" s="7"/>
    </row>
    <row r="4">
      <c r="A4" s="72">
        <v>3.0</v>
      </c>
      <c r="B4" s="72" t="str">
        <f>stg_job_list!A4</f>
        <v>23S-056</v>
      </c>
      <c r="C4" s="72" t="str">
        <f>TRIM(stg_job_list!$D4)</f>
        <v>88731</v>
      </c>
      <c r="D4" s="71" t="s">
        <v>7</v>
      </c>
      <c r="E4" s="90">
        <v>224.0</v>
      </c>
      <c r="F4" s="91">
        <v>2628.23</v>
      </c>
      <c r="G4" s="59">
        <v>45121.0</v>
      </c>
      <c r="H4" s="59">
        <v>45845.0</v>
      </c>
      <c r="I4" s="7"/>
      <c r="J4" s="7"/>
      <c r="K4" s="7"/>
      <c r="L4" s="7"/>
      <c r="M4" s="7"/>
      <c r="N4" s="7"/>
      <c r="O4" s="7"/>
      <c r="P4" s="7"/>
      <c r="Q4" s="7"/>
      <c r="R4" s="7"/>
    </row>
    <row r="5">
      <c r="A5" s="72">
        <v>4.0</v>
      </c>
      <c r="B5" s="72" t="str">
        <f>stg_job_list!A5</f>
        <v>24S-114</v>
      </c>
      <c r="C5" s="72" t="str">
        <f>TRIM(stg_job_list!$D5)</f>
        <v>93632</v>
      </c>
      <c r="D5" s="71" t="s">
        <v>7</v>
      </c>
      <c r="E5" s="90">
        <v>202.0</v>
      </c>
      <c r="F5" s="91">
        <v>4759.59</v>
      </c>
      <c r="G5" s="59">
        <v>45584.0</v>
      </c>
      <c r="H5" s="59">
        <v>45825.0</v>
      </c>
      <c r="I5" s="7"/>
      <c r="J5" s="7"/>
      <c r="K5" s="7"/>
      <c r="L5" s="7"/>
      <c r="M5" s="7"/>
      <c r="N5" s="7"/>
      <c r="O5" s="7"/>
      <c r="P5" s="7"/>
      <c r="Q5" s="7"/>
      <c r="R5" s="7"/>
    </row>
    <row r="6">
      <c r="A6" s="72">
        <v>5.0</v>
      </c>
      <c r="B6" s="72" t="str">
        <f>stg_job_list!A6</f>
        <v>25S-010</v>
      </c>
      <c r="C6" s="72" t="str">
        <f>TRIM(stg_job_list!$D6)</f>
        <v>94758</v>
      </c>
      <c r="D6" s="71" t="s">
        <v>7</v>
      </c>
      <c r="E6" s="90">
        <v>319.0</v>
      </c>
      <c r="F6" s="91">
        <v>39440.45</v>
      </c>
      <c r="G6" s="59">
        <v>45760.0</v>
      </c>
      <c r="H6" s="59">
        <v>46100.0</v>
      </c>
      <c r="I6" s="7"/>
      <c r="J6" s="7"/>
      <c r="K6" s="7"/>
      <c r="L6" s="7"/>
      <c r="M6" s="7"/>
      <c r="N6" s="7"/>
      <c r="O6" s="7"/>
      <c r="P6" s="7"/>
      <c r="Q6" s="7"/>
      <c r="R6" s="7"/>
    </row>
    <row r="7">
      <c r="A7" s="7"/>
      <c r="B7" s="7"/>
      <c r="D7" s="92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>
      <c r="A8" s="7"/>
      <c r="B8" s="7"/>
      <c r="D8" s="92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>
      <c r="A9" s="7"/>
      <c r="B9" s="7"/>
      <c r="D9" s="92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>
      <c r="A10" s="7"/>
      <c r="B10" s="7"/>
      <c r="D10" s="92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>
      <c r="A11" s="7"/>
      <c r="B11" s="7"/>
      <c r="D11" s="92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>
      <c r="A12" s="7"/>
      <c r="B12" s="7"/>
      <c r="D12" s="92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>
      <c r="A13" s="7"/>
      <c r="B13" s="7"/>
      <c r="D13" s="92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>
      <c r="A14" s="7"/>
      <c r="B14" s="7"/>
      <c r="D14" s="92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>
      <c r="A15" s="7"/>
      <c r="B15" s="7"/>
      <c r="D15" s="92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ht="15.75" customHeight="1">
      <c r="A16" s="7"/>
      <c r="B16" s="7"/>
      <c r="D16" s="92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ht="15.75" customHeight="1">
      <c r="A17" s="7"/>
      <c r="B17" s="7"/>
      <c r="D17" s="92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ht="15.75" customHeight="1">
      <c r="A18" s="7"/>
      <c r="B18" s="7"/>
      <c r="D18" s="92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ht="15.75" customHeight="1">
      <c r="A19" s="7"/>
      <c r="B19" s="7"/>
      <c r="D19" s="92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ht="15.75" customHeight="1">
      <c r="A20" s="7"/>
      <c r="B20" s="7"/>
      <c r="D20" s="92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ht="15.75" customHeight="1">
      <c r="A21" s="7"/>
      <c r="B21" s="7"/>
      <c r="D21" s="92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ht="15.75" customHeight="1">
      <c r="A22" s="7"/>
      <c r="B22" s="7"/>
      <c r="D22" s="92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ht="15.75" customHeight="1">
      <c r="A23" s="7"/>
      <c r="B23" s="7"/>
      <c r="D23" s="92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ht="15.75" customHeight="1">
      <c r="A24" s="7"/>
      <c r="B24" s="7"/>
      <c r="D24" s="92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ht="15.75" customHeight="1">
      <c r="A25" s="7"/>
      <c r="B25" s="7"/>
      <c r="D25" s="92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ht="15.75" customHeight="1">
      <c r="A26" s="7"/>
      <c r="B26" s="7"/>
      <c r="D26" s="92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ht="15.75" customHeight="1">
      <c r="A27" s="7"/>
      <c r="B27" s="7"/>
      <c r="D27" s="92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ht="15.75" customHeight="1">
      <c r="A28" s="7"/>
      <c r="B28" s="7"/>
      <c r="D28" s="92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ht="15.75" customHeight="1">
      <c r="A29" s="7"/>
      <c r="B29" s="7"/>
      <c r="D29" s="92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ht="15.75" customHeight="1">
      <c r="A30" s="7"/>
      <c r="B30" s="7"/>
      <c r="D30" s="92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ht="15.75" customHeight="1">
      <c r="A31" s="7"/>
      <c r="B31" s="7"/>
      <c r="D31" s="92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ht="15.75" customHeight="1">
      <c r="A32" s="7"/>
      <c r="B32" s="7"/>
      <c r="D32" s="92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ht="15.75" customHeight="1">
      <c r="A33" s="7"/>
      <c r="B33" s="7"/>
      <c r="D33" s="92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ht="15.75" customHeight="1">
      <c r="A34" s="7"/>
      <c r="B34" s="7"/>
      <c r="D34" s="92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ht="15.75" customHeight="1">
      <c r="A35" s="7"/>
      <c r="B35" s="7"/>
      <c r="D35" s="92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ht="15.75" customHeight="1">
      <c r="A36" s="7"/>
      <c r="B36" s="7"/>
      <c r="D36" s="92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ht="15.75" customHeight="1">
      <c r="A37" s="7"/>
      <c r="B37" s="7"/>
      <c r="D37" s="92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ht="15.75" customHeight="1">
      <c r="A38" s="7"/>
      <c r="B38" s="7"/>
      <c r="D38" s="92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ht="15.75" customHeight="1">
      <c r="A39" s="7"/>
      <c r="B39" s="7"/>
      <c r="D39" s="92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ht="15.75" customHeight="1">
      <c r="A40" s="7"/>
      <c r="B40" s="7"/>
      <c r="D40" s="92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ht="15.75" customHeight="1">
      <c r="A41" s="7"/>
      <c r="B41" s="7"/>
      <c r="D41" s="92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ht="15.75" customHeight="1">
      <c r="A42" s="7"/>
      <c r="B42" s="7"/>
      <c r="D42" s="92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ht="15.75" customHeight="1">
      <c r="A43" s="7"/>
      <c r="B43" s="7"/>
      <c r="D43" s="92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ht="15.75" customHeight="1">
      <c r="A44" s="7"/>
      <c r="B44" s="7"/>
      <c r="D44" s="92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ht="15.75" customHeight="1">
      <c r="A45" s="7"/>
      <c r="B45" s="7"/>
      <c r="D45" s="92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ht="15.75" customHeight="1">
      <c r="A46" s="7"/>
      <c r="B46" s="7"/>
      <c r="D46" s="92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ht="15.75" customHeight="1">
      <c r="A47" s="7"/>
      <c r="B47" s="7"/>
      <c r="D47" s="92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ht="15.75" customHeight="1">
      <c r="A48" s="7"/>
      <c r="B48" s="7"/>
      <c r="D48" s="92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ht="15.75" customHeight="1">
      <c r="A49" s="7"/>
      <c r="B49" s="7"/>
      <c r="D49" s="92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ht="15.75" customHeight="1">
      <c r="A50" s="7"/>
      <c r="B50" s="7"/>
      <c r="D50" s="92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ht="15.75" customHeight="1">
      <c r="A51" s="7"/>
      <c r="B51" s="7"/>
      <c r="D51" s="92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ht="15.75" customHeight="1">
      <c r="A52" s="7"/>
      <c r="B52" s="7"/>
      <c r="D52" s="92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ht="15.75" customHeight="1">
      <c r="A53" s="7"/>
      <c r="B53" s="7"/>
      <c r="D53" s="92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ht="15.75" customHeight="1">
      <c r="A54" s="7"/>
      <c r="B54" s="7"/>
      <c r="D54" s="92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ht="15.75" customHeight="1">
      <c r="A55" s="7"/>
      <c r="B55" s="7"/>
      <c r="D55" s="92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ht="15.75" customHeight="1">
      <c r="A56" s="7"/>
      <c r="B56" s="7"/>
      <c r="D56" s="92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ht="15.75" customHeight="1">
      <c r="A57" s="7"/>
      <c r="B57" s="7"/>
      <c r="D57" s="92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ht="15.75" customHeight="1">
      <c r="A58" s="7"/>
      <c r="B58" s="7"/>
      <c r="D58" s="92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ht="15.75" customHeight="1">
      <c r="A59" s="7"/>
      <c r="B59" s="7"/>
      <c r="D59" s="9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ht="15.75" customHeight="1">
      <c r="A60" s="7"/>
      <c r="B60" s="7"/>
      <c r="D60" s="92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ht="15.75" customHeight="1">
      <c r="A61" s="7"/>
      <c r="B61" s="7"/>
      <c r="D61" s="92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ht="15.75" customHeight="1">
      <c r="A62" s="7"/>
      <c r="B62" s="7"/>
      <c r="D62" s="92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ht="15.75" customHeight="1">
      <c r="A63" s="7"/>
      <c r="B63" s="7"/>
      <c r="D63" s="92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ht="15.75" customHeight="1">
      <c r="A64" s="7"/>
      <c r="B64" s="7"/>
      <c r="D64" s="92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ht="15.75" customHeight="1">
      <c r="A65" s="7"/>
      <c r="B65" s="7"/>
      <c r="D65" s="92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ht="15.75" customHeight="1">
      <c r="A66" s="7"/>
      <c r="B66" s="7"/>
      <c r="D66" s="92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ht="15.75" customHeight="1">
      <c r="A67" s="7"/>
      <c r="B67" s="7"/>
      <c r="D67" s="92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ht="15.75" customHeight="1">
      <c r="A68" s="7"/>
      <c r="B68" s="7"/>
      <c r="D68" s="92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ht="15.75" customHeight="1">
      <c r="A69" s="7"/>
      <c r="B69" s="7"/>
      <c r="D69" s="92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ht="15.75" customHeight="1">
      <c r="A70" s="7"/>
      <c r="B70" s="7"/>
      <c r="D70" s="92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ht="15.75" customHeight="1">
      <c r="A71" s="7"/>
      <c r="B71" s="7"/>
      <c r="D71" s="92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ht="15.75" customHeight="1">
      <c r="A72" s="7"/>
      <c r="B72" s="7"/>
      <c r="D72" s="92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ht="15.75" customHeight="1">
      <c r="A73" s="7"/>
      <c r="B73" s="7"/>
      <c r="D73" s="92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ht="15.75" customHeight="1">
      <c r="A74" s="7"/>
      <c r="B74" s="7"/>
      <c r="D74" s="92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ht="15.75" customHeight="1">
      <c r="A75" s="7"/>
      <c r="B75" s="7"/>
      <c r="D75" s="92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ht="15.75" customHeight="1">
      <c r="A76" s="7"/>
      <c r="B76" s="7"/>
      <c r="D76" s="92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ht="15.75" customHeight="1">
      <c r="A77" s="7"/>
      <c r="B77" s="7"/>
      <c r="D77" s="92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ht="15.75" customHeight="1">
      <c r="A78" s="7"/>
      <c r="B78" s="7"/>
      <c r="D78" s="92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ht="15.75" customHeight="1">
      <c r="A79" s="7"/>
      <c r="B79" s="7"/>
      <c r="D79" s="92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ht="15.75" customHeight="1">
      <c r="A80" s="7"/>
      <c r="B80" s="7"/>
      <c r="D80" s="92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ht="15.75" customHeight="1">
      <c r="A81" s="7"/>
      <c r="B81" s="7"/>
      <c r="D81" s="92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ht="15.75" customHeight="1">
      <c r="A82" s="7"/>
      <c r="B82" s="7"/>
      <c r="D82" s="92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ht="15.75" customHeight="1">
      <c r="A83" s="7"/>
      <c r="B83" s="7"/>
      <c r="D83" s="92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ht="15.75" customHeight="1">
      <c r="A84" s="7"/>
      <c r="B84" s="7"/>
      <c r="D84" s="92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ht="15.75" customHeight="1">
      <c r="A85" s="7"/>
      <c r="B85" s="7"/>
      <c r="D85" s="92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ht="15.75" customHeight="1">
      <c r="A86" s="7"/>
      <c r="B86" s="7"/>
      <c r="D86" s="92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ht="15.75" customHeight="1">
      <c r="A87" s="7"/>
      <c r="B87" s="7"/>
      <c r="D87" s="92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ht="15.75" customHeight="1">
      <c r="A88" s="7"/>
      <c r="B88" s="7"/>
      <c r="D88" s="92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ht="15.75" customHeight="1">
      <c r="A89" s="7"/>
      <c r="B89" s="7"/>
      <c r="D89" s="92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ht="15.75" customHeight="1">
      <c r="A90" s="7"/>
      <c r="B90" s="7"/>
      <c r="D90" s="92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ht="15.75" customHeight="1">
      <c r="A91" s="7"/>
      <c r="B91" s="7"/>
      <c r="D91" s="92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ht="15.75" customHeight="1">
      <c r="A92" s="7"/>
      <c r="B92" s="7"/>
      <c r="D92" s="92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ht="15.75" customHeight="1">
      <c r="A93" s="7"/>
      <c r="B93" s="7"/>
      <c r="D93" s="92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ht="15.75" customHeight="1">
      <c r="A94" s="7"/>
      <c r="B94" s="7"/>
      <c r="D94" s="92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ht="15.75" customHeight="1">
      <c r="A95" s="7"/>
      <c r="B95" s="7"/>
      <c r="D95" s="92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ht="15.75" customHeight="1">
      <c r="A96" s="7"/>
      <c r="B96" s="7"/>
      <c r="D96" s="92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ht="15.75" customHeight="1">
      <c r="A97" s="7"/>
      <c r="B97" s="7"/>
      <c r="D97" s="92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ht="15.75" customHeight="1">
      <c r="A98" s="7"/>
      <c r="B98" s="7"/>
      <c r="D98" s="92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ht="15.75" customHeight="1">
      <c r="A99" s="7"/>
      <c r="B99" s="7"/>
      <c r="D99" s="92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ht="15.75" customHeight="1">
      <c r="A100" s="7"/>
      <c r="B100" s="7"/>
      <c r="D100" s="92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ht="15.75" customHeight="1">
      <c r="A101" s="7"/>
      <c r="B101" s="7"/>
      <c r="D101" s="92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ht="15.75" customHeight="1">
      <c r="A102" s="7"/>
      <c r="B102" s="7"/>
      <c r="D102" s="92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ht="15.75" customHeight="1">
      <c r="A103" s="7"/>
      <c r="B103" s="7"/>
      <c r="D103" s="92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ht="15.75" customHeight="1">
      <c r="A104" s="7"/>
      <c r="B104" s="7"/>
      <c r="D104" s="92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ht="15.75" customHeight="1">
      <c r="A105" s="7"/>
      <c r="B105" s="7"/>
      <c r="D105" s="92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ht="15.75" customHeight="1">
      <c r="A106" s="7"/>
      <c r="B106" s="7"/>
      <c r="D106" s="92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ht="15.75" customHeight="1">
      <c r="A107" s="7"/>
      <c r="B107" s="7"/>
      <c r="D107" s="92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ht="15.75" customHeight="1">
      <c r="A108" s="7"/>
      <c r="B108" s="7"/>
      <c r="D108" s="92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ht="15.75" customHeight="1">
      <c r="A109" s="7"/>
      <c r="B109" s="7"/>
      <c r="D109" s="92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ht="15.75" customHeight="1">
      <c r="A110" s="7"/>
      <c r="B110" s="7"/>
      <c r="D110" s="92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ht="15.75" customHeight="1">
      <c r="A111" s="7"/>
      <c r="B111" s="7"/>
      <c r="D111" s="92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ht="15.75" customHeight="1">
      <c r="A112" s="7"/>
      <c r="B112" s="7"/>
      <c r="D112" s="92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ht="15.75" customHeight="1">
      <c r="A113" s="7"/>
      <c r="B113" s="7"/>
      <c r="D113" s="92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ht="15.75" customHeight="1">
      <c r="A114" s="7"/>
      <c r="B114" s="7"/>
      <c r="D114" s="92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ht="15.75" customHeight="1">
      <c r="A115" s="7"/>
      <c r="B115" s="7"/>
      <c r="D115" s="92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ht="15.75" customHeight="1">
      <c r="A116" s="7"/>
      <c r="B116" s="7"/>
      <c r="D116" s="92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ht="15.75" customHeight="1">
      <c r="A117" s="7"/>
      <c r="B117" s="7"/>
      <c r="D117" s="92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ht="15.75" customHeight="1">
      <c r="A118" s="7"/>
      <c r="B118" s="7"/>
      <c r="D118" s="92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ht="15.75" customHeight="1">
      <c r="A119" s="7"/>
      <c r="B119" s="7"/>
      <c r="D119" s="92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ht="15.75" customHeight="1">
      <c r="A120" s="7"/>
      <c r="B120" s="7"/>
      <c r="D120" s="92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ht="15.75" customHeight="1">
      <c r="A121" s="7"/>
      <c r="B121" s="7"/>
      <c r="D121" s="92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ht="15.75" customHeight="1">
      <c r="A122" s="7"/>
      <c r="B122" s="7"/>
      <c r="D122" s="92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ht="15.75" customHeight="1">
      <c r="A123" s="7"/>
      <c r="B123" s="7"/>
      <c r="D123" s="92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ht="15.75" customHeight="1">
      <c r="A124" s="7"/>
      <c r="B124" s="7"/>
      <c r="D124" s="92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ht="15.75" customHeight="1">
      <c r="A125" s="7"/>
      <c r="B125" s="7"/>
      <c r="D125" s="92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ht="15.75" customHeight="1">
      <c r="A126" s="7"/>
      <c r="B126" s="7"/>
      <c r="D126" s="92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ht="15.75" customHeight="1">
      <c r="A127" s="7"/>
      <c r="B127" s="7"/>
      <c r="D127" s="92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ht="15.75" customHeight="1">
      <c r="A128" s="7"/>
      <c r="B128" s="7"/>
      <c r="D128" s="92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ht="15.75" customHeight="1">
      <c r="A129" s="7"/>
      <c r="B129" s="7"/>
      <c r="D129" s="92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ht="15.75" customHeight="1">
      <c r="A130" s="7"/>
      <c r="B130" s="7"/>
      <c r="D130" s="92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ht="15.75" customHeight="1">
      <c r="A131" s="7"/>
      <c r="B131" s="7"/>
      <c r="D131" s="92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ht="15.75" customHeight="1">
      <c r="A132" s="7"/>
      <c r="B132" s="7"/>
      <c r="D132" s="92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ht="15.75" customHeight="1">
      <c r="A133" s="7"/>
      <c r="B133" s="7"/>
      <c r="D133" s="92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ht="15.75" customHeight="1">
      <c r="A134" s="7"/>
      <c r="B134" s="7"/>
      <c r="D134" s="92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ht="15.75" customHeight="1">
      <c r="A135" s="7"/>
      <c r="B135" s="7"/>
      <c r="D135" s="92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ht="15.75" customHeight="1">
      <c r="A136" s="7"/>
      <c r="B136" s="7"/>
      <c r="D136" s="92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ht="15.75" customHeight="1">
      <c r="A137" s="7"/>
      <c r="B137" s="7"/>
      <c r="D137" s="92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ht="15.75" customHeight="1">
      <c r="A138" s="7"/>
      <c r="B138" s="7"/>
      <c r="D138" s="92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ht="15.75" customHeight="1">
      <c r="A139" s="7"/>
      <c r="B139" s="7"/>
      <c r="D139" s="92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ht="15.75" customHeight="1">
      <c r="A140" s="7"/>
      <c r="B140" s="7"/>
      <c r="D140" s="92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ht="15.75" customHeight="1">
      <c r="A141" s="7"/>
      <c r="B141" s="7"/>
      <c r="D141" s="92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ht="15.75" customHeight="1">
      <c r="A142" s="7"/>
      <c r="B142" s="7"/>
      <c r="D142" s="92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ht="15.75" customHeight="1">
      <c r="A143" s="7"/>
      <c r="B143" s="7"/>
      <c r="D143" s="92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ht="15.75" customHeight="1">
      <c r="A144" s="7"/>
      <c r="B144" s="7"/>
      <c r="D144" s="92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ht="15.75" customHeight="1">
      <c r="A145" s="7"/>
      <c r="B145" s="7"/>
      <c r="D145" s="92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ht="15.75" customHeight="1">
      <c r="A146" s="7"/>
      <c r="B146" s="7"/>
      <c r="D146" s="92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ht="15.75" customHeight="1">
      <c r="A147" s="7"/>
      <c r="B147" s="7"/>
      <c r="D147" s="92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ht="15.75" customHeight="1">
      <c r="A148" s="7"/>
      <c r="B148" s="7"/>
      <c r="D148" s="92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ht="15.75" customHeight="1">
      <c r="A149" s="7"/>
      <c r="B149" s="7"/>
      <c r="D149" s="92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ht="15.75" customHeight="1">
      <c r="A150" s="7"/>
      <c r="B150" s="7"/>
      <c r="D150" s="92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ht="15.75" customHeight="1">
      <c r="A151" s="7"/>
      <c r="B151" s="7"/>
      <c r="D151" s="92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ht="15.75" customHeight="1">
      <c r="A152" s="7"/>
      <c r="B152" s="7"/>
      <c r="D152" s="92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ht="15.75" customHeight="1">
      <c r="A153" s="7"/>
      <c r="B153" s="7"/>
      <c r="D153" s="92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ht="15.75" customHeight="1">
      <c r="A154" s="7"/>
      <c r="B154" s="7"/>
      <c r="D154" s="92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ht="15.75" customHeight="1">
      <c r="A155" s="7"/>
      <c r="B155" s="7"/>
      <c r="D155" s="92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ht="15.75" customHeight="1">
      <c r="A156" s="7"/>
      <c r="B156" s="7"/>
      <c r="D156" s="92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ht="15.75" customHeight="1">
      <c r="A157" s="7"/>
      <c r="B157" s="7"/>
      <c r="D157" s="92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ht="15.75" customHeight="1">
      <c r="A158" s="7"/>
      <c r="B158" s="7"/>
      <c r="D158" s="92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ht="15.75" customHeight="1">
      <c r="A159" s="7"/>
      <c r="B159" s="7"/>
      <c r="D159" s="92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ht="15.75" customHeight="1">
      <c r="A160" s="7"/>
      <c r="B160" s="7"/>
      <c r="D160" s="92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ht="15.75" customHeight="1">
      <c r="A161" s="7"/>
      <c r="B161" s="7"/>
      <c r="D161" s="92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ht="15.75" customHeight="1">
      <c r="A162" s="7"/>
      <c r="B162" s="7"/>
      <c r="D162" s="92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ht="15.75" customHeight="1">
      <c r="A163" s="7"/>
      <c r="B163" s="7"/>
      <c r="D163" s="92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ht="15.75" customHeight="1">
      <c r="A164" s="7"/>
      <c r="B164" s="7"/>
      <c r="D164" s="92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ht="15.75" customHeight="1">
      <c r="A165" s="7"/>
      <c r="B165" s="7"/>
      <c r="D165" s="92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ht="15.75" customHeight="1">
      <c r="A166" s="7"/>
      <c r="B166" s="7"/>
      <c r="D166" s="92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ht="15.75" customHeight="1">
      <c r="A167" s="7"/>
      <c r="B167" s="7"/>
      <c r="D167" s="92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ht="15.75" customHeight="1">
      <c r="A168" s="7"/>
      <c r="B168" s="7"/>
      <c r="D168" s="92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ht="15.75" customHeight="1">
      <c r="A169" s="7"/>
      <c r="B169" s="7"/>
      <c r="D169" s="92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ht="15.75" customHeight="1">
      <c r="A170" s="7"/>
      <c r="B170" s="7"/>
      <c r="D170" s="92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ht="15.75" customHeight="1">
      <c r="A171" s="7"/>
      <c r="B171" s="7"/>
      <c r="D171" s="92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ht="15.75" customHeight="1">
      <c r="A172" s="7"/>
      <c r="B172" s="7"/>
      <c r="D172" s="92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ht="15.75" customHeight="1">
      <c r="A173" s="7"/>
      <c r="B173" s="7"/>
      <c r="D173" s="92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ht="15.75" customHeight="1">
      <c r="A174" s="7"/>
      <c r="B174" s="7"/>
      <c r="D174" s="92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ht="15.75" customHeight="1">
      <c r="A175" s="7"/>
      <c r="B175" s="7"/>
      <c r="D175" s="92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ht="15.75" customHeight="1">
      <c r="A176" s="7"/>
      <c r="B176" s="7"/>
      <c r="D176" s="92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ht="15.75" customHeight="1">
      <c r="A177" s="7"/>
      <c r="B177" s="7"/>
      <c r="D177" s="92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ht="15.75" customHeight="1">
      <c r="A178" s="7"/>
      <c r="B178" s="7"/>
      <c r="D178" s="92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ht="15.75" customHeight="1">
      <c r="A179" s="7"/>
      <c r="B179" s="7"/>
      <c r="D179" s="92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ht="15.75" customHeight="1">
      <c r="A180" s="7"/>
      <c r="B180" s="7"/>
      <c r="D180" s="92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ht="15.75" customHeight="1">
      <c r="A181" s="7"/>
      <c r="B181" s="7"/>
      <c r="D181" s="92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ht="15.75" customHeight="1">
      <c r="A182" s="7"/>
      <c r="B182" s="7"/>
      <c r="D182" s="92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ht="15.75" customHeight="1">
      <c r="A183" s="7"/>
      <c r="B183" s="7"/>
      <c r="D183" s="92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ht="15.75" customHeight="1">
      <c r="A184" s="7"/>
      <c r="B184" s="7"/>
      <c r="D184" s="92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ht="15.75" customHeight="1">
      <c r="A185" s="7"/>
      <c r="B185" s="7"/>
      <c r="D185" s="92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ht="15.75" customHeight="1">
      <c r="A186" s="7"/>
      <c r="B186" s="7"/>
      <c r="D186" s="92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ht="15.75" customHeight="1">
      <c r="A187" s="7"/>
      <c r="B187" s="7"/>
      <c r="D187" s="92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ht="15.75" customHeight="1">
      <c r="A188" s="7"/>
      <c r="B188" s="7"/>
      <c r="D188" s="92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ht="15.75" customHeight="1">
      <c r="A189" s="7"/>
      <c r="B189" s="7"/>
      <c r="D189" s="92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ht="15.75" customHeight="1">
      <c r="A190" s="7"/>
      <c r="B190" s="7"/>
      <c r="D190" s="92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ht="15.75" customHeight="1">
      <c r="A191" s="7"/>
      <c r="B191" s="7"/>
      <c r="D191" s="92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ht="15.75" customHeight="1">
      <c r="A192" s="7"/>
      <c r="B192" s="7"/>
      <c r="D192" s="92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ht="15.75" customHeight="1">
      <c r="A193" s="7"/>
      <c r="B193" s="7"/>
      <c r="D193" s="92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ht="15.75" customHeight="1">
      <c r="A194" s="7"/>
      <c r="B194" s="7"/>
      <c r="D194" s="92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ht="15.75" customHeight="1">
      <c r="A195" s="7"/>
      <c r="B195" s="7"/>
      <c r="D195" s="92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ht="15.75" customHeight="1">
      <c r="A196" s="7"/>
      <c r="B196" s="7"/>
      <c r="D196" s="92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ht="15.75" customHeight="1">
      <c r="A197" s="7"/>
      <c r="B197" s="7"/>
      <c r="D197" s="92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ht="15.75" customHeight="1">
      <c r="A198" s="7"/>
      <c r="B198" s="7"/>
      <c r="D198" s="92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ht="15.75" customHeight="1">
      <c r="A199" s="7"/>
      <c r="B199" s="7"/>
      <c r="D199" s="92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ht="15.75" customHeight="1">
      <c r="A200" s="7"/>
      <c r="B200" s="7"/>
      <c r="D200" s="92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ht="15.75" customHeight="1">
      <c r="A201" s="7"/>
      <c r="B201" s="7"/>
      <c r="D201" s="92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ht="15.75" customHeight="1">
      <c r="A202" s="7"/>
      <c r="B202" s="7"/>
      <c r="D202" s="92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ht="15.75" customHeight="1">
      <c r="A203" s="7"/>
      <c r="B203" s="7"/>
      <c r="D203" s="92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ht="15.75" customHeight="1">
      <c r="A204" s="7"/>
      <c r="B204" s="7"/>
      <c r="D204" s="92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ht="15.75" customHeight="1">
      <c r="A205" s="7"/>
      <c r="B205" s="7"/>
      <c r="D205" s="92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ht="15.75" customHeight="1">
      <c r="A206" s="7"/>
      <c r="B206" s="7"/>
      <c r="D206" s="92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ht="15.75" customHeight="1">
      <c r="A207" s="7"/>
      <c r="B207" s="7"/>
      <c r="D207" s="92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ht="15.75" customHeight="1">
      <c r="A208" s="7"/>
      <c r="B208" s="7"/>
      <c r="D208" s="92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ht="15.75" customHeight="1">
      <c r="A209" s="7"/>
      <c r="B209" s="7"/>
      <c r="D209" s="92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ht="15.75" customHeight="1">
      <c r="A210" s="7"/>
      <c r="B210" s="7"/>
      <c r="D210" s="92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ht="15.75" customHeight="1">
      <c r="A211" s="7"/>
      <c r="B211" s="7"/>
      <c r="D211" s="92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ht="15.75" customHeight="1">
      <c r="A212" s="7"/>
      <c r="B212" s="7"/>
      <c r="D212" s="92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ht="15.75" customHeight="1">
      <c r="A213" s="7"/>
      <c r="B213" s="7"/>
      <c r="D213" s="92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ht="15.75" customHeight="1">
      <c r="A214" s="7"/>
      <c r="B214" s="7"/>
      <c r="D214" s="92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ht="15.75" customHeight="1">
      <c r="A215" s="7"/>
      <c r="B215" s="7"/>
      <c r="D215" s="92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ht="15.75" customHeight="1">
      <c r="A216" s="7"/>
      <c r="B216" s="7"/>
      <c r="D216" s="92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ht="15.75" customHeight="1">
      <c r="A217" s="7"/>
      <c r="B217" s="7"/>
      <c r="D217" s="92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ht="15.75" customHeight="1">
      <c r="A218" s="7"/>
      <c r="B218" s="7"/>
      <c r="D218" s="92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ht="15.75" customHeight="1">
      <c r="A219" s="7"/>
      <c r="B219" s="7"/>
      <c r="D219" s="92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ht="15.75" customHeight="1">
      <c r="A220" s="7"/>
      <c r="B220" s="7"/>
      <c r="D220" s="92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ht="15.75" customHeight="1">
      <c r="A221" s="7"/>
      <c r="B221" s="7"/>
      <c r="D221" s="92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ht="15.75" customHeight="1">
      <c r="A222" s="7"/>
      <c r="B222" s="7"/>
      <c r="D222" s="92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ht="15.75" customHeight="1">
      <c r="A223" s="7"/>
      <c r="B223" s="7"/>
      <c r="D223" s="92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ht="15.75" customHeight="1">
      <c r="A224" s="7"/>
      <c r="B224" s="7"/>
      <c r="D224" s="92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ht="15.75" customHeight="1">
      <c r="A225" s="7"/>
      <c r="B225" s="7"/>
      <c r="D225" s="92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ht="15.75" customHeight="1">
      <c r="A226" s="7"/>
      <c r="B226" s="7"/>
      <c r="D226" s="92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ht="15.75" customHeight="1">
      <c r="A227" s="7"/>
      <c r="B227" s="7"/>
      <c r="D227" s="92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ht="15.75" customHeight="1">
      <c r="A228" s="7"/>
      <c r="B228" s="7"/>
      <c r="D228" s="92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ht="15.75" customHeight="1">
      <c r="A229" s="7"/>
      <c r="B229" s="7"/>
      <c r="D229" s="92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ht="15.75" customHeight="1">
      <c r="A230" s="7"/>
      <c r="B230" s="7"/>
      <c r="D230" s="92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ht="15.75" customHeight="1">
      <c r="A231" s="7"/>
      <c r="B231" s="7"/>
      <c r="D231" s="92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ht="15.75" customHeight="1">
      <c r="A232" s="7"/>
      <c r="B232" s="7"/>
      <c r="D232" s="92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ht="15.75" customHeight="1">
      <c r="A233" s="7"/>
      <c r="B233" s="7"/>
      <c r="D233" s="92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ht="15.75" customHeight="1">
      <c r="A234" s="7"/>
      <c r="B234" s="7"/>
      <c r="D234" s="92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ht="15.75" customHeight="1">
      <c r="A235" s="7"/>
      <c r="B235" s="7"/>
      <c r="D235" s="92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 ht="15.75" customHeight="1">
      <c r="A236" s="7"/>
      <c r="B236" s="7"/>
      <c r="D236" s="92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ht="15.75" customHeight="1">
      <c r="A237" s="7"/>
      <c r="B237" s="7"/>
      <c r="D237" s="92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ht="15.75" customHeight="1">
      <c r="A238" s="7"/>
      <c r="B238" s="7"/>
      <c r="D238" s="92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ht="15.75" customHeight="1">
      <c r="A239" s="7"/>
      <c r="B239" s="7"/>
      <c r="D239" s="92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ht="15.75" customHeight="1">
      <c r="A240" s="7"/>
      <c r="B240" s="7"/>
      <c r="D240" s="92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ht="15.75" customHeight="1">
      <c r="A241" s="7"/>
      <c r="B241" s="7"/>
      <c r="D241" s="92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ht="15.75" customHeight="1">
      <c r="A242" s="7"/>
      <c r="B242" s="7"/>
      <c r="D242" s="92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ht="15.75" customHeight="1">
      <c r="A243" s="7"/>
      <c r="B243" s="7"/>
      <c r="D243" s="92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ht="15.75" customHeight="1">
      <c r="A244" s="7"/>
      <c r="B244" s="7"/>
      <c r="D244" s="92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ht="15.75" customHeight="1">
      <c r="A245" s="7"/>
      <c r="B245" s="7"/>
      <c r="D245" s="92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ht="15.75" customHeight="1">
      <c r="A246" s="7"/>
      <c r="B246" s="7"/>
      <c r="D246" s="92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ht="15.75" customHeight="1">
      <c r="A247" s="7"/>
      <c r="B247" s="7"/>
      <c r="D247" s="92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ht="15.75" customHeight="1">
      <c r="A248" s="7"/>
      <c r="B248" s="7"/>
      <c r="D248" s="92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ht="15.75" customHeight="1">
      <c r="A249" s="7"/>
      <c r="B249" s="7"/>
      <c r="D249" s="92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ht="15.75" customHeight="1">
      <c r="A250" s="7"/>
      <c r="B250" s="7"/>
      <c r="D250" s="92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ht="15.75" customHeight="1">
      <c r="A251" s="7"/>
      <c r="B251" s="7"/>
      <c r="D251" s="92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ht="15.75" customHeight="1">
      <c r="A252" s="7"/>
      <c r="B252" s="7"/>
      <c r="D252" s="92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ht="15.75" customHeight="1">
      <c r="A253" s="7"/>
      <c r="B253" s="7"/>
      <c r="D253" s="92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ht="15.75" customHeight="1">
      <c r="A254" s="7"/>
      <c r="B254" s="7"/>
      <c r="D254" s="92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ht="15.75" customHeight="1">
      <c r="A255" s="7"/>
      <c r="B255" s="7"/>
      <c r="D255" s="92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ht="15.75" customHeight="1">
      <c r="A256" s="7"/>
      <c r="B256" s="7"/>
      <c r="D256" s="92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ht="15.75" customHeight="1">
      <c r="A257" s="7"/>
      <c r="B257" s="7"/>
      <c r="D257" s="92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ht="15.75" customHeight="1">
      <c r="A258" s="7"/>
      <c r="B258" s="7"/>
      <c r="D258" s="92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ht="15.75" customHeight="1">
      <c r="A259" s="7"/>
      <c r="B259" s="7"/>
      <c r="D259" s="92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ht="15.75" customHeight="1">
      <c r="A260" s="7"/>
      <c r="B260" s="7"/>
      <c r="D260" s="92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ht="15.75" customHeight="1">
      <c r="A261" s="7"/>
      <c r="B261" s="7"/>
      <c r="D261" s="92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ht="15.75" customHeight="1">
      <c r="A262" s="7"/>
      <c r="B262" s="7"/>
      <c r="D262" s="92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ht="15.75" customHeight="1">
      <c r="A263" s="7"/>
      <c r="B263" s="7"/>
      <c r="D263" s="92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ht="15.75" customHeight="1">
      <c r="A264" s="7"/>
      <c r="B264" s="7"/>
      <c r="D264" s="92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ht="15.75" customHeight="1">
      <c r="A265" s="7"/>
      <c r="B265" s="7"/>
      <c r="D265" s="92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ht="15.75" customHeight="1">
      <c r="A266" s="7"/>
      <c r="B266" s="7"/>
      <c r="D266" s="92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ht="15.75" customHeight="1">
      <c r="A267" s="7"/>
      <c r="B267" s="7"/>
      <c r="D267" s="92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ht="15.75" customHeight="1">
      <c r="A268" s="7"/>
      <c r="B268" s="7"/>
      <c r="D268" s="92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ht="15.75" customHeight="1">
      <c r="A269" s="7"/>
      <c r="B269" s="7"/>
      <c r="D269" s="92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ht="15.75" customHeight="1">
      <c r="A270" s="7"/>
      <c r="B270" s="7"/>
      <c r="D270" s="92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ht="15.75" customHeight="1">
      <c r="A271" s="7"/>
      <c r="B271" s="7"/>
      <c r="D271" s="92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ht="15.75" customHeight="1">
      <c r="A272" s="7"/>
      <c r="B272" s="7"/>
      <c r="D272" s="92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ht="15.75" customHeight="1">
      <c r="A273" s="7"/>
      <c r="B273" s="7"/>
      <c r="D273" s="92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ht="15.75" customHeight="1">
      <c r="A274" s="7"/>
      <c r="B274" s="7"/>
      <c r="D274" s="92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ht="15.75" customHeight="1">
      <c r="A275" s="7"/>
      <c r="B275" s="7"/>
      <c r="D275" s="92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ht="15.75" customHeight="1">
      <c r="A276" s="7"/>
      <c r="B276" s="7"/>
      <c r="D276" s="92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ht="15.75" customHeight="1">
      <c r="A277" s="7"/>
      <c r="B277" s="7"/>
      <c r="D277" s="92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ht="15.75" customHeight="1">
      <c r="A278" s="7"/>
      <c r="B278" s="7"/>
      <c r="D278" s="92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ht="15.75" customHeight="1">
      <c r="A279" s="7"/>
      <c r="B279" s="7"/>
      <c r="D279" s="92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ht="15.75" customHeight="1">
      <c r="A280" s="7"/>
      <c r="B280" s="7"/>
      <c r="D280" s="92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ht="15.75" customHeight="1">
      <c r="A281" s="7"/>
      <c r="B281" s="7"/>
      <c r="D281" s="92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ht="15.75" customHeight="1">
      <c r="A282" s="7"/>
      <c r="B282" s="7"/>
      <c r="D282" s="92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ht="15.75" customHeight="1">
      <c r="A283" s="7"/>
      <c r="B283" s="7"/>
      <c r="D283" s="92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ht="15.75" customHeight="1">
      <c r="A284" s="7"/>
      <c r="B284" s="7"/>
      <c r="D284" s="92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ht="15.75" customHeight="1">
      <c r="A285" s="7"/>
      <c r="B285" s="7"/>
      <c r="D285" s="92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ht="15.75" customHeight="1">
      <c r="A286" s="7"/>
      <c r="B286" s="7"/>
      <c r="D286" s="92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ht="15.75" customHeight="1">
      <c r="A287" s="7"/>
      <c r="B287" s="7"/>
      <c r="D287" s="92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ht="15.75" customHeight="1">
      <c r="A288" s="7"/>
      <c r="B288" s="7"/>
      <c r="D288" s="92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ht="15.75" customHeight="1">
      <c r="A289" s="7"/>
      <c r="B289" s="7"/>
      <c r="D289" s="92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ht="15.75" customHeight="1">
      <c r="A290" s="7"/>
      <c r="B290" s="7"/>
      <c r="D290" s="92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ht="15.75" customHeight="1">
      <c r="A291" s="7"/>
      <c r="B291" s="7"/>
      <c r="D291" s="92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ht="15.75" customHeight="1">
      <c r="A292" s="7"/>
      <c r="B292" s="7"/>
      <c r="D292" s="92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ht="15.75" customHeight="1">
      <c r="A293" s="7"/>
      <c r="B293" s="7"/>
      <c r="D293" s="92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ht="15.75" customHeight="1">
      <c r="A294" s="7"/>
      <c r="B294" s="7"/>
      <c r="D294" s="92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ht="15.75" customHeight="1">
      <c r="A295" s="7"/>
      <c r="B295" s="7"/>
      <c r="D295" s="92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ht="15.75" customHeight="1">
      <c r="A296" s="7"/>
      <c r="B296" s="7"/>
      <c r="D296" s="92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ht="15.75" customHeight="1">
      <c r="A297" s="7"/>
      <c r="B297" s="7"/>
      <c r="D297" s="92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ht="15.75" customHeight="1">
      <c r="A298" s="7"/>
      <c r="B298" s="7"/>
      <c r="D298" s="92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ht="15.75" customHeight="1">
      <c r="A299" s="7"/>
      <c r="B299" s="7"/>
      <c r="D299" s="92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ht="15.75" customHeight="1">
      <c r="A300" s="7"/>
      <c r="B300" s="7"/>
      <c r="D300" s="92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ht="15.75" customHeight="1">
      <c r="A301" s="7"/>
      <c r="B301" s="7"/>
      <c r="D301" s="92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ht="15.75" customHeight="1">
      <c r="A302" s="7"/>
      <c r="B302" s="7"/>
      <c r="D302" s="92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ht="15.75" customHeight="1">
      <c r="A303" s="7"/>
      <c r="B303" s="7"/>
      <c r="D303" s="92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ht="15.75" customHeight="1">
      <c r="A304" s="7"/>
      <c r="B304" s="7"/>
      <c r="D304" s="92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ht="15.75" customHeight="1">
      <c r="A305" s="7"/>
      <c r="B305" s="7"/>
      <c r="D305" s="92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ht="15.75" customHeight="1">
      <c r="A306" s="7"/>
      <c r="B306" s="7"/>
      <c r="D306" s="92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ht="15.75" customHeight="1">
      <c r="A307" s="7"/>
      <c r="B307" s="7"/>
      <c r="D307" s="92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ht="15.75" customHeight="1">
      <c r="A308" s="7"/>
      <c r="B308" s="7"/>
      <c r="D308" s="92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ht="15.75" customHeight="1">
      <c r="A309" s="7"/>
      <c r="B309" s="7"/>
      <c r="D309" s="92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ht="15.75" customHeight="1">
      <c r="A310" s="7"/>
      <c r="B310" s="7"/>
      <c r="D310" s="92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ht="15.75" customHeight="1">
      <c r="A311" s="7"/>
      <c r="B311" s="7"/>
      <c r="D311" s="92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ht="15.75" customHeight="1">
      <c r="A312" s="7"/>
      <c r="B312" s="7"/>
      <c r="D312" s="92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ht="15.75" customHeight="1">
      <c r="A313" s="7"/>
      <c r="B313" s="7"/>
      <c r="D313" s="92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ht="15.75" customHeight="1">
      <c r="A314" s="7"/>
      <c r="B314" s="7"/>
      <c r="D314" s="92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ht="15.75" customHeight="1">
      <c r="A315" s="7"/>
      <c r="B315" s="7"/>
      <c r="D315" s="92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ht="15.75" customHeight="1">
      <c r="A316" s="7"/>
      <c r="B316" s="7"/>
      <c r="D316" s="92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ht="15.75" customHeight="1">
      <c r="A317" s="7"/>
      <c r="B317" s="7"/>
      <c r="D317" s="92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ht="15.75" customHeight="1">
      <c r="A318" s="7"/>
      <c r="B318" s="7"/>
      <c r="D318" s="92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ht="15.75" customHeight="1">
      <c r="A319" s="7"/>
      <c r="B319" s="7"/>
      <c r="D319" s="92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ht="15.75" customHeight="1">
      <c r="A320" s="7"/>
      <c r="B320" s="7"/>
      <c r="D320" s="92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 ht="15.75" customHeight="1">
      <c r="A321" s="7"/>
      <c r="B321" s="7"/>
      <c r="D321" s="92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</row>
    <row r="322" ht="15.75" customHeight="1">
      <c r="A322" s="7"/>
      <c r="B322" s="7"/>
      <c r="D322" s="92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 ht="15.75" customHeight="1">
      <c r="A323" s="7"/>
      <c r="B323" s="7"/>
      <c r="D323" s="92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 ht="15.75" customHeight="1">
      <c r="A324" s="7"/>
      <c r="B324" s="7"/>
      <c r="D324" s="92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 ht="15.75" customHeight="1">
      <c r="A325" s="7"/>
      <c r="B325" s="7"/>
      <c r="D325" s="92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 ht="15.75" customHeight="1">
      <c r="A326" s="7"/>
      <c r="B326" s="7"/>
      <c r="D326" s="92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 ht="15.75" customHeight="1">
      <c r="A327" s="7"/>
      <c r="B327" s="7"/>
      <c r="D327" s="92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ht="15.75" customHeight="1">
      <c r="A328" s="7"/>
      <c r="B328" s="7"/>
      <c r="D328" s="92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ht="15.75" customHeight="1">
      <c r="A329" s="7"/>
      <c r="B329" s="7"/>
      <c r="D329" s="92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ht="15.75" customHeight="1">
      <c r="A330" s="7"/>
      <c r="B330" s="7"/>
      <c r="D330" s="92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ht="15.75" customHeight="1">
      <c r="A331" s="7"/>
      <c r="B331" s="7"/>
      <c r="D331" s="92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 ht="15.75" customHeight="1">
      <c r="A332" s="7"/>
      <c r="B332" s="7"/>
      <c r="D332" s="92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ht="15.75" customHeight="1">
      <c r="A333" s="7"/>
      <c r="B333" s="7"/>
      <c r="D333" s="92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ht="15.75" customHeight="1">
      <c r="A334" s="7"/>
      <c r="B334" s="7"/>
      <c r="D334" s="92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ht="15.75" customHeight="1">
      <c r="A335" s="7"/>
      <c r="B335" s="7"/>
      <c r="D335" s="92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ht="15.75" customHeight="1">
      <c r="A336" s="7"/>
      <c r="B336" s="7"/>
      <c r="D336" s="92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 ht="15.75" customHeight="1">
      <c r="A337" s="7"/>
      <c r="B337" s="7"/>
      <c r="D337" s="92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 ht="15.75" customHeight="1">
      <c r="A338" s="7"/>
      <c r="B338" s="7"/>
      <c r="D338" s="92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 ht="15.75" customHeight="1">
      <c r="A339" s="7"/>
      <c r="B339" s="7"/>
      <c r="D339" s="92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ht="15.75" customHeight="1">
      <c r="A340" s="7"/>
      <c r="B340" s="7"/>
      <c r="D340" s="92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 ht="15.75" customHeight="1">
      <c r="A341" s="7"/>
      <c r="B341" s="7"/>
      <c r="D341" s="92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 ht="15.75" customHeight="1">
      <c r="A342" s="7"/>
      <c r="B342" s="7"/>
      <c r="D342" s="92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ht="15.75" customHeight="1">
      <c r="A343" s="7"/>
      <c r="B343" s="7"/>
      <c r="D343" s="92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ht="15.75" customHeight="1">
      <c r="A344" s="7"/>
      <c r="B344" s="7"/>
      <c r="D344" s="92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ht="15.75" customHeight="1">
      <c r="A345" s="7"/>
      <c r="B345" s="7"/>
      <c r="D345" s="92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 ht="15.75" customHeight="1">
      <c r="A346" s="7"/>
      <c r="B346" s="7"/>
      <c r="D346" s="92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 ht="15.75" customHeight="1">
      <c r="A347" s="7"/>
      <c r="B347" s="7"/>
      <c r="D347" s="92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 ht="15.75" customHeight="1">
      <c r="A348" s="7"/>
      <c r="B348" s="7"/>
      <c r="D348" s="92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 ht="15.75" customHeight="1">
      <c r="A349" s="7"/>
      <c r="B349" s="7"/>
      <c r="D349" s="92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 ht="15.75" customHeight="1">
      <c r="A350" s="7"/>
      <c r="B350" s="7"/>
      <c r="D350" s="92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 ht="15.75" customHeight="1">
      <c r="A351" s="7"/>
      <c r="B351" s="7"/>
      <c r="D351" s="92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 ht="15.75" customHeight="1">
      <c r="A352" s="7"/>
      <c r="B352" s="7"/>
      <c r="D352" s="92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ht="15.75" customHeight="1">
      <c r="A353" s="7"/>
      <c r="B353" s="7"/>
      <c r="D353" s="92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ht="15.75" customHeight="1">
      <c r="A354" s="7"/>
      <c r="B354" s="7"/>
      <c r="D354" s="92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ht="15.75" customHeight="1">
      <c r="A355" s="7"/>
      <c r="B355" s="7"/>
      <c r="D355" s="92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 ht="15.75" customHeight="1">
      <c r="A356" s="7"/>
      <c r="B356" s="7"/>
      <c r="D356" s="92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ht="15.75" customHeight="1">
      <c r="A357" s="7"/>
      <c r="B357" s="7"/>
      <c r="D357" s="92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ht="15.75" customHeight="1">
      <c r="A358" s="7"/>
      <c r="B358" s="7"/>
      <c r="D358" s="92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ht="15.75" customHeight="1">
      <c r="A359" s="7"/>
      <c r="B359" s="7"/>
      <c r="D359" s="92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 ht="15.75" customHeight="1">
      <c r="A360" s="7"/>
      <c r="B360" s="7"/>
      <c r="D360" s="92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ht="15.75" customHeight="1">
      <c r="A361" s="7"/>
      <c r="B361" s="7"/>
      <c r="D361" s="92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ht="15.75" customHeight="1">
      <c r="A362" s="7"/>
      <c r="B362" s="7"/>
      <c r="D362" s="92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ht="15.75" customHeight="1">
      <c r="A363" s="7"/>
      <c r="B363" s="7"/>
      <c r="D363" s="92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ht="15.75" customHeight="1">
      <c r="A364" s="7"/>
      <c r="B364" s="7"/>
      <c r="D364" s="92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ht="15.75" customHeight="1">
      <c r="A365" s="7"/>
      <c r="B365" s="7"/>
      <c r="D365" s="92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ht="15.75" customHeight="1">
      <c r="A366" s="7"/>
      <c r="B366" s="7"/>
      <c r="D366" s="92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ht="15.75" customHeight="1">
      <c r="A367" s="7"/>
      <c r="B367" s="7"/>
      <c r="D367" s="92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ht="15.75" customHeight="1">
      <c r="A368" s="7"/>
      <c r="B368" s="7"/>
      <c r="D368" s="92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ht="15.75" customHeight="1">
      <c r="A369" s="7"/>
      <c r="B369" s="7"/>
      <c r="D369" s="92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ht="15.75" customHeight="1">
      <c r="A370" s="7"/>
      <c r="B370" s="7"/>
      <c r="D370" s="92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ht="15.75" customHeight="1">
      <c r="A371" s="7"/>
      <c r="B371" s="7"/>
      <c r="D371" s="92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ht="15.75" customHeight="1">
      <c r="A372" s="7"/>
      <c r="B372" s="7"/>
      <c r="D372" s="92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ht="15.75" customHeight="1">
      <c r="A373" s="7"/>
      <c r="B373" s="7"/>
      <c r="D373" s="92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ht="15.75" customHeight="1">
      <c r="A374" s="7"/>
      <c r="B374" s="7"/>
      <c r="D374" s="92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ht="15.75" customHeight="1">
      <c r="A375" s="7"/>
      <c r="B375" s="7"/>
      <c r="D375" s="92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ht="15.75" customHeight="1">
      <c r="A376" s="7"/>
      <c r="B376" s="7"/>
      <c r="D376" s="92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ht="15.75" customHeight="1">
      <c r="A377" s="7"/>
      <c r="B377" s="7"/>
      <c r="D377" s="92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ht="15.75" customHeight="1">
      <c r="A378" s="7"/>
      <c r="B378" s="7"/>
      <c r="D378" s="92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ht="15.75" customHeight="1">
      <c r="A379" s="7"/>
      <c r="B379" s="7"/>
      <c r="D379" s="92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ht="15.75" customHeight="1">
      <c r="A380" s="7"/>
      <c r="B380" s="7"/>
      <c r="D380" s="92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ht="15.75" customHeight="1">
      <c r="A381" s="7"/>
      <c r="B381" s="7"/>
      <c r="D381" s="92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ht="15.75" customHeight="1">
      <c r="A382" s="7"/>
      <c r="B382" s="7"/>
      <c r="D382" s="92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ht="15.75" customHeight="1">
      <c r="A383" s="7"/>
      <c r="B383" s="7"/>
      <c r="D383" s="92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ht="15.75" customHeight="1">
      <c r="A384" s="7"/>
      <c r="B384" s="7"/>
      <c r="D384" s="92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ht="15.75" customHeight="1">
      <c r="A385" s="7"/>
      <c r="B385" s="7"/>
      <c r="D385" s="92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ht="15.75" customHeight="1">
      <c r="A386" s="7"/>
      <c r="B386" s="7"/>
      <c r="D386" s="92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ht="15.75" customHeight="1">
      <c r="A387" s="7"/>
      <c r="B387" s="7"/>
      <c r="D387" s="92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ht="15.75" customHeight="1">
      <c r="A388" s="7"/>
      <c r="B388" s="7"/>
      <c r="D388" s="92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ht="15.75" customHeight="1">
      <c r="A389" s="7"/>
      <c r="B389" s="7"/>
      <c r="D389" s="92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ht="15.75" customHeight="1">
      <c r="A390" s="7"/>
      <c r="B390" s="7"/>
      <c r="D390" s="92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ht="15.75" customHeight="1">
      <c r="A391" s="7"/>
      <c r="B391" s="7"/>
      <c r="D391" s="92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ht="15.75" customHeight="1">
      <c r="A392" s="7"/>
      <c r="B392" s="7"/>
      <c r="D392" s="92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ht="15.75" customHeight="1">
      <c r="A393" s="7"/>
      <c r="B393" s="7"/>
      <c r="D393" s="92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ht="15.75" customHeight="1">
      <c r="A394" s="7"/>
      <c r="B394" s="7"/>
      <c r="D394" s="92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ht="15.75" customHeight="1">
      <c r="A395" s="7"/>
      <c r="B395" s="7"/>
      <c r="D395" s="92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ht="15.75" customHeight="1">
      <c r="A396" s="7"/>
      <c r="B396" s="7"/>
      <c r="D396" s="92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ht="15.75" customHeight="1">
      <c r="A397" s="7"/>
      <c r="B397" s="7"/>
      <c r="D397" s="92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ht="15.75" customHeight="1">
      <c r="A398" s="7"/>
      <c r="B398" s="7"/>
      <c r="D398" s="92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ht="15.75" customHeight="1">
      <c r="A399" s="7"/>
      <c r="B399" s="7"/>
      <c r="D399" s="92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ht="15.75" customHeight="1">
      <c r="A400" s="7"/>
      <c r="B400" s="7"/>
      <c r="D400" s="92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ht="15.75" customHeight="1">
      <c r="A401" s="7"/>
      <c r="B401" s="7"/>
      <c r="D401" s="92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ht="15.75" customHeight="1">
      <c r="A402" s="7"/>
      <c r="B402" s="7"/>
      <c r="D402" s="92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ht="15.75" customHeight="1">
      <c r="A403" s="7"/>
      <c r="B403" s="7"/>
      <c r="D403" s="92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ht="15.75" customHeight="1">
      <c r="A404" s="7"/>
      <c r="B404" s="7"/>
      <c r="D404" s="92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ht="15.75" customHeight="1">
      <c r="A405" s="7"/>
      <c r="B405" s="7"/>
      <c r="D405" s="92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ht="15.75" customHeight="1">
      <c r="A406" s="7"/>
      <c r="B406" s="7"/>
      <c r="D406" s="92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ht="15.75" customHeight="1">
      <c r="A407" s="7"/>
      <c r="B407" s="7"/>
      <c r="D407" s="92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ht="15.75" customHeight="1">
      <c r="A408" s="7"/>
      <c r="B408" s="7"/>
      <c r="D408" s="92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ht="15.75" customHeight="1">
      <c r="A409" s="7"/>
      <c r="B409" s="7"/>
      <c r="D409" s="92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ht="15.75" customHeight="1">
      <c r="A410" s="7"/>
      <c r="B410" s="7"/>
      <c r="D410" s="92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ht="15.75" customHeight="1">
      <c r="A411" s="7"/>
      <c r="B411" s="7"/>
      <c r="D411" s="92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ht="15.75" customHeight="1">
      <c r="A412" s="7"/>
      <c r="B412" s="7"/>
      <c r="D412" s="92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ht="15.75" customHeight="1">
      <c r="A413" s="7"/>
      <c r="B413" s="7"/>
      <c r="D413" s="92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ht="15.75" customHeight="1">
      <c r="A414" s="7"/>
      <c r="B414" s="7"/>
      <c r="D414" s="92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ht="15.75" customHeight="1">
      <c r="A415" s="7"/>
      <c r="B415" s="7"/>
      <c r="D415" s="92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ht="15.75" customHeight="1">
      <c r="A416" s="7"/>
      <c r="B416" s="7"/>
      <c r="D416" s="92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ht="15.75" customHeight="1">
      <c r="A417" s="7"/>
      <c r="B417" s="7"/>
      <c r="D417" s="92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ht="15.75" customHeight="1">
      <c r="A418" s="7"/>
      <c r="B418" s="7"/>
      <c r="D418" s="92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ht="15.75" customHeight="1">
      <c r="A419" s="7"/>
      <c r="B419" s="7"/>
      <c r="D419" s="92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ht="15.75" customHeight="1">
      <c r="A420" s="7"/>
      <c r="B420" s="7"/>
      <c r="D420" s="92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ht="15.75" customHeight="1">
      <c r="A421" s="7"/>
      <c r="B421" s="7"/>
      <c r="D421" s="92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ht="15.75" customHeight="1">
      <c r="A422" s="7"/>
      <c r="B422" s="7"/>
      <c r="D422" s="92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ht="15.75" customHeight="1">
      <c r="A423" s="7"/>
      <c r="B423" s="7"/>
      <c r="D423" s="92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ht="15.75" customHeight="1">
      <c r="A424" s="7"/>
      <c r="B424" s="7"/>
      <c r="D424" s="92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ht="15.75" customHeight="1">
      <c r="A425" s="7"/>
      <c r="B425" s="7"/>
      <c r="D425" s="92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ht="15.75" customHeight="1">
      <c r="A426" s="7"/>
      <c r="B426" s="7"/>
      <c r="D426" s="92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 ht="15.75" customHeight="1">
      <c r="A427" s="7"/>
      <c r="B427" s="7"/>
      <c r="D427" s="92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ht="15.75" customHeight="1">
      <c r="A428" s="7"/>
      <c r="B428" s="7"/>
      <c r="D428" s="92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ht="15.75" customHeight="1">
      <c r="A429" s="7"/>
      <c r="B429" s="7"/>
      <c r="D429" s="92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ht="15.75" customHeight="1">
      <c r="A430" s="7"/>
      <c r="B430" s="7"/>
      <c r="D430" s="92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ht="15.75" customHeight="1">
      <c r="A431" s="7"/>
      <c r="B431" s="7"/>
      <c r="D431" s="92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ht="15.75" customHeight="1">
      <c r="A432" s="7"/>
      <c r="B432" s="7"/>
      <c r="D432" s="92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ht="15.75" customHeight="1">
      <c r="A433" s="7"/>
      <c r="B433" s="7"/>
      <c r="D433" s="92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ht="15.75" customHeight="1">
      <c r="A434" s="7"/>
      <c r="B434" s="7"/>
      <c r="D434" s="92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ht="15.75" customHeight="1">
      <c r="A435" s="7"/>
      <c r="B435" s="7"/>
      <c r="D435" s="92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ht="15.75" customHeight="1">
      <c r="A436" s="7"/>
      <c r="B436" s="7"/>
      <c r="D436" s="92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ht="15.75" customHeight="1">
      <c r="A437" s="7"/>
      <c r="B437" s="7"/>
      <c r="D437" s="92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ht="15.75" customHeight="1">
      <c r="A438" s="7"/>
      <c r="B438" s="7"/>
      <c r="D438" s="92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ht="15.75" customHeight="1">
      <c r="A439" s="7"/>
      <c r="B439" s="7"/>
      <c r="D439" s="92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ht="15.75" customHeight="1">
      <c r="A440" s="7"/>
      <c r="B440" s="7"/>
      <c r="D440" s="92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ht="15.75" customHeight="1">
      <c r="A441" s="7"/>
      <c r="B441" s="7"/>
      <c r="D441" s="92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ht="15.75" customHeight="1">
      <c r="A442" s="7"/>
      <c r="B442" s="7"/>
      <c r="D442" s="92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ht="15.75" customHeight="1">
      <c r="A443" s="7"/>
      <c r="B443" s="7"/>
      <c r="D443" s="92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ht="15.75" customHeight="1">
      <c r="A444" s="7"/>
      <c r="B444" s="7"/>
      <c r="D444" s="92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ht="15.75" customHeight="1">
      <c r="A445" s="7"/>
      <c r="B445" s="7"/>
      <c r="D445" s="92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ht="15.75" customHeight="1">
      <c r="A446" s="7"/>
      <c r="B446" s="7"/>
      <c r="D446" s="92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ht="15.75" customHeight="1">
      <c r="A447" s="7"/>
      <c r="B447" s="7"/>
      <c r="D447" s="92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ht="15.75" customHeight="1">
      <c r="A448" s="7"/>
      <c r="B448" s="7"/>
      <c r="D448" s="92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ht="15.75" customHeight="1">
      <c r="A449" s="7"/>
      <c r="B449" s="7"/>
      <c r="D449" s="92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ht="15.75" customHeight="1">
      <c r="A450" s="7"/>
      <c r="B450" s="7"/>
      <c r="D450" s="92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ht="15.75" customHeight="1">
      <c r="A451" s="7"/>
      <c r="B451" s="7"/>
      <c r="D451" s="92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ht="15.75" customHeight="1">
      <c r="A452" s="7"/>
      <c r="B452" s="7"/>
      <c r="D452" s="92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ht="15.75" customHeight="1">
      <c r="A453" s="7"/>
      <c r="B453" s="7"/>
      <c r="D453" s="92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ht="15.75" customHeight="1">
      <c r="A454" s="7"/>
      <c r="B454" s="7"/>
      <c r="D454" s="92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ht="15.75" customHeight="1">
      <c r="A455" s="7"/>
      <c r="B455" s="7"/>
      <c r="D455" s="92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ht="15.75" customHeight="1">
      <c r="A456" s="7"/>
      <c r="B456" s="7"/>
      <c r="D456" s="92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ht="15.75" customHeight="1">
      <c r="A457" s="7"/>
      <c r="B457" s="7"/>
      <c r="D457" s="92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ht="15.75" customHeight="1">
      <c r="A458" s="7"/>
      <c r="B458" s="7"/>
      <c r="D458" s="92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ht="15.75" customHeight="1">
      <c r="A459" s="7"/>
      <c r="B459" s="7"/>
      <c r="D459" s="92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ht="15.75" customHeight="1">
      <c r="A460" s="7"/>
      <c r="B460" s="7"/>
      <c r="D460" s="92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ht="15.75" customHeight="1">
      <c r="A461" s="7"/>
      <c r="B461" s="7"/>
      <c r="D461" s="92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ht="15.75" customHeight="1">
      <c r="A462" s="7"/>
      <c r="B462" s="7"/>
      <c r="D462" s="92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ht="15.75" customHeight="1">
      <c r="A463" s="7"/>
      <c r="B463" s="7"/>
      <c r="D463" s="92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ht="15.75" customHeight="1">
      <c r="A464" s="7"/>
      <c r="B464" s="7"/>
      <c r="D464" s="92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ht="15.75" customHeight="1">
      <c r="A465" s="7"/>
      <c r="B465" s="7"/>
      <c r="D465" s="92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ht="15.75" customHeight="1">
      <c r="A466" s="7"/>
      <c r="B466" s="7"/>
      <c r="D466" s="92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ht="15.75" customHeight="1">
      <c r="A467" s="7"/>
      <c r="B467" s="7"/>
      <c r="D467" s="92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ht="15.75" customHeight="1">
      <c r="A468" s="7"/>
      <c r="B468" s="7"/>
      <c r="D468" s="92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ht="15.75" customHeight="1">
      <c r="A469" s="7"/>
      <c r="B469" s="7"/>
      <c r="D469" s="92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ht="15.75" customHeight="1">
      <c r="A470" s="7"/>
      <c r="B470" s="7"/>
      <c r="D470" s="92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ht="15.75" customHeight="1">
      <c r="A471" s="7"/>
      <c r="B471" s="7"/>
      <c r="D471" s="92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ht="15.75" customHeight="1">
      <c r="A472" s="7"/>
      <c r="B472" s="7"/>
      <c r="D472" s="92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ht="15.75" customHeight="1">
      <c r="A473" s="7"/>
      <c r="B473" s="7"/>
      <c r="D473" s="92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ht="15.75" customHeight="1">
      <c r="A474" s="7"/>
      <c r="B474" s="7"/>
      <c r="D474" s="92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ht="15.75" customHeight="1">
      <c r="A475" s="7"/>
      <c r="B475" s="7"/>
      <c r="D475" s="92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ht="15.75" customHeight="1">
      <c r="A476" s="7"/>
      <c r="B476" s="7"/>
      <c r="D476" s="92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ht="15.75" customHeight="1">
      <c r="A477" s="7"/>
      <c r="B477" s="7"/>
      <c r="D477" s="92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ht="15.75" customHeight="1">
      <c r="A478" s="7"/>
      <c r="B478" s="7"/>
      <c r="D478" s="92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ht="15.75" customHeight="1">
      <c r="A479" s="7"/>
      <c r="B479" s="7"/>
      <c r="D479" s="92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ht="15.75" customHeight="1">
      <c r="A480" s="7"/>
      <c r="B480" s="7"/>
      <c r="D480" s="92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ht="15.75" customHeight="1">
      <c r="A481" s="7"/>
      <c r="B481" s="7"/>
      <c r="D481" s="92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ht="15.75" customHeight="1">
      <c r="A482" s="7"/>
      <c r="B482" s="7"/>
      <c r="D482" s="92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ht="15.75" customHeight="1">
      <c r="A483" s="7"/>
      <c r="B483" s="7"/>
      <c r="D483" s="92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ht="15.75" customHeight="1">
      <c r="A484" s="7"/>
      <c r="B484" s="7"/>
      <c r="D484" s="92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ht="15.75" customHeight="1">
      <c r="A485" s="7"/>
      <c r="B485" s="7"/>
      <c r="D485" s="92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ht="15.75" customHeight="1">
      <c r="A486" s="7"/>
      <c r="B486" s="7"/>
      <c r="D486" s="92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ht="15.75" customHeight="1">
      <c r="A487" s="7"/>
      <c r="B487" s="7"/>
      <c r="D487" s="92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ht="15.75" customHeight="1">
      <c r="A488" s="7"/>
      <c r="B488" s="7"/>
      <c r="D488" s="92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ht="15.75" customHeight="1">
      <c r="A489" s="7"/>
      <c r="B489" s="7"/>
      <c r="D489" s="92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ht="15.75" customHeight="1">
      <c r="A490" s="7"/>
      <c r="B490" s="7"/>
      <c r="D490" s="92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ht="15.75" customHeight="1">
      <c r="A491" s="7"/>
      <c r="B491" s="7"/>
      <c r="D491" s="92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ht="15.75" customHeight="1">
      <c r="A492" s="7"/>
      <c r="B492" s="7"/>
      <c r="D492" s="92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ht="15.75" customHeight="1">
      <c r="A493" s="7"/>
      <c r="B493" s="7"/>
      <c r="D493" s="92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ht="15.75" customHeight="1">
      <c r="A494" s="7"/>
      <c r="B494" s="7"/>
      <c r="D494" s="92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ht="15.75" customHeight="1">
      <c r="A495" s="7"/>
      <c r="B495" s="7"/>
      <c r="D495" s="92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ht="15.75" customHeight="1">
      <c r="A496" s="7"/>
      <c r="B496" s="7"/>
      <c r="D496" s="92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ht="15.75" customHeight="1">
      <c r="A497" s="7"/>
      <c r="B497" s="7"/>
      <c r="D497" s="92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ht="15.75" customHeight="1">
      <c r="A498" s="7"/>
      <c r="B498" s="7"/>
      <c r="D498" s="92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ht="15.75" customHeight="1">
      <c r="A499" s="7"/>
      <c r="B499" s="7"/>
      <c r="D499" s="92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ht="15.75" customHeight="1">
      <c r="A500" s="7"/>
      <c r="B500" s="7"/>
      <c r="D500" s="92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ht="15.75" customHeight="1">
      <c r="A501" s="7"/>
      <c r="B501" s="7"/>
      <c r="D501" s="92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ht="15.75" customHeight="1">
      <c r="A502" s="7"/>
      <c r="B502" s="7"/>
      <c r="D502" s="92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ht="15.75" customHeight="1">
      <c r="A503" s="7"/>
      <c r="B503" s="7"/>
      <c r="D503" s="92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ht="15.75" customHeight="1">
      <c r="A504" s="7"/>
      <c r="B504" s="7"/>
      <c r="D504" s="92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ht="15.75" customHeight="1">
      <c r="A505" s="7"/>
      <c r="B505" s="7"/>
      <c r="D505" s="92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ht="15.75" customHeight="1">
      <c r="A506" s="7"/>
      <c r="B506" s="7"/>
      <c r="D506" s="92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ht="15.75" customHeight="1">
      <c r="A507" s="7"/>
      <c r="B507" s="7"/>
      <c r="D507" s="92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ht="15.75" customHeight="1">
      <c r="A508" s="7"/>
      <c r="B508" s="7"/>
      <c r="D508" s="92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ht="15.75" customHeight="1">
      <c r="A509" s="7"/>
      <c r="B509" s="7"/>
      <c r="D509" s="92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ht="15.75" customHeight="1">
      <c r="A510" s="7"/>
      <c r="B510" s="7"/>
      <c r="D510" s="92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ht="15.75" customHeight="1">
      <c r="A511" s="7"/>
      <c r="B511" s="7"/>
      <c r="D511" s="92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ht="15.75" customHeight="1">
      <c r="A512" s="7"/>
      <c r="B512" s="7"/>
      <c r="D512" s="92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ht="15.75" customHeight="1">
      <c r="A513" s="7"/>
      <c r="B513" s="7"/>
      <c r="D513" s="92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ht="15.75" customHeight="1">
      <c r="A514" s="7"/>
      <c r="B514" s="7"/>
      <c r="D514" s="92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ht="15.75" customHeight="1">
      <c r="A515" s="7"/>
      <c r="B515" s="7"/>
      <c r="D515" s="92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ht="15.75" customHeight="1">
      <c r="A516" s="7"/>
      <c r="B516" s="7"/>
      <c r="D516" s="92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ht="15.75" customHeight="1">
      <c r="A517" s="7"/>
      <c r="B517" s="7"/>
      <c r="D517" s="92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ht="15.75" customHeight="1">
      <c r="A518" s="7"/>
      <c r="B518" s="7"/>
      <c r="D518" s="92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ht="15.75" customHeight="1">
      <c r="A519" s="7"/>
      <c r="B519" s="7"/>
      <c r="D519" s="92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ht="15.75" customHeight="1">
      <c r="A520" s="7"/>
      <c r="B520" s="7"/>
      <c r="D520" s="92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ht="15.75" customHeight="1">
      <c r="A521" s="7"/>
      <c r="B521" s="7"/>
      <c r="D521" s="92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ht="15.75" customHeight="1">
      <c r="A522" s="7"/>
      <c r="B522" s="7"/>
      <c r="D522" s="92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ht="15.75" customHeight="1">
      <c r="A523" s="7"/>
      <c r="B523" s="7"/>
      <c r="D523" s="92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ht="15.75" customHeight="1">
      <c r="A524" s="7"/>
      <c r="B524" s="7"/>
      <c r="D524" s="92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ht="15.75" customHeight="1">
      <c r="A525" s="7"/>
      <c r="B525" s="7"/>
      <c r="D525" s="92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ht="15.75" customHeight="1">
      <c r="A526" s="7"/>
      <c r="B526" s="7"/>
      <c r="D526" s="92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ht="15.75" customHeight="1">
      <c r="A527" s="7"/>
      <c r="B527" s="7"/>
      <c r="D527" s="92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ht="15.75" customHeight="1">
      <c r="A528" s="7"/>
      <c r="B528" s="7"/>
      <c r="D528" s="92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ht="15.75" customHeight="1">
      <c r="A529" s="7"/>
      <c r="B529" s="7"/>
      <c r="D529" s="92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ht="15.75" customHeight="1">
      <c r="A530" s="7"/>
      <c r="B530" s="7"/>
      <c r="D530" s="92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ht="15.75" customHeight="1">
      <c r="A531" s="7"/>
      <c r="B531" s="7"/>
      <c r="D531" s="92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ht="15.75" customHeight="1">
      <c r="A532" s="7"/>
      <c r="B532" s="7"/>
      <c r="D532" s="92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ht="15.75" customHeight="1">
      <c r="A533" s="7"/>
      <c r="B533" s="7"/>
      <c r="D533" s="92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ht="15.75" customHeight="1">
      <c r="A534" s="7"/>
      <c r="B534" s="7"/>
      <c r="D534" s="92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ht="15.75" customHeight="1">
      <c r="A535" s="7"/>
      <c r="B535" s="7"/>
      <c r="D535" s="92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ht="15.75" customHeight="1">
      <c r="A536" s="7"/>
      <c r="B536" s="7"/>
      <c r="D536" s="92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ht="15.75" customHeight="1">
      <c r="A537" s="7"/>
      <c r="B537" s="7"/>
      <c r="D537" s="92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ht="15.75" customHeight="1">
      <c r="A538" s="7"/>
      <c r="B538" s="7"/>
      <c r="D538" s="92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ht="15.75" customHeight="1">
      <c r="A539" s="7"/>
      <c r="B539" s="7"/>
      <c r="D539" s="92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ht="15.75" customHeight="1">
      <c r="A540" s="7"/>
      <c r="B540" s="7"/>
      <c r="D540" s="92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ht="15.75" customHeight="1">
      <c r="A541" s="7"/>
      <c r="B541" s="7"/>
      <c r="D541" s="92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ht="15.75" customHeight="1">
      <c r="A542" s="7"/>
      <c r="B542" s="7"/>
      <c r="D542" s="92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ht="15.75" customHeight="1">
      <c r="A543" s="7"/>
      <c r="B543" s="7"/>
      <c r="D543" s="92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ht="15.75" customHeight="1">
      <c r="A544" s="7"/>
      <c r="B544" s="7"/>
      <c r="D544" s="92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ht="15.75" customHeight="1">
      <c r="A545" s="7"/>
      <c r="B545" s="7"/>
      <c r="D545" s="92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ht="15.75" customHeight="1">
      <c r="A546" s="7"/>
      <c r="B546" s="7"/>
      <c r="D546" s="92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ht="15.75" customHeight="1">
      <c r="A547" s="7"/>
      <c r="B547" s="7"/>
      <c r="D547" s="92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ht="15.75" customHeight="1">
      <c r="A548" s="7"/>
      <c r="B548" s="7"/>
      <c r="D548" s="92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ht="15.75" customHeight="1">
      <c r="A549" s="7"/>
      <c r="B549" s="7"/>
      <c r="D549" s="92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ht="15.75" customHeight="1">
      <c r="A550" s="7"/>
      <c r="B550" s="7"/>
      <c r="D550" s="92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ht="15.75" customHeight="1">
      <c r="A551" s="7"/>
      <c r="B551" s="7"/>
      <c r="D551" s="92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 ht="15.75" customHeight="1">
      <c r="A552" s="7"/>
      <c r="B552" s="7"/>
      <c r="D552" s="92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ht="15.75" customHeight="1">
      <c r="A553" s="7"/>
      <c r="B553" s="7"/>
      <c r="D553" s="92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 ht="15.75" customHeight="1">
      <c r="A554" s="7"/>
      <c r="B554" s="7"/>
      <c r="D554" s="92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ht="15.75" customHeight="1">
      <c r="A555" s="7"/>
      <c r="B555" s="7"/>
      <c r="D555" s="92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 ht="15.75" customHeight="1">
      <c r="A556" s="7"/>
      <c r="B556" s="7"/>
      <c r="D556" s="92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ht="15.75" customHeight="1">
      <c r="A557" s="7"/>
      <c r="B557" s="7"/>
      <c r="D557" s="92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 ht="15.75" customHeight="1">
      <c r="A558" s="7"/>
      <c r="B558" s="7"/>
      <c r="D558" s="92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 ht="15.75" customHeight="1">
      <c r="A559" s="7"/>
      <c r="B559" s="7"/>
      <c r="D559" s="92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ht="15.75" customHeight="1">
      <c r="A560" s="7"/>
      <c r="B560" s="7"/>
      <c r="D560" s="92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ht="15.75" customHeight="1">
      <c r="A561" s="7"/>
      <c r="B561" s="7"/>
      <c r="D561" s="92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ht="15.75" customHeight="1">
      <c r="A562" s="7"/>
      <c r="B562" s="7"/>
      <c r="D562" s="92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 ht="15.75" customHeight="1">
      <c r="A563" s="7"/>
      <c r="B563" s="7"/>
      <c r="D563" s="92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ht="15.75" customHeight="1">
      <c r="A564" s="7"/>
      <c r="B564" s="7"/>
      <c r="D564" s="92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ht="15.75" customHeight="1">
      <c r="A565" s="7"/>
      <c r="B565" s="7"/>
      <c r="D565" s="92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ht="15.75" customHeight="1">
      <c r="A566" s="7"/>
      <c r="B566" s="7"/>
      <c r="D566" s="92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ht="15.75" customHeight="1">
      <c r="A567" s="7"/>
      <c r="B567" s="7"/>
      <c r="D567" s="92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 ht="15.75" customHeight="1">
      <c r="A568" s="7"/>
      <c r="B568" s="7"/>
      <c r="D568" s="92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 ht="15.75" customHeight="1">
      <c r="A569" s="7"/>
      <c r="B569" s="7"/>
      <c r="D569" s="92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 ht="15.75" customHeight="1">
      <c r="A570" s="7"/>
      <c r="B570" s="7"/>
      <c r="D570" s="92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ht="15.75" customHeight="1">
      <c r="A571" s="7"/>
      <c r="B571" s="7"/>
      <c r="D571" s="92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ht="15.75" customHeight="1">
      <c r="A572" s="7"/>
      <c r="B572" s="7"/>
      <c r="D572" s="92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 ht="15.75" customHeight="1">
      <c r="A573" s="7"/>
      <c r="B573" s="7"/>
      <c r="D573" s="92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ht="15.75" customHeight="1">
      <c r="A574" s="7"/>
      <c r="B574" s="7"/>
      <c r="D574" s="92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ht="15.75" customHeight="1">
      <c r="A575" s="7"/>
      <c r="B575" s="7"/>
      <c r="D575" s="92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ht="15.75" customHeight="1">
      <c r="A576" s="7"/>
      <c r="B576" s="7"/>
      <c r="D576" s="92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ht="15.75" customHeight="1">
      <c r="A577" s="7"/>
      <c r="B577" s="7"/>
      <c r="D577" s="92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ht="15.75" customHeight="1">
      <c r="A578" s="7"/>
      <c r="B578" s="7"/>
      <c r="D578" s="92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 ht="15.75" customHeight="1">
      <c r="A579" s="7"/>
      <c r="B579" s="7"/>
      <c r="D579" s="92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 ht="15.75" customHeight="1">
      <c r="A580" s="7"/>
      <c r="B580" s="7"/>
      <c r="D580" s="92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ht="15.75" customHeight="1">
      <c r="A581" s="7"/>
      <c r="B581" s="7"/>
      <c r="D581" s="92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ht="15.75" customHeight="1">
      <c r="A582" s="7"/>
      <c r="B582" s="7"/>
      <c r="D582" s="92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ht="15.75" customHeight="1">
      <c r="A583" s="7"/>
      <c r="B583" s="7"/>
      <c r="D583" s="92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ht="15.75" customHeight="1">
      <c r="A584" s="7"/>
      <c r="B584" s="7"/>
      <c r="D584" s="92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ht="15.75" customHeight="1">
      <c r="A585" s="7"/>
      <c r="B585" s="7"/>
      <c r="D585" s="92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ht="15.75" customHeight="1">
      <c r="A586" s="7"/>
      <c r="B586" s="7"/>
      <c r="D586" s="92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ht="15.75" customHeight="1">
      <c r="A587" s="7"/>
      <c r="B587" s="7"/>
      <c r="D587" s="92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 ht="15.75" customHeight="1">
      <c r="A588" s="7"/>
      <c r="B588" s="7"/>
      <c r="D588" s="92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 ht="15.75" customHeight="1">
      <c r="A589" s="7"/>
      <c r="B589" s="7"/>
      <c r="D589" s="92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 ht="15.75" customHeight="1">
      <c r="A590" s="7"/>
      <c r="B590" s="7"/>
      <c r="D590" s="92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 ht="15.75" customHeight="1">
      <c r="A591" s="7"/>
      <c r="B591" s="7"/>
      <c r="D591" s="92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ht="15.75" customHeight="1">
      <c r="A592" s="7"/>
      <c r="B592" s="7"/>
      <c r="D592" s="92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 ht="15.75" customHeight="1">
      <c r="A593" s="7"/>
      <c r="B593" s="7"/>
      <c r="D593" s="92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ht="15.75" customHeight="1">
      <c r="A594" s="7"/>
      <c r="B594" s="7"/>
      <c r="D594" s="92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ht="15.75" customHeight="1">
      <c r="A595" s="7"/>
      <c r="B595" s="7"/>
      <c r="D595" s="92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 ht="15.75" customHeight="1">
      <c r="A596" s="7"/>
      <c r="B596" s="7"/>
      <c r="D596" s="92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ht="15.75" customHeight="1">
      <c r="A597" s="7"/>
      <c r="B597" s="7"/>
      <c r="D597" s="92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ht="15.75" customHeight="1">
      <c r="A598" s="7"/>
      <c r="B598" s="7"/>
      <c r="D598" s="92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 ht="15.75" customHeight="1">
      <c r="A599" s="7"/>
      <c r="B599" s="7"/>
      <c r="D599" s="92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ht="15.75" customHeight="1">
      <c r="A600" s="7"/>
      <c r="B600" s="7"/>
      <c r="D600" s="92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ht="15.75" customHeight="1">
      <c r="A601" s="7"/>
      <c r="B601" s="7"/>
      <c r="D601" s="92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ht="15.75" customHeight="1">
      <c r="A602" s="7"/>
      <c r="B602" s="7"/>
      <c r="D602" s="92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 ht="15.75" customHeight="1">
      <c r="A603" s="7"/>
      <c r="B603" s="7"/>
      <c r="D603" s="92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ht="15.75" customHeight="1">
      <c r="A604" s="7"/>
      <c r="B604" s="7"/>
      <c r="D604" s="92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 ht="15.75" customHeight="1">
      <c r="A605" s="7"/>
      <c r="B605" s="7"/>
      <c r="D605" s="92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ht="15.75" customHeight="1">
      <c r="A606" s="7"/>
      <c r="B606" s="7"/>
      <c r="D606" s="92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ht="15.75" customHeight="1">
      <c r="A607" s="7"/>
      <c r="B607" s="7"/>
      <c r="D607" s="92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 ht="15.75" customHeight="1">
      <c r="A608" s="7"/>
      <c r="B608" s="7"/>
      <c r="D608" s="92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 ht="15.75" customHeight="1">
      <c r="A609" s="7"/>
      <c r="B609" s="7"/>
      <c r="D609" s="92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 ht="15.75" customHeight="1">
      <c r="A610" s="7"/>
      <c r="B610" s="7"/>
      <c r="D610" s="92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ht="15.75" customHeight="1">
      <c r="A611" s="7"/>
      <c r="B611" s="7"/>
      <c r="D611" s="92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ht="15.75" customHeight="1">
      <c r="A612" s="7"/>
      <c r="B612" s="7"/>
      <c r="D612" s="92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 ht="15.75" customHeight="1">
      <c r="A613" s="7"/>
      <c r="B613" s="7"/>
      <c r="D613" s="92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ht="15.75" customHeight="1">
      <c r="A614" s="7"/>
      <c r="B614" s="7"/>
      <c r="D614" s="92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ht="15.75" customHeight="1">
      <c r="A615" s="7"/>
      <c r="B615" s="7"/>
      <c r="D615" s="92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ht="15.75" customHeight="1">
      <c r="A616" s="7"/>
      <c r="B616" s="7"/>
      <c r="D616" s="92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ht="15.75" customHeight="1">
      <c r="A617" s="7"/>
      <c r="B617" s="7"/>
      <c r="D617" s="92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 ht="15.75" customHeight="1">
      <c r="A618" s="7"/>
      <c r="B618" s="7"/>
      <c r="D618" s="92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 ht="15.75" customHeight="1">
      <c r="A619" s="7"/>
      <c r="B619" s="7"/>
      <c r="D619" s="92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 ht="15.75" customHeight="1">
      <c r="A620" s="7"/>
      <c r="B620" s="7"/>
      <c r="D620" s="92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ht="15.75" customHeight="1">
      <c r="A621" s="7"/>
      <c r="B621" s="7"/>
      <c r="D621" s="92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 ht="15.75" customHeight="1">
      <c r="A622" s="7"/>
      <c r="B622" s="7"/>
      <c r="D622" s="92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 ht="15.75" customHeight="1">
      <c r="A623" s="7"/>
      <c r="B623" s="7"/>
      <c r="D623" s="92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ht="15.75" customHeight="1">
      <c r="A624" s="7"/>
      <c r="B624" s="7"/>
      <c r="D624" s="92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ht="15.75" customHeight="1">
      <c r="A625" s="7"/>
      <c r="B625" s="7"/>
      <c r="D625" s="92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ht="15.75" customHeight="1">
      <c r="A626" s="7"/>
      <c r="B626" s="7"/>
      <c r="D626" s="92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ht="15.75" customHeight="1">
      <c r="A627" s="7"/>
      <c r="B627" s="7"/>
      <c r="D627" s="92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 ht="15.75" customHeight="1">
      <c r="A628" s="7"/>
      <c r="B628" s="7"/>
      <c r="D628" s="92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 ht="15.75" customHeight="1">
      <c r="A629" s="7"/>
      <c r="B629" s="7"/>
      <c r="D629" s="92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ht="15.75" customHeight="1">
      <c r="A630" s="7"/>
      <c r="B630" s="7"/>
      <c r="D630" s="92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 ht="15.75" customHeight="1">
      <c r="A631" s="7"/>
      <c r="B631" s="7"/>
      <c r="D631" s="92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ht="15.75" customHeight="1">
      <c r="A632" s="7"/>
      <c r="B632" s="7"/>
      <c r="D632" s="92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 ht="15.75" customHeight="1">
      <c r="A633" s="7"/>
      <c r="B633" s="7"/>
      <c r="D633" s="92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ht="15.75" customHeight="1">
      <c r="A634" s="7"/>
      <c r="B634" s="7"/>
      <c r="D634" s="92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ht="15.75" customHeight="1">
      <c r="A635" s="7"/>
      <c r="B635" s="7"/>
      <c r="D635" s="92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ht="15.75" customHeight="1">
      <c r="A636" s="7"/>
      <c r="B636" s="7"/>
      <c r="D636" s="92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ht="15.75" customHeight="1">
      <c r="A637" s="7"/>
      <c r="B637" s="7"/>
      <c r="D637" s="92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 ht="15.75" customHeight="1">
      <c r="A638" s="7"/>
      <c r="B638" s="7"/>
      <c r="D638" s="92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 ht="15.75" customHeight="1">
      <c r="A639" s="7"/>
      <c r="B639" s="7"/>
      <c r="D639" s="92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 ht="15.75" customHeight="1">
      <c r="A640" s="7"/>
      <c r="B640" s="7"/>
      <c r="D640" s="92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ht="15.75" customHeight="1">
      <c r="A641" s="7"/>
      <c r="B641" s="7"/>
      <c r="D641" s="92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ht="15.75" customHeight="1">
      <c r="A642" s="7"/>
      <c r="B642" s="7"/>
      <c r="D642" s="92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 ht="15.75" customHeight="1">
      <c r="A643" s="7"/>
      <c r="B643" s="7"/>
      <c r="D643" s="92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ht="15.75" customHeight="1">
      <c r="A644" s="7"/>
      <c r="B644" s="7"/>
      <c r="D644" s="92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ht="15.75" customHeight="1">
      <c r="A645" s="7"/>
      <c r="B645" s="7"/>
      <c r="D645" s="92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 ht="15.75" customHeight="1">
      <c r="A646" s="7"/>
      <c r="B646" s="7"/>
      <c r="D646" s="92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ht="15.75" customHeight="1">
      <c r="A647" s="7"/>
      <c r="B647" s="7"/>
      <c r="D647" s="92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 ht="15.75" customHeight="1">
      <c r="A648" s="7"/>
      <c r="B648" s="7"/>
      <c r="D648" s="92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 ht="15.75" customHeight="1">
      <c r="A649" s="7"/>
      <c r="B649" s="7"/>
      <c r="D649" s="92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 ht="15.75" customHeight="1">
      <c r="A650" s="7"/>
      <c r="B650" s="7"/>
      <c r="D650" s="92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ht="15.75" customHeight="1">
      <c r="A651" s="7"/>
      <c r="B651" s="7"/>
      <c r="D651" s="92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ht="15.75" customHeight="1">
      <c r="A652" s="7"/>
      <c r="B652" s="7"/>
      <c r="D652" s="92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 ht="15.75" customHeight="1">
      <c r="A653" s="7"/>
      <c r="B653" s="7"/>
      <c r="D653" s="92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ht="15.75" customHeight="1">
      <c r="A654" s="7"/>
      <c r="B654" s="7"/>
      <c r="D654" s="92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ht="15.75" customHeight="1">
      <c r="A655" s="7"/>
      <c r="B655" s="7"/>
      <c r="D655" s="92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ht="15.75" customHeight="1">
      <c r="A656" s="7"/>
      <c r="B656" s="7"/>
      <c r="D656" s="92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ht="15.75" customHeight="1">
      <c r="A657" s="7"/>
      <c r="B657" s="7"/>
      <c r="D657" s="92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 ht="15.75" customHeight="1">
      <c r="A658" s="7"/>
      <c r="B658" s="7"/>
      <c r="D658" s="92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 ht="15.75" customHeight="1">
      <c r="A659" s="7"/>
      <c r="B659" s="7"/>
      <c r="D659" s="92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 ht="15.75" customHeight="1">
      <c r="A660" s="7"/>
      <c r="B660" s="7"/>
      <c r="D660" s="92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ht="15.75" customHeight="1">
      <c r="A661" s="7"/>
      <c r="B661" s="7"/>
      <c r="D661" s="92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ht="15.75" customHeight="1">
      <c r="A662" s="7"/>
      <c r="B662" s="7"/>
      <c r="D662" s="92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 ht="15.75" customHeight="1">
      <c r="A663" s="7"/>
      <c r="B663" s="7"/>
      <c r="D663" s="92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ht="15.75" customHeight="1">
      <c r="A664" s="7"/>
      <c r="B664" s="7"/>
      <c r="D664" s="92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 ht="15.75" customHeight="1">
      <c r="A665" s="7"/>
      <c r="B665" s="7"/>
      <c r="D665" s="92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ht="15.75" customHeight="1">
      <c r="A666" s="7"/>
      <c r="B666" s="7"/>
      <c r="D666" s="92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ht="15.75" customHeight="1">
      <c r="A667" s="7"/>
      <c r="B667" s="7"/>
      <c r="D667" s="92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ht="15.75" customHeight="1">
      <c r="A668" s="7"/>
      <c r="B668" s="7"/>
      <c r="D668" s="92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ht="15.75" customHeight="1">
      <c r="A669" s="7"/>
      <c r="B669" s="7"/>
      <c r="D669" s="92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 ht="15.75" customHeight="1">
      <c r="A670" s="7"/>
      <c r="B670" s="7"/>
      <c r="D670" s="92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 ht="15.75" customHeight="1">
      <c r="A671" s="7"/>
      <c r="B671" s="7"/>
      <c r="D671" s="92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ht="15.75" customHeight="1">
      <c r="A672" s="7"/>
      <c r="B672" s="7"/>
      <c r="D672" s="92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 ht="15.75" customHeight="1">
      <c r="A673" s="7"/>
      <c r="B673" s="7"/>
      <c r="D673" s="92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 ht="15.75" customHeight="1">
      <c r="A674" s="7"/>
      <c r="B674" s="7"/>
      <c r="D674" s="92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 ht="15.75" customHeight="1">
      <c r="A675" s="7"/>
      <c r="B675" s="7"/>
      <c r="D675" s="92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 ht="15.75" customHeight="1">
      <c r="A676" s="7"/>
      <c r="B676" s="7"/>
      <c r="D676" s="92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 ht="15.75" customHeight="1">
      <c r="A677" s="7"/>
      <c r="B677" s="7"/>
      <c r="D677" s="92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 ht="15.75" customHeight="1">
      <c r="A678" s="7"/>
      <c r="B678" s="7"/>
      <c r="D678" s="92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 ht="15.75" customHeight="1">
      <c r="A679" s="7"/>
      <c r="B679" s="7"/>
      <c r="D679" s="92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 ht="15.75" customHeight="1">
      <c r="A680" s="7"/>
      <c r="B680" s="7"/>
      <c r="D680" s="92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 ht="15.75" customHeight="1">
      <c r="A681" s="7"/>
      <c r="B681" s="7"/>
      <c r="D681" s="92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ht="15.75" customHeight="1">
      <c r="A682" s="7"/>
      <c r="B682" s="7"/>
      <c r="D682" s="92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 ht="15.75" customHeight="1">
      <c r="A683" s="7"/>
      <c r="B683" s="7"/>
      <c r="D683" s="92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 ht="15.75" customHeight="1">
      <c r="A684" s="7"/>
      <c r="B684" s="7"/>
      <c r="D684" s="92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 ht="15.75" customHeight="1">
      <c r="A685" s="7"/>
      <c r="B685" s="7"/>
      <c r="D685" s="92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 ht="15.75" customHeight="1">
      <c r="A686" s="7"/>
      <c r="B686" s="7"/>
      <c r="D686" s="92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 ht="15.75" customHeight="1">
      <c r="A687" s="7"/>
      <c r="B687" s="7"/>
      <c r="D687" s="92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 ht="15.75" customHeight="1">
      <c r="A688" s="7"/>
      <c r="B688" s="7"/>
      <c r="D688" s="92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 ht="15.75" customHeight="1">
      <c r="A689" s="7"/>
      <c r="B689" s="7"/>
      <c r="D689" s="92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 ht="15.75" customHeight="1">
      <c r="A690" s="7"/>
      <c r="B690" s="7"/>
      <c r="D690" s="92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 ht="15.75" customHeight="1">
      <c r="A691" s="7"/>
      <c r="B691" s="7"/>
      <c r="D691" s="92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 ht="15.75" customHeight="1">
      <c r="A692" s="7"/>
      <c r="B692" s="7"/>
      <c r="D692" s="92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 ht="15.75" customHeight="1">
      <c r="A693" s="7"/>
      <c r="B693" s="7"/>
      <c r="D693" s="92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 ht="15.75" customHeight="1">
      <c r="A694" s="7"/>
      <c r="B694" s="7"/>
      <c r="D694" s="92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 ht="15.75" customHeight="1">
      <c r="A695" s="7"/>
      <c r="B695" s="7"/>
      <c r="D695" s="92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ht="15.75" customHeight="1">
      <c r="A696" s="7"/>
      <c r="B696" s="7"/>
      <c r="D696" s="92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 ht="15.75" customHeight="1">
      <c r="A697" s="7"/>
      <c r="B697" s="7"/>
      <c r="D697" s="92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 ht="15.75" customHeight="1">
      <c r="A698" s="7"/>
      <c r="B698" s="7"/>
      <c r="D698" s="92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 ht="15.75" customHeight="1">
      <c r="A699" s="7"/>
      <c r="B699" s="7"/>
      <c r="D699" s="92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</row>
    <row r="700" ht="15.75" customHeight="1">
      <c r="A700" s="7"/>
      <c r="B700" s="7"/>
      <c r="D700" s="92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 ht="15.75" customHeight="1">
      <c r="A701" s="7"/>
      <c r="B701" s="7"/>
      <c r="D701" s="92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 ht="15.75" customHeight="1">
      <c r="A702" s="7"/>
      <c r="B702" s="7"/>
      <c r="D702" s="92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</row>
    <row r="703" ht="15.75" customHeight="1">
      <c r="A703" s="7"/>
      <c r="B703" s="7"/>
      <c r="D703" s="92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 ht="15.75" customHeight="1">
      <c r="A704" s="7"/>
      <c r="B704" s="7"/>
      <c r="D704" s="92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 ht="15.75" customHeight="1">
      <c r="A705" s="7"/>
      <c r="B705" s="7"/>
      <c r="D705" s="92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 ht="15.75" customHeight="1">
      <c r="A706" s="7"/>
      <c r="B706" s="7"/>
      <c r="D706" s="92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 ht="15.75" customHeight="1">
      <c r="A707" s="7"/>
      <c r="B707" s="7"/>
      <c r="D707" s="92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</row>
    <row r="708" ht="15.75" customHeight="1">
      <c r="A708" s="7"/>
      <c r="B708" s="7"/>
      <c r="D708" s="92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</row>
    <row r="709" ht="15.75" customHeight="1">
      <c r="A709" s="7"/>
      <c r="B709" s="7"/>
      <c r="D709" s="92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</row>
    <row r="710" ht="15.75" customHeight="1">
      <c r="A710" s="7"/>
      <c r="B710" s="7"/>
      <c r="D710" s="92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 ht="15.75" customHeight="1">
      <c r="A711" s="7"/>
      <c r="B711" s="7"/>
      <c r="D711" s="92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 ht="15.75" customHeight="1">
      <c r="A712" s="7"/>
      <c r="B712" s="7"/>
      <c r="D712" s="92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</row>
    <row r="713" ht="15.75" customHeight="1">
      <c r="A713" s="7"/>
      <c r="B713" s="7"/>
      <c r="D713" s="92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 ht="15.75" customHeight="1">
      <c r="A714" s="7"/>
      <c r="B714" s="7"/>
      <c r="D714" s="92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 ht="15.75" customHeight="1">
      <c r="A715" s="7"/>
      <c r="B715" s="7"/>
      <c r="D715" s="92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 ht="15.75" customHeight="1">
      <c r="A716" s="7"/>
      <c r="B716" s="7"/>
      <c r="D716" s="92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 ht="15.75" customHeight="1">
      <c r="A717" s="7"/>
      <c r="B717" s="7"/>
      <c r="D717" s="92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</row>
    <row r="718" ht="15.75" customHeight="1">
      <c r="A718" s="7"/>
      <c r="B718" s="7"/>
      <c r="D718" s="92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</row>
    <row r="719" ht="15.75" customHeight="1">
      <c r="A719" s="7"/>
      <c r="B719" s="7"/>
      <c r="D719" s="92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</row>
    <row r="720" ht="15.75" customHeight="1">
      <c r="A720" s="7"/>
      <c r="B720" s="7"/>
      <c r="D720" s="92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 ht="15.75" customHeight="1">
      <c r="A721" s="7"/>
      <c r="B721" s="7"/>
      <c r="D721" s="92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 ht="15.75" customHeight="1">
      <c r="A722" s="7"/>
      <c r="B722" s="7"/>
      <c r="D722" s="92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 ht="15.75" customHeight="1">
      <c r="A723" s="7"/>
      <c r="B723" s="7"/>
      <c r="D723" s="92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 ht="15.75" customHeight="1">
      <c r="A724" s="7"/>
      <c r="B724" s="7"/>
      <c r="D724" s="92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 ht="15.75" customHeight="1">
      <c r="A725" s="7"/>
      <c r="B725" s="7"/>
      <c r="D725" s="92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 ht="15.75" customHeight="1">
      <c r="A726" s="7"/>
      <c r="B726" s="7"/>
      <c r="D726" s="92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ht="15.75" customHeight="1">
      <c r="A727" s="7"/>
      <c r="B727" s="7"/>
      <c r="D727" s="92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 ht="15.75" customHeight="1">
      <c r="A728" s="7"/>
      <c r="B728" s="7"/>
      <c r="D728" s="92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 ht="15.75" customHeight="1">
      <c r="A729" s="7"/>
      <c r="B729" s="7"/>
      <c r="D729" s="92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 ht="15.75" customHeight="1">
      <c r="A730" s="7"/>
      <c r="B730" s="7"/>
      <c r="D730" s="92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ht="15.75" customHeight="1">
      <c r="A731" s="7"/>
      <c r="B731" s="7"/>
      <c r="D731" s="92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 ht="15.75" customHeight="1">
      <c r="A732" s="7"/>
      <c r="B732" s="7"/>
      <c r="D732" s="92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 ht="15.75" customHeight="1">
      <c r="A733" s="7"/>
      <c r="B733" s="7"/>
      <c r="D733" s="92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 ht="15.75" customHeight="1">
      <c r="A734" s="7"/>
      <c r="B734" s="7"/>
      <c r="D734" s="92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 ht="15.75" customHeight="1">
      <c r="A735" s="7"/>
      <c r="B735" s="7"/>
      <c r="D735" s="92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</row>
    <row r="736" ht="15.75" customHeight="1">
      <c r="A736" s="7"/>
      <c r="B736" s="7"/>
      <c r="D736" s="92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 ht="15.75" customHeight="1">
      <c r="A737" s="7"/>
      <c r="B737" s="7"/>
      <c r="D737" s="92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</row>
    <row r="738" ht="15.75" customHeight="1">
      <c r="A738" s="7"/>
      <c r="B738" s="7"/>
      <c r="D738" s="92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</row>
    <row r="739" ht="15.75" customHeight="1">
      <c r="A739" s="7"/>
      <c r="B739" s="7"/>
      <c r="D739" s="92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</row>
    <row r="740" ht="15.75" customHeight="1">
      <c r="A740" s="7"/>
      <c r="B740" s="7"/>
      <c r="D740" s="92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 ht="15.75" customHeight="1">
      <c r="A741" s="7"/>
      <c r="B741" s="7"/>
      <c r="D741" s="92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 ht="15.75" customHeight="1">
      <c r="A742" s="7"/>
      <c r="B742" s="7"/>
      <c r="D742" s="92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</row>
    <row r="743" ht="15.75" customHeight="1">
      <c r="A743" s="7"/>
      <c r="B743" s="7"/>
      <c r="D743" s="92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 ht="15.75" customHeight="1">
      <c r="A744" s="7"/>
      <c r="B744" s="7"/>
      <c r="D744" s="92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 ht="15.75" customHeight="1">
      <c r="A745" s="7"/>
      <c r="B745" s="7"/>
      <c r="D745" s="92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 ht="15.75" customHeight="1">
      <c r="A746" s="7"/>
      <c r="B746" s="7"/>
      <c r="D746" s="92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 ht="15.75" customHeight="1">
      <c r="A747" s="7"/>
      <c r="B747" s="7"/>
      <c r="D747" s="92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</row>
    <row r="748" ht="15.75" customHeight="1">
      <c r="A748" s="7"/>
      <c r="B748" s="7"/>
      <c r="D748" s="92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</row>
    <row r="749" ht="15.75" customHeight="1">
      <c r="A749" s="7"/>
      <c r="B749" s="7"/>
      <c r="D749" s="92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</row>
    <row r="750" ht="15.75" customHeight="1">
      <c r="A750" s="7"/>
      <c r="B750" s="7"/>
      <c r="D750" s="92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 ht="15.75" customHeight="1">
      <c r="A751" s="7"/>
      <c r="B751" s="7"/>
      <c r="D751" s="92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 ht="15.75" customHeight="1">
      <c r="A752" s="7"/>
      <c r="B752" s="7"/>
      <c r="D752" s="92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 ht="15.75" customHeight="1">
      <c r="A753" s="7"/>
      <c r="B753" s="7"/>
      <c r="D753" s="92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 ht="15.75" customHeight="1">
      <c r="A754" s="7"/>
      <c r="B754" s="7"/>
      <c r="D754" s="92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 ht="15.75" customHeight="1">
      <c r="A755" s="7"/>
      <c r="B755" s="7"/>
      <c r="D755" s="92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 ht="15.75" customHeight="1">
      <c r="A756" s="7"/>
      <c r="B756" s="7"/>
      <c r="D756" s="92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ht="15.75" customHeight="1">
      <c r="A757" s="7"/>
      <c r="B757" s="7"/>
      <c r="D757" s="92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 ht="15.75" customHeight="1">
      <c r="A758" s="7"/>
      <c r="B758" s="7"/>
      <c r="D758" s="92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 ht="15.75" customHeight="1">
      <c r="A759" s="7"/>
      <c r="B759" s="7"/>
      <c r="D759" s="92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 ht="15.75" customHeight="1">
      <c r="A760" s="7"/>
      <c r="B760" s="7"/>
      <c r="D760" s="92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 ht="15.75" customHeight="1">
      <c r="A761" s="7"/>
      <c r="B761" s="7"/>
      <c r="D761" s="92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 ht="15.75" customHeight="1">
      <c r="A762" s="7"/>
      <c r="B762" s="7"/>
      <c r="D762" s="92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 ht="15.75" customHeight="1">
      <c r="A763" s="7"/>
      <c r="B763" s="7"/>
      <c r="D763" s="92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 ht="15.75" customHeight="1">
      <c r="A764" s="7"/>
      <c r="B764" s="7"/>
      <c r="D764" s="92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 ht="15.75" customHeight="1">
      <c r="A765" s="7"/>
      <c r="B765" s="7"/>
      <c r="D765" s="92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 ht="15.75" customHeight="1">
      <c r="A766" s="7"/>
      <c r="B766" s="7"/>
      <c r="D766" s="92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 ht="15.75" customHeight="1">
      <c r="A767" s="7"/>
      <c r="B767" s="7"/>
      <c r="D767" s="92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 ht="15.75" customHeight="1">
      <c r="A768" s="7"/>
      <c r="B768" s="7"/>
      <c r="D768" s="92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 ht="15.75" customHeight="1">
      <c r="A769" s="7"/>
      <c r="B769" s="7"/>
      <c r="D769" s="92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 ht="15.75" customHeight="1">
      <c r="A770" s="7"/>
      <c r="B770" s="7"/>
      <c r="D770" s="92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 ht="15.75" customHeight="1">
      <c r="A771" s="7"/>
      <c r="B771" s="7"/>
      <c r="D771" s="92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 ht="15.75" customHeight="1">
      <c r="A772" s="7"/>
      <c r="B772" s="7"/>
      <c r="D772" s="92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 ht="15.75" customHeight="1">
      <c r="A773" s="7"/>
      <c r="B773" s="7"/>
      <c r="D773" s="92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 ht="15.75" customHeight="1">
      <c r="A774" s="7"/>
      <c r="B774" s="7"/>
      <c r="D774" s="92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 ht="15.75" customHeight="1">
      <c r="A775" s="7"/>
      <c r="B775" s="7"/>
      <c r="D775" s="92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 ht="15.75" customHeight="1">
      <c r="A776" s="7"/>
      <c r="B776" s="7"/>
      <c r="D776" s="92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 ht="15.75" customHeight="1">
      <c r="A777" s="7"/>
      <c r="B777" s="7"/>
      <c r="D777" s="92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 ht="15.75" customHeight="1">
      <c r="A778" s="7"/>
      <c r="B778" s="7"/>
      <c r="D778" s="92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 ht="15.75" customHeight="1">
      <c r="A779" s="7"/>
      <c r="B779" s="7"/>
      <c r="D779" s="92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 ht="15.75" customHeight="1">
      <c r="A780" s="7"/>
      <c r="B780" s="7"/>
      <c r="D780" s="92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</row>
    <row r="781" ht="15.75" customHeight="1">
      <c r="A781" s="7"/>
      <c r="B781" s="7"/>
      <c r="D781" s="92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</row>
    <row r="782" ht="15.75" customHeight="1">
      <c r="A782" s="7"/>
      <c r="B782" s="7"/>
      <c r="D782" s="92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</row>
    <row r="783" ht="15.75" customHeight="1">
      <c r="A783" s="7"/>
      <c r="B783" s="7"/>
      <c r="D783" s="92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</row>
    <row r="784" ht="15.75" customHeight="1">
      <c r="A784" s="7"/>
      <c r="B784" s="7"/>
      <c r="D784" s="92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</row>
    <row r="785" ht="15.75" customHeight="1">
      <c r="A785" s="7"/>
      <c r="B785" s="7"/>
      <c r="D785" s="92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</row>
    <row r="786" ht="15.75" customHeight="1">
      <c r="A786" s="7"/>
      <c r="B786" s="7"/>
      <c r="D786" s="92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</row>
    <row r="787" ht="15.75" customHeight="1">
      <c r="A787" s="7"/>
      <c r="B787" s="7"/>
      <c r="D787" s="92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</row>
    <row r="788" ht="15.75" customHeight="1">
      <c r="A788" s="7"/>
      <c r="B788" s="7"/>
      <c r="D788" s="92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</row>
    <row r="789" ht="15.75" customHeight="1">
      <c r="A789" s="7"/>
      <c r="B789" s="7"/>
      <c r="D789" s="92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</row>
    <row r="790" ht="15.75" customHeight="1">
      <c r="A790" s="7"/>
      <c r="B790" s="7"/>
      <c r="D790" s="92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</row>
    <row r="791" ht="15.75" customHeight="1">
      <c r="A791" s="7"/>
      <c r="B791" s="7"/>
      <c r="D791" s="92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</row>
    <row r="792" ht="15.75" customHeight="1">
      <c r="A792" s="7"/>
      <c r="B792" s="7"/>
      <c r="D792" s="92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</row>
    <row r="793" ht="15.75" customHeight="1">
      <c r="A793" s="7"/>
      <c r="B793" s="7"/>
      <c r="D793" s="92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</row>
    <row r="794" ht="15.75" customHeight="1">
      <c r="A794" s="7"/>
      <c r="B794" s="7"/>
      <c r="D794" s="92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</row>
    <row r="795" ht="15.75" customHeight="1">
      <c r="A795" s="7"/>
      <c r="B795" s="7"/>
      <c r="D795" s="92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</row>
    <row r="796" ht="15.75" customHeight="1">
      <c r="A796" s="7"/>
      <c r="B796" s="7"/>
      <c r="D796" s="92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</row>
    <row r="797" ht="15.75" customHeight="1">
      <c r="A797" s="7"/>
      <c r="B797" s="7"/>
      <c r="D797" s="92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</row>
    <row r="798" ht="15.75" customHeight="1">
      <c r="A798" s="7"/>
      <c r="B798" s="7"/>
      <c r="D798" s="92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</row>
    <row r="799" ht="15.75" customHeight="1">
      <c r="A799" s="7"/>
      <c r="B799" s="7"/>
      <c r="D799" s="92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</row>
    <row r="800" ht="15.75" customHeight="1">
      <c r="A800" s="7"/>
      <c r="B800" s="7"/>
      <c r="D800" s="92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</row>
    <row r="801" ht="15.75" customHeight="1">
      <c r="A801" s="7"/>
      <c r="B801" s="7"/>
      <c r="D801" s="92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</row>
    <row r="802" ht="15.75" customHeight="1">
      <c r="A802" s="7"/>
      <c r="B802" s="7"/>
      <c r="D802" s="92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</row>
    <row r="803" ht="15.75" customHeight="1">
      <c r="A803" s="7"/>
      <c r="B803" s="7"/>
      <c r="D803" s="92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</row>
    <row r="804" ht="15.75" customHeight="1">
      <c r="A804" s="7"/>
      <c r="B804" s="7"/>
      <c r="D804" s="92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</row>
    <row r="805" ht="15.75" customHeight="1">
      <c r="A805" s="7"/>
      <c r="B805" s="7"/>
      <c r="D805" s="92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</row>
    <row r="806" ht="15.75" customHeight="1">
      <c r="A806" s="7"/>
      <c r="B806" s="7"/>
      <c r="D806" s="92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</row>
    <row r="807" ht="15.75" customHeight="1">
      <c r="A807" s="7"/>
      <c r="B807" s="7"/>
      <c r="D807" s="92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</row>
    <row r="808" ht="15.75" customHeight="1">
      <c r="A808" s="7"/>
      <c r="B808" s="7"/>
      <c r="D808" s="92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</row>
    <row r="809" ht="15.75" customHeight="1">
      <c r="A809" s="7"/>
      <c r="B809" s="7"/>
      <c r="D809" s="92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</row>
    <row r="810" ht="15.75" customHeight="1">
      <c r="A810" s="7"/>
      <c r="B810" s="7"/>
      <c r="D810" s="92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</row>
    <row r="811" ht="15.75" customHeight="1">
      <c r="A811" s="7"/>
      <c r="B811" s="7"/>
      <c r="D811" s="92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</row>
    <row r="812" ht="15.75" customHeight="1">
      <c r="A812" s="7"/>
      <c r="B812" s="7"/>
      <c r="D812" s="92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</row>
    <row r="813" ht="15.75" customHeight="1">
      <c r="A813" s="7"/>
      <c r="B813" s="7"/>
      <c r="D813" s="92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</row>
    <row r="814" ht="15.75" customHeight="1">
      <c r="A814" s="7"/>
      <c r="B814" s="7"/>
      <c r="D814" s="92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</row>
    <row r="815" ht="15.75" customHeight="1">
      <c r="A815" s="7"/>
      <c r="B815" s="7"/>
      <c r="D815" s="92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</row>
    <row r="816" ht="15.75" customHeight="1">
      <c r="A816" s="7"/>
      <c r="B816" s="7"/>
      <c r="D816" s="92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</row>
    <row r="817" ht="15.75" customHeight="1">
      <c r="A817" s="7"/>
      <c r="B817" s="7"/>
      <c r="D817" s="92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</row>
    <row r="818" ht="15.75" customHeight="1">
      <c r="A818" s="7"/>
      <c r="B818" s="7"/>
      <c r="D818" s="92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</row>
    <row r="819" ht="15.75" customHeight="1">
      <c r="A819" s="7"/>
      <c r="B819" s="7"/>
      <c r="D819" s="92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</row>
    <row r="820" ht="15.75" customHeight="1">
      <c r="A820" s="7"/>
      <c r="B820" s="7"/>
      <c r="D820" s="92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</row>
    <row r="821" ht="15.75" customHeight="1">
      <c r="A821" s="7"/>
      <c r="B821" s="7"/>
      <c r="D821" s="92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</row>
    <row r="822" ht="15.75" customHeight="1">
      <c r="A822" s="7"/>
      <c r="B822" s="7"/>
      <c r="D822" s="92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</row>
    <row r="823" ht="15.75" customHeight="1">
      <c r="A823" s="7"/>
      <c r="B823" s="7"/>
      <c r="D823" s="92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</row>
    <row r="824" ht="15.75" customHeight="1">
      <c r="A824" s="7"/>
      <c r="B824" s="7"/>
      <c r="D824" s="92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</row>
    <row r="825" ht="15.75" customHeight="1">
      <c r="A825" s="7"/>
      <c r="B825" s="7"/>
      <c r="D825" s="92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</row>
    <row r="826" ht="15.75" customHeight="1">
      <c r="A826" s="7"/>
      <c r="B826" s="7"/>
      <c r="D826" s="92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</row>
    <row r="827" ht="15.75" customHeight="1">
      <c r="A827" s="7"/>
      <c r="B827" s="7"/>
      <c r="D827" s="92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</row>
    <row r="828" ht="15.75" customHeight="1">
      <c r="A828" s="7"/>
      <c r="B828" s="7"/>
      <c r="D828" s="92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</row>
    <row r="829" ht="15.75" customHeight="1">
      <c r="A829" s="7"/>
      <c r="B829" s="7"/>
      <c r="D829" s="92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</row>
    <row r="830" ht="15.75" customHeight="1">
      <c r="A830" s="7"/>
      <c r="B830" s="7"/>
      <c r="D830" s="92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</row>
    <row r="831" ht="15.75" customHeight="1">
      <c r="A831" s="7"/>
      <c r="B831" s="7"/>
      <c r="D831" s="92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</row>
    <row r="832" ht="15.75" customHeight="1">
      <c r="A832" s="7"/>
      <c r="B832" s="7"/>
      <c r="D832" s="92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</row>
    <row r="833" ht="15.75" customHeight="1">
      <c r="A833" s="7"/>
      <c r="B833" s="7"/>
      <c r="D833" s="92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</row>
    <row r="834" ht="15.75" customHeight="1">
      <c r="A834" s="7"/>
      <c r="B834" s="7"/>
      <c r="D834" s="92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</row>
    <row r="835" ht="15.75" customHeight="1">
      <c r="A835" s="7"/>
      <c r="B835" s="7"/>
      <c r="D835" s="92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</row>
    <row r="836" ht="15.75" customHeight="1">
      <c r="A836" s="7"/>
      <c r="B836" s="7"/>
      <c r="D836" s="92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</row>
    <row r="837" ht="15.75" customHeight="1">
      <c r="A837" s="7"/>
      <c r="B837" s="7"/>
      <c r="D837" s="92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</row>
    <row r="838" ht="15.75" customHeight="1">
      <c r="A838" s="7"/>
      <c r="B838" s="7"/>
      <c r="D838" s="92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</row>
    <row r="839" ht="15.75" customHeight="1">
      <c r="A839" s="7"/>
      <c r="B839" s="7"/>
      <c r="D839" s="92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</row>
    <row r="840" ht="15.75" customHeight="1">
      <c r="A840" s="7"/>
      <c r="B840" s="7"/>
      <c r="D840" s="92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</row>
    <row r="841" ht="15.75" customHeight="1">
      <c r="A841" s="7"/>
      <c r="B841" s="7"/>
      <c r="D841" s="92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</row>
    <row r="842" ht="15.75" customHeight="1">
      <c r="A842" s="7"/>
      <c r="B842" s="7"/>
      <c r="D842" s="92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</row>
    <row r="843" ht="15.75" customHeight="1">
      <c r="A843" s="7"/>
      <c r="B843" s="7"/>
      <c r="D843" s="92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</row>
    <row r="844" ht="15.75" customHeight="1">
      <c r="A844" s="7"/>
      <c r="B844" s="7"/>
      <c r="D844" s="92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</row>
    <row r="845" ht="15.75" customHeight="1">
      <c r="A845" s="7"/>
      <c r="B845" s="7"/>
      <c r="D845" s="92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</row>
    <row r="846" ht="15.75" customHeight="1">
      <c r="A846" s="7"/>
      <c r="B846" s="7"/>
      <c r="D846" s="92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</row>
    <row r="847" ht="15.75" customHeight="1">
      <c r="A847" s="7"/>
      <c r="B847" s="7"/>
      <c r="D847" s="92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</row>
    <row r="848" ht="15.75" customHeight="1">
      <c r="A848" s="7"/>
      <c r="B848" s="7"/>
      <c r="D848" s="92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</row>
    <row r="849" ht="15.75" customHeight="1">
      <c r="A849" s="7"/>
      <c r="B849" s="7"/>
      <c r="D849" s="92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</row>
    <row r="850" ht="15.75" customHeight="1">
      <c r="A850" s="7"/>
      <c r="B850" s="7"/>
      <c r="D850" s="92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</row>
    <row r="851" ht="15.75" customHeight="1">
      <c r="A851" s="7"/>
      <c r="B851" s="7"/>
      <c r="D851" s="92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</row>
    <row r="852" ht="15.75" customHeight="1">
      <c r="A852" s="7"/>
      <c r="B852" s="7"/>
      <c r="D852" s="92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</row>
    <row r="853" ht="15.75" customHeight="1">
      <c r="A853" s="7"/>
      <c r="B853" s="7"/>
      <c r="D853" s="92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</row>
    <row r="854" ht="15.75" customHeight="1">
      <c r="A854" s="7"/>
      <c r="B854" s="7"/>
      <c r="D854" s="92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</row>
    <row r="855" ht="15.75" customHeight="1">
      <c r="A855" s="7"/>
      <c r="B855" s="7"/>
      <c r="D855" s="92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</row>
    <row r="856" ht="15.75" customHeight="1">
      <c r="A856" s="7"/>
      <c r="B856" s="7"/>
      <c r="D856" s="92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</row>
    <row r="857" ht="15.75" customHeight="1">
      <c r="A857" s="7"/>
      <c r="B857" s="7"/>
      <c r="D857" s="92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</row>
    <row r="858" ht="15.75" customHeight="1">
      <c r="A858" s="7"/>
      <c r="B858" s="7"/>
      <c r="D858" s="92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</row>
    <row r="859" ht="15.75" customHeight="1">
      <c r="A859" s="7"/>
      <c r="B859" s="7"/>
      <c r="D859" s="92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</row>
    <row r="860" ht="15.75" customHeight="1">
      <c r="A860" s="7"/>
      <c r="B860" s="7"/>
      <c r="D860" s="92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</row>
    <row r="861" ht="15.75" customHeight="1">
      <c r="A861" s="7"/>
      <c r="B861" s="7"/>
      <c r="D861" s="92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</row>
    <row r="862" ht="15.75" customHeight="1">
      <c r="A862" s="7"/>
      <c r="B862" s="7"/>
      <c r="D862" s="92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</row>
    <row r="863" ht="15.75" customHeight="1">
      <c r="A863" s="7"/>
      <c r="B863" s="7"/>
      <c r="D863" s="92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</row>
    <row r="864" ht="15.75" customHeight="1">
      <c r="A864" s="7"/>
      <c r="B864" s="7"/>
      <c r="D864" s="92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</row>
    <row r="865" ht="15.75" customHeight="1">
      <c r="A865" s="7"/>
      <c r="B865" s="7"/>
      <c r="D865" s="92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</row>
    <row r="866" ht="15.75" customHeight="1">
      <c r="A866" s="7"/>
      <c r="B866" s="7"/>
      <c r="D866" s="92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</row>
    <row r="867" ht="15.75" customHeight="1">
      <c r="A867" s="7"/>
      <c r="B867" s="7"/>
      <c r="D867" s="92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</row>
    <row r="868" ht="15.75" customHeight="1">
      <c r="A868" s="7"/>
      <c r="B868" s="7"/>
      <c r="D868" s="92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</row>
    <row r="869" ht="15.75" customHeight="1">
      <c r="A869" s="7"/>
      <c r="B869" s="7"/>
      <c r="D869" s="92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</row>
    <row r="870" ht="15.75" customHeight="1">
      <c r="A870" s="7"/>
      <c r="B870" s="7"/>
      <c r="D870" s="92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</row>
    <row r="871" ht="15.75" customHeight="1">
      <c r="A871" s="7"/>
      <c r="B871" s="7"/>
      <c r="D871" s="92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</row>
    <row r="872" ht="15.75" customHeight="1">
      <c r="A872" s="7"/>
      <c r="B872" s="7"/>
      <c r="D872" s="92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</row>
    <row r="873" ht="15.75" customHeight="1">
      <c r="A873" s="7"/>
      <c r="B873" s="7"/>
      <c r="D873" s="92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</row>
    <row r="874" ht="15.75" customHeight="1">
      <c r="A874" s="7"/>
      <c r="B874" s="7"/>
      <c r="D874" s="92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</row>
    <row r="875" ht="15.75" customHeight="1">
      <c r="A875" s="7"/>
      <c r="B875" s="7"/>
      <c r="D875" s="92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</row>
    <row r="876" ht="15.75" customHeight="1">
      <c r="A876" s="7"/>
      <c r="B876" s="7"/>
      <c r="D876" s="92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</row>
    <row r="877" ht="15.75" customHeight="1">
      <c r="A877" s="7"/>
      <c r="B877" s="7"/>
      <c r="D877" s="92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</row>
    <row r="878" ht="15.75" customHeight="1">
      <c r="A878" s="7"/>
      <c r="B878" s="7"/>
      <c r="D878" s="92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</row>
    <row r="879" ht="15.75" customHeight="1">
      <c r="A879" s="7"/>
      <c r="B879" s="7"/>
      <c r="D879" s="92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</row>
    <row r="880" ht="15.75" customHeight="1">
      <c r="A880" s="7"/>
      <c r="B880" s="7"/>
      <c r="D880" s="92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</row>
    <row r="881" ht="15.75" customHeight="1">
      <c r="A881" s="7"/>
      <c r="B881" s="7"/>
      <c r="D881" s="92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</row>
    <row r="882" ht="15.75" customHeight="1">
      <c r="A882" s="7"/>
      <c r="B882" s="7"/>
      <c r="D882" s="92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</row>
    <row r="883" ht="15.75" customHeight="1">
      <c r="A883" s="7"/>
      <c r="B883" s="7"/>
      <c r="D883" s="92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</row>
    <row r="884" ht="15.75" customHeight="1">
      <c r="A884" s="7"/>
      <c r="B884" s="7"/>
      <c r="D884" s="92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</row>
    <row r="885" ht="15.75" customHeight="1">
      <c r="A885" s="7"/>
      <c r="B885" s="7"/>
      <c r="D885" s="92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</row>
    <row r="886" ht="15.75" customHeight="1">
      <c r="A886" s="7"/>
      <c r="B886" s="7"/>
      <c r="D886" s="92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</row>
    <row r="887" ht="15.75" customHeight="1">
      <c r="A887" s="7"/>
      <c r="B887" s="7"/>
      <c r="D887" s="92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</row>
    <row r="888" ht="15.75" customHeight="1">
      <c r="A888" s="7"/>
      <c r="B888" s="7"/>
      <c r="D888" s="92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</row>
    <row r="889" ht="15.75" customHeight="1">
      <c r="A889" s="7"/>
      <c r="B889" s="7"/>
      <c r="D889" s="92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</row>
    <row r="890" ht="15.75" customHeight="1">
      <c r="A890" s="7"/>
      <c r="B890" s="7"/>
      <c r="D890" s="92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</row>
    <row r="891" ht="15.75" customHeight="1">
      <c r="A891" s="7"/>
      <c r="B891" s="7"/>
      <c r="D891" s="92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</row>
    <row r="892" ht="15.75" customHeight="1">
      <c r="A892" s="7"/>
      <c r="B892" s="7"/>
      <c r="D892" s="92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</row>
    <row r="893" ht="15.75" customHeight="1">
      <c r="A893" s="7"/>
      <c r="B893" s="7"/>
      <c r="D893" s="92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</row>
    <row r="894" ht="15.75" customHeight="1">
      <c r="A894" s="7"/>
      <c r="B894" s="7"/>
      <c r="D894" s="92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</row>
    <row r="895" ht="15.75" customHeight="1">
      <c r="A895" s="7"/>
      <c r="B895" s="7"/>
      <c r="D895" s="92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</row>
    <row r="896" ht="15.75" customHeight="1">
      <c r="A896" s="7"/>
      <c r="B896" s="7"/>
      <c r="D896" s="92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</row>
    <row r="897" ht="15.75" customHeight="1">
      <c r="A897" s="7"/>
      <c r="B897" s="7"/>
      <c r="D897" s="92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</row>
    <row r="898" ht="15.75" customHeight="1">
      <c r="A898" s="7"/>
      <c r="B898" s="7"/>
      <c r="D898" s="92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</row>
    <row r="899" ht="15.75" customHeight="1">
      <c r="A899" s="7"/>
      <c r="B899" s="7"/>
      <c r="D899" s="92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</row>
    <row r="900" ht="15.75" customHeight="1">
      <c r="A900" s="7"/>
      <c r="B900" s="7"/>
      <c r="D900" s="92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</row>
    <row r="901" ht="15.75" customHeight="1">
      <c r="A901" s="7"/>
      <c r="B901" s="7"/>
      <c r="D901" s="92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</row>
    <row r="902" ht="15.75" customHeight="1">
      <c r="A902" s="7"/>
      <c r="B902" s="7"/>
      <c r="D902" s="92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</row>
    <row r="903" ht="15.75" customHeight="1">
      <c r="A903" s="7"/>
      <c r="B903" s="7"/>
      <c r="D903" s="92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</row>
    <row r="904" ht="15.75" customHeight="1">
      <c r="A904" s="7"/>
      <c r="B904" s="7"/>
      <c r="D904" s="92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</row>
    <row r="905" ht="15.75" customHeight="1">
      <c r="A905" s="7"/>
      <c r="B905" s="7"/>
      <c r="D905" s="92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</row>
    <row r="906" ht="15.75" customHeight="1">
      <c r="A906" s="7"/>
      <c r="B906" s="7"/>
      <c r="D906" s="92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</row>
    <row r="907" ht="15.75" customHeight="1">
      <c r="A907" s="7"/>
      <c r="B907" s="7"/>
      <c r="D907" s="92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</row>
    <row r="908" ht="15.75" customHeight="1">
      <c r="A908" s="7"/>
      <c r="B908" s="7"/>
      <c r="D908" s="92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</row>
    <row r="909" ht="15.75" customHeight="1">
      <c r="A909" s="7"/>
      <c r="B909" s="7"/>
      <c r="D909" s="92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</row>
    <row r="910" ht="15.75" customHeight="1">
      <c r="A910" s="7"/>
      <c r="B910" s="7"/>
      <c r="D910" s="92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</row>
    <row r="911" ht="15.75" customHeight="1">
      <c r="A911" s="7"/>
      <c r="B911" s="7"/>
      <c r="D911" s="92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</row>
    <row r="912" ht="15.75" customHeight="1">
      <c r="A912" s="7"/>
      <c r="B912" s="7"/>
      <c r="D912" s="92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</row>
    <row r="913" ht="15.75" customHeight="1">
      <c r="A913" s="7"/>
      <c r="B913" s="7"/>
      <c r="D913" s="92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</row>
    <row r="914" ht="15.75" customHeight="1">
      <c r="A914" s="7"/>
      <c r="B914" s="7"/>
      <c r="D914" s="92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</row>
    <row r="915" ht="15.75" customHeight="1">
      <c r="A915" s="7"/>
      <c r="B915" s="7"/>
      <c r="D915" s="92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</row>
    <row r="916" ht="15.75" customHeight="1">
      <c r="A916" s="7"/>
      <c r="B916" s="7"/>
      <c r="D916" s="92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</row>
    <row r="917" ht="15.75" customHeight="1">
      <c r="A917" s="7"/>
      <c r="B917" s="7"/>
      <c r="D917" s="92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</row>
    <row r="918" ht="15.75" customHeight="1">
      <c r="A918" s="7"/>
      <c r="B918" s="7"/>
      <c r="D918" s="92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</row>
    <row r="919" ht="15.75" customHeight="1">
      <c r="A919" s="7"/>
      <c r="B919" s="7"/>
      <c r="D919" s="92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</row>
    <row r="920" ht="15.75" customHeight="1">
      <c r="A920" s="7"/>
      <c r="B920" s="7"/>
      <c r="D920" s="92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</row>
    <row r="921" ht="15.75" customHeight="1">
      <c r="A921" s="7"/>
      <c r="B921" s="7"/>
      <c r="D921" s="92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</row>
    <row r="922" ht="15.75" customHeight="1">
      <c r="A922" s="7"/>
      <c r="B922" s="7"/>
      <c r="D922" s="92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</row>
    <row r="923" ht="15.75" customHeight="1">
      <c r="A923" s="7"/>
      <c r="B923" s="7"/>
      <c r="D923" s="92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</row>
    <row r="924" ht="15.75" customHeight="1">
      <c r="A924" s="7"/>
      <c r="B924" s="7"/>
      <c r="D924" s="92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</row>
    <row r="925" ht="15.75" customHeight="1">
      <c r="A925" s="7"/>
      <c r="B925" s="7"/>
      <c r="D925" s="92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</row>
    <row r="926" ht="15.75" customHeight="1">
      <c r="A926" s="7"/>
      <c r="B926" s="7"/>
      <c r="D926" s="92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</row>
    <row r="927" ht="15.75" customHeight="1">
      <c r="A927" s="7"/>
      <c r="B927" s="7"/>
      <c r="D927" s="92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</row>
    <row r="928" ht="15.75" customHeight="1">
      <c r="A928" s="7"/>
      <c r="B928" s="7"/>
      <c r="D928" s="92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</row>
    <row r="929" ht="15.75" customHeight="1">
      <c r="A929" s="7"/>
      <c r="B929" s="7"/>
      <c r="D929" s="92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</row>
    <row r="930" ht="15.75" customHeight="1">
      <c r="A930" s="7"/>
      <c r="B930" s="7"/>
      <c r="D930" s="92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</row>
    <row r="931" ht="15.75" customHeight="1">
      <c r="A931" s="7"/>
      <c r="B931" s="7"/>
      <c r="D931" s="92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</row>
    <row r="932" ht="15.75" customHeight="1">
      <c r="A932" s="7"/>
      <c r="B932" s="7"/>
      <c r="D932" s="92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</row>
    <row r="933" ht="15.75" customHeight="1">
      <c r="A933" s="7"/>
      <c r="B933" s="7"/>
      <c r="D933" s="92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</row>
    <row r="934" ht="15.75" customHeight="1">
      <c r="A934" s="7"/>
      <c r="B934" s="7"/>
      <c r="D934" s="92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</row>
    <row r="935" ht="15.75" customHeight="1">
      <c r="A935" s="7"/>
      <c r="B935" s="7"/>
      <c r="D935" s="92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</row>
    <row r="936" ht="15.75" customHeight="1">
      <c r="A936" s="7"/>
      <c r="B936" s="7"/>
      <c r="D936" s="92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</row>
    <row r="937" ht="15.75" customHeight="1">
      <c r="A937" s="7"/>
      <c r="B937" s="7"/>
      <c r="D937" s="92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</row>
    <row r="938" ht="15.75" customHeight="1">
      <c r="A938" s="7"/>
      <c r="B938" s="7"/>
      <c r="D938" s="92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</row>
    <row r="939" ht="15.75" customHeight="1">
      <c r="A939" s="7"/>
      <c r="B939" s="7"/>
      <c r="D939" s="92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</row>
    <row r="940" ht="15.75" customHeight="1">
      <c r="A940" s="7"/>
      <c r="B940" s="7"/>
      <c r="D940" s="92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</row>
    <row r="941" ht="15.75" customHeight="1">
      <c r="A941" s="7"/>
      <c r="B941" s="7"/>
      <c r="D941" s="92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</row>
    <row r="942" ht="15.75" customHeight="1">
      <c r="A942" s="7"/>
      <c r="B942" s="7"/>
      <c r="D942" s="92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</row>
    <row r="943" ht="15.75" customHeight="1">
      <c r="A943" s="7"/>
      <c r="B943" s="7"/>
      <c r="D943" s="92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</row>
    <row r="944" ht="15.75" customHeight="1">
      <c r="A944" s="7"/>
      <c r="B944" s="7"/>
      <c r="D944" s="92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</row>
    <row r="945" ht="15.75" customHeight="1">
      <c r="A945" s="7"/>
      <c r="B945" s="7"/>
      <c r="D945" s="92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</row>
    <row r="946" ht="15.75" customHeight="1">
      <c r="A946" s="7"/>
      <c r="B946" s="7"/>
      <c r="D946" s="92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</row>
    <row r="947" ht="15.75" customHeight="1">
      <c r="A947" s="7"/>
      <c r="B947" s="7"/>
      <c r="D947" s="92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</row>
    <row r="948" ht="15.75" customHeight="1">
      <c r="A948" s="7"/>
      <c r="B948" s="7"/>
      <c r="D948" s="92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</row>
    <row r="949" ht="15.75" customHeight="1">
      <c r="A949" s="7"/>
      <c r="B949" s="7"/>
      <c r="D949" s="92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</row>
    <row r="950" ht="15.75" customHeight="1">
      <c r="A950" s="7"/>
      <c r="B950" s="7"/>
      <c r="D950" s="92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</row>
    <row r="951" ht="15.75" customHeight="1">
      <c r="A951" s="7"/>
      <c r="B951" s="7"/>
      <c r="D951" s="92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</row>
    <row r="952" ht="15.75" customHeight="1">
      <c r="A952" s="7"/>
      <c r="B952" s="7"/>
      <c r="D952" s="92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</row>
    <row r="953" ht="15.75" customHeight="1">
      <c r="A953" s="7"/>
      <c r="B953" s="7"/>
      <c r="D953" s="92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</row>
    <row r="954" ht="15.75" customHeight="1">
      <c r="A954" s="7"/>
      <c r="B954" s="7"/>
      <c r="D954" s="92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</row>
    <row r="955" ht="15.75" customHeight="1">
      <c r="A955" s="7"/>
      <c r="B955" s="7"/>
      <c r="D955" s="92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</row>
    <row r="956" ht="15.75" customHeight="1">
      <c r="A956" s="7"/>
      <c r="B956" s="7"/>
      <c r="D956" s="92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</row>
    <row r="957" ht="15.75" customHeight="1">
      <c r="A957" s="7"/>
      <c r="B957" s="7"/>
      <c r="D957" s="92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</row>
    <row r="958" ht="15.75" customHeight="1">
      <c r="A958" s="7"/>
      <c r="B958" s="7"/>
      <c r="D958" s="92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</row>
    <row r="959" ht="15.75" customHeight="1">
      <c r="A959" s="7"/>
      <c r="B959" s="7"/>
      <c r="D959" s="92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</row>
    <row r="960" ht="15.75" customHeight="1">
      <c r="A960" s="7"/>
      <c r="B960" s="7"/>
      <c r="D960" s="92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</row>
    <row r="961" ht="15.75" customHeight="1">
      <c r="A961" s="7"/>
      <c r="B961" s="7"/>
      <c r="D961" s="92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</row>
    <row r="962" ht="15.75" customHeight="1">
      <c r="A962" s="7"/>
      <c r="B962" s="7"/>
      <c r="D962" s="92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</row>
    <row r="963" ht="15.75" customHeight="1">
      <c r="A963" s="7"/>
      <c r="B963" s="7"/>
      <c r="D963" s="92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</row>
    <row r="964" ht="15.75" customHeight="1">
      <c r="A964" s="7"/>
      <c r="B964" s="7"/>
      <c r="D964" s="92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</row>
    <row r="965" ht="15.75" customHeight="1">
      <c r="A965" s="7"/>
      <c r="B965" s="7"/>
      <c r="D965" s="92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</row>
    <row r="966" ht="15.75" customHeight="1">
      <c r="A966" s="7"/>
      <c r="B966" s="7"/>
      <c r="D966" s="92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</row>
    <row r="967" ht="15.75" customHeight="1">
      <c r="A967" s="7"/>
      <c r="B967" s="7"/>
      <c r="D967" s="92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</row>
    <row r="968" ht="15.75" customHeight="1">
      <c r="A968" s="7"/>
      <c r="B968" s="7"/>
      <c r="D968" s="92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</row>
    <row r="969" ht="15.75" customHeight="1">
      <c r="A969" s="7"/>
      <c r="B969" s="7"/>
      <c r="D969" s="92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</row>
    <row r="970" ht="15.75" customHeight="1">
      <c r="A970" s="7"/>
      <c r="B970" s="7"/>
      <c r="D970" s="92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</row>
    <row r="971" ht="15.75" customHeight="1">
      <c r="A971" s="7"/>
      <c r="B971" s="7"/>
      <c r="D971" s="92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</row>
    <row r="972" ht="15.75" customHeight="1">
      <c r="A972" s="7"/>
      <c r="B972" s="7"/>
      <c r="D972" s="92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</row>
    <row r="973" ht="15.75" customHeight="1">
      <c r="A973" s="7"/>
      <c r="B973" s="7"/>
      <c r="D973" s="92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</row>
    <row r="974" ht="15.75" customHeight="1">
      <c r="A974" s="7"/>
      <c r="B974" s="7"/>
      <c r="D974" s="92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</row>
    <row r="975" ht="15.75" customHeight="1">
      <c r="A975" s="7"/>
      <c r="B975" s="7"/>
      <c r="D975" s="92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</row>
    <row r="976" ht="15.75" customHeight="1">
      <c r="A976" s="7"/>
      <c r="B976" s="7"/>
      <c r="D976" s="92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</row>
    <row r="977" ht="15.75" customHeight="1">
      <c r="A977" s="7"/>
      <c r="B977" s="7"/>
      <c r="D977" s="92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</row>
    <row r="978" ht="15.75" customHeight="1">
      <c r="A978" s="7"/>
      <c r="B978" s="7"/>
      <c r="D978" s="92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</row>
    <row r="979" ht="15.75" customHeight="1">
      <c r="A979" s="7"/>
      <c r="B979" s="7"/>
      <c r="D979" s="92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</row>
    <row r="980" ht="15.75" customHeight="1">
      <c r="A980" s="7"/>
      <c r="B980" s="7"/>
      <c r="D980" s="92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</row>
    <row r="981" ht="15.75" customHeight="1">
      <c r="A981" s="7"/>
      <c r="B981" s="7"/>
      <c r="D981" s="92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</row>
    <row r="982" ht="15.75" customHeight="1">
      <c r="A982" s="7"/>
      <c r="B982" s="7"/>
      <c r="D982" s="92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</row>
    <row r="983" ht="15.75" customHeight="1">
      <c r="A983" s="7"/>
      <c r="B983" s="7"/>
      <c r="D983" s="92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</row>
    <row r="984" ht="15.75" customHeight="1">
      <c r="A984" s="7"/>
      <c r="B984" s="7"/>
      <c r="D984" s="92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</row>
    <row r="985" ht="15.75" customHeight="1">
      <c r="A985" s="7"/>
      <c r="B985" s="7"/>
      <c r="D985" s="92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</row>
    <row r="986" ht="15.75" customHeight="1">
      <c r="A986" s="7"/>
      <c r="B986" s="7"/>
      <c r="D986" s="92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</row>
    <row r="987" ht="15.75" customHeight="1">
      <c r="A987" s="7"/>
      <c r="B987" s="7"/>
      <c r="D987" s="92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</row>
    <row r="988" ht="15.75" customHeight="1">
      <c r="A988" s="7"/>
      <c r="B988" s="7"/>
      <c r="D988" s="92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</row>
    <row r="989" ht="15.75" customHeight="1">
      <c r="A989" s="7"/>
      <c r="B989" s="7"/>
      <c r="D989" s="92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</row>
    <row r="990" ht="15.75" customHeight="1">
      <c r="A990" s="7"/>
      <c r="B990" s="7"/>
      <c r="D990" s="92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</row>
    <row r="991" ht="15.75" customHeight="1">
      <c r="A991" s="7"/>
      <c r="B991" s="7"/>
      <c r="D991" s="92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</row>
    <row r="992" ht="15.75" customHeight="1">
      <c r="A992" s="7"/>
      <c r="B992" s="7"/>
      <c r="D992" s="92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</row>
    <row r="993" ht="15.75" customHeight="1">
      <c r="A993" s="7"/>
      <c r="B993" s="7"/>
      <c r="D993" s="92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</row>
    <row r="994" ht="15.75" customHeight="1">
      <c r="A994" s="7"/>
      <c r="B994" s="7"/>
      <c r="D994" s="92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</row>
    <row r="995" ht="15.75" customHeight="1">
      <c r="A995" s="7"/>
      <c r="B995" s="7"/>
      <c r="D995" s="92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13"/>
    <col customWidth="1" min="2" max="2" width="9.0"/>
    <col customWidth="1" min="3" max="3" width="11.63"/>
    <col customWidth="1" min="4" max="4" width="28.5"/>
    <col customWidth="1" min="5" max="5" width="11.63"/>
    <col customWidth="1" min="6" max="6" width="12.63"/>
    <col customWidth="1" min="7" max="7" width="9.88"/>
    <col customWidth="1" min="8" max="9" width="16.25"/>
    <col customWidth="1" min="10" max="10" width="12.75"/>
    <col customWidth="1" min="11" max="11" width="13.0"/>
    <col customWidth="1" min="12" max="22" width="8.63"/>
  </cols>
  <sheetData>
    <row r="1">
      <c r="A1" s="6" t="s">
        <v>853</v>
      </c>
      <c r="B1" s="6" t="s">
        <v>136</v>
      </c>
      <c r="C1" s="6" t="s">
        <v>631</v>
      </c>
      <c r="D1" s="6" t="s">
        <v>857</v>
      </c>
      <c r="E1" s="6" t="s">
        <v>15</v>
      </c>
      <c r="F1" s="54" t="s">
        <v>858</v>
      </c>
      <c r="G1" s="72" t="s">
        <v>859</v>
      </c>
      <c r="H1" s="6" t="s">
        <v>102</v>
      </c>
      <c r="I1" s="54" t="s">
        <v>142</v>
      </c>
      <c r="J1" s="6" t="s">
        <v>860</v>
      </c>
      <c r="K1" s="6" t="s">
        <v>861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>
      <c r="A2" s="6">
        <v>1.0</v>
      </c>
      <c r="B2" s="72" t="str">
        <f>stg_job_list!A2</f>
        <v>22S-029</v>
      </c>
      <c r="C2" s="72" t="str">
        <f>stg_job_list!$B2</f>
        <v>K014</v>
      </c>
      <c r="D2" s="72" t="str">
        <f>stg_job_list!C2</f>
        <v>LAP Construction Phase Services</v>
      </c>
      <c r="E2" s="93">
        <f>stg_job_list!D2</f>
        <v>85451</v>
      </c>
      <c r="F2" s="71">
        <v>1229904.0</v>
      </c>
      <c r="G2" s="93" t="str">
        <f>stg_job_list!E2</f>
        <v>P026159</v>
      </c>
      <c r="H2" s="72" t="str">
        <f>stg_job_list!F2</f>
        <v>C000015869</v>
      </c>
      <c r="I2" s="94">
        <v>44749.0</v>
      </c>
      <c r="J2" s="6" t="str">
        <f>stg_job_list!G2</f>
        <v>Complete</v>
      </c>
      <c r="K2" s="54" t="s">
        <v>8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>
      <c r="A3" s="6">
        <f t="shared" ref="A3:A6" si="1">A2+1</f>
        <v>2</v>
      </c>
      <c r="B3" s="72" t="str">
        <f>stg_job_list!A3</f>
        <v>22S-079</v>
      </c>
      <c r="C3" s="72" t="str">
        <f>stg_job_list!$B3</f>
        <v>Q189</v>
      </c>
      <c r="D3" s="72" t="str">
        <f>stg_job_list!$C3</f>
        <v>PO 18 Asbestos Service</v>
      </c>
      <c r="E3" s="93">
        <f>stg_job_list!D3</f>
        <v>86933</v>
      </c>
      <c r="F3" s="71">
        <v>1157908.0</v>
      </c>
      <c r="G3" s="93">
        <f>stg_job_list!E3</f>
        <v>133460</v>
      </c>
      <c r="H3" s="72" t="str">
        <f>stg_job_list!F3</f>
        <v>C000015869</v>
      </c>
      <c r="I3" s="95">
        <v>44910.0</v>
      </c>
      <c r="J3" s="6" t="str">
        <f>stg_job_list!G3</f>
        <v>Complete</v>
      </c>
      <c r="K3" s="54" t="s">
        <v>8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>
      <c r="A4" s="6">
        <f t="shared" si="1"/>
        <v>3</v>
      </c>
      <c r="B4" s="72" t="str">
        <f>stg_job_list!A4</f>
        <v>23S-056</v>
      </c>
      <c r="C4" s="72" t="str">
        <f>stg_job_list!$B4</f>
        <v>R445</v>
      </c>
      <c r="D4" s="72" t="str">
        <f>stg_job_list!$C4</f>
        <v>PO 18 Asbestos Service</v>
      </c>
      <c r="E4" s="93">
        <f>stg_job_list!D4</f>
        <v>88731</v>
      </c>
      <c r="F4" s="71">
        <v>1187909.0</v>
      </c>
      <c r="G4" s="93">
        <f>stg_job_list!E4</f>
        <v>135678</v>
      </c>
      <c r="H4" s="72" t="str">
        <f>stg_job_list!F4</f>
        <v>C000015869</v>
      </c>
      <c r="I4" s="95">
        <v>45120.0</v>
      </c>
      <c r="J4" s="6" t="str">
        <f>stg_job_list!G4</f>
        <v>Complete</v>
      </c>
      <c r="K4" s="54" t="s">
        <v>8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>
      <c r="A5" s="6">
        <f t="shared" si="1"/>
        <v>4</v>
      </c>
      <c r="B5" s="72" t="str">
        <f>stg_job_list!A5</f>
        <v>24S-114</v>
      </c>
      <c r="C5" s="72" t="str">
        <f>stg_job_list!$B5</f>
        <v>M180</v>
      </c>
      <c r="D5" s="72" t="str">
        <f>stg_job_list!$C5</f>
        <v>PO 18 Asbestos Service</v>
      </c>
      <c r="E5" s="93">
        <f>stg_job_list!D5</f>
        <v>93632</v>
      </c>
      <c r="F5" s="71">
        <v>1315970.0</v>
      </c>
      <c r="G5" s="93">
        <f>stg_job_list!E5</f>
        <v>141149</v>
      </c>
      <c r="H5" s="72" t="str">
        <f>stg_job_list!F5</f>
        <v>C000015869</v>
      </c>
      <c r="I5" s="95">
        <v>45575.0</v>
      </c>
      <c r="J5" s="6" t="str">
        <f>stg_job_list!G5</f>
        <v>Complete</v>
      </c>
      <c r="K5" s="54" t="s">
        <v>8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>
      <c r="A6" s="6">
        <f t="shared" si="1"/>
        <v>5</v>
      </c>
      <c r="B6" s="72" t="str">
        <f>stg_job_list!A6</f>
        <v>25S-010</v>
      </c>
      <c r="C6" s="72" t="str">
        <f>stg_job_list!$B6</f>
        <v>X107</v>
      </c>
      <c r="D6" s="72" t="str">
        <f>stg_job_list!$C6</f>
        <v>PO 18 Asbestos Service</v>
      </c>
      <c r="E6" s="93">
        <f>stg_job_list!D6</f>
        <v>94758</v>
      </c>
      <c r="F6" s="71">
        <v>1334935.0</v>
      </c>
      <c r="G6" s="93">
        <f>stg_job_list!E6</f>
        <v>141770</v>
      </c>
      <c r="H6" s="72" t="str">
        <f>stg_job_list!F6</f>
        <v>C000015869</v>
      </c>
      <c r="I6" s="95">
        <v>45695.0</v>
      </c>
      <c r="J6" s="6" t="str">
        <f>stg_job_list!G6</f>
        <v>Complete</v>
      </c>
      <c r="K6" s="54" t="s">
        <v>8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>
      <c r="A7" s="7"/>
      <c r="B7" s="7"/>
      <c r="C7" s="7"/>
      <c r="D7" s="7"/>
      <c r="F7" s="7"/>
      <c r="G7" s="92"/>
      <c r="H7" s="92"/>
      <c r="I7" s="92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>
      <c r="A8" s="7"/>
      <c r="B8" s="7"/>
      <c r="C8" s="7"/>
      <c r="D8" s="7"/>
      <c r="F8" s="7"/>
      <c r="G8" s="92"/>
      <c r="H8" s="92"/>
      <c r="I8" s="92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>
      <c r="A9" s="7"/>
      <c r="B9" s="7"/>
      <c r="C9" s="7"/>
      <c r="D9" s="7"/>
      <c r="F9" s="7"/>
      <c r="G9" s="92"/>
      <c r="H9" s="92"/>
      <c r="I9" s="92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>
      <c r="A10" s="7"/>
      <c r="B10" s="7"/>
      <c r="C10" s="7"/>
      <c r="D10" s="7"/>
      <c r="F10" s="7"/>
      <c r="G10" s="92"/>
      <c r="H10" s="92"/>
      <c r="I10" s="92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ht="15.75" customHeight="1">
      <c r="A11" s="7"/>
      <c r="B11" s="7"/>
      <c r="C11" s="7"/>
      <c r="D11" s="7"/>
      <c r="F11" s="7"/>
      <c r="G11" s="92"/>
      <c r="H11" s="92"/>
      <c r="I11" s="92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ht="15.75" customHeight="1">
      <c r="A12" s="7"/>
      <c r="B12" s="7"/>
      <c r="C12" s="7"/>
      <c r="D12" s="7"/>
      <c r="F12" s="7"/>
      <c r="G12" s="92"/>
      <c r="H12" s="92"/>
      <c r="I12" s="92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ht="15.75" customHeight="1">
      <c r="A13" s="7"/>
      <c r="B13" s="7"/>
      <c r="C13" s="7"/>
      <c r="D13" s="7"/>
      <c r="F13" s="7"/>
      <c r="G13" s="92"/>
      <c r="H13" s="92"/>
      <c r="I13" s="92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ht="15.75" customHeight="1">
      <c r="A14" s="7"/>
      <c r="B14" s="7"/>
      <c r="C14" s="7"/>
      <c r="D14" s="7"/>
      <c r="F14" s="7"/>
      <c r="G14" s="92"/>
      <c r="H14" s="92"/>
      <c r="I14" s="92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ht="15.75" customHeight="1">
      <c r="A15" s="7"/>
      <c r="B15" s="7"/>
      <c r="C15" s="7"/>
      <c r="D15" s="7"/>
      <c r="F15" s="7"/>
      <c r="G15" s="92"/>
      <c r="H15" s="92"/>
      <c r="I15" s="92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ht="15.75" customHeight="1">
      <c r="A16" s="7"/>
      <c r="B16" s="7"/>
      <c r="C16" s="7"/>
      <c r="D16" s="7"/>
      <c r="F16" s="7"/>
      <c r="G16" s="92"/>
      <c r="H16" s="92"/>
      <c r="I16" s="92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ht="15.75" customHeight="1">
      <c r="A17" s="7"/>
      <c r="B17" s="7"/>
      <c r="C17" s="7"/>
      <c r="D17" s="7"/>
      <c r="F17" s="7"/>
      <c r="G17" s="92"/>
      <c r="H17" s="92"/>
      <c r="I17" s="92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ht="15.75" customHeight="1">
      <c r="A18" s="7"/>
      <c r="B18" s="7"/>
      <c r="C18" s="7"/>
      <c r="D18" s="7"/>
      <c r="F18" s="7"/>
      <c r="G18" s="92"/>
      <c r="H18" s="92"/>
      <c r="I18" s="92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ht="15.75" customHeight="1">
      <c r="A19" s="7"/>
      <c r="B19" s="7"/>
      <c r="C19" s="7"/>
      <c r="D19" s="7"/>
      <c r="F19" s="7"/>
      <c r="G19" s="92"/>
      <c r="H19" s="92"/>
      <c r="I19" s="92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ht="15.75" customHeight="1">
      <c r="A20" s="7"/>
      <c r="B20" s="7"/>
      <c r="C20" s="7"/>
      <c r="D20" s="7"/>
      <c r="F20" s="7"/>
      <c r="G20" s="92"/>
      <c r="H20" s="92"/>
      <c r="I20" s="92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ht="15.75" customHeight="1">
      <c r="A21" s="7"/>
      <c r="B21" s="7"/>
      <c r="C21" s="7"/>
      <c r="D21" s="7"/>
      <c r="F21" s="7"/>
      <c r="G21" s="92"/>
      <c r="H21" s="92"/>
      <c r="I21" s="92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ht="15.75" customHeight="1">
      <c r="A22" s="7"/>
      <c r="B22" s="7"/>
      <c r="C22" s="7"/>
      <c r="D22" s="7"/>
      <c r="F22" s="7"/>
      <c r="G22" s="92"/>
      <c r="H22" s="92"/>
      <c r="I22" s="92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ht="15.75" customHeight="1">
      <c r="A23" s="7"/>
      <c r="B23" s="7"/>
      <c r="C23" s="7"/>
      <c r="D23" s="7"/>
      <c r="F23" s="7"/>
      <c r="G23" s="92"/>
      <c r="H23" s="92"/>
      <c r="I23" s="92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ht="15.75" customHeight="1">
      <c r="A24" s="7"/>
      <c r="B24" s="7"/>
      <c r="C24" s="7"/>
      <c r="D24" s="7"/>
      <c r="F24" s="7"/>
      <c r="G24" s="92"/>
      <c r="H24" s="92"/>
      <c r="I24" s="92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ht="15.75" customHeight="1">
      <c r="A25" s="7"/>
      <c r="B25" s="7"/>
      <c r="C25" s="7"/>
      <c r="D25" s="7"/>
      <c r="F25" s="7"/>
      <c r="G25" s="92"/>
      <c r="H25" s="92"/>
      <c r="I25" s="92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ht="15.75" customHeight="1">
      <c r="A26" s="7"/>
      <c r="B26" s="7"/>
      <c r="C26" s="7"/>
      <c r="D26" s="7"/>
      <c r="F26" s="7"/>
      <c r="G26" s="92"/>
      <c r="H26" s="92"/>
      <c r="I26" s="92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ht="15.75" customHeight="1">
      <c r="A27" s="7"/>
      <c r="B27" s="7"/>
      <c r="C27" s="7"/>
      <c r="D27" s="7"/>
      <c r="F27" s="7"/>
      <c r="G27" s="92"/>
      <c r="H27" s="92"/>
      <c r="I27" s="92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ht="15.75" customHeight="1">
      <c r="A28" s="7"/>
      <c r="B28" s="7"/>
      <c r="C28" s="7"/>
      <c r="D28" s="7"/>
      <c r="F28" s="7"/>
      <c r="G28" s="92"/>
      <c r="H28" s="92"/>
      <c r="I28" s="92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ht="15.75" customHeight="1">
      <c r="A29" s="7"/>
      <c r="B29" s="7"/>
      <c r="C29" s="7"/>
      <c r="D29" s="7"/>
      <c r="F29" s="7"/>
      <c r="G29" s="92"/>
      <c r="H29" s="92"/>
      <c r="I29" s="92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ht="15.75" customHeight="1">
      <c r="A30" s="7"/>
      <c r="B30" s="7"/>
      <c r="C30" s="7"/>
      <c r="D30" s="7"/>
      <c r="F30" s="7"/>
      <c r="G30" s="92"/>
      <c r="H30" s="92"/>
      <c r="I30" s="92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ht="15.75" customHeight="1">
      <c r="A31" s="7"/>
      <c r="B31" s="7"/>
      <c r="C31" s="7"/>
      <c r="D31" s="7"/>
      <c r="F31" s="7"/>
      <c r="G31" s="92"/>
      <c r="H31" s="92"/>
      <c r="I31" s="92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ht="15.75" customHeight="1">
      <c r="A32" s="7"/>
      <c r="B32" s="7"/>
      <c r="C32" s="7"/>
      <c r="D32" s="7"/>
      <c r="F32" s="7"/>
      <c r="G32" s="92"/>
      <c r="H32" s="92"/>
      <c r="I32" s="92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ht="15.75" customHeight="1">
      <c r="A33" s="7"/>
      <c r="B33" s="7"/>
      <c r="C33" s="7"/>
      <c r="D33" s="7"/>
      <c r="F33" s="7"/>
      <c r="G33" s="92"/>
      <c r="H33" s="92"/>
      <c r="I33" s="92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ht="15.75" customHeight="1">
      <c r="A34" s="7"/>
      <c r="B34" s="7"/>
      <c r="C34" s="7"/>
      <c r="D34" s="7"/>
      <c r="F34" s="7"/>
      <c r="G34" s="92"/>
      <c r="H34" s="92"/>
      <c r="I34" s="92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ht="15.75" customHeight="1">
      <c r="A35" s="7"/>
      <c r="B35" s="7"/>
      <c r="C35" s="7"/>
      <c r="D35" s="7"/>
      <c r="F35" s="7"/>
      <c r="G35" s="92"/>
      <c r="H35" s="92"/>
      <c r="I35" s="92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ht="15.75" customHeight="1">
      <c r="A36" s="7"/>
      <c r="B36" s="7"/>
      <c r="C36" s="7"/>
      <c r="D36" s="7"/>
      <c r="F36" s="7"/>
      <c r="G36" s="92"/>
      <c r="H36" s="92"/>
      <c r="I36" s="92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ht="15.75" customHeight="1">
      <c r="A37" s="7"/>
      <c r="B37" s="7"/>
      <c r="C37" s="7"/>
      <c r="D37" s="7"/>
      <c r="F37" s="7"/>
      <c r="G37" s="92"/>
      <c r="H37" s="92"/>
      <c r="I37" s="92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ht="15.75" customHeight="1">
      <c r="A38" s="7"/>
      <c r="B38" s="7"/>
      <c r="C38" s="7"/>
      <c r="D38" s="7"/>
      <c r="F38" s="7"/>
      <c r="G38" s="92"/>
      <c r="H38" s="92"/>
      <c r="I38" s="92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ht="15.75" customHeight="1">
      <c r="A39" s="7"/>
      <c r="B39" s="7"/>
      <c r="C39" s="7"/>
      <c r="D39" s="7"/>
      <c r="F39" s="7"/>
      <c r="G39" s="92"/>
      <c r="H39" s="92"/>
      <c r="I39" s="92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ht="15.75" customHeight="1">
      <c r="A40" s="7"/>
      <c r="B40" s="7"/>
      <c r="C40" s="7"/>
      <c r="D40" s="7"/>
      <c r="F40" s="7"/>
      <c r="G40" s="92"/>
      <c r="H40" s="92"/>
      <c r="I40" s="92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ht="15.75" customHeight="1">
      <c r="A41" s="7"/>
      <c r="B41" s="7"/>
      <c r="C41" s="7"/>
      <c r="D41" s="7"/>
      <c r="F41" s="7"/>
      <c r="G41" s="92"/>
      <c r="H41" s="92"/>
      <c r="I41" s="92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ht="15.75" customHeight="1">
      <c r="A42" s="7"/>
      <c r="B42" s="7"/>
      <c r="C42" s="7"/>
      <c r="D42" s="7"/>
      <c r="F42" s="7"/>
      <c r="G42" s="92"/>
      <c r="H42" s="92"/>
      <c r="I42" s="92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ht="15.75" customHeight="1">
      <c r="A43" s="7"/>
      <c r="B43" s="7"/>
      <c r="C43" s="7"/>
      <c r="D43" s="7"/>
      <c r="F43" s="7"/>
      <c r="G43" s="92"/>
      <c r="H43" s="92"/>
      <c r="I43" s="92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ht="15.75" customHeight="1">
      <c r="A44" s="7"/>
      <c r="B44" s="7"/>
      <c r="C44" s="7"/>
      <c r="D44" s="7"/>
      <c r="F44" s="7"/>
      <c r="G44" s="92"/>
      <c r="H44" s="92"/>
      <c r="I44" s="92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ht="15.75" customHeight="1">
      <c r="A45" s="7"/>
      <c r="B45" s="7"/>
      <c r="C45" s="7"/>
      <c r="D45" s="7"/>
      <c r="F45" s="7"/>
      <c r="G45" s="92"/>
      <c r="H45" s="92"/>
      <c r="I45" s="92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ht="15.75" customHeight="1">
      <c r="A46" s="7"/>
      <c r="B46" s="7"/>
      <c r="C46" s="7"/>
      <c r="D46" s="7"/>
      <c r="F46" s="7"/>
      <c r="G46" s="92"/>
      <c r="H46" s="92"/>
      <c r="I46" s="92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ht="15.75" customHeight="1">
      <c r="A47" s="7"/>
      <c r="B47" s="7"/>
      <c r="C47" s="7"/>
      <c r="D47" s="7"/>
      <c r="F47" s="7"/>
      <c r="G47" s="92"/>
      <c r="H47" s="92"/>
      <c r="I47" s="92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ht="15.75" customHeight="1">
      <c r="A48" s="7"/>
      <c r="B48" s="7"/>
      <c r="C48" s="7"/>
      <c r="D48" s="7"/>
      <c r="F48" s="7"/>
      <c r="G48" s="92"/>
      <c r="H48" s="92"/>
      <c r="I48" s="92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ht="15.75" customHeight="1">
      <c r="A49" s="7"/>
      <c r="B49" s="7"/>
      <c r="C49" s="7"/>
      <c r="D49" s="7"/>
      <c r="F49" s="7"/>
      <c r="G49" s="92"/>
      <c r="H49" s="92"/>
      <c r="I49" s="92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ht="15.75" customHeight="1">
      <c r="A50" s="7"/>
      <c r="B50" s="7"/>
      <c r="C50" s="7"/>
      <c r="D50" s="7"/>
      <c r="F50" s="7"/>
      <c r="G50" s="92"/>
      <c r="H50" s="92"/>
      <c r="I50" s="92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ht="15.75" customHeight="1">
      <c r="A51" s="7"/>
      <c r="B51" s="7"/>
      <c r="C51" s="7"/>
      <c r="D51" s="7"/>
      <c r="F51" s="7"/>
      <c r="G51" s="92"/>
      <c r="H51" s="92"/>
      <c r="I51" s="92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ht="15.75" customHeight="1">
      <c r="A52" s="7"/>
      <c r="B52" s="7"/>
      <c r="C52" s="7"/>
      <c r="D52" s="7"/>
      <c r="F52" s="7"/>
      <c r="G52" s="92"/>
      <c r="H52" s="92"/>
      <c r="I52" s="92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ht="15.75" customHeight="1">
      <c r="A53" s="7"/>
      <c r="B53" s="7"/>
      <c r="C53" s="7"/>
      <c r="D53" s="7"/>
      <c r="F53" s="7"/>
      <c r="G53" s="92"/>
      <c r="H53" s="92"/>
      <c r="I53" s="92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ht="15.75" customHeight="1">
      <c r="A54" s="7"/>
      <c r="B54" s="7"/>
      <c r="C54" s="7"/>
      <c r="D54" s="7"/>
      <c r="F54" s="7"/>
      <c r="G54" s="92"/>
      <c r="H54" s="92"/>
      <c r="I54" s="92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ht="15.75" customHeight="1">
      <c r="A55" s="7"/>
      <c r="B55" s="7"/>
      <c r="C55" s="7"/>
      <c r="D55" s="7"/>
      <c r="F55" s="7"/>
      <c r="G55" s="92"/>
      <c r="H55" s="92"/>
      <c r="I55" s="92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ht="15.75" customHeight="1">
      <c r="A56" s="7"/>
      <c r="B56" s="7"/>
      <c r="C56" s="7"/>
      <c r="D56" s="7"/>
      <c r="F56" s="7"/>
      <c r="G56" s="92"/>
      <c r="H56" s="92"/>
      <c r="I56" s="92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ht="15.75" customHeight="1">
      <c r="A57" s="7"/>
      <c r="B57" s="7"/>
      <c r="C57" s="7"/>
      <c r="D57" s="7"/>
      <c r="F57" s="7"/>
      <c r="G57" s="92"/>
      <c r="H57" s="92"/>
      <c r="I57" s="92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ht="15.75" customHeight="1">
      <c r="A58" s="7"/>
      <c r="B58" s="7"/>
      <c r="C58" s="7"/>
      <c r="D58" s="7"/>
      <c r="F58" s="7"/>
      <c r="G58" s="92"/>
      <c r="H58" s="92"/>
      <c r="I58" s="92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ht="15.75" customHeight="1">
      <c r="A59" s="7"/>
      <c r="B59" s="7"/>
      <c r="C59" s="7"/>
      <c r="D59" s="7"/>
      <c r="F59" s="7"/>
      <c r="G59" s="92"/>
      <c r="H59" s="92"/>
      <c r="I59" s="92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ht="15.75" customHeight="1">
      <c r="A60" s="7"/>
      <c r="B60" s="7"/>
      <c r="C60" s="7"/>
      <c r="D60" s="7"/>
      <c r="F60" s="7"/>
      <c r="G60" s="92"/>
      <c r="H60" s="92"/>
      <c r="I60" s="92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ht="15.75" customHeight="1">
      <c r="A61" s="7"/>
      <c r="B61" s="7"/>
      <c r="C61" s="7"/>
      <c r="D61" s="7"/>
      <c r="F61" s="7"/>
      <c r="G61" s="92"/>
      <c r="H61" s="92"/>
      <c r="I61" s="92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ht="15.75" customHeight="1">
      <c r="A62" s="7"/>
      <c r="B62" s="7"/>
      <c r="C62" s="7"/>
      <c r="D62" s="7"/>
      <c r="F62" s="7"/>
      <c r="G62" s="92"/>
      <c r="H62" s="92"/>
      <c r="I62" s="92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ht="15.75" customHeight="1">
      <c r="A63" s="7"/>
      <c r="B63" s="7"/>
      <c r="C63" s="7"/>
      <c r="D63" s="7"/>
      <c r="F63" s="7"/>
      <c r="G63" s="92"/>
      <c r="H63" s="92"/>
      <c r="I63" s="92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ht="15.75" customHeight="1">
      <c r="A64" s="7"/>
      <c r="B64" s="7"/>
      <c r="C64" s="7"/>
      <c r="D64" s="7"/>
      <c r="F64" s="7"/>
      <c r="G64" s="92"/>
      <c r="H64" s="92"/>
      <c r="I64" s="92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ht="15.75" customHeight="1">
      <c r="A65" s="7"/>
      <c r="B65" s="7"/>
      <c r="C65" s="7"/>
      <c r="D65" s="7"/>
      <c r="F65" s="7"/>
      <c r="G65" s="92"/>
      <c r="H65" s="92"/>
      <c r="I65" s="92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ht="15.75" customHeight="1">
      <c r="A66" s="7"/>
      <c r="B66" s="7"/>
      <c r="C66" s="7"/>
      <c r="D66" s="7"/>
      <c r="F66" s="7"/>
      <c r="G66" s="92"/>
      <c r="H66" s="92"/>
      <c r="I66" s="92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ht="15.75" customHeight="1">
      <c r="A67" s="7"/>
      <c r="B67" s="7"/>
      <c r="C67" s="7"/>
      <c r="D67" s="7"/>
      <c r="F67" s="7"/>
      <c r="G67" s="92"/>
      <c r="H67" s="92"/>
      <c r="I67" s="92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ht="15.75" customHeight="1">
      <c r="A68" s="7"/>
      <c r="B68" s="7"/>
      <c r="C68" s="7"/>
      <c r="D68" s="7"/>
      <c r="F68" s="7"/>
      <c r="G68" s="92"/>
      <c r="H68" s="92"/>
      <c r="I68" s="92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ht="15.75" customHeight="1">
      <c r="A69" s="7"/>
      <c r="B69" s="7"/>
      <c r="C69" s="7"/>
      <c r="D69" s="7"/>
      <c r="F69" s="7"/>
      <c r="G69" s="92"/>
      <c r="H69" s="92"/>
      <c r="I69" s="92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ht="15.75" customHeight="1">
      <c r="A70" s="7"/>
      <c r="B70" s="7"/>
      <c r="C70" s="7"/>
      <c r="D70" s="7"/>
      <c r="F70" s="7"/>
      <c r="G70" s="92"/>
      <c r="H70" s="92"/>
      <c r="I70" s="92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ht="15.75" customHeight="1">
      <c r="A71" s="7"/>
      <c r="B71" s="7"/>
      <c r="C71" s="7"/>
      <c r="D71" s="7"/>
      <c r="F71" s="7"/>
      <c r="G71" s="92"/>
      <c r="H71" s="92"/>
      <c r="I71" s="92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ht="15.75" customHeight="1">
      <c r="A72" s="7"/>
      <c r="B72" s="7"/>
      <c r="C72" s="7"/>
      <c r="D72" s="7"/>
      <c r="F72" s="7"/>
      <c r="G72" s="92"/>
      <c r="H72" s="92"/>
      <c r="I72" s="92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ht="15.75" customHeight="1">
      <c r="A73" s="7"/>
      <c r="B73" s="7"/>
      <c r="C73" s="7"/>
      <c r="D73" s="7"/>
      <c r="F73" s="7"/>
      <c r="G73" s="92"/>
      <c r="H73" s="92"/>
      <c r="I73" s="92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ht="15.75" customHeight="1">
      <c r="A74" s="7"/>
      <c r="B74" s="7"/>
      <c r="C74" s="7"/>
      <c r="D74" s="7"/>
      <c r="F74" s="7"/>
      <c r="G74" s="92"/>
      <c r="H74" s="92"/>
      <c r="I74" s="92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ht="15.75" customHeight="1">
      <c r="A75" s="7"/>
      <c r="B75" s="7"/>
      <c r="C75" s="7"/>
      <c r="D75" s="7"/>
      <c r="F75" s="7"/>
      <c r="G75" s="92"/>
      <c r="H75" s="92"/>
      <c r="I75" s="92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ht="15.75" customHeight="1">
      <c r="A76" s="7"/>
      <c r="B76" s="7"/>
      <c r="C76" s="7"/>
      <c r="D76" s="7"/>
      <c r="F76" s="7"/>
      <c r="G76" s="92"/>
      <c r="H76" s="92"/>
      <c r="I76" s="92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ht="15.75" customHeight="1">
      <c r="A77" s="7"/>
      <c r="B77" s="7"/>
      <c r="C77" s="7"/>
      <c r="D77" s="7"/>
      <c r="F77" s="7"/>
      <c r="G77" s="92"/>
      <c r="H77" s="92"/>
      <c r="I77" s="92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ht="15.75" customHeight="1">
      <c r="A78" s="7"/>
      <c r="B78" s="7"/>
      <c r="C78" s="7"/>
      <c r="D78" s="7"/>
      <c r="F78" s="7"/>
      <c r="G78" s="92"/>
      <c r="H78" s="92"/>
      <c r="I78" s="92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ht="15.75" customHeight="1">
      <c r="A79" s="7"/>
      <c r="B79" s="7"/>
      <c r="C79" s="7"/>
      <c r="D79" s="7"/>
      <c r="F79" s="7"/>
      <c r="G79" s="92"/>
      <c r="H79" s="92"/>
      <c r="I79" s="92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ht="15.75" customHeight="1">
      <c r="A80" s="7"/>
      <c r="B80" s="7"/>
      <c r="C80" s="7"/>
      <c r="D80" s="7"/>
      <c r="F80" s="7"/>
      <c r="G80" s="92"/>
      <c r="H80" s="92"/>
      <c r="I80" s="92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ht="15.75" customHeight="1">
      <c r="A81" s="7"/>
      <c r="B81" s="7"/>
      <c r="C81" s="7"/>
      <c r="D81" s="7"/>
      <c r="F81" s="7"/>
      <c r="G81" s="92"/>
      <c r="H81" s="92"/>
      <c r="I81" s="92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ht="15.75" customHeight="1">
      <c r="A82" s="7"/>
      <c r="B82" s="7"/>
      <c r="C82" s="7"/>
      <c r="D82" s="7"/>
      <c r="F82" s="7"/>
      <c r="G82" s="92"/>
      <c r="H82" s="92"/>
      <c r="I82" s="92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ht="15.75" customHeight="1">
      <c r="A83" s="7"/>
      <c r="B83" s="7"/>
      <c r="C83" s="7"/>
      <c r="D83" s="7"/>
      <c r="F83" s="7"/>
      <c r="G83" s="92"/>
      <c r="H83" s="92"/>
      <c r="I83" s="92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ht="15.75" customHeight="1">
      <c r="A84" s="7"/>
      <c r="B84" s="7"/>
      <c r="C84" s="7"/>
      <c r="D84" s="7"/>
      <c r="F84" s="7"/>
      <c r="G84" s="92"/>
      <c r="H84" s="92"/>
      <c r="I84" s="92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ht="15.75" customHeight="1">
      <c r="A85" s="7"/>
      <c r="B85" s="7"/>
      <c r="C85" s="7"/>
      <c r="D85" s="7"/>
      <c r="F85" s="7"/>
      <c r="G85" s="92"/>
      <c r="H85" s="92"/>
      <c r="I85" s="92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ht="15.75" customHeight="1">
      <c r="A86" s="7"/>
      <c r="B86" s="7"/>
      <c r="C86" s="7"/>
      <c r="D86" s="7"/>
      <c r="F86" s="7"/>
      <c r="G86" s="92"/>
      <c r="H86" s="92"/>
      <c r="I86" s="92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ht="15.75" customHeight="1">
      <c r="A87" s="7"/>
      <c r="B87" s="7"/>
      <c r="C87" s="7"/>
      <c r="D87" s="7"/>
      <c r="F87" s="7"/>
      <c r="G87" s="92"/>
      <c r="H87" s="92"/>
      <c r="I87" s="92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ht="15.75" customHeight="1">
      <c r="A88" s="7"/>
      <c r="B88" s="7"/>
      <c r="C88" s="7"/>
      <c r="D88" s="7"/>
      <c r="F88" s="7"/>
      <c r="G88" s="92"/>
      <c r="H88" s="92"/>
      <c r="I88" s="92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ht="15.75" customHeight="1">
      <c r="A89" s="7"/>
      <c r="B89" s="7"/>
      <c r="C89" s="7"/>
      <c r="D89" s="7"/>
      <c r="F89" s="7"/>
      <c r="G89" s="92"/>
      <c r="H89" s="92"/>
      <c r="I89" s="92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ht="15.75" customHeight="1">
      <c r="A90" s="7"/>
      <c r="B90" s="7"/>
      <c r="C90" s="7"/>
      <c r="D90" s="7"/>
      <c r="F90" s="7"/>
      <c r="G90" s="92"/>
      <c r="H90" s="92"/>
      <c r="I90" s="92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ht="15.75" customHeight="1">
      <c r="A91" s="7"/>
      <c r="B91" s="7"/>
      <c r="C91" s="7"/>
      <c r="D91" s="7"/>
      <c r="F91" s="7"/>
      <c r="G91" s="92"/>
      <c r="H91" s="92"/>
      <c r="I91" s="92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ht="15.75" customHeight="1">
      <c r="A92" s="7"/>
      <c r="B92" s="7"/>
      <c r="C92" s="7"/>
      <c r="D92" s="7"/>
      <c r="F92" s="7"/>
      <c r="G92" s="92"/>
      <c r="H92" s="92"/>
      <c r="I92" s="92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 ht="15.75" customHeight="1">
      <c r="A93" s="7"/>
      <c r="B93" s="7"/>
      <c r="C93" s="7"/>
      <c r="D93" s="7"/>
      <c r="F93" s="7"/>
      <c r="G93" s="92"/>
      <c r="H93" s="92"/>
      <c r="I93" s="92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ht="15.75" customHeight="1">
      <c r="A94" s="7"/>
      <c r="B94" s="7"/>
      <c r="C94" s="7"/>
      <c r="D94" s="7"/>
      <c r="F94" s="7"/>
      <c r="G94" s="92"/>
      <c r="H94" s="92"/>
      <c r="I94" s="92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ht="15.75" customHeight="1">
      <c r="A95" s="7"/>
      <c r="B95" s="7"/>
      <c r="C95" s="7"/>
      <c r="D95" s="7"/>
      <c r="F95" s="7"/>
      <c r="G95" s="92"/>
      <c r="H95" s="92"/>
      <c r="I95" s="92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ht="15.75" customHeight="1">
      <c r="A96" s="7"/>
      <c r="B96" s="7"/>
      <c r="C96" s="7"/>
      <c r="D96" s="7"/>
      <c r="F96" s="7"/>
      <c r="G96" s="92"/>
      <c r="H96" s="92"/>
      <c r="I96" s="92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ht="15.75" customHeight="1">
      <c r="A97" s="7"/>
      <c r="B97" s="7"/>
      <c r="C97" s="7"/>
      <c r="D97" s="7"/>
      <c r="F97" s="7"/>
      <c r="G97" s="92"/>
      <c r="H97" s="92"/>
      <c r="I97" s="92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ht="15.75" customHeight="1">
      <c r="A98" s="7"/>
      <c r="B98" s="7"/>
      <c r="C98" s="7"/>
      <c r="D98" s="7"/>
      <c r="F98" s="7"/>
      <c r="G98" s="92"/>
      <c r="H98" s="92"/>
      <c r="I98" s="92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ht="15.75" customHeight="1">
      <c r="A99" s="7"/>
      <c r="B99" s="7"/>
      <c r="C99" s="7"/>
      <c r="D99" s="7"/>
      <c r="F99" s="7"/>
      <c r="G99" s="92"/>
      <c r="H99" s="92"/>
      <c r="I99" s="92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ht="15.75" customHeight="1">
      <c r="A100" s="7"/>
      <c r="B100" s="7"/>
      <c r="C100" s="7"/>
      <c r="D100" s="7"/>
      <c r="F100" s="7"/>
      <c r="G100" s="92"/>
      <c r="H100" s="92"/>
      <c r="I100" s="92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ht="15.75" customHeight="1">
      <c r="A101" s="7"/>
      <c r="B101" s="7"/>
      <c r="C101" s="7"/>
      <c r="D101" s="7"/>
      <c r="F101" s="7"/>
      <c r="G101" s="92"/>
      <c r="H101" s="92"/>
      <c r="I101" s="92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ht="15.75" customHeight="1">
      <c r="A102" s="7"/>
      <c r="B102" s="7"/>
      <c r="C102" s="7"/>
      <c r="D102" s="7"/>
      <c r="F102" s="7"/>
      <c r="G102" s="92"/>
      <c r="H102" s="92"/>
      <c r="I102" s="92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ht="15.75" customHeight="1">
      <c r="A103" s="7"/>
      <c r="B103" s="7"/>
      <c r="C103" s="7"/>
      <c r="D103" s="7"/>
      <c r="F103" s="7"/>
      <c r="G103" s="92"/>
      <c r="H103" s="92"/>
      <c r="I103" s="92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 ht="15.75" customHeight="1">
      <c r="A104" s="7"/>
      <c r="B104" s="7"/>
      <c r="C104" s="7"/>
      <c r="D104" s="7"/>
      <c r="F104" s="7"/>
      <c r="G104" s="92"/>
      <c r="H104" s="92"/>
      <c r="I104" s="92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 ht="15.75" customHeight="1">
      <c r="A105" s="7"/>
      <c r="B105" s="7"/>
      <c r="C105" s="7"/>
      <c r="D105" s="7"/>
      <c r="F105" s="7"/>
      <c r="G105" s="92"/>
      <c r="H105" s="92"/>
      <c r="I105" s="92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ht="15.75" customHeight="1">
      <c r="A106" s="7"/>
      <c r="B106" s="7"/>
      <c r="C106" s="7"/>
      <c r="D106" s="7"/>
      <c r="F106" s="7"/>
      <c r="G106" s="92"/>
      <c r="H106" s="92"/>
      <c r="I106" s="92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ht="15.75" customHeight="1">
      <c r="A107" s="7"/>
      <c r="B107" s="7"/>
      <c r="C107" s="7"/>
      <c r="D107" s="7"/>
      <c r="F107" s="7"/>
      <c r="G107" s="92"/>
      <c r="H107" s="92"/>
      <c r="I107" s="92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 ht="15.75" customHeight="1">
      <c r="A108" s="7"/>
      <c r="B108" s="7"/>
      <c r="C108" s="7"/>
      <c r="D108" s="7"/>
      <c r="F108" s="7"/>
      <c r="G108" s="92"/>
      <c r="H108" s="92"/>
      <c r="I108" s="92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 ht="15.75" customHeight="1">
      <c r="A109" s="7"/>
      <c r="B109" s="7"/>
      <c r="C109" s="7"/>
      <c r="D109" s="7"/>
      <c r="F109" s="7"/>
      <c r="G109" s="92"/>
      <c r="H109" s="92"/>
      <c r="I109" s="92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 ht="15.75" customHeight="1">
      <c r="A110" s="7"/>
      <c r="B110" s="7"/>
      <c r="C110" s="7"/>
      <c r="D110" s="7"/>
      <c r="F110" s="7"/>
      <c r="G110" s="92"/>
      <c r="H110" s="92"/>
      <c r="I110" s="92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 ht="15.75" customHeight="1">
      <c r="A111" s="7"/>
      <c r="B111" s="7"/>
      <c r="C111" s="7"/>
      <c r="D111" s="7"/>
      <c r="F111" s="7"/>
      <c r="G111" s="92"/>
      <c r="H111" s="92"/>
      <c r="I111" s="92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 ht="15.75" customHeight="1">
      <c r="A112" s="7"/>
      <c r="B112" s="7"/>
      <c r="C112" s="7"/>
      <c r="D112" s="7"/>
      <c r="F112" s="7"/>
      <c r="G112" s="92"/>
      <c r="H112" s="92"/>
      <c r="I112" s="92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 ht="15.75" customHeight="1">
      <c r="A113" s="7"/>
      <c r="B113" s="7"/>
      <c r="C113" s="7"/>
      <c r="D113" s="7"/>
      <c r="F113" s="7"/>
      <c r="G113" s="92"/>
      <c r="H113" s="92"/>
      <c r="I113" s="92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r="114" ht="15.75" customHeight="1">
      <c r="A114" s="7"/>
      <c r="B114" s="7"/>
      <c r="C114" s="7"/>
      <c r="D114" s="7"/>
      <c r="F114" s="7"/>
      <c r="G114" s="92"/>
      <c r="H114" s="92"/>
      <c r="I114" s="92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 ht="15.75" customHeight="1">
      <c r="A115" s="7"/>
      <c r="B115" s="7"/>
      <c r="C115" s="7"/>
      <c r="D115" s="7"/>
      <c r="F115" s="7"/>
      <c r="G115" s="92"/>
      <c r="H115" s="92"/>
      <c r="I115" s="92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 ht="15.75" customHeight="1">
      <c r="A116" s="7"/>
      <c r="B116" s="7"/>
      <c r="C116" s="7"/>
      <c r="D116" s="7"/>
      <c r="F116" s="7"/>
      <c r="G116" s="92"/>
      <c r="H116" s="92"/>
      <c r="I116" s="92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r="117" ht="15.75" customHeight="1">
      <c r="A117" s="7"/>
      <c r="B117" s="7"/>
      <c r="C117" s="7"/>
      <c r="D117" s="7"/>
      <c r="F117" s="7"/>
      <c r="G117" s="92"/>
      <c r="H117" s="92"/>
      <c r="I117" s="92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 ht="15.75" customHeight="1">
      <c r="A118" s="7"/>
      <c r="B118" s="7"/>
      <c r="C118" s="7"/>
      <c r="D118" s="7"/>
      <c r="F118" s="7"/>
      <c r="G118" s="92"/>
      <c r="H118" s="92"/>
      <c r="I118" s="92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 ht="15.75" customHeight="1">
      <c r="A119" s="7"/>
      <c r="B119" s="7"/>
      <c r="C119" s="7"/>
      <c r="D119" s="7"/>
      <c r="F119" s="7"/>
      <c r="G119" s="92"/>
      <c r="H119" s="92"/>
      <c r="I119" s="92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 ht="15.75" customHeight="1">
      <c r="A120" s="7"/>
      <c r="B120" s="7"/>
      <c r="C120" s="7"/>
      <c r="D120" s="7"/>
      <c r="F120" s="7"/>
      <c r="G120" s="92"/>
      <c r="H120" s="92"/>
      <c r="I120" s="92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 ht="15.75" customHeight="1">
      <c r="A121" s="7"/>
      <c r="B121" s="7"/>
      <c r="C121" s="7"/>
      <c r="D121" s="7"/>
      <c r="F121" s="7"/>
      <c r="G121" s="92"/>
      <c r="H121" s="92"/>
      <c r="I121" s="92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 ht="15.75" customHeight="1">
      <c r="A122" s="7"/>
      <c r="B122" s="7"/>
      <c r="C122" s="7"/>
      <c r="D122" s="7"/>
      <c r="F122" s="7"/>
      <c r="G122" s="92"/>
      <c r="H122" s="92"/>
      <c r="I122" s="92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r="123" ht="15.75" customHeight="1">
      <c r="A123" s="7"/>
      <c r="B123" s="7"/>
      <c r="C123" s="7"/>
      <c r="D123" s="7"/>
      <c r="F123" s="7"/>
      <c r="G123" s="92"/>
      <c r="H123" s="92"/>
      <c r="I123" s="92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 ht="15.75" customHeight="1">
      <c r="A124" s="7"/>
      <c r="B124" s="7"/>
      <c r="C124" s="7"/>
      <c r="D124" s="7"/>
      <c r="F124" s="7"/>
      <c r="G124" s="92"/>
      <c r="H124" s="92"/>
      <c r="I124" s="92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r="125" ht="15.75" customHeight="1">
      <c r="A125" s="7"/>
      <c r="B125" s="7"/>
      <c r="C125" s="7"/>
      <c r="D125" s="7"/>
      <c r="F125" s="7"/>
      <c r="G125" s="92"/>
      <c r="H125" s="92"/>
      <c r="I125" s="92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r="126" ht="15.75" customHeight="1">
      <c r="A126" s="7"/>
      <c r="B126" s="7"/>
      <c r="C126" s="7"/>
      <c r="D126" s="7"/>
      <c r="F126" s="7"/>
      <c r="G126" s="92"/>
      <c r="H126" s="92"/>
      <c r="I126" s="92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r="127" ht="15.75" customHeight="1">
      <c r="A127" s="7"/>
      <c r="B127" s="7"/>
      <c r="C127" s="7"/>
      <c r="D127" s="7"/>
      <c r="F127" s="7"/>
      <c r="G127" s="92"/>
      <c r="H127" s="92"/>
      <c r="I127" s="92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r="128" ht="15.75" customHeight="1">
      <c r="A128" s="7"/>
      <c r="B128" s="7"/>
      <c r="C128" s="7"/>
      <c r="D128" s="7"/>
      <c r="F128" s="7"/>
      <c r="G128" s="92"/>
      <c r="H128" s="92"/>
      <c r="I128" s="92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r="129" ht="15.75" customHeight="1">
      <c r="A129" s="7"/>
      <c r="B129" s="7"/>
      <c r="C129" s="7"/>
      <c r="D129" s="7"/>
      <c r="F129" s="7"/>
      <c r="G129" s="92"/>
      <c r="H129" s="92"/>
      <c r="I129" s="92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r="130" ht="15.75" customHeight="1">
      <c r="A130" s="7"/>
      <c r="B130" s="7"/>
      <c r="C130" s="7"/>
      <c r="D130" s="7"/>
      <c r="F130" s="7"/>
      <c r="G130" s="92"/>
      <c r="H130" s="92"/>
      <c r="I130" s="92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r="131" ht="15.75" customHeight="1">
      <c r="A131" s="7"/>
      <c r="B131" s="7"/>
      <c r="C131" s="7"/>
      <c r="D131" s="7"/>
      <c r="F131" s="7"/>
      <c r="G131" s="92"/>
      <c r="H131" s="92"/>
      <c r="I131" s="92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r="132" ht="15.75" customHeight="1">
      <c r="A132" s="7"/>
      <c r="B132" s="7"/>
      <c r="C132" s="7"/>
      <c r="D132" s="7"/>
      <c r="F132" s="7"/>
      <c r="G132" s="92"/>
      <c r="H132" s="92"/>
      <c r="I132" s="92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r="133" ht="15.75" customHeight="1">
      <c r="A133" s="7"/>
      <c r="B133" s="7"/>
      <c r="C133" s="7"/>
      <c r="D133" s="7"/>
      <c r="F133" s="7"/>
      <c r="G133" s="92"/>
      <c r="H133" s="92"/>
      <c r="I133" s="92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 ht="15.75" customHeight="1">
      <c r="A134" s="7"/>
      <c r="B134" s="7"/>
      <c r="C134" s="7"/>
      <c r="D134" s="7"/>
      <c r="F134" s="7"/>
      <c r="G134" s="92"/>
      <c r="H134" s="92"/>
      <c r="I134" s="92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r="135" ht="15.75" customHeight="1">
      <c r="A135" s="7"/>
      <c r="B135" s="7"/>
      <c r="C135" s="7"/>
      <c r="D135" s="7"/>
      <c r="F135" s="7"/>
      <c r="G135" s="92"/>
      <c r="H135" s="92"/>
      <c r="I135" s="92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 ht="15.75" customHeight="1">
      <c r="A136" s="7"/>
      <c r="B136" s="7"/>
      <c r="C136" s="7"/>
      <c r="D136" s="7"/>
      <c r="F136" s="7"/>
      <c r="G136" s="92"/>
      <c r="H136" s="92"/>
      <c r="I136" s="92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r="137" ht="15.75" customHeight="1">
      <c r="A137" s="7"/>
      <c r="B137" s="7"/>
      <c r="C137" s="7"/>
      <c r="D137" s="7"/>
      <c r="F137" s="7"/>
      <c r="G137" s="92"/>
      <c r="H137" s="92"/>
      <c r="I137" s="92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r="138" ht="15.75" customHeight="1">
      <c r="A138" s="7"/>
      <c r="B138" s="7"/>
      <c r="C138" s="7"/>
      <c r="D138" s="7"/>
      <c r="F138" s="7"/>
      <c r="G138" s="92"/>
      <c r="H138" s="92"/>
      <c r="I138" s="92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r="139" ht="15.75" customHeight="1">
      <c r="A139" s="7"/>
      <c r="B139" s="7"/>
      <c r="C139" s="7"/>
      <c r="D139" s="7"/>
      <c r="F139" s="7"/>
      <c r="G139" s="92"/>
      <c r="H139" s="92"/>
      <c r="I139" s="92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r="140" ht="15.75" customHeight="1">
      <c r="A140" s="7"/>
      <c r="B140" s="7"/>
      <c r="C140" s="7"/>
      <c r="D140" s="7"/>
      <c r="F140" s="7"/>
      <c r="G140" s="92"/>
      <c r="H140" s="92"/>
      <c r="I140" s="92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r="141" ht="15.75" customHeight="1">
      <c r="A141" s="7"/>
      <c r="B141" s="7"/>
      <c r="C141" s="7"/>
      <c r="D141" s="7"/>
      <c r="F141" s="7"/>
      <c r="G141" s="92"/>
      <c r="H141" s="92"/>
      <c r="I141" s="92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r="142" ht="15.75" customHeight="1">
      <c r="A142" s="7"/>
      <c r="B142" s="7"/>
      <c r="C142" s="7"/>
      <c r="D142" s="7"/>
      <c r="F142" s="7"/>
      <c r="G142" s="92"/>
      <c r="H142" s="92"/>
      <c r="I142" s="92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r="143" ht="15.75" customHeight="1">
      <c r="A143" s="7"/>
      <c r="B143" s="7"/>
      <c r="C143" s="7"/>
      <c r="D143" s="7"/>
      <c r="F143" s="7"/>
      <c r="G143" s="92"/>
      <c r="H143" s="92"/>
      <c r="I143" s="92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 ht="15.75" customHeight="1">
      <c r="A144" s="7"/>
      <c r="B144" s="7"/>
      <c r="C144" s="7"/>
      <c r="D144" s="7"/>
      <c r="F144" s="7"/>
      <c r="G144" s="92"/>
      <c r="H144" s="92"/>
      <c r="I144" s="92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r="145" ht="15.75" customHeight="1">
      <c r="A145" s="7"/>
      <c r="B145" s="7"/>
      <c r="C145" s="7"/>
      <c r="D145" s="7"/>
      <c r="F145" s="7"/>
      <c r="G145" s="92"/>
      <c r="H145" s="92"/>
      <c r="I145" s="92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 ht="15.75" customHeight="1">
      <c r="A146" s="7"/>
      <c r="B146" s="7"/>
      <c r="C146" s="7"/>
      <c r="D146" s="7"/>
      <c r="F146" s="7"/>
      <c r="G146" s="92"/>
      <c r="H146" s="92"/>
      <c r="I146" s="92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r="147" ht="15.75" customHeight="1">
      <c r="A147" s="7"/>
      <c r="B147" s="7"/>
      <c r="C147" s="7"/>
      <c r="D147" s="7"/>
      <c r="F147" s="7"/>
      <c r="G147" s="92"/>
      <c r="H147" s="92"/>
      <c r="I147" s="92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r="148" ht="15.75" customHeight="1">
      <c r="A148" s="7"/>
      <c r="B148" s="7"/>
      <c r="C148" s="7"/>
      <c r="D148" s="7"/>
      <c r="F148" s="7"/>
      <c r="G148" s="92"/>
      <c r="H148" s="92"/>
      <c r="I148" s="92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r="149" ht="15.75" customHeight="1">
      <c r="A149" s="7"/>
      <c r="B149" s="7"/>
      <c r="C149" s="7"/>
      <c r="D149" s="7"/>
      <c r="F149" s="7"/>
      <c r="G149" s="92"/>
      <c r="H149" s="92"/>
      <c r="I149" s="92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r="150" ht="15.75" customHeight="1">
      <c r="A150" s="7"/>
      <c r="B150" s="7"/>
      <c r="C150" s="7"/>
      <c r="D150" s="7"/>
      <c r="F150" s="7"/>
      <c r="G150" s="92"/>
      <c r="H150" s="92"/>
      <c r="I150" s="92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r="151" ht="15.75" customHeight="1">
      <c r="A151" s="7"/>
      <c r="B151" s="7"/>
      <c r="C151" s="7"/>
      <c r="D151" s="7"/>
      <c r="F151" s="7"/>
      <c r="G151" s="92"/>
      <c r="H151" s="92"/>
      <c r="I151" s="92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r="152" ht="15.75" customHeight="1">
      <c r="A152" s="7"/>
      <c r="B152" s="7"/>
      <c r="C152" s="7"/>
      <c r="D152" s="7"/>
      <c r="F152" s="7"/>
      <c r="G152" s="92"/>
      <c r="H152" s="92"/>
      <c r="I152" s="92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r="153" ht="15.75" customHeight="1">
      <c r="A153" s="7"/>
      <c r="B153" s="7"/>
      <c r="C153" s="7"/>
      <c r="D153" s="7"/>
      <c r="F153" s="7"/>
      <c r="G153" s="92"/>
      <c r="H153" s="92"/>
      <c r="I153" s="92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r="154" ht="15.75" customHeight="1">
      <c r="A154" s="7"/>
      <c r="B154" s="7"/>
      <c r="C154" s="7"/>
      <c r="D154" s="7"/>
      <c r="F154" s="7"/>
      <c r="G154" s="92"/>
      <c r="H154" s="92"/>
      <c r="I154" s="92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r="155" ht="15.75" customHeight="1">
      <c r="A155" s="7"/>
      <c r="B155" s="7"/>
      <c r="C155" s="7"/>
      <c r="D155" s="7"/>
      <c r="F155" s="7"/>
      <c r="G155" s="92"/>
      <c r="H155" s="92"/>
      <c r="I155" s="92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r="156" ht="15.75" customHeight="1">
      <c r="A156" s="7"/>
      <c r="B156" s="7"/>
      <c r="C156" s="7"/>
      <c r="D156" s="7"/>
      <c r="F156" s="7"/>
      <c r="G156" s="92"/>
      <c r="H156" s="92"/>
      <c r="I156" s="92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r="157" ht="15.75" customHeight="1">
      <c r="A157" s="7"/>
      <c r="B157" s="7"/>
      <c r="C157" s="7"/>
      <c r="D157" s="7"/>
      <c r="F157" s="7"/>
      <c r="G157" s="92"/>
      <c r="H157" s="92"/>
      <c r="I157" s="92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r="158" ht="15.75" customHeight="1">
      <c r="A158" s="7"/>
      <c r="B158" s="7"/>
      <c r="C158" s="7"/>
      <c r="D158" s="7"/>
      <c r="F158" s="7"/>
      <c r="G158" s="92"/>
      <c r="H158" s="92"/>
      <c r="I158" s="92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r="159" ht="15.75" customHeight="1">
      <c r="A159" s="7"/>
      <c r="B159" s="7"/>
      <c r="C159" s="7"/>
      <c r="D159" s="7"/>
      <c r="F159" s="7"/>
      <c r="G159" s="92"/>
      <c r="H159" s="92"/>
      <c r="I159" s="92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r="160" ht="15.75" customHeight="1">
      <c r="A160" s="7"/>
      <c r="B160" s="7"/>
      <c r="C160" s="7"/>
      <c r="D160" s="7"/>
      <c r="F160" s="7"/>
      <c r="G160" s="92"/>
      <c r="H160" s="92"/>
      <c r="I160" s="92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r="161" ht="15.75" customHeight="1">
      <c r="A161" s="7"/>
      <c r="B161" s="7"/>
      <c r="C161" s="7"/>
      <c r="D161" s="7"/>
      <c r="F161" s="7"/>
      <c r="G161" s="92"/>
      <c r="H161" s="92"/>
      <c r="I161" s="92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r="162" ht="15.75" customHeight="1">
      <c r="A162" s="7"/>
      <c r="B162" s="7"/>
      <c r="C162" s="7"/>
      <c r="D162" s="7"/>
      <c r="F162" s="7"/>
      <c r="G162" s="92"/>
      <c r="H162" s="92"/>
      <c r="I162" s="92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r="163" ht="15.75" customHeight="1">
      <c r="A163" s="7"/>
      <c r="B163" s="7"/>
      <c r="C163" s="7"/>
      <c r="D163" s="7"/>
      <c r="F163" s="7"/>
      <c r="G163" s="92"/>
      <c r="H163" s="92"/>
      <c r="I163" s="92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r="164" ht="15.75" customHeight="1">
      <c r="A164" s="7"/>
      <c r="B164" s="7"/>
      <c r="C164" s="7"/>
      <c r="D164" s="7"/>
      <c r="F164" s="7"/>
      <c r="G164" s="92"/>
      <c r="H164" s="92"/>
      <c r="I164" s="92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r="165" ht="15.75" customHeight="1">
      <c r="A165" s="7"/>
      <c r="B165" s="7"/>
      <c r="C165" s="7"/>
      <c r="D165" s="7"/>
      <c r="F165" s="7"/>
      <c r="G165" s="92"/>
      <c r="H165" s="92"/>
      <c r="I165" s="92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r="166" ht="15.75" customHeight="1">
      <c r="A166" s="7"/>
      <c r="B166" s="7"/>
      <c r="C166" s="7"/>
      <c r="D166" s="7"/>
      <c r="F166" s="7"/>
      <c r="G166" s="92"/>
      <c r="H166" s="92"/>
      <c r="I166" s="92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r="167" ht="15.75" customHeight="1">
      <c r="A167" s="7"/>
      <c r="B167" s="7"/>
      <c r="C167" s="7"/>
      <c r="D167" s="7"/>
      <c r="F167" s="7"/>
      <c r="G167" s="92"/>
      <c r="H167" s="92"/>
      <c r="I167" s="92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 ht="15.75" customHeight="1">
      <c r="A168" s="7"/>
      <c r="B168" s="7"/>
      <c r="C168" s="7"/>
      <c r="D168" s="7"/>
      <c r="F168" s="7"/>
      <c r="G168" s="92"/>
      <c r="H168" s="92"/>
      <c r="I168" s="92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 ht="15.75" customHeight="1">
      <c r="A169" s="7"/>
      <c r="B169" s="7"/>
      <c r="C169" s="7"/>
      <c r="D169" s="7"/>
      <c r="F169" s="7"/>
      <c r="G169" s="92"/>
      <c r="H169" s="92"/>
      <c r="I169" s="92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r="170" ht="15.75" customHeight="1">
      <c r="A170" s="7"/>
      <c r="B170" s="7"/>
      <c r="C170" s="7"/>
      <c r="D170" s="7"/>
      <c r="F170" s="7"/>
      <c r="G170" s="92"/>
      <c r="H170" s="92"/>
      <c r="I170" s="92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r="171" ht="15.75" customHeight="1">
      <c r="A171" s="7"/>
      <c r="B171" s="7"/>
      <c r="C171" s="7"/>
      <c r="D171" s="7"/>
      <c r="F171" s="7"/>
      <c r="G171" s="92"/>
      <c r="H171" s="92"/>
      <c r="I171" s="92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r="172" ht="15.75" customHeight="1">
      <c r="A172" s="7"/>
      <c r="B172" s="7"/>
      <c r="C172" s="7"/>
      <c r="D172" s="7"/>
      <c r="F172" s="7"/>
      <c r="G172" s="92"/>
      <c r="H172" s="92"/>
      <c r="I172" s="92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r="173" ht="15.75" customHeight="1">
      <c r="A173" s="7"/>
      <c r="B173" s="7"/>
      <c r="C173" s="7"/>
      <c r="D173" s="7"/>
      <c r="F173" s="7"/>
      <c r="G173" s="92"/>
      <c r="H173" s="92"/>
      <c r="I173" s="92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 ht="15.75" customHeight="1">
      <c r="A174" s="7"/>
      <c r="B174" s="7"/>
      <c r="C174" s="7"/>
      <c r="D174" s="7"/>
      <c r="F174" s="7"/>
      <c r="G174" s="92"/>
      <c r="H174" s="92"/>
      <c r="I174" s="92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 ht="15.75" customHeight="1">
      <c r="A175" s="7"/>
      <c r="B175" s="7"/>
      <c r="C175" s="7"/>
      <c r="D175" s="7"/>
      <c r="F175" s="7"/>
      <c r="G175" s="92"/>
      <c r="H175" s="92"/>
      <c r="I175" s="92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r="176" ht="15.75" customHeight="1">
      <c r="A176" s="7"/>
      <c r="B176" s="7"/>
      <c r="C176" s="7"/>
      <c r="D176" s="7"/>
      <c r="F176" s="7"/>
      <c r="G176" s="92"/>
      <c r="H176" s="92"/>
      <c r="I176" s="92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r="177" ht="15.75" customHeight="1">
      <c r="A177" s="7"/>
      <c r="B177" s="7"/>
      <c r="C177" s="7"/>
      <c r="D177" s="7"/>
      <c r="F177" s="7"/>
      <c r="G177" s="92"/>
      <c r="H177" s="92"/>
      <c r="I177" s="92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r="178" ht="15.75" customHeight="1">
      <c r="A178" s="7"/>
      <c r="B178" s="7"/>
      <c r="C178" s="7"/>
      <c r="D178" s="7"/>
      <c r="F178" s="7"/>
      <c r="G178" s="92"/>
      <c r="H178" s="92"/>
      <c r="I178" s="92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r="179" ht="15.75" customHeight="1">
      <c r="A179" s="7"/>
      <c r="B179" s="7"/>
      <c r="C179" s="7"/>
      <c r="D179" s="7"/>
      <c r="F179" s="7"/>
      <c r="G179" s="92"/>
      <c r="H179" s="92"/>
      <c r="I179" s="92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r="180" ht="15.75" customHeight="1">
      <c r="A180" s="7"/>
      <c r="B180" s="7"/>
      <c r="C180" s="7"/>
      <c r="D180" s="7"/>
      <c r="F180" s="7"/>
      <c r="G180" s="92"/>
      <c r="H180" s="92"/>
      <c r="I180" s="92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 ht="15.75" customHeight="1">
      <c r="A181" s="7"/>
      <c r="B181" s="7"/>
      <c r="C181" s="7"/>
      <c r="D181" s="7"/>
      <c r="F181" s="7"/>
      <c r="G181" s="92"/>
      <c r="H181" s="92"/>
      <c r="I181" s="92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r="182" ht="15.75" customHeight="1">
      <c r="A182" s="7"/>
      <c r="B182" s="7"/>
      <c r="C182" s="7"/>
      <c r="D182" s="7"/>
      <c r="F182" s="7"/>
      <c r="G182" s="92"/>
      <c r="H182" s="92"/>
      <c r="I182" s="92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r="183" ht="15.75" customHeight="1">
      <c r="A183" s="7"/>
      <c r="B183" s="7"/>
      <c r="C183" s="7"/>
      <c r="D183" s="7"/>
      <c r="F183" s="7"/>
      <c r="G183" s="92"/>
      <c r="H183" s="92"/>
      <c r="I183" s="92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r="184" ht="15.75" customHeight="1">
      <c r="A184" s="7"/>
      <c r="B184" s="7"/>
      <c r="C184" s="7"/>
      <c r="D184" s="7"/>
      <c r="F184" s="7"/>
      <c r="G184" s="92"/>
      <c r="H184" s="92"/>
      <c r="I184" s="92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r="185" ht="15.75" customHeight="1">
      <c r="A185" s="7"/>
      <c r="B185" s="7"/>
      <c r="C185" s="7"/>
      <c r="D185" s="7"/>
      <c r="F185" s="7"/>
      <c r="G185" s="92"/>
      <c r="H185" s="92"/>
      <c r="I185" s="92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r="186" ht="15.75" customHeight="1">
      <c r="A186" s="7"/>
      <c r="B186" s="7"/>
      <c r="C186" s="7"/>
      <c r="D186" s="7"/>
      <c r="F186" s="7"/>
      <c r="G186" s="92"/>
      <c r="H186" s="92"/>
      <c r="I186" s="92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r="187" ht="15.75" customHeight="1">
      <c r="A187" s="7"/>
      <c r="B187" s="7"/>
      <c r="C187" s="7"/>
      <c r="D187" s="7"/>
      <c r="F187" s="7"/>
      <c r="G187" s="92"/>
      <c r="H187" s="92"/>
      <c r="I187" s="92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r="188" ht="15.75" customHeight="1">
      <c r="A188" s="7"/>
      <c r="B188" s="7"/>
      <c r="C188" s="7"/>
      <c r="D188" s="7"/>
      <c r="F188" s="7"/>
      <c r="G188" s="92"/>
      <c r="H188" s="92"/>
      <c r="I188" s="92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r="189" ht="15.75" customHeight="1">
      <c r="A189" s="7"/>
      <c r="B189" s="7"/>
      <c r="C189" s="7"/>
      <c r="D189" s="7"/>
      <c r="F189" s="7"/>
      <c r="G189" s="92"/>
      <c r="H189" s="92"/>
      <c r="I189" s="92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 ht="15.75" customHeight="1">
      <c r="A190" s="7"/>
      <c r="B190" s="7"/>
      <c r="C190" s="7"/>
      <c r="D190" s="7"/>
      <c r="F190" s="7"/>
      <c r="G190" s="92"/>
      <c r="H190" s="92"/>
      <c r="I190" s="92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r="191" ht="15.75" customHeight="1">
      <c r="A191" s="7"/>
      <c r="B191" s="7"/>
      <c r="C191" s="7"/>
      <c r="D191" s="7"/>
      <c r="F191" s="7"/>
      <c r="G191" s="92"/>
      <c r="H191" s="92"/>
      <c r="I191" s="92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r="192" ht="15.75" customHeight="1">
      <c r="A192" s="7"/>
      <c r="B192" s="7"/>
      <c r="C192" s="7"/>
      <c r="D192" s="7"/>
      <c r="F192" s="7"/>
      <c r="G192" s="92"/>
      <c r="H192" s="92"/>
      <c r="I192" s="92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r="193" ht="15.75" customHeight="1">
      <c r="A193" s="7"/>
      <c r="B193" s="7"/>
      <c r="C193" s="7"/>
      <c r="D193" s="7"/>
      <c r="F193" s="7"/>
      <c r="G193" s="92"/>
      <c r="H193" s="92"/>
      <c r="I193" s="92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r="194" ht="15.75" customHeight="1">
      <c r="A194" s="7"/>
      <c r="B194" s="7"/>
      <c r="C194" s="7"/>
      <c r="D194" s="7"/>
      <c r="F194" s="7"/>
      <c r="G194" s="92"/>
      <c r="H194" s="92"/>
      <c r="I194" s="92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r="195" ht="15.75" customHeight="1">
      <c r="A195" s="7"/>
      <c r="B195" s="7"/>
      <c r="C195" s="7"/>
      <c r="D195" s="7"/>
      <c r="F195" s="7"/>
      <c r="G195" s="92"/>
      <c r="H195" s="92"/>
      <c r="I195" s="92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 ht="15.75" customHeight="1">
      <c r="A196" s="7"/>
      <c r="B196" s="7"/>
      <c r="C196" s="7"/>
      <c r="D196" s="7"/>
      <c r="F196" s="7"/>
      <c r="G196" s="92"/>
      <c r="H196" s="92"/>
      <c r="I196" s="92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r="197" ht="15.75" customHeight="1">
      <c r="A197" s="7"/>
      <c r="B197" s="7"/>
      <c r="C197" s="7"/>
      <c r="D197" s="7"/>
      <c r="F197" s="7"/>
      <c r="G197" s="92"/>
      <c r="H197" s="92"/>
      <c r="I197" s="92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r="198" ht="15.75" customHeight="1">
      <c r="A198" s="7"/>
      <c r="B198" s="7"/>
      <c r="C198" s="7"/>
      <c r="D198" s="7"/>
      <c r="F198" s="7"/>
      <c r="G198" s="92"/>
      <c r="H198" s="92"/>
      <c r="I198" s="92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r="199" ht="15.75" customHeight="1">
      <c r="A199" s="7"/>
      <c r="B199" s="7"/>
      <c r="C199" s="7"/>
      <c r="D199" s="7"/>
      <c r="F199" s="7"/>
      <c r="G199" s="92"/>
      <c r="H199" s="92"/>
      <c r="I199" s="92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r="200" ht="15.75" customHeight="1">
      <c r="A200" s="7"/>
      <c r="B200" s="7"/>
      <c r="C200" s="7"/>
      <c r="D200" s="7"/>
      <c r="F200" s="7"/>
      <c r="G200" s="92"/>
      <c r="H200" s="92"/>
      <c r="I200" s="92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</row>
    <row r="201" ht="15.75" customHeight="1">
      <c r="A201" s="7"/>
      <c r="B201" s="7"/>
      <c r="C201" s="7"/>
      <c r="D201" s="7"/>
      <c r="F201" s="7"/>
      <c r="G201" s="92"/>
      <c r="H201" s="92"/>
      <c r="I201" s="92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</row>
    <row r="202" ht="15.75" customHeight="1">
      <c r="A202" s="7"/>
      <c r="B202" s="7"/>
      <c r="C202" s="7"/>
      <c r="D202" s="7"/>
      <c r="F202" s="7"/>
      <c r="G202" s="92"/>
      <c r="H202" s="92"/>
      <c r="I202" s="92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</row>
    <row r="203" ht="15.75" customHeight="1">
      <c r="A203" s="7"/>
      <c r="B203" s="7"/>
      <c r="C203" s="7"/>
      <c r="D203" s="7"/>
      <c r="F203" s="7"/>
      <c r="G203" s="92"/>
      <c r="H203" s="92"/>
      <c r="I203" s="92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r="204" ht="15.75" customHeight="1">
      <c r="A204" s="7"/>
      <c r="B204" s="7"/>
      <c r="C204" s="7"/>
      <c r="D204" s="7"/>
      <c r="F204" s="7"/>
      <c r="G204" s="92"/>
      <c r="H204" s="92"/>
      <c r="I204" s="92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r="205" ht="15.75" customHeight="1">
      <c r="A205" s="7"/>
      <c r="B205" s="7"/>
      <c r="C205" s="7"/>
      <c r="D205" s="7"/>
      <c r="F205" s="7"/>
      <c r="G205" s="92"/>
      <c r="H205" s="92"/>
      <c r="I205" s="92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r="206" ht="15.75" customHeight="1">
      <c r="A206" s="7"/>
      <c r="B206" s="7"/>
      <c r="C206" s="7"/>
      <c r="D206" s="7"/>
      <c r="F206" s="7"/>
      <c r="G206" s="92"/>
      <c r="H206" s="92"/>
      <c r="I206" s="92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r="207" ht="15.75" customHeight="1">
      <c r="A207" s="7"/>
      <c r="B207" s="7"/>
      <c r="C207" s="7"/>
      <c r="D207" s="7"/>
      <c r="F207" s="7"/>
      <c r="G207" s="92"/>
      <c r="H207" s="92"/>
      <c r="I207" s="92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r="208" ht="15.75" customHeight="1">
      <c r="A208" s="7"/>
      <c r="B208" s="7"/>
      <c r="C208" s="7"/>
      <c r="D208" s="7"/>
      <c r="F208" s="7"/>
      <c r="G208" s="92"/>
      <c r="H208" s="92"/>
      <c r="I208" s="92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r="209" ht="15.75" customHeight="1">
      <c r="A209" s="7"/>
      <c r="B209" s="7"/>
      <c r="C209" s="7"/>
      <c r="D209" s="7"/>
      <c r="F209" s="7"/>
      <c r="G209" s="92"/>
      <c r="H209" s="92"/>
      <c r="I209" s="92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r="210" ht="15.75" customHeight="1">
      <c r="A210" s="7"/>
      <c r="B210" s="7"/>
      <c r="C210" s="7"/>
      <c r="D210" s="7"/>
      <c r="F210" s="7"/>
      <c r="G210" s="92"/>
      <c r="H210" s="92"/>
      <c r="I210" s="92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r="211" ht="15.75" customHeight="1">
      <c r="A211" s="7"/>
      <c r="B211" s="7"/>
      <c r="C211" s="7"/>
      <c r="D211" s="7"/>
      <c r="F211" s="7"/>
      <c r="G211" s="92"/>
      <c r="H211" s="92"/>
      <c r="I211" s="92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r="212" ht="15.75" customHeight="1">
      <c r="A212" s="7"/>
      <c r="B212" s="7"/>
      <c r="C212" s="7"/>
      <c r="D212" s="7"/>
      <c r="F212" s="7"/>
      <c r="G212" s="92"/>
      <c r="H212" s="92"/>
      <c r="I212" s="92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r="213" ht="15.75" customHeight="1">
      <c r="A213" s="7"/>
      <c r="B213" s="7"/>
      <c r="C213" s="7"/>
      <c r="D213" s="7"/>
      <c r="F213" s="7"/>
      <c r="G213" s="92"/>
      <c r="H213" s="92"/>
      <c r="I213" s="92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r="214" ht="15.75" customHeight="1">
      <c r="A214" s="7"/>
      <c r="B214" s="7"/>
      <c r="C214" s="7"/>
      <c r="D214" s="7"/>
      <c r="F214" s="7"/>
      <c r="G214" s="92"/>
      <c r="H214" s="92"/>
      <c r="I214" s="92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r="215" ht="15.75" customHeight="1">
      <c r="A215" s="7"/>
      <c r="B215" s="7"/>
      <c r="C215" s="7"/>
      <c r="D215" s="7"/>
      <c r="F215" s="7"/>
      <c r="G215" s="92"/>
      <c r="H215" s="92"/>
      <c r="I215" s="92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r="216" ht="15.75" customHeight="1">
      <c r="A216" s="7"/>
      <c r="B216" s="7"/>
      <c r="C216" s="7"/>
      <c r="D216" s="7"/>
      <c r="F216" s="7"/>
      <c r="G216" s="92"/>
      <c r="H216" s="92"/>
      <c r="I216" s="92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r="217" ht="15.75" customHeight="1">
      <c r="A217" s="7"/>
      <c r="B217" s="7"/>
      <c r="C217" s="7"/>
      <c r="D217" s="7"/>
      <c r="F217" s="7"/>
      <c r="G217" s="92"/>
      <c r="H217" s="92"/>
      <c r="I217" s="92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r="218" ht="15.75" customHeight="1">
      <c r="A218" s="7"/>
      <c r="B218" s="7"/>
      <c r="C218" s="7"/>
      <c r="D218" s="7"/>
      <c r="F218" s="7"/>
      <c r="G218" s="92"/>
      <c r="H218" s="92"/>
      <c r="I218" s="92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r="219" ht="15.75" customHeight="1">
      <c r="A219" s="7"/>
      <c r="B219" s="7"/>
      <c r="C219" s="7"/>
      <c r="D219" s="7"/>
      <c r="F219" s="7"/>
      <c r="G219" s="92"/>
      <c r="H219" s="92"/>
      <c r="I219" s="92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r="220" ht="15.75" customHeight="1">
      <c r="A220" s="7"/>
      <c r="B220" s="7"/>
      <c r="C220" s="7"/>
      <c r="D220" s="7"/>
      <c r="F220" s="7"/>
      <c r="G220" s="92"/>
      <c r="H220" s="92"/>
      <c r="I220" s="92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r="221" ht="15.75" customHeight="1">
      <c r="A221" s="7"/>
      <c r="B221" s="7"/>
      <c r="C221" s="7"/>
      <c r="D221" s="7"/>
      <c r="F221" s="7"/>
      <c r="G221" s="92"/>
      <c r="H221" s="92"/>
      <c r="I221" s="92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r="222" ht="15.75" customHeight="1">
      <c r="A222" s="7"/>
      <c r="B222" s="7"/>
      <c r="C222" s="7"/>
      <c r="D222" s="7"/>
      <c r="F222" s="7"/>
      <c r="G222" s="92"/>
      <c r="H222" s="92"/>
      <c r="I222" s="92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r="223" ht="15.75" customHeight="1">
      <c r="A223" s="7"/>
      <c r="B223" s="7"/>
      <c r="C223" s="7"/>
      <c r="D223" s="7"/>
      <c r="F223" s="7"/>
      <c r="G223" s="92"/>
      <c r="H223" s="92"/>
      <c r="I223" s="92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r="224" ht="15.75" customHeight="1">
      <c r="A224" s="7"/>
      <c r="B224" s="7"/>
      <c r="C224" s="7"/>
      <c r="D224" s="7"/>
      <c r="F224" s="7"/>
      <c r="G224" s="92"/>
      <c r="H224" s="92"/>
      <c r="I224" s="92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r="225" ht="15.75" customHeight="1">
      <c r="A225" s="7"/>
      <c r="B225" s="7"/>
      <c r="C225" s="7"/>
      <c r="D225" s="7"/>
      <c r="F225" s="7"/>
      <c r="G225" s="92"/>
      <c r="H225" s="92"/>
      <c r="I225" s="92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r="226" ht="15.75" customHeight="1">
      <c r="A226" s="7"/>
      <c r="B226" s="7"/>
      <c r="C226" s="7"/>
      <c r="D226" s="7"/>
      <c r="F226" s="7"/>
      <c r="G226" s="92"/>
      <c r="H226" s="92"/>
      <c r="I226" s="92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r="227" ht="15.75" customHeight="1">
      <c r="A227" s="7"/>
      <c r="B227" s="7"/>
      <c r="C227" s="7"/>
      <c r="D227" s="7"/>
      <c r="F227" s="7"/>
      <c r="G227" s="92"/>
      <c r="H227" s="92"/>
      <c r="I227" s="92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r="228" ht="15.75" customHeight="1">
      <c r="A228" s="7"/>
      <c r="B228" s="7"/>
      <c r="C228" s="7"/>
      <c r="D228" s="7"/>
      <c r="F228" s="7"/>
      <c r="G228" s="92"/>
      <c r="H228" s="92"/>
      <c r="I228" s="92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r="229" ht="15.75" customHeight="1">
      <c r="A229" s="7"/>
      <c r="B229" s="7"/>
      <c r="C229" s="7"/>
      <c r="D229" s="7"/>
      <c r="F229" s="7"/>
      <c r="G229" s="92"/>
      <c r="H229" s="92"/>
      <c r="I229" s="92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r="230" ht="15.75" customHeight="1">
      <c r="A230" s="7"/>
      <c r="B230" s="7"/>
      <c r="C230" s="7"/>
      <c r="D230" s="7"/>
      <c r="F230" s="7"/>
      <c r="G230" s="92"/>
      <c r="H230" s="92"/>
      <c r="I230" s="92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</row>
    <row r="231" ht="15.75" customHeight="1">
      <c r="A231" s="7"/>
      <c r="B231" s="7"/>
      <c r="C231" s="7"/>
      <c r="D231" s="7"/>
      <c r="F231" s="7"/>
      <c r="G231" s="92"/>
      <c r="H231" s="92"/>
      <c r="I231" s="92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r="232" ht="15.75" customHeight="1">
      <c r="A232" s="7"/>
      <c r="B232" s="7"/>
      <c r="C232" s="7"/>
      <c r="D232" s="7"/>
      <c r="F232" s="7"/>
      <c r="G232" s="92"/>
      <c r="H232" s="92"/>
      <c r="I232" s="92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r="233" ht="15.75" customHeight="1">
      <c r="A233" s="7"/>
      <c r="B233" s="7"/>
      <c r="C233" s="7"/>
      <c r="D233" s="7"/>
      <c r="F233" s="7"/>
      <c r="G233" s="92"/>
      <c r="H233" s="92"/>
      <c r="I233" s="92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r="234" ht="15.75" customHeight="1">
      <c r="A234" s="7"/>
      <c r="B234" s="7"/>
      <c r="C234" s="7"/>
      <c r="D234" s="7"/>
      <c r="F234" s="7"/>
      <c r="G234" s="92"/>
      <c r="H234" s="92"/>
      <c r="I234" s="92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r="235" ht="15.75" customHeight="1">
      <c r="A235" s="7"/>
      <c r="B235" s="7"/>
      <c r="C235" s="7"/>
      <c r="D235" s="7"/>
      <c r="F235" s="7"/>
      <c r="G235" s="92"/>
      <c r="H235" s="92"/>
      <c r="I235" s="92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r="236" ht="15.75" customHeight="1">
      <c r="A236" s="7"/>
      <c r="B236" s="7"/>
      <c r="C236" s="7"/>
      <c r="D236" s="7"/>
      <c r="F236" s="7"/>
      <c r="G236" s="92"/>
      <c r="H236" s="92"/>
      <c r="I236" s="92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r="237" ht="15.75" customHeight="1">
      <c r="A237" s="7"/>
      <c r="B237" s="7"/>
      <c r="C237" s="7"/>
      <c r="D237" s="7"/>
      <c r="F237" s="7"/>
      <c r="G237" s="92"/>
      <c r="H237" s="92"/>
      <c r="I237" s="92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r="238" ht="15.75" customHeight="1">
      <c r="A238" s="7"/>
      <c r="B238" s="7"/>
      <c r="C238" s="7"/>
      <c r="D238" s="7"/>
      <c r="F238" s="7"/>
      <c r="G238" s="92"/>
      <c r="H238" s="92"/>
      <c r="I238" s="92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r="239" ht="15.75" customHeight="1">
      <c r="A239" s="7"/>
      <c r="B239" s="7"/>
      <c r="C239" s="7"/>
      <c r="D239" s="7"/>
      <c r="F239" s="7"/>
      <c r="G239" s="92"/>
      <c r="H239" s="92"/>
      <c r="I239" s="92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r="240" ht="15.75" customHeight="1">
      <c r="A240" s="7"/>
      <c r="B240" s="7"/>
      <c r="C240" s="7"/>
      <c r="D240" s="7"/>
      <c r="F240" s="7"/>
      <c r="G240" s="92"/>
      <c r="H240" s="92"/>
      <c r="I240" s="92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r="241" ht="15.75" customHeight="1">
      <c r="A241" s="7"/>
      <c r="B241" s="7"/>
      <c r="C241" s="7"/>
      <c r="D241" s="7"/>
      <c r="F241" s="7"/>
      <c r="G241" s="92"/>
      <c r="H241" s="92"/>
      <c r="I241" s="92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r="242" ht="15.75" customHeight="1">
      <c r="A242" s="7"/>
      <c r="B242" s="7"/>
      <c r="C242" s="7"/>
      <c r="D242" s="7"/>
      <c r="F242" s="7"/>
      <c r="G242" s="92"/>
      <c r="H242" s="92"/>
      <c r="I242" s="92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r="243" ht="15.75" customHeight="1">
      <c r="A243" s="7"/>
      <c r="B243" s="7"/>
      <c r="C243" s="7"/>
      <c r="D243" s="7"/>
      <c r="F243" s="7"/>
      <c r="G243" s="92"/>
      <c r="H243" s="92"/>
      <c r="I243" s="92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r="244" ht="15.75" customHeight="1">
      <c r="A244" s="7"/>
      <c r="B244" s="7"/>
      <c r="C244" s="7"/>
      <c r="D244" s="7"/>
      <c r="F244" s="7"/>
      <c r="G244" s="92"/>
      <c r="H244" s="92"/>
      <c r="I244" s="92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r="245" ht="15.75" customHeight="1">
      <c r="A245" s="7"/>
      <c r="B245" s="7"/>
      <c r="C245" s="7"/>
      <c r="D245" s="7"/>
      <c r="F245" s="7"/>
      <c r="G245" s="92"/>
      <c r="H245" s="92"/>
      <c r="I245" s="92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r="246" ht="15.75" customHeight="1">
      <c r="A246" s="7"/>
      <c r="B246" s="7"/>
      <c r="C246" s="7"/>
      <c r="D246" s="7"/>
      <c r="F246" s="7"/>
      <c r="G246" s="92"/>
      <c r="H246" s="92"/>
      <c r="I246" s="92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r="247" ht="15.75" customHeight="1">
      <c r="A247" s="7"/>
      <c r="B247" s="7"/>
      <c r="C247" s="7"/>
      <c r="D247" s="7"/>
      <c r="F247" s="7"/>
      <c r="G247" s="92"/>
      <c r="H247" s="92"/>
      <c r="I247" s="92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r="248" ht="15.75" customHeight="1">
      <c r="A248" s="7"/>
      <c r="B248" s="7"/>
      <c r="C248" s="7"/>
      <c r="D248" s="7"/>
      <c r="F248" s="7"/>
      <c r="G248" s="92"/>
      <c r="H248" s="92"/>
      <c r="I248" s="92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r="249" ht="15.75" customHeight="1">
      <c r="A249" s="7"/>
      <c r="B249" s="7"/>
      <c r="C249" s="7"/>
      <c r="D249" s="7"/>
      <c r="F249" s="7"/>
      <c r="G249" s="92"/>
      <c r="H249" s="92"/>
      <c r="I249" s="92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</row>
    <row r="250" ht="15.75" customHeight="1">
      <c r="A250" s="7"/>
      <c r="B250" s="7"/>
      <c r="C250" s="7"/>
      <c r="D250" s="7"/>
      <c r="F250" s="7"/>
      <c r="G250" s="92"/>
      <c r="H250" s="92"/>
      <c r="I250" s="92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</row>
    <row r="251" ht="15.75" customHeight="1">
      <c r="A251" s="7"/>
      <c r="B251" s="7"/>
      <c r="C251" s="7"/>
      <c r="D251" s="7"/>
      <c r="F251" s="7"/>
      <c r="G251" s="92"/>
      <c r="H251" s="92"/>
      <c r="I251" s="92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</row>
    <row r="252" ht="15.75" customHeight="1">
      <c r="A252" s="7"/>
      <c r="B252" s="7"/>
      <c r="C252" s="7"/>
      <c r="D252" s="7"/>
      <c r="F252" s="7"/>
      <c r="G252" s="92"/>
      <c r="H252" s="92"/>
      <c r="I252" s="92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</row>
    <row r="253" ht="15.75" customHeight="1">
      <c r="A253" s="7"/>
      <c r="B253" s="7"/>
      <c r="C253" s="7"/>
      <c r="D253" s="7"/>
      <c r="F253" s="7"/>
      <c r="G253" s="92"/>
      <c r="H253" s="92"/>
      <c r="I253" s="92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</row>
    <row r="254" ht="15.75" customHeight="1">
      <c r="A254" s="7"/>
      <c r="B254" s="7"/>
      <c r="C254" s="7"/>
      <c r="D254" s="7"/>
      <c r="F254" s="7"/>
      <c r="G254" s="92"/>
      <c r="H254" s="92"/>
      <c r="I254" s="92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</row>
    <row r="255" ht="15.75" customHeight="1">
      <c r="A255" s="7"/>
      <c r="B255" s="7"/>
      <c r="C255" s="7"/>
      <c r="D255" s="7"/>
      <c r="F255" s="7"/>
      <c r="G255" s="92"/>
      <c r="H255" s="92"/>
      <c r="I255" s="92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</row>
    <row r="256" ht="15.75" customHeight="1">
      <c r="A256" s="7"/>
      <c r="B256" s="7"/>
      <c r="C256" s="7"/>
      <c r="D256" s="7"/>
      <c r="F256" s="7"/>
      <c r="G256" s="92"/>
      <c r="H256" s="92"/>
      <c r="I256" s="92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</row>
    <row r="257" ht="15.75" customHeight="1">
      <c r="A257" s="7"/>
      <c r="B257" s="7"/>
      <c r="C257" s="7"/>
      <c r="D257" s="7"/>
      <c r="F257" s="7"/>
      <c r="G257" s="92"/>
      <c r="H257" s="92"/>
      <c r="I257" s="92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</row>
    <row r="258" ht="15.75" customHeight="1">
      <c r="A258" s="7"/>
      <c r="B258" s="7"/>
      <c r="C258" s="7"/>
      <c r="D258" s="7"/>
      <c r="F258" s="7"/>
      <c r="G258" s="92"/>
      <c r="H258" s="92"/>
      <c r="I258" s="92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</row>
    <row r="259" ht="15.75" customHeight="1">
      <c r="A259" s="7"/>
      <c r="B259" s="7"/>
      <c r="C259" s="7"/>
      <c r="D259" s="7"/>
      <c r="F259" s="7"/>
      <c r="G259" s="92"/>
      <c r="H259" s="92"/>
      <c r="I259" s="92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</row>
    <row r="260" ht="15.75" customHeight="1">
      <c r="A260" s="7"/>
      <c r="B260" s="7"/>
      <c r="C260" s="7"/>
      <c r="D260" s="7"/>
      <c r="F260" s="7"/>
      <c r="G260" s="92"/>
      <c r="H260" s="92"/>
      <c r="I260" s="92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</row>
    <row r="261" ht="15.75" customHeight="1">
      <c r="A261" s="7"/>
      <c r="B261" s="7"/>
      <c r="C261" s="7"/>
      <c r="D261" s="7"/>
      <c r="F261" s="7"/>
      <c r="G261" s="92"/>
      <c r="H261" s="92"/>
      <c r="I261" s="92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</row>
    <row r="262" ht="15.75" customHeight="1">
      <c r="A262" s="7"/>
      <c r="B262" s="7"/>
      <c r="C262" s="7"/>
      <c r="D262" s="7"/>
      <c r="F262" s="7"/>
      <c r="G262" s="92"/>
      <c r="H262" s="92"/>
      <c r="I262" s="92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</row>
    <row r="263" ht="15.75" customHeight="1">
      <c r="A263" s="7"/>
      <c r="B263" s="7"/>
      <c r="C263" s="7"/>
      <c r="D263" s="7"/>
      <c r="F263" s="7"/>
      <c r="G263" s="92"/>
      <c r="H263" s="92"/>
      <c r="I263" s="92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</row>
    <row r="264" ht="15.75" customHeight="1">
      <c r="A264" s="7"/>
      <c r="B264" s="7"/>
      <c r="C264" s="7"/>
      <c r="D264" s="7"/>
      <c r="F264" s="7"/>
      <c r="G264" s="92"/>
      <c r="H264" s="92"/>
      <c r="I264" s="92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</row>
    <row r="265" ht="15.75" customHeight="1">
      <c r="A265" s="7"/>
      <c r="B265" s="7"/>
      <c r="C265" s="7"/>
      <c r="D265" s="7"/>
      <c r="F265" s="7"/>
      <c r="G265" s="92"/>
      <c r="H265" s="92"/>
      <c r="I265" s="92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</row>
    <row r="266" ht="15.75" customHeight="1">
      <c r="A266" s="7"/>
      <c r="B266" s="7"/>
      <c r="C266" s="7"/>
      <c r="D266" s="7"/>
      <c r="F266" s="7"/>
      <c r="G266" s="92"/>
      <c r="H266" s="92"/>
      <c r="I266" s="92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</row>
    <row r="267" ht="15.75" customHeight="1">
      <c r="A267" s="7"/>
      <c r="B267" s="7"/>
      <c r="C267" s="7"/>
      <c r="D267" s="7"/>
      <c r="F267" s="7"/>
      <c r="G267" s="92"/>
      <c r="H267" s="92"/>
      <c r="I267" s="92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</row>
    <row r="268" ht="15.75" customHeight="1">
      <c r="A268" s="7"/>
      <c r="B268" s="7"/>
      <c r="C268" s="7"/>
      <c r="D268" s="7"/>
      <c r="F268" s="7"/>
      <c r="G268" s="92"/>
      <c r="H268" s="92"/>
      <c r="I268" s="92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</row>
    <row r="269" ht="15.75" customHeight="1">
      <c r="A269" s="7"/>
      <c r="B269" s="7"/>
      <c r="C269" s="7"/>
      <c r="D269" s="7"/>
      <c r="F269" s="7"/>
      <c r="G269" s="92"/>
      <c r="H269" s="92"/>
      <c r="I269" s="92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</row>
    <row r="270" ht="15.75" customHeight="1">
      <c r="A270" s="7"/>
      <c r="B270" s="7"/>
      <c r="C270" s="7"/>
      <c r="D270" s="7"/>
      <c r="F270" s="7"/>
      <c r="G270" s="92"/>
      <c r="H270" s="92"/>
      <c r="I270" s="92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</row>
    <row r="271" ht="15.75" customHeight="1">
      <c r="A271" s="7"/>
      <c r="B271" s="7"/>
      <c r="C271" s="7"/>
      <c r="D271" s="7"/>
      <c r="F271" s="7"/>
      <c r="G271" s="92"/>
      <c r="H271" s="92"/>
      <c r="I271" s="92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</row>
    <row r="272" ht="15.75" customHeight="1">
      <c r="A272" s="7"/>
      <c r="B272" s="7"/>
      <c r="C272" s="7"/>
      <c r="D272" s="7"/>
      <c r="F272" s="7"/>
      <c r="G272" s="92"/>
      <c r="H272" s="92"/>
      <c r="I272" s="92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</row>
    <row r="273" ht="15.75" customHeight="1">
      <c r="A273" s="7"/>
      <c r="B273" s="7"/>
      <c r="C273" s="7"/>
      <c r="D273" s="7"/>
      <c r="F273" s="7"/>
      <c r="G273" s="92"/>
      <c r="H273" s="92"/>
      <c r="I273" s="92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</row>
    <row r="274" ht="15.75" customHeight="1">
      <c r="A274" s="7"/>
      <c r="B274" s="7"/>
      <c r="C274" s="7"/>
      <c r="D274" s="7"/>
      <c r="F274" s="7"/>
      <c r="G274" s="92"/>
      <c r="H274" s="92"/>
      <c r="I274" s="92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</row>
    <row r="275" ht="15.75" customHeight="1">
      <c r="A275" s="7"/>
      <c r="B275" s="7"/>
      <c r="C275" s="7"/>
      <c r="D275" s="7"/>
      <c r="F275" s="7"/>
      <c r="G275" s="92"/>
      <c r="H275" s="92"/>
      <c r="I275" s="92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</row>
    <row r="276" ht="15.75" customHeight="1">
      <c r="A276" s="7"/>
      <c r="B276" s="7"/>
      <c r="C276" s="7"/>
      <c r="D276" s="7"/>
      <c r="F276" s="7"/>
      <c r="G276" s="92"/>
      <c r="H276" s="92"/>
      <c r="I276" s="92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</row>
    <row r="277" ht="15.75" customHeight="1">
      <c r="A277" s="7"/>
      <c r="B277" s="7"/>
      <c r="C277" s="7"/>
      <c r="D277" s="7"/>
      <c r="F277" s="7"/>
      <c r="G277" s="92"/>
      <c r="H277" s="92"/>
      <c r="I277" s="92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</row>
    <row r="278" ht="15.75" customHeight="1">
      <c r="A278" s="7"/>
      <c r="B278" s="7"/>
      <c r="C278" s="7"/>
      <c r="D278" s="7"/>
      <c r="F278" s="7"/>
      <c r="G278" s="92"/>
      <c r="H278" s="92"/>
      <c r="I278" s="92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</row>
    <row r="279" ht="15.75" customHeight="1">
      <c r="A279" s="7"/>
      <c r="B279" s="7"/>
      <c r="C279" s="7"/>
      <c r="D279" s="7"/>
      <c r="F279" s="7"/>
      <c r="G279" s="92"/>
      <c r="H279" s="92"/>
      <c r="I279" s="92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</row>
    <row r="280" ht="15.75" customHeight="1">
      <c r="A280" s="7"/>
      <c r="B280" s="7"/>
      <c r="C280" s="7"/>
      <c r="D280" s="7"/>
      <c r="F280" s="7"/>
      <c r="G280" s="92"/>
      <c r="H280" s="92"/>
      <c r="I280" s="92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</row>
    <row r="281" ht="15.75" customHeight="1">
      <c r="A281" s="7"/>
      <c r="B281" s="7"/>
      <c r="C281" s="7"/>
      <c r="D281" s="7"/>
      <c r="F281" s="7"/>
      <c r="G281" s="92"/>
      <c r="H281" s="92"/>
      <c r="I281" s="92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</row>
    <row r="282" ht="15.75" customHeight="1">
      <c r="A282" s="7"/>
      <c r="B282" s="7"/>
      <c r="C282" s="7"/>
      <c r="D282" s="7"/>
      <c r="F282" s="7"/>
      <c r="G282" s="92"/>
      <c r="H282" s="92"/>
      <c r="I282" s="92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</row>
    <row r="283" ht="15.75" customHeight="1">
      <c r="A283" s="7"/>
      <c r="B283" s="7"/>
      <c r="C283" s="7"/>
      <c r="D283" s="7"/>
      <c r="F283" s="7"/>
      <c r="G283" s="92"/>
      <c r="H283" s="92"/>
      <c r="I283" s="92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</row>
    <row r="284" ht="15.75" customHeight="1">
      <c r="A284" s="7"/>
      <c r="B284" s="7"/>
      <c r="C284" s="7"/>
      <c r="D284" s="7"/>
      <c r="F284" s="7"/>
      <c r="G284" s="92"/>
      <c r="H284" s="92"/>
      <c r="I284" s="92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</row>
    <row r="285" ht="15.75" customHeight="1">
      <c r="A285" s="7"/>
      <c r="B285" s="7"/>
      <c r="C285" s="7"/>
      <c r="D285" s="7"/>
      <c r="F285" s="7"/>
      <c r="G285" s="92"/>
      <c r="H285" s="92"/>
      <c r="I285" s="92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</row>
    <row r="286" ht="15.75" customHeight="1">
      <c r="A286" s="7"/>
      <c r="B286" s="7"/>
      <c r="C286" s="7"/>
      <c r="D286" s="7"/>
      <c r="F286" s="7"/>
      <c r="G286" s="92"/>
      <c r="H286" s="92"/>
      <c r="I286" s="92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</row>
    <row r="287" ht="15.75" customHeight="1">
      <c r="A287" s="7"/>
      <c r="B287" s="7"/>
      <c r="C287" s="7"/>
      <c r="D287" s="7"/>
      <c r="F287" s="7"/>
      <c r="G287" s="92"/>
      <c r="H287" s="92"/>
      <c r="I287" s="92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</row>
    <row r="288" ht="15.75" customHeight="1">
      <c r="A288" s="7"/>
      <c r="B288" s="7"/>
      <c r="C288" s="7"/>
      <c r="D288" s="7"/>
      <c r="F288" s="7"/>
      <c r="G288" s="92"/>
      <c r="H288" s="92"/>
      <c r="I288" s="92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</row>
    <row r="289" ht="15.75" customHeight="1">
      <c r="A289" s="7"/>
      <c r="B289" s="7"/>
      <c r="C289" s="7"/>
      <c r="D289" s="7"/>
      <c r="F289" s="7"/>
      <c r="G289" s="92"/>
      <c r="H289" s="92"/>
      <c r="I289" s="92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</row>
    <row r="290" ht="15.75" customHeight="1">
      <c r="A290" s="7"/>
      <c r="B290" s="7"/>
      <c r="C290" s="7"/>
      <c r="D290" s="7"/>
      <c r="F290" s="7"/>
      <c r="G290" s="92"/>
      <c r="H290" s="92"/>
      <c r="I290" s="92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</row>
    <row r="291" ht="15.75" customHeight="1">
      <c r="A291" s="7"/>
      <c r="B291" s="7"/>
      <c r="C291" s="7"/>
      <c r="D291" s="7"/>
      <c r="F291" s="7"/>
      <c r="G291" s="92"/>
      <c r="H291" s="92"/>
      <c r="I291" s="92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</row>
    <row r="292" ht="15.75" customHeight="1">
      <c r="A292" s="7"/>
      <c r="B292" s="7"/>
      <c r="C292" s="7"/>
      <c r="D292" s="7"/>
      <c r="F292" s="7"/>
      <c r="G292" s="92"/>
      <c r="H292" s="92"/>
      <c r="I292" s="92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</row>
    <row r="293" ht="15.75" customHeight="1">
      <c r="A293" s="7"/>
      <c r="B293" s="7"/>
      <c r="C293" s="7"/>
      <c r="D293" s="7"/>
      <c r="F293" s="7"/>
      <c r="G293" s="92"/>
      <c r="H293" s="92"/>
      <c r="I293" s="92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</row>
    <row r="294" ht="15.75" customHeight="1">
      <c r="A294" s="7"/>
      <c r="B294" s="7"/>
      <c r="C294" s="7"/>
      <c r="D294" s="7"/>
      <c r="F294" s="7"/>
      <c r="G294" s="92"/>
      <c r="H294" s="92"/>
      <c r="I294" s="92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</row>
    <row r="295" ht="15.75" customHeight="1">
      <c r="A295" s="7"/>
      <c r="B295" s="7"/>
      <c r="C295" s="7"/>
      <c r="D295" s="7"/>
      <c r="F295" s="7"/>
      <c r="G295" s="92"/>
      <c r="H295" s="92"/>
      <c r="I295" s="92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</row>
    <row r="296" ht="15.75" customHeight="1">
      <c r="A296" s="7"/>
      <c r="B296" s="7"/>
      <c r="C296" s="7"/>
      <c r="D296" s="7"/>
      <c r="F296" s="7"/>
      <c r="G296" s="92"/>
      <c r="H296" s="92"/>
      <c r="I296" s="92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</row>
    <row r="297" ht="15.75" customHeight="1">
      <c r="A297" s="7"/>
      <c r="B297" s="7"/>
      <c r="C297" s="7"/>
      <c r="D297" s="7"/>
      <c r="F297" s="7"/>
      <c r="G297" s="92"/>
      <c r="H297" s="92"/>
      <c r="I297" s="92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</row>
    <row r="298" ht="15.75" customHeight="1">
      <c r="A298" s="7"/>
      <c r="B298" s="7"/>
      <c r="C298" s="7"/>
      <c r="D298" s="7"/>
      <c r="F298" s="7"/>
      <c r="G298" s="92"/>
      <c r="H298" s="92"/>
      <c r="I298" s="92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</row>
    <row r="299" ht="15.75" customHeight="1">
      <c r="A299" s="7"/>
      <c r="B299" s="7"/>
      <c r="C299" s="7"/>
      <c r="D299" s="7"/>
      <c r="F299" s="7"/>
      <c r="G299" s="92"/>
      <c r="H299" s="92"/>
      <c r="I299" s="92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</row>
    <row r="300" ht="15.75" customHeight="1">
      <c r="A300" s="7"/>
      <c r="B300" s="7"/>
      <c r="C300" s="7"/>
      <c r="D300" s="7"/>
      <c r="F300" s="7"/>
      <c r="G300" s="92"/>
      <c r="H300" s="92"/>
      <c r="I300" s="92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</row>
    <row r="301" ht="15.75" customHeight="1">
      <c r="A301" s="7"/>
      <c r="B301" s="7"/>
      <c r="C301" s="7"/>
      <c r="D301" s="7"/>
      <c r="F301" s="7"/>
      <c r="G301" s="92"/>
      <c r="H301" s="92"/>
      <c r="I301" s="92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</row>
    <row r="302" ht="15.75" customHeight="1">
      <c r="A302" s="7"/>
      <c r="B302" s="7"/>
      <c r="C302" s="7"/>
      <c r="D302" s="7"/>
      <c r="F302" s="7"/>
      <c r="G302" s="92"/>
      <c r="H302" s="92"/>
      <c r="I302" s="92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</row>
    <row r="303" ht="15.75" customHeight="1">
      <c r="A303" s="7"/>
      <c r="B303" s="7"/>
      <c r="C303" s="7"/>
      <c r="D303" s="7"/>
      <c r="F303" s="7"/>
      <c r="G303" s="92"/>
      <c r="H303" s="92"/>
      <c r="I303" s="92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</row>
    <row r="304" ht="15.75" customHeight="1">
      <c r="A304" s="7"/>
      <c r="B304" s="7"/>
      <c r="C304" s="7"/>
      <c r="D304" s="7"/>
      <c r="F304" s="7"/>
      <c r="G304" s="92"/>
      <c r="H304" s="92"/>
      <c r="I304" s="92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</row>
    <row r="305" ht="15.75" customHeight="1">
      <c r="A305" s="7"/>
      <c r="B305" s="7"/>
      <c r="C305" s="7"/>
      <c r="D305" s="7"/>
      <c r="F305" s="7"/>
      <c r="G305" s="92"/>
      <c r="H305" s="92"/>
      <c r="I305" s="92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</row>
    <row r="306" ht="15.75" customHeight="1">
      <c r="A306" s="7"/>
      <c r="B306" s="7"/>
      <c r="C306" s="7"/>
      <c r="D306" s="7"/>
      <c r="F306" s="7"/>
      <c r="G306" s="92"/>
      <c r="H306" s="92"/>
      <c r="I306" s="92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</row>
    <row r="307" ht="15.75" customHeight="1">
      <c r="A307" s="7"/>
      <c r="B307" s="7"/>
      <c r="C307" s="7"/>
      <c r="D307" s="7"/>
      <c r="F307" s="7"/>
      <c r="G307" s="92"/>
      <c r="H307" s="92"/>
      <c r="I307" s="92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</row>
    <row r="308" ht="15.75" customHeight="1">
      <c r="A308" s="7"/>
      <c r="B308" s="7"/>
      <c r="C308" s="7"/>
      <c r="D308" s="7"/>
      <c r="F308" s="7"/>
      <c r="G308" s="92"/>
      <c r="H308" s="92"/>
      <c r="I308" s="92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</row>
    <row r="309" ht="15.75" customHeight="1">
      <c r="A309" s="7"/>
      <c r="B309" s="7"/>
      <c r="C309" s="7"/>
      <c r="D309" s="7"/>
      <c r="F309" s="7"/>
      <c r="G309" s="92"/>
      <c r="H309" s="92"/>
      <c r="I309" s="92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</row>
    <row r="310" ht="15.75" customHeight="1">
      <c r="A310" s="7"/>
      <c r="B310" s="7"/>
      <c r="C310" s="7"/>
      <c r="D310" s="7"/>
      <c r="F310" s="7"/>
      <c r="G310" s="92"/>
      <c r="H310" s="92"/>
      <c r="I310" s="92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</row>
    <row r="311" ht="15.75" customHeight="1">
      <c r="A311" s="7"/>
      <c r="B311" s="7"/>
      <c r="C311" s="7"/>
      <c r="D311" s="7"/>
      <c r="F311" s="7"/>
      <c r="G311" s="92"/>
      <c r="H311" s="92"/>
      <c r="I311" s="92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</row>
    <row r="312" ht="15.75" customHeight="1">
      <c r="A312" s="7"/>
      <c r="B312" s="7"/>
      <c r="C312" s="7"/>
      <c r="D312" s="7"/>
      <c r="F312" s="7"/>
      <c r="G312" s="92"/>
      <c r="H312" s="92"/>
      <c r="I312" s="92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</row>
    <row r="313" ht="15.75" customHeight="1">
      <c r="A313" s="7"/>
      <c r="B313" s="7"/>
      <c r="C313" s="7"/>
      <c r="D313" s="7"/>
      <c r="F313" s="7"/>
      <c r="G313" s="92"/>
      <c r="H313" s="92"/>
      <c r="I313" s="92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</row>
    <row r="314" ht="15.75" customHeight="1">
      <c r="A314" s="7"/>
      <c r="B314" s="7"/>
      <c r="C314" s="7"/>
      <c r="D314" s="7"/>
      <c r="F314" s="7"/>
      <c r="G314" s="92"/>
      <c r="H314" s="92"/>
      <c r="I314" s="92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</row>
    <row r="315" ht="15.75" customHeight="1">
      <c r="A315" s="7"/>
      <c r="B315" s="7"/>
      <c r="C315" s="7"/>
      <c r="D315" s="7"/>
      <c r="F315" s="7"/>
      <c r="G315" s="92"/>
      <c r="H315" s="92"/>
      <c r="I315" s="92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</row>
    <row r="316" ht="15.75" customHeight="1">
      <c r="A316" s="7"/>
      <c r="B316" s="7"/>
      <c r="C316" s="7"/>
      <c r="D316" s="7"/>
      <c r="F316" s="7"/>
      <c r="G316" s="92"/>
      <c r="H316" s="92"/>
      <c r="I316" s="92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</row>
    <row r="317" ht="15.75" customHeight="1">
      <c r="A317" s="7"/>
      <c r="B317" s="7"/>
      <c r="C317" s="7"/>
      <c r="D317" s="7"/>
      <c r="F317" s="7"/>
      <c r="G317" s="92"/>
      <c r="H317" s="92"/>
      <c r="I317" s="92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</row>
    <row r="318" ht="15.75" customHeight="1">
      <c r="A318" s="7"/>
      <c r="B318" s="7"/>
      <c r="C318" s="7"/>
      <c r="D318" s="7"/>
      <c r="F318" s="7"/>
      <c r="G318" s="92"/>
      <c r="H318" s="92"/>
      <c r="I318" s="92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</row>
    <row r="319" ht="15.75" customHeight="1">
      <c r="A319" s="7"/>
      <c r="B319" s="7"/>
      <c r="C319" s="7"/>
      <c r="D319" s="7"/>
      <c r="F319" s="7"/>
      <c r="G319" s="92"/>
      <c r="H319" s="92"/>
      <c r="I319" s="92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</row>
    <row r="320" ht="15.75" customHeight="1">
      <c r="A320" s="7"/>
      <c r="B320" s="7"/>
      <c r="C320" s="7"/>
      <c r="D320" s="7"/>
      <c r="F320" s="7"/>
      <c r="G320" s="92"/>
      <c r="H320" s="92"/>
      <c r="I320" s="92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</row>
    <row r="321" ht="15.75" customHeight="1">
      <c r="A321" s="7"/>
      <c r="B321" s="7"/>
      <c r="C321" s="7"/>
      <c r="D321" s="7"/>
      <c r="F321" s="7"/>
      <c r="G321" s="92"/>
      <c r="H321" s="92"/>
      <c r="I321" s="92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</row>
    <row r="322" ht="15.75" customHeight="1">
      <c r="A322" s="7"/>
      <c r="B322" s="7"/>
      <c r="C322" s="7"/>
      <c r="D322" s="7"/>
      <c r="F322" s="7"/>
      <c r="G322" s="92"/>
      <c r="H322" s="92"/>
      <c r="I322" s="92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</row>
    <row r="323" ht="15.75" customHeight="1">
      <c r="A323" s="7"/>
      <c r="B323" s="7"/>
      <c r="C323" s="7"/>
      <c r="D323" s="7"/>
      <c r="F323" s="7"/>
      <c r="G323" s="92"/>
      <c r="H323" s="92"/>
      <c r="I323" s="92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</row>
    <row r="324" ht="15.75" customHeight="1">
      <c r="A324" s="7"/>
      <c r="B324" s="7"/>
      <c r="C324" s="7"/>
      <c r="D324" s="7"/>
      <c r="F324" s="7"/>
      <c r="G324" s="92"/>
      <c r="H324" s="92"/>
      <c r="I324" s="92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</row>
    <row r="325" ht="15.75" customHeight="1">
      <c r="A325" s="7"/>
      <c r="B325" s="7"/>
      <c r="C325" s="7"/>
      <c r="D325" s="7"/>
      <c r="F325" s="7"/>
      <c r="G325" s="92"/>
      <c r="H325" s="92"/>
      <c r="I325" s="92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</row>
    <row r="326" ht="15.75" customHeight="1">
      <c r="A326" s="7"/>
      <c r="B326" s="7"/>
      <c r="C326" s="7"/>
      <c r="D326" s="7"/>
      <c r="F326" s="7"/>
      <c r="G326" s="92"/>
      <c r="H326" s="92"/>
      <c r="I326" s="92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</row>
    <row r="327" ht="15.75" customHeight="1">
      <c r="A327" s="7"/>
      <c r="B327" s="7"/>
      <c r="C327" s="7"/>
      <c r="D327" s="7"/>
      <c r="F327" s="7"/>
      <c r="G327" s="92"/>
      <c r="H327" s="92"/>
      <c r="I327" s="92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</row>
    <row r="328" ht="15.75" customHeight="1">
      <c r="A328" s="7"/>
      <c r="B328" s="7"/>
      <c r="C328" s="7"/>
      <c r="D328" s="7"/>
      <c r="F328" s="7"/>
      <c r="G328" s="92"/>
      <c r="H328" s="92"/>
      <c r="I328" s="92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</row>
    <row r="329" ht="15.75" customHeight="1">
      <c r="A329" s="7"/>
      <c r="B329" s="7"/>
      <c r="C329" s="7"/>
      <c r="D329" s="7"/>
      <c r="F329" s="7"/>
      <c r="G329" s="92"/>
      <c r="H329" s="92"/>
      <c r="I329" s="92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</row>
    <row r="330" ht="15.75" customHeight="1">
      <c r="A330" s="7"/>
      <c r="B330" s="7"/>
      <c r="C330" s="7"/>
      <c r="D330" s="7"/>
      <c r="F330" s="7"/>
      <c r="G330" s="92"/>
      <c r="H330" s="92"/>
      <c r="I330" s="92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</row>
    <row r="331" ht="15.75" customHeight="1">
      <c r="A331" s="7"/>
      <c r="B331" s="7"/>
      <c r="C331" s="7"/>
      <c r="D331" s="7"/>
      <c r="F331" s="7"/>
      <c r="G331" s="92"/>
      <c r="H331" s="92"/>
      <c r="I331" s="92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</row>
    <row r="332" ht="15.75" customHeight="1">
      <c r="A332" s="7"/>
      <c r="B332" s="7"/>
      <c r="C332" s="7"/>
      <c r="D332" s="7"/>
      <c r="F332" s="7"/>
      <c r="G332" s="92"/>
      <c r="H332" s="92"/>
      <c r="I332" s="92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</row>
    <row r="333" ht="15.75" customHeight="1">
      <c r="A333" s="7"/>
      <c r="B333" s="7"/>
      <c r="C333" s="7"/>
      <c r="D333" s="7"/>
      <c r="F333" s="7"/>
      <c r="G333" s="92"/>
      <c r="H333" s="92"/>
      <c r="I333" s="92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</row>
    <row r="334" ht="15.75" customHeight="1">
      <c r="A334" s="7"/>
      <c r="B334" s="7"/>
      <c r="C334" s="7"/>
      <c r="D334" s="7"/>
      <c r="F334" s="7"/>
      <c r="G334" s="92"/>
      <c r="H334" s="92"/>
      <c r="I334" s="92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</row>
    <row r="335" ht="15.75" customHeight="1">
      <c r="A335" s="7"/>
      <c r="B335" s="7"/>
      <c r="C335" s="7"/>
      <c r="D335" s="7"/>
      <c r="F335" s="7"/>
      <c r="G335" s="92"/>
      <c r="H335" s="92"/>
      <c r="I335" s="92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</row>
    <row r="336" ht="15.75" customHeight="1">
      <c r="A336" s="7"/>
      <c r="B336" s="7"/>
      <c r="C336" s="7"/>
      <c r="D336" s="7"/>
      <c r="F336" s="7"/>
      <c r="G336" s="92"/>
      <c r="H336" s="92"/>
      <c r="I336" s="92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</row>
    <row r="337" ht="15.75" customHeight="1">
      <c r="A337" s="7"/>
      <c r="B337" s="7"/>
      <c r="C337" s="7"/>
      <c r="D337" s="7"/>
      <c r="F337" s="7"/>
      <c r="G337" s="92"/>
      <c r="H337" s="92"/>
      <c r="I337" s="92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</row>
    <row r="338" ht="15.75" customHeight="1">
      <c r="A338" s="7"/>
      <c r="B338" s="7"/>
      <c r="C338" s="7"/>
      <c r="D338" s="7"/>
      <c r="F338" s="7"/>
      <c r="G338" s="92"/>
      <c r="H338" s="92"/>
      <c r="I338" s="92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</row>
    <row r="339" ht="15.75" customHeight="1">
      <c r="A339" s="7"/>
      <c r="B339" s="7"/>
      <c r="C339" s="7"/>
      <c r="D339" s="7"/>
      <c r="F339" s="7"/>
      <c r="G339" s="92"/>
      <c r="H339" s="92"/>
      <c r="I339" s="92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</row>
    <row r="340" ht="15.75" customHeight="1">
      <c r="A340" s="7"/>
      <c r="B340" s="7"/>
      <c r="C340" s="7"/>
      <c r="D340" s="7"/>
      <c r="F340" s="7"/>
      <c r="G340" s="92"/>
      <c r="H340" s="92"/>
      <c r="I340" s="92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</row>
    <row r="341" ht="15.75" customHeight="1">
      <c r="A341" s="7"/>
      <c r="B341" s="7"/>
      <c r="C341" s="7"/>
      <c r="D341" s="7"/>
      <c r="F341" s="7"/>
      <c r="G341" s="92"/>
      <c r="H341" s="92"/>
      <c r="I341" s="92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</row>
    <row r="342" ht="15.75" customHeight="1">
      <c r="A342" s="7"/>
      <c r="B342" s="7"/>
      <c r="C342" s="7"/>
      <c r="D342" s="7"/>
      <c r="F342" s="7"/>
      <c r="G342" s="92"/>
      <c r="H342" s="92"/>
      <c r="I342" s="92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</row>
    <row r="343" ht="15.75" customHeight="1">
      <c r="A343" s="7"/>
      <c r="B343" s="7"/>
      <c r="C343" s="7"/>
      <c r="D343" s="7"/>
      <c r="F343" s="7"/>
      <c r="G343" s="92"/>
      <c r="H343" s="92"/>
      <c r="I343" s="92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</row>
    <row r="344" ht="15.75" customHeight="1">
      <c r="A344" s="7"/>
      <c r="B344" s="7"/>
      <c r="C344" s="7"/>
      <c r="D344" s="7"/>
      <c r="F344" s="7"/>
      <c r="G344" s="92"/>
      <c r="H344" s="92"/>
      <c r="I344" s="92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</row>
    <row r="345" ht="15.75" customHeight="1">
      <c r="A345" s="7"/>
      <c r="B345" s="7"/>
      <c r="C345" s="7"/>
      <c r="D345" s="7"/>
      <c r="F345" s="7"/>
      <c r="G345" s="92"/>
      <c r="H345" s="92"/>
      <c r="I345" s="92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</row>
    <row r="346" ht="15.75" customHeight="1">
      <c r="A346" s="7"/>
      <c r="B346" s="7"/>
      <c r="C346" s="7"/>
      <c r="D346" s="7"/>
      <c r="F346" s="7"/>
      <c r="G346" s="92"/>
      <c r="H346" s="92"/>
      <c r="I346" s="92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</row>
    <row r="347" ht="15.75" customHeight="1">
      <c r="A347" s="7"/>
      <c r="B347" s="7"/>
      <c r="C347" s="7"/>
      <c r="D347" s="7"/>
      <c r="F347" s="7"/>
      <c r="G347" s="92"/>
      <c r="H347" s="92"/>
      <c r="I347" s="92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</row>
    <row r="348" ht="15.75" customHeight="1">
      <c r="A348" s="7"/>
      <c r="B348" s="7"/>
      <c r="C348" s="7"/>
      <c r="D348" s="7"/>
      <c r="F348" s="7"/>
      <c r="G348" s="92"/>
      <c r="H348" s="92"/>
      <c r="I348" s="92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</row>
    <row r="349" ht="15.75" customHeight="1">
      <c r="A349" s="7"/>
      <c r="B349" s="7"/>
      <c r="C349" s="7"/>
      <c r="D349" s="7"/>
      <c r="F349" s="7"/>
      <c r="G349" s="92"/>
      <c r="H349" s="92"/>
      <c r="I349" s="92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</row>
    <row r="350" ht="15.75" customHeight="1">
      <c r="A350" s="7"/>
      <c r="B350" s="7"/>
      <c r="C350" s="7"/>
      <c r="D350" s="7"/>
      <c r="F350" s="7"/>
      <c r="G350" s="92"/>
      <c r="H350" s="92"/>
      <c r="I350" s="92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</row>
    <row r="351" ht="15.75" customHeight="1">
      <c r="A351" s="7"/>
      <c r="B351" s="7"/>
      <c r="C351" s="7"/>
      <c r="D351" s="7"/>
      <c r="F351" s="7"/>
      <c r="G351" s="92"/>
      <c r="H351" s="92"/>
      <c r="I351" s="92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</row>
    <row r="352" ht="15.75" customHeight="1">
      <c r="A352" s="7"/>
      <c r="B352" s="7"/>
      <c r="C352" s="7"/>
      <c r="D352" s="7"/>
      <c r="F352" s="7"/>
      <c r="G352" s="92"/>
      <c r="H352" s="92"/>
      <c r="I352" s="92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</row>
    <row r="353" ht="15.75" customHeight="1">
      <c r="A353" s="7"/>
      <c r="B353" s="7"/>
      <c r="C353" s="7"/>
      <c r="D353" s="7"/>
      <c r="F353" s="7"/>
      <c r="G353" s="92"/>
      <c r="H353" s="92"/>
      <c r="I353" s="92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</row>
    <row r="354" ht="15.75" customHeight="1">
      <c r="A354" s="7"/>
      <c r="B354" s="7"/>
      <c r="C354" s="7"/>
      <c r="D354" s="7"/>
      <c r="F354" s="7"/>
      <c r="G354" s="92"/>
      <c r="H354" s="92"/>
      <c r="I354" s="92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</row>
    <row r="355" ht="15.75" customHeight="1">
      <c r="A355" s="7"/>
      <c r="B355" s="7"/>
      <c r="C355" s="7"/>
      <c r="D355" s="7"/>
      <c r="F355" s="7"/>
      <c r="G355" s="92"/>
      <c r="H355" s="92"/>
      <c r="I355" s="92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</row>
    <row r="356" ht="15.75" customHeight="1">
      <c r="A356" s="7"/>
      <c r="B356" s="7"/>
      <c r="C356" s="7"/>
      <c r="D356" s="7"/>
      <c r="F356" s="7"/>
      <c r="G356" s="92"/>
      <c r="H356" s="92"/>
      <c r="I356" s="92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</row>
    <row r="357" ht="15.75" customHeight="1">
      <c r="A357" s="7"/>
      <c r="B357" s="7"/>
      <c r="C357" s="7"/>
      <c r="D357" s="7"/>
      <c r="F357" s="7"/>
      <c r="G357" s="92"/>
      <c r="H357" s="92"/>
      <c r="I357" s="92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</row>
    <row r="358" ht="15.75" customHeight="1">
      <c r="A358" s="7"/>
      <c r="B358" s="7"/>
      <c r="C358" s="7"/>
      <c r="D358" s="7"/>
      <c r="F358" s="7"/>
      <c r="G358" s="92"/>
      <c r="H358" s="92"/>
      <c r="I358" s="92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</row>
    <row r="359" ht="15.75" customHeight="1">
      <c r="A359" s="7"/>
      <c r="B359" s="7"/>
      <c r="C359" s="7"/>
      <c r="D359" s="7"/>
      <c r="F359" s="7"/>
      <c r="G359" s="92"/>
      <c r="H359" s="92"/>
      <c r="I359" s="92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</row>
    <row r="360" ht="15.75" customHeight="1">
      <c r="A360" s="7"/>
      <c r="B360" s="7"/>
      <c r="C360" s="7"/>
      <c r="D360" s="7"/>
      <c r="F360" s="7"/>
      <c r="G360" s="92"/>
      <c r="H360" s="92"/>
      <c r="I360" s="92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</row>
    <row r="361" ht="15.75" customHeight="1">
      <c r="A361" s="7"/>
      <c r="B361" s="7"/>
      <c r="C361" s="7"/>
      <c r="D361" s="7"/>
      <c r="F361" s="7"/>
      <c r="G361" s="92"/>
      <c r="H361" s="92"/>
      <c r="I361" s="92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</row>
    <row r="362" ht="15.75" customHeight="1">
      <c r="A362" s="7"/>
      <c r="B362" s="7"/>
      <c r="C362" s="7"/>
      <c r="D362" s="7"/>
      <c r="F362" s="7"/>
      <c r="G362" s="92"/>
      <c r="H362" s="92"/>
      <c r="I362" s="92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</row>
    <row r="363" ht="15.75" customHeight="1">
      <c r="A363" s="7"/>
      <c r="B363" s="7"/>
      <c r="C363" s="7"/>
      <c r="D363" s="7"/>
      <c r="F363" s="7"/>
      <c r="G363" s="92"/>
      <c r="H363" s="92"/>
      <c r="I363" s="92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</row>
    <row r="364" ht="15.75" customHeight="1">
      <c r="A364" s="7"/>
      <c r="B364" s="7"/>
      <c r="C364" s="7"/>
      <c r="D364" s="7"/>
      <c r="F364" s="7"/>
      <c r="G364" s="92"/>
      <c r="H364" s="92"/>
      <c r="I364" s="92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</row>
    <row r="365" ht="15.75" customHeight="1">
      <c r="A365" s="7"/>
      <c r="B365" s="7"/>
      <c r="C365" s="7"/>
      <c r="D365" s="7"/>
      <c r="F365" s="7"/>
      <c r="G365" s="92"/>
      <c r="H365" s="92"/>
      <c r="I365" s="92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</row>
    <row r="366" ht="15.75" customHeight="1">
      <c r="A366" s="7"/>
      <c r="B366" s="7"/>
      <c r="C366" s="7"/>
      <c r="D366" s="7"/>
      <c r="F366" s="7"/>
      <c r="G366" s="92"/>
      <c r="H366" s="92"/>
      <c r="I366" s="92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</row>
    <row r="367" ht="15.75" customHeight="1">
      <c r="A367" s="7"/>
      <c r="B367" s="7"/>
      <c r="C367" s="7"/>
      <c r="D367" s="7"/>
      <c r="F367" s="7"/>
      <c r="G367" s="92"/>
      <c r="H367" s="92"/>
      <c r="I367" s="92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</row>
    <row r="368" ht="15.75" customHeight="1">
      <c r="A368" s="7"/>
      <c r="B368" s="7"/>
      <c r="C368" s="7"/>
      <c r="D368" s="7"/>
      <c r="F368" s="7"/>
      <c r="G368" s="92"/>
      <c r="H368" s="92"/>
      <c r="I368" s="92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</row>
    <row r="369" ht="15.75" customHeight="1">
      <c r="A369" s="7"/>
      <c r="B369" s="7"/>
      <c r="C369" s="7"/>
      <c r="D369" s="7"/>
      <c r="F369" s="7"/>
      <c r="G369" s="92"/>
      <c r="H369" s="92"/>
      <c r="I369" s="92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</row>
    <row r="370" ht="15.75" customHeight="1">
      <c r="A370" s="7"/>
      <c r="B370" s="7"/>
      <c r="C370" s="7"/>
      <c r="D370" s="7"/>
      <c r="F370" s="7"/>
      <c r="G370" s="92"/>
      <c r="H370" s="92"/>
      <c r="I370" s="92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</row>
    <row r="371" ht="15.75" customHeight="1">
      <c r="A371" s="7"/>
      <c r="B371" s="7"/>
      <c r="C371" s="7"/>
      <c r="D371" s="7"/>
      <c r="F371" s="7"/>
      <c r="G371" s="92"/>
      <c r="H371" s="92"/>
      <c r="I371" s="92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</row>
    <row r="372" ht="15.75" customHeight="1">
      <c r="A372" s="7"/>
      <c r="B372" s="7"/>
      <c r="C372" s="7"/>
      <c r="D372" s="7"/>
      <c r="F372" s="7"/>
      <c r="G372" s="92"/>
      <c r="H372" s="92"/>
      <c r="I372" s="92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</row>
    <row r="373" ht="15.75" customHeight="1">
      <c r="A373" s="7"/>
      <c r="B373" s="7"/>
      <c r="C373" s="7"/>
      <c r="D373" s="7"/>
      <c r="F373" s="7"/>
      <c r="G373" s="92"/>
      <c r="H373" s="92"/>
      <c r="I373" s="92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</row>
    <row r="374" ht="15.75" customHeight="1">
      <c r="A374" s="7"/>
      <c r="B374" s="7"/>
      <c r="C374" s="7"/>
      <c r="D374" s="7"/>
      <c r="F374" s="7"/>
      <c r="G374" s="92"/>
      <c r="H374" s="92"/>
      <c r="I374" s="92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</row>
    <row r="375" ht="15.75" customHeight="1">
      <c r="A375" s="7"/>
      <c r="B375" s="7"/>
      <c r="C375" s="7"/>
      <c r="D375" s="7"/>
      <c r="F375" s="7"/>
      <c r="G375" s="92"/>
      <c r="H375" s="92"/>
      <c r="I375" s="92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</row>
    <row r="376" ht="15.75" customHeight="1">
      <c r="A376" s="7"/>
      <c r="B376" s="7"/>
      <c r="C376" s="7"/>
      <c r="D376" s="7"/>
      <c r="F376" s="7"/>
      <c r="G376" s="92"/>
      <c r="H376" s="92"/>
      <c r="I376" s="92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</row>
    <row r="377" ht="15.75" customHeight="1">
      <c r="A377" s="7"/>
      <c r="B377" s="7"/>
      <c r="C377" s="7"/>
      <c r="D377" s="7"/>
      <c r="F377" s="7"/>
      <c r="G377" s="92"/>
      <c r="H377" s="92"/>
      <c r="I377" s="92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</row>
    <row r="378" ht="15.75" customHeight="1">
      <c r="A378" s="7"/>
      <c r="B378" s="7"/>
      <c r="C378" s="7"/>
      <c r="D378" s="7"/>
      <c r="F378" s="7"/>
      <c r="G378" s="92"/>
      <c r="H378" s="92"/>
      <c r="I378" s="92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</row>
    <row r="379" ht="15.75" customHeight="1">
      <c r="A379" s="7"/>
      <c r="B379" s="7"/>
      <c r="C379" s="7"/>
      <c r="D379" s="7"/>
      <c r="F379" s="7"/>
      <c r="G379" s="92"/>
      <c r="H379" s="92"/>
      <c r="I379" s="92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</row>
    <row r="380" ht="15.75" customHeight="1">
      <c r="A380" s="7"/>
      <c r="B380" s="7"/>
      <c r="C380" s="7"/>
      <c r="D380" s="7"/>
      <c r="F380" s="7"/>
      <c r="G380" s="92"/>
      <c r="H380" s="92"/>
      <c r="I380" s="92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</row>
    <row r="381" ht="15.75" customHeight="1">
      <c r="A381" s="7"/>
      <c r="B381" s="7"/>
      <c r="C381" s="7"/>
      <c r="D381" s="7"/>
      <c r="F381" s="7"/>
      <c r="G381" s="92"/>
      <c r="H381" s="92"/>
      <c r="I381" s="92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</row>
    <row r="382" ht="15.75" customHeight="1">
      <c r="A382" s="7"/>
      <c r="B382" s="7"/>
      <c r="C382" s="7"/>
      <c r="D382" s="7"/>
      <c r="F382" s="7"/>
      <c r="G382" s="92"/>
      <c r="H382" s="92"/>
      <c r="I382" s="92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</row>
    <row r="383" ht="15.75" customHeight="1">
      <c r="A383" s="7"/>
      <c r="B383" s="7"/>
      <c r="C383" s="7"/>
      <c r="D383" s="7"/>
      <c r="F383" s="7"/>
      <c r="G383" s="92"/>
      <c r="H383" s="92"/>
      <c r="I383" s="92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</row>
    <row r="384" ht="15.75" customHeight="1">
      <c r="A384" s="7"/>
      <c r="B384" s="7"/>
      <c r="C384" s="7"/>
      <c r="D384" s="7"/>
      <c r="F384" s="7"/>
      <c r="G384" s="92"/>
      <c r="H384" s="92"/>
      <c r="I384" s="92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</row>
    <row r="385" ht="15.75" customHeight="1">
      <c r="A385" s="7"/>
      <c r="B385" s="7"/>
      <c r="C385" s="7"/>
      <c r="D385" s="7"/>
      <c r="F385" s="7"/>
      <c r="G385" s="92"/>
      <c r="H385" s="92"/>
      <c r="I385" s="92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</row>
    <row r="386" ht="15.75" customHeight="1">
      <c r="A386" s="7"/>
      <c r="B386" s="7"/>
      <c r="C386" s="7"/>
      <c r="D386" s="7"/>
      <c r="F386" s="7"/>
      <c r="G386" s="92"/>
      <c r="H386" s="92"/>
      <c r="I386" s="92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</row>
    <row r="387" ht="15.75" customHeight="1">
      <c r="A387" s="7"/>
      <c r="B387" s="7"/>
      <c r="C387" s="7"/>
      <c r="D387" s="7"/>
      <c r="F387" s="7"/>
      <c r="G387" s="92"/>
      <c r="H387" s="92"/>
      <c r="I387" s="92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</row>
    <row r="388" ht="15.75" customHeight="1">
      <c r="A388" s="7"/>
      <c r="B388" s="7"/>
      <c r="C388" s="7"/>
      <c r="D388" s="7"/>
      <c r="F388" s="7"/>
      <c r="G388" s="92"/>
      <c r="H388" s="92"/>
      <c r="I388" s="92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</row>
    <row r="389" ht="15.75" customHeight="1">
      <c r="A389" s="7"/>
      <c r="B389" s="7"/>
      <c r="C389" s="7"/>
      <c r="D389" s="7"/>
      <c r="F389" s="7"/>
      <c r="G389" s="92"/>
      <c r="H389" s="92"/>
      <c r="I389" s="92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</row>
    <row r="390" ht="15.75" customHeight="1">
      <c r="A390" s="7"/>
      <c r="B390" s="7"/>
      <c r="C390" s="7"/>
      <c r="D390" s="7"/>
      <c r="F390" s="7"/>
      <c r="G390" s="92"/>
      <c r="H390" s="92"/>
      <c r="I390" s="92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</row>
    <row r="391" ht="15.75" customHeight="1">
      <c r="A391" s="7"/>
      <c r="B391" s="7"/>
      <c r="C391" s="7"/>
      <c r="D391" s="7"/>
      <c r="F391" s="7"/>
      <c r="G391" s="92"/>
      <c r="H391" s="92"/>
      <c r="I391" s="92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</row>
    <row r="392" ht="15.75" customHeight="1">
      <c r="A392" s="7"/>
      <c r="B392" s="7"/>
      <c r="C392" s="7"/>
      <c r="D392" s="7"/>
      <c r="F392" s="7"/>
      <c r="G392" s="92"/>
      <c r="H392" s="92"/>
      <c r="I392" s="92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</row>
    <row r="393" ht="15.75" customHeight="1">
      <c r="A393" s="7"/>
      <c r="B393" s="7"/>
      <c r="C393" s="7"/>
      <c r="D393" s="7"/>
      <c r="F393" s="7"/>
      <c r="G393" s="92"/>
      <c r="H393" s="92"/>
      <c r="I393" s="92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</row>
    <row r="394" ht="15.75" customHeight="1">
      <c r="A394" s="7"/>
      <c r="B394" s="7"/>
      <c r="C394" s="7"/>
      <c r="D394" s="7"/>
      <c r="F394" s="7"/>
      <c r="G394" s="92"/>
      <c r="H394" s="92"/>
      <c r="I394" s="92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</row>
    <row r="395" ht="15.75" customHeight="1">
      <c r="A395" s="7"/>
      <c r="B395" s="7"/>
      <c r="C395" s="7"/>
      <c r="D395" s="7"/>
      <c r="F395" s="7"/>
      <c r="G395" s="92"/>
      <c r="H395" s="92"/>
      <c r="I395" s="92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</row>
    <row r="396" ht="15.75" customHeight="1">
      <c r="A396" s="7"/>
      <c r="B396" s="7"/>
      <c r="C396" s="7"/>
      <c r="D396" s="7"/>
      <c r="F396" s="7"/>
      <c r="G396" s="92"/>
      <c r="H396" s="92"/>
      <c r="I396" s="92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</row>
    <row r="397" ht="15.75" customHeight="1">
      <c r="A397" s="7"/>
      <c r="B397" s="7"/>
      <c r="C397" s="7"/>
      <c r="D397" s="7"/>
      <c r="F397" s="7"/>
      <c r="G397" s="92"/>
      <c r="H397" s="92"/>
      <c r="I397" s="92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</row>
    <row r="398" ht="15.75" customHeight="1">
      <c r="A398" s="7"/>
      <c r="B398" s="7"/>
      <c r="C398" s="7"/>
      <c r="D398" s="7"/>
      <c r="F398" s="7"/>
      <c r="G398" s="92"/>
      <c r="H398" s="92"/>
      <c r="I398" s="92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</row>
    <row r="399" ht="15.75" customHeight="1">
      <c r="A399" s="7"/>
      <c r="B399" s="7"/>
      <c r="C399" s="7"/>
      <c r="D399" s="7"/>
      <c r="F399" s="7"/>
      <c r="G399" s="92"/>
      <c r="H399" s="92"/>
      <c r="I399" s="92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</row>
    <row r="400" ht="15.75" customHeight="1">
      <c r="A400" s="7"/>
      <c r="B400" s="7"/>
      <c r="C400" s="7"/>
      <c r="D400" s="7"/>
      <c r="F400" s="7"/>
      <c r="G400" s="92"/>
      <c r="H400" s="92"/>
      <c r="I400" s="92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</row>
    <row r="401" ht="15.75" customHeight="1">
      <c r="A401" s="7"/>
      <c r="B401" s="7"/>
      <c r="C401" s="7"/>
      <c r="D401" s="7"/>
      <c r="F401" s="7"/>
      <c r="G401" s="92"/>
      <c r="H401" s="92"/>
      <c r="I401" s="92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</row>
    <row r="402" ht="15.75" customHeight="1">
      <c r="A402" s="7"/>
      <c r="B402" s="7"/>
      <c r="C402" s="7"/>
      <c r="D402" s="7"/>
      <c r="F402" s="7"/>
      <c r="G402" s="92"/>
      <c r="H402" s="92"/>
      <c r="I402" s="92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</row>
    <row r="403" ht="15.75" customHeight="1">
      <c r="A403" s="7"/>
      <c r="B403" s="7"/>
      <c r="C403" s="7"/>
      <c r="D403" s="7"/>
      <c r="F403" s="7"/>
      <c r="G403" s="92"/>
      <c r="H403" s="92"/>
      <c r="I403" s="92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</row>
    <row r="404" ht="15.75" customHeight="1">
      <c r="A404" s="7"/>
      <c r="B404" s="7"/>
      <c r="C404" s="7"/>
      <c r="D404" s="7"/>
      <c r="F404" s="7"/>
      <c r="G404" s="92"/>
      <c r="H404" s="92"/>
      <c r="I404" s="92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</row>
    <row r="405" ht="15.75" customHeight="1">
      <c r="A405" s="7"/>
      <c r="B405" s="7"/>
      <c r="C405" s="7"/>
      <c r="D405" s="7"/>
      <c r="F405" s="7"/>
      <c r="G405" s="92"/>
      <c r="H405" s="92"/>
      <c r="I405" s="92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</row>
    <row r="406" ht="15.75" customHeight="1">
      <c r="A406" s="7"/>
      <c r="B406" s="7"/>
      <c r="C406" s="7"/>
      <c r="D406" s="7"/>
      <c r="F406" s="7"/>
      <c r="G406" s="92"/>
      <c r="H406" s="92"/>
      <c r="I406" s="92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</row>
    <row r="407" ht="15.75" customHeight="1">
      <c r="A407" s="7"/>
      <c r="B407" s="7"/>
      <c r="C407" s="7"/>
      <c r="D407" s="7"/>
      <c r="F407" s="7"/>
      <c r="G407" s="92"/>
      <c r="H407" s="92"/>
      <c r="I407" s="92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</row>
    <row r="408" ht="15.75" customHeight="1">
      <c r="A408" s="7"/>
      <c r="B408" s="7"/>
      <c r="C408" s="7"/>
      <c r="D408" s="7"/>
      <c r="F408" s="7"/>
      <c r="G408" s="92"/>
      <c r="H408" s="92"/>
      <c r="I408" s="92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</row>
    <row r="409" ht="15.75" customHeight="1">
      <c r="A409" s="7"/>
      <c r="B409" s="7"/>
      <c r="C409" s="7"/>
      <c r="D409" s="7"/>
      <c r="F409" s="7"/>
      <c r="G409" s="92"/>
      <c r="H409" s="92"/>
      <c r="I409" s="92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</row>
    <row r="410" ht="15.75" customHeight="1">
      <c r="A410" s="7"/>
      <c r="B410" s="7"/>
      <c r="C410" s="7"/>
      <c r="D410" s="7"/>
      <c r="F410" s="7"/>
      <c r="G410" s="92"/>
      <c r="H410" s="92"/>
      <c r="I410" s="92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</row>
    <row r="411" ht="15.75" customHeight="1">
      <c r="A411" s="7"/>
      <c r="B411" s="7"/>
      <c r="C411" s="7"/>
      <c r="D411" s="7"/>
      <c r="F411" s="7"/>
      <c r="G411" s="92"/>
      <c r="H411" s="92"/>
      <c r="I411" s="92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</row>
    <row r="412" ht="15.75" customHeight="1">
      <c r="A412" s="7"/>
      <c r="B412" s="7"/>
      <c r="C412" s="7"/>
      <c r="D412" s="7"/>
      <c r="F412" s="7"/>
      <c r="G412" s="92"/>
      <c r="H412" s="92"/>
      <c r="I412" s="92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</row>
    <row r="413" ht="15.75" customHeight="1">
      <c r="A413" s="7"/>
      <c r="B413" s="7"/>
      <c r="C413" s="7"/>
      <c r="D413" s="7"/>
      <c r="F413" s="7"/>
      <c r="G413" s="92"/>
      <c r="H413" s="92"/>
      <c r="I413" s="92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</row>
    <row r="414" ht="15.75" customHeight="1">
      <c r="A414" s="7"/>
      <c r="B414" s="7"/>
      <c r="C414" s="7"/>
      <c r="D414" s="7"/>
      <c r="F414" s="7"/>
      <c r="G414" s="92"/>
      <c r="H414" s="92"/>
      <c r="I414" s="92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</row>
    <row r="415" ht="15.75" customHeight="1">
      <c r="A415" s="7"/>
      <c r="B415" s="7"/>
      <c r="C415" s="7"/>
      <c r="D415" s="7"/>
      <c r="F415" s="7"/>
      <c r="G415" s="92"/>
      <c r="H415" s="92"/>
      <c r="I415" s="92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</row>
    <row r="416" ht="15.75" customHeight="1">
      <c r="A416" s="7"/>
      <c r="B416" s="7"/>
      <c r="C416" s="7"/>
      <c r="D416" s="7"/>
      <c r="F416" s="7"/>
      <c r="G416" s="92"/>
      <c r="H416" s="92"/>
      <c r="I416" s="92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</row>
    <row r="417" ht="15.75" customHeight="1">
      <c r="A417" s="7"/>
      <c r="B417" s="7"/>
      <c r="C417" s="7"/>
      <c r="D417" s="7"/>
      <c r="F417" s="7"/>
      <c r="G417" s="92"/>
      <c r="H417" s="92"/>
      <c r="I417" s="92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</row>
    <row r="418" ht="15.75" customHeight="1">
      <c r="A418" s="7"/>
      <c r="B418" s="7"/>
      <c r="C418" s="7"/>
      <c r="D418" s="7"/>
      <c r="F418" s="7"/>
      <c r="G418" s="92"/>
      <c r="H418" s="92"/>
      <c r="I418" s="92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</row>
    <row r="419" ht="15.75" customHeight="1">
      <c r="A419" s="7"/>
      <c r="B419" s="7"/>
      <c r="C419" s="7"/>
      <c r="D419" s="7"/>
      <c r="F419" s="7"/>
      <c r="G419" s="92"/>
      <c r="H419" s="92"/>
      <c r="I419" s="92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</row>
    <row r="420" ht="15.75" customHeight="1">
      <c r="A420" s="7"/>
      <c r="B420" s="7"/>
      <c r="C420" s="7"/>
      <c r="D420" s="7"/>
      <c r="F420" s="7"/>
      <c r="G420" s="92"/>
      <c r="H420" s="92"/>
      <c r="I420" s="92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</row>
    <row r="421" ht="15.75" customHeight="1">
      <c r="A421" s="7"/>
      <c r="B421" s="7"/>
      <c r="C421" s="7"/>
      <c r="D421" s="7"/>
      <c r="F421" s="7"/>
      <c r="G421" s="92"/>
      <c r="H421" s="92"/>
      <c r="I421" s="92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</row>
    <row r="422" ht="15.75" customHeight="1">
      <c r="A422" s="7"/>
      <c r="B422" s="7"/>
      <c r="C422" s="7"/>
      <c r="D422" s="7"/>
      <c r="F422" s="7"/>
      <c r="G422" s="92"/>
      <c r="H422" s="92"/>
      <c r="I422" s="92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</row>
    <row r="423" ht="15.75" customHeight="1">
      <c r="A423" s="7"/>
      <c r="B423" s="7"/>
      <c r="C423" s="7"/>
      <c r="D423" s="7"/>
      <c r="F423" s="7"/>
      <c r="G423" s="92"/>
      <c r="H423" s="92"/>
      <c r="I423" s="92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</row>
    <row r="424" ht="15.75" customHeight="1">
      <c r="A424" s="7"/>
      <c r="B424" s="7"/>
      <c r="C424" s="7"/>
      <c r="D424" s="7"/>
      <c r="F424" s="7"/>
      <c r="G424" s="92"/>
      <c r="H424" s="92"/>
      <c r="I424" s="92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</row>
    <row r="425" ht="15.75" customHeight="1">
      <c r="A425" s="7"/>
      <c r="B425" s="7"/>
      <c r="C425" s="7"/>
      <c r="D425" s="7"/>
      <c r="F425" s="7"/>
      <c r="G425" s="92"/>
      <c r="H425" s="92"/>
      <c r="I425" s="92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</row>
    <row r="426" ht="15.75" customHeight="1">
      <c r="A426" s="7"/>
      <c r="B426" s="7"/>
      <c r="C426" s="7"/>
      <c r="D426" s="7"/>
      <c r="F426" s="7"/>
      <c r="G426" s="92"/>
      <c r="H426" s="92"/>
      <c r="I426" s="92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</row>
    <row r="427" ht="15.75" customHeight="1">
      <c r="A427" s="7"/>
      <c r="B427" s="7"/>
      <c r="C427" s="7"/>
      <c r="D427" s="7"/>
      <c r="F427" s="7"/>
      <c r="G427" s="92"/>
      <c r="H427" s="92"/>
      <c r="I427" s="92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</row>
    <row r="428" ht="15.75" customHeight="1">
      <c r="A428" s="7"/>
      <c r="B428" s="7"/>
      <c r="C428" s="7"/>
      <c r="D428" s="7"/>
      <c r="F428" s="7"/>
      <c r="G428" s="92"/>
      <c r="H428" s="92"/>
      <c r="I428" s="92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</row>
    <row r="429" ht="15.75" customHeight="1">
      <c r="A429" s="7"/>
      <c r="B429" s="7"/>
      <c r="C429" s="7"/>
      <c r="D429" s="7"/>
      <c r="F429" s="7"/>
      <c r="G429" s="92"/>
      <c r="H429" s="92"/>
      <c r="I429" s="92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</row>
    <row r="430" ht="15.75" customHeight="1">
      <c r="A430" s="7"/>
      <c r="B430" s="7"/>
      <c r="C430" s="7"/>
      <c r="D430" s="7"/>
      <c r="F430" s="7"/>
      <c r="G430" s="92"/>
      <c r="H430" s="92"/>
      <c r="I430" s="92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</row>
    <row r="431" ht="15.75" customHeight="1">
      <c r="A431" s="7"/>
      <c r="B431" s="7"/>
      <c r="C431" s="7"/>
      <c r="D431" s="7"/>
      <c r="F431" s="7"/>
      <c r="G431" s="92"/>
      <c r="H431" s="92"/>
      <c r="I431" s="92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</row>
    <row r="432" ht="15.75" customHeight="1">
      <c r="A432" s="7"/>
      <c r="B432" s="7"/>
      <c r="C432" s="7"/>
      <c r="D432" s="7"/>
      <c r="F432" s="7"/>
      <c r="G432" s="92"/>
      <c r="H432" s="92"/>
      <c r="I432" s="92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</row>
    <row r="433" ht="15.75" customHeight="1">
      <c r="A433" s="7"/>
      <c r="B433" s="7"/>
      <c r="C433" s="7"/>
      <c r="D433" s="7"/>
      <c r="F433" s="7"/>
      <c r="G433" s="92"/>
      <c r="H433" s="92"/>
      <c r="I433" s="92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</row>
    <row r="434" ht="15.75" customHeight="1">
      <c r="A434" s="7"/>
      <c r="B434" s="7"/>
      <c r="C434" s="7"/>
      <c r="D434" s="7"/>
      <c r="F434" s="7"/>
      <c r="G434" s="92"/>
      <c r="H434" s="92"/>
      <c r="I434" s="92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</row>
    <row r="435" ht="15.75" customHeight="1">
      <c r="A435" s="7"/>
      <c r="B435" s="7"/>
      <c r="C435" s="7"/>
      <c r="D435" s="7"/>
      <c r="F435" s="7"/>
      <c r="G435" s="92"/>
      <c r="H435" s="92"/>
      <c r="I435" s="92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</row>
    <row r="436" ht="15.75" customHeight="1">
      <c r="A436" s="7"/>
      <c r="B436" s="7"/>
      <c r="C436" s="7"/>
      <c r="D436" s="7"/>
      <c r="F436" s="7"/>
      <c r="G436" s="92"/>
      <c r="H436" s="92"/>
      <c r="I436" s="92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</row>
    <row r="437" ht="15.75" customHeight="1">
      <c r="A437" s="7"/>
      <c r="B437" s="7"/>
      <c r="C437" s="7"/>
      <c r="D437" s="7"/>
      <c r="F437" s="7"/>
      <c r="G437" s="92"/>
      <c r="H437" s="92"/>
      <c r="I437" s="92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</row>
    <row r="438" ht="15.75" customHeight="1">
      <c r="A438" s="7"/>
      <c r="B438" s="7"/>
      <c r="C438" s="7"/>
      <c r="D438" s="7"/>
      <c r="F438" s="7"/>
      <c r="G438" s="92"/>
      <c r="H438" s="92"/>
      <c r="I438" s="92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</row>
    <row r="439" ht="15.75" customHeight="1">
      <c r="A439" s="7"/>
      <c r="B439" s="7"/>
      <c r="C439" s="7"/>
      <c r="D439" s="7"/>
      <c r="F439" s="7"/>
      <c r="G439" s="92"/>
      <c r="H439" s="92"/>
      <c r="I439" s="92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</row>
    <row r="440" ht="15.75" customHeight="1">
      <c r="A440" s="7"/>
      <c r="B440" s="7"/>
      <c r="C440" s="7"/>
      <c r="D440" s="7"/>
      <c r="F440" s="7"/>
      <c r="G440" s="92"/>
      <c r="H440" s="92"/>
      <c r="I440" s="92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</row>
    <row r="441" ht="15.75" customHeight="1">
      <c r="A441" s="7"/>
      <c r="B441" s="7"/>
      <c r="C441" s="7"/>
      <c r="D441" s="7"/>
      <c r="F441" s="7"/>
      <c r="G441" s="92"/>
      <c r="H441" s="92"/>
      <c r="I441" s="92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</row>
    <row r="442" ht="15.75" customHeight="1">
      <c r="A442" s="7"/>
      <c r="B442" s="7"/>
      <c r="C442" s="7"/>
      <c r="D442" s="7"/>
      <c r="F442" s="7"/>
      <c r="G442" s="92"/>
      <c r="H442" s="92"/>
      <c r="I442" s="92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</row>
    <row r="443" ht="15.75" customHeight="1">
      <c r="A443" s="7"/>
      <c r="B443" s="7"/>
      <c r="C443" s="7"/>
      <c r="D443" s="7"/>
      <c r="F443" s="7"/>
      <c r="G443" s="92"/>
      <c r="H443" s="92"/>
      <c r="I443" s="92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</row>
    <row r="444" ht="15.75" customHeight="1">
      <c r="A444" s="7"/>
      <c r="B444" s="7"/>
      <c r="C444" s="7"/>
      <c r="D444" s="7"/>
      <c r="F444" s="7"/>
      <c r="G444" s="92"/>
      <c r="H444" s="92"/>
      <c r="I444" s="92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</row>
    <row r="445" ht="15.75" customHeight="1">
      <c r="A445" s="7"/>
      <c r="B445" s="7"/>
      <c r="C445" s="7"/>
      <c r="D445" s="7"/>
      <c r="F445" s="7"/>
      <c r="G445" s="92"/>
      <c r="H445" s="92"/>
      <c r="I445" s="92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</row>
    <row r="446" ht="15.75" customHeight="1">
      <c r="A446" s="7"/>
      <c r="B446" s="7"/>
      <c r="C446" s="7"/>
      <c r="D446" s="7"/>
      <c r="F446" s="7"/>
      <c r="G446" s="92"/>
      <c r="H446" s="92"/>
      <c r="I446" s="92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</row>
    <row r="447" ht="15.75" customHeight="1">
      <c r="A447" s="7"/>
      <c r="B447" s="7"/>
      <c r="C447" s="7"/>
      <c r="D447" s="7"/>
      <c r="F447" s="7"/>
      <c r="G447" s="92"/>
      <c r="H447" s="92"/>
      <c r="I447" s="92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</row>
    <row r="448" ht="15.75" customHeight="1">
      <c r="A448" s="7"/>
      <c r="B448" s="7"/>
      <c r="C448" s="7"/>
      <c r="D448" s="7"/>
      <c r="F448" s="7"/>
      <c r="G448" s="92"/>
      <c r="H448" s="92"/>
      <c r="I448" s="92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</row>
    <row r="449" ht="15.75" customHeight="1">
      <c r="A449" s="7"/>
      <c r="B449" s="7"/>
      <c r="C449" s="7"/>
      <c r="D449" s="7"/>
      <c r="F449" s="7"/>
      <c r="G449" s="92"/>
      <c r="H449" s="92"/>
      <c r="I449" s="92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</row>
    <row r="450" ht="15.75" customHeight="1">
      <c r="A450" s="7"/>
      <c r="B450" s="7"/>
      <c r="C450" s="7"/>
      <c r="D450" s="7"/>
      <c r="F450" s="7"/>
      <c r="G450" s="92"/>
      <c r="H450" s="92"/>
      <c r="I450" s="92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</row>
    <row r="451" ht="15.75" customHeight="1">
      <c r="A451" s="7"/>
      <c r="B451" s="7"/>
      <c r="C451" s="7"/>
      <c r="D451" s="7"/>
      <c r="F451" s="7"/>
      <c r="G451" s="92"/>
      <c r="H451" s="92"/>
      <c r="I451" s="92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</row>
    <row r="452" ht="15.75" customHeight="1">
      <c r="A452" s="7"/>
      <c r="B452" s="7"/>
      <c r="C452" s="7"/>
      <c r="D452" s="7"/>
      <c r="F452" s="7"/>
      <c r="G452" s="92"/>
      <c r="H452" s="92"/>
      <c r="I452" s="92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</row>
    <row r="453" ht="15.75" customHeight="1">
      <c r="A453" s="7"/>
      <c r="B453" s="7"/>
      <c r="C453" s="7"/>
      <c r="D453" s="7"/>
      <c r="F453" s="7"/>
      <c r="G453" s="92"/>
      <c r="H453" s="92"/>
      <c r="I453" s="92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</row>
    <row r="454" ht="15.75" customHeight="1">
      <c r="A454" s="7"/>
      <c r="B454" s="7"/>
      <c r="C454" s="7"/>
      <c r="D454" s="7"/>
      <c r="F454" s="7"/>
      <c r="G454" s="92"/>
      <c r="H454" s="92"/>
      <c r="I454" s="92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</row>
    <row r="455" ht="15.75" customHeight="1">
      <c r="A455" s="7"/>
      <c r="B455" s="7"/>
      <c r="C455" s="7"/>
      <c r="D455" s="7"/>
      <c r="F455" s="7"/>
      <c r="G455" s="92"/>
      <c r="H455" s="92"/>
      <c r="I455" s="92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</row>
    <row r="456" ht="15.75" customHeight="1">
      <c r="A456" s="7"/>
      <c r="B456" s="7"/>
      <c r="C456" s="7"/>
      <c r="D456" s="7"/>
      <c r="F456" s="7"/>
      <c r="G456" s="92"/>
      <c r="H456" s="92"/>
      <c r="I456" s="92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</row>
    <row r="457" ht="15.75" customHeight="1">
      <c r="A457" s="7"/>
      <c r="B457" s="7"/>
      <c r="C457" s="7"/>
      <c r="D457" s="7"/>
      <c r="F457" s="7"/>
      <c r="G457" s="92"/>
      <c r="H457" s="92"/>
      <c r="I457" s="92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</row>
    <row r="458" ht="15.75" customHeight="1">
      <c r="A458" s="7"/>
      <c r="B458" s="7"/>
      <c r="C458" s="7"/>
      <c r="D458" s="7"/>
      <c r="F458" s="7"/>
      <c r="G458" s="92"/>
      <c r="H458" s="92"/>
      <c r="I458" s="92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</row>
    <row r="459" ht="15.75" customHeight="1">
      <c r="A459" s="7"/>
      <c r="B459" s="7"/>
      <c r="C459" s="7"/>
      <c r="D459" s="7"/>
      <c r="F459" s="7"/>
      <c r="G459" s="92"/>
      <c r="H459" s="92"/>
      <c r="I459" s="92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</row>
    <row r="460" ht="15.75" customHeight="1">
      <c r="A460" s="7"/>
      <c r="B460" s="7"/>
      <c r="C460" s="7"/>
      <c r="D460" s="7"/>
      <c r="F460" s="7"/>
      <c r="G460" s="92"/>
      <c r="H460" s="92"/>
      <c r="I460" s="92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</row>
    <row r="461" ht="15.75" customHeight="1">
      <c r="A461" s="7"/>
      <c r="B461" s="7"/>
      <c r="C461" s="7"/>
      <c r="D461" s="7"/>
      <c r="F461" s="7"/>
      <c r="G461" s="92"/>
      <c r="H461" s="92"/>
      <c r="I461" s="92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</row>
    <row r="462" ht="15.75" customHeight="1">
      <c r="A462" s="7"/>
      <c r="B462" s="7"/>
      <c r="C462" s="7"/>
      <c r="D462" s="7"/>
      <c r="F462" s="7"/>
      <c r="G462" s="92"/>
      <c r="H462" s="92"/>
      <c r="I462" s="92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</row>
    <row r="463" ht="15.75" customHeight="1">
      <c r="A463" s="7"/>
      <c r="B463" s="7"/>
      <c r="C463" s="7"/>
      <c r="D463" s="7"/>
      <c r="F463" s="7"/>
      <c r="G463" s="92"/>
      <c r="H463" s="92"/>
      <c r="I463" s="92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</row>
    <row r="464" ht="15.75" customHeight="1">
      <c r="A464" s="7"/>
      <c r="B464" s="7"/>
      <c r="C464" s="7"/>
      <c r="D464" s="7"/>
      <c r="F464" s="7"/>
      <c r="G464" s="92"/>
      <c r="H464" s="92"/>
      <c r="I464" s="92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</row>
    <row r="465" ht="15.75" customHeight="1">
      <c r="A465" s="7"/>
      <c r="B465" s="7"/>
      <c r="C465" s="7"/>
      <c r="D465" s="7"/>
      <c r="F465" s="7"/>
      <c r="G465" s="92"/>
      <c r="H465" s="92"/>
      <c r="I465" s="92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</row>
    <row r="466" ht="15.75" customHeight="1">
      <c r="A466" s="7"/>
      <c r="B466" s="7"/>
      <c r="C466" s="7"/>
      <c r="D466" s="7"/>
      <c r="F466" s="7"/>
      <c r="G466" s="92"/>
      <c r="H466" s="92"/>
      <c r="I466" s="92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</row>
    <row r="467" ht="15.75" customHeight="1">
      <c r="A467" s="7"/>
      <c r="B467" s="7"/>
      <c r="C467" s="7"/>
      <c r="D467" s="7"/>
      <c r="F467" s="7"/>
      <c r="G467" s="92"/>
      <c r="H467" s="92"/>
      <c r="I467" s="92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</row>
    <row r="468" ht="15.75" customHeight="1">
      <c r="A468" s="7"/>
      <c r="B468" s="7"/>
      <c r="C468" s="7"/>
      <c r="D468" s="7"/>
      <c r="F468" s="7"/>
      <c r="G468" s="92"/>
      <c r="H468" s="92"/>
      <c r="I468" s="92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</row>
    <row r="469" ht="15.75" customHeight="1">
      <c r="A469" s="7"/>
      <c r="B469" s="7"/>
      <c r="C469" s="7"/>
      <c r="D469" s="7"/>
      <c r="F469" s="7"/>
      <c r="G469" s="92"/>
      <c r="H469" s="92"/>
      <c r="I469" s="92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</row>
    <row r="470" ht="15.75" customHeight="1">
      <c r="A470" s="7"/>
      <c r="B470" s="7"/>
      <c r="C470" s="7"/>
      <c r="D470" s="7"/>
      <c r="F470" s="7"/>
      <c r="G470" s="92"/>
      <c r="H470" s="92"/>
      <c r="I470" s="92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</row>
    <row r="471" ht="15.75" customHeight="1">
      <c r="A471" s="7"/>
      <c r="B471" s="7"/>
      <c r="C471" s="7"/>
      <c r="D471" s="7"/>
      <c r="F471" s="7"/>
      <c r="G471" s="92"/>
      <c r="H471" s="92"/>
      <c r="I471" s="92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</row>
    <row r="472" ht="15.75" customHeight="1">
      <c r="A472" s="7"/>
      <c r="B472" s="7"/>
      <c r="C472" s="7"/>
      <c r="D472" s="7"/>
      <c r="F472" s="7"/>
      <c r="G472" s="92"/>
      <c r="H472" s="92"/>
      <c r="I472" s="92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</row>
    <row r="473" ht="15.75" customHeight="1">
      <c r="A473" s="7"/>
      <c r="B473" s="7"/>
      <c r="C473" s="7"/>
      <c r="D473" s="7"/>
      <c r="F473" s="7"/>
      <c r="G473" s="92"/>
      <c r="H473" s="92"/>
      <c r="I473" s="92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</row>
    <row r="474" ht="15.75" customHeight="1">
      <c r="A474" s="7"/>
      <c r="B474" s="7"/>
      <c r="C474" s="7"/>
      <c r="D474" s="7"/>
      <c r="F474" s="7"/>
      <c r="G474" s="92"/>
      <c r="H474" s="92"/>
      <c r="I474" s="92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</row>
    <row r="475" ht="15.75" customHeight="1">
      <c r="A475" s="7"/>
      <c r="B475" s="7"/>
      <c r="C475" s="7"/>
      <c r="D475" s="7"/>
      <c r="F475" s="7"/>
      <c r="G475" s="92"/>
      <c r="H475" s="92"/>
      <c r="I475" s="92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</row>
    <row r="476" ht="15.75" customHeight="1">
      <c r="A476" s="7"/>
      <c r="B476" s="7"/>
      <c r="C476" s="7"/>
      <c r="D476" s="7"/>
      <c r="F476" s="7"/>
      <c r="G476" s="92"/>
      <c r="H476" s="92"/>
      <c r="I476" s="92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</row>
    <row r="477" ht="15.75" customHeight="1">
      <c r="A477" s="7"/>
      <c r="B477" s="7"/>
      <c r="C477" s="7"/>
      <c r="D477" s="7"/>
      <c r="F477" s="7"/>
      <c r="G477" s="92"/>
      <c r="H477" s="92"/>
      <c r="I477" s="92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</row>
    <row r="478" ht="15.75" customHeight="1">
      <c r="A478" s="7"/>
      <c r="B478" s="7"/>
      <c r="C478" s="7"/>
      <c r="D478" s="7"/>
      <c r="F478" s="7"/>
      <c r="G478" s="92"/>
      <c r="H478" s="92"/>
      <c r="I478" s="92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</row>
    <row r="479" ht="15.75" customHeight="1">
      <c r="A479" s="7"/>
      <c r="B479" s="7"/>
      <c r="C479" s="7"/>
      <c r="D479" s="7"/>
      <c r="F479" s="7"/>
      <c r="G479" s="92"/>
      <c r="H479" s="92"/>
      <c r="I479" s="92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</row>
    <row r="480" ht="15.75" customHeight="1">
      <c r="A480" s="7"/>
      <c r="B480" s="7"/>
      <c r="C480" s="7"/>
      <c r="D480" s="7"/>
      <c r="F480" s="7"/>
      <c r="G480" s="92"/>
      <c r="H480" s="92"/>
      <c r="I480" s="92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</row>
    <row r="481" ht="15.75" customHeight="1">
      <c r="A481" s="7"/>
      <c r="B481" s="7"/>
      <c r="C481" s="7"/>
      <c r="D481" s="7"/>
      <c r="F481" s="7"/>
      <c r="G481" s="92"/>
      <c r="H481" s="92"/>
      <c r="I481" s="92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</row>
    <row r="482" ht="15.75" customHeight="1">
      <c r="A482" s="7"/>
      <c r="B482" s="7"/>
      <c r="C482" s="7"/>
      <c r="D482" s="7"/>
      <c r="F482" s="7"/>
      <c r="G482" s="92"/>
      <c r="H482" s="92"/>
      <c r="I482" s="92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</row>
    <row r="483" ht="15.75" customHeight="1">
      <c r="A483" s="7"/>
      <c r="B483" s="7"/>
      <c r="C483" s="7"/>
      <c r="D483" s="7"/>
      <c r="F483" s="7"/>
      <c r="G483" s="92"/>
      <c r="H483" s="92"/>
      <c r="I483" s="92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</row>
    <row r="484" ht="15.75" customHeight="1">
      <c r="A484" s="7"/>
      <c r="B484" s="7"/>
      <c r="C484" s="7"/>
      <c r="D484" s="7"/>
      <c r="F484" s="7"/>
      <c r="G484" s="92"/>
      <c r="H484" s="92"/>
      <c r="I484" s="92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</row>
    <row r="485" ht="15.75" customHeight="1">
      <c r="A485" s="7"/>
      <c r="B485" s="7"/>
      <c r="C485" s="7"/>
      <c r="D485" s="7"/>
      <c r="F485" s="7"/>
      <c r="G485" s="92"/>
      <c r="H485" s="92"/>
      <c r="I485" s="92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</row>
    <row r="486" ht="15.75" customHeight="1">
      <c r="A486" s="7"/>
      <c r="B486" s="7"/>
      <c r="C486" s="7"/>
      <c r="D486" s="7"/>
      <c r="F486" s="7"/>
      <c r="G486" s="92"/>
      <c r="H486" s="92"/>
      <c r="I486" s="92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</row>
    <row r="487" ht="15.75" customHeight="1">
      <c r="A487" s="7"/>
      <c r="B487" s="7"/>
      <c r="C487" s="7"/>
      <c r="D487" s="7"/>
      <c r="F487" s="7"/>
      <c r="G487" s="92"/>
      <c r="H487" s="92"/>
      <c r="I487" s="92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</row>
    <row r="488" ht="15.75" customHeight="1">
      <c r="A488" s="7"/>
      <c r="B488" s="7"/>
      <c r="C488" s="7"/>
      <c r="D488" s="7"/>
      <c r="F488" s="7"/>
      <c r="G488" s="92"/>
      <c r="H488" s="92"/>
      <c r="I488" s="92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</row>
    <row r="489" ht="15.75" customHeight="1">
      <c r="A489" s="7"/>
      <c r="B489" s="7"/>
      <c r="C489" s="7"/>
      <c r="D489" s="7"/>
      <c r="F489" s="7"/>
      <c r="G489" s="92"/>
      <c r="H489" s="92"/>
      <c r="I489" s="92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</row>
    <row r="490" ht="15.75" customHeight="1">
      <c r="A490" s="7"/>
      <c r="B490" s="7"/>
      <c r="C490" s="7"/>
      <c r="D490" s="7"/>
      <c r="F490" s="7"/>
      <c r="G490" s="92"/>
      <c r="H490" s="92"/>
      <c r="I490" s="92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</row>
    <row r="491" ht="15.75" customHeight="1">
      <c r="A491" s="7"/>
      <c r="B491" s="7"/>
      <c r="C491" s="7"/>
      <c r="D491" s="7"/>
      <c r="F491" s="7"/>
      <c r="G491" s="92"/>
      <c r="H491" s="92"/>
      <c r="I491" s="92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</row>
    <row r="492" ht="15.75" customHeight="1">
      <c r="A492" s="7"/>
      <c r="B492" s="7"/>
      <c r="C492" s="7"/>
      <c r="D492" s="7"/>
      <c r="F492" s="7"/>
      <c r="G492" s="92"/>
      <c r="H492" s="92"/>
      <c r="I492" s="92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</row>
    <row r="493" ht="15.75" customHeight="1">
      <c r="A493" s="7"/>
      <c r="B493" s="7"/>
      <c r="C493" s="7"/>
      <c r="D493" s="7"/>
      <c r="F493" s="7"/>
      <c r="G493" s="92"/>
      <c r="H493" s="92"/>
      <c r="I493" s="92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</row>
    <row r="494" ht="15.75" customHeight="1">
      <c r="A494" s="7"/>
      <c r="B494" s="7"/>
      <c r="C494" s="7"/>
      <c r="D494" s="7"/>
      <c r="F494" s="7"/>
      <c r="G494" s="92"/>
      <c r="H494" s="92"/>
      <c r="I494" s="92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</row>
    <row r="495" ht="15.75" customHeight="1">
      <c r="A495" s="7"/>
      <c r="B495" s="7"/>
      <c r="C495" s="7"/>
      <c r="D495" s="7"/>
      <c r="F495" s="7"/>
      <c r="G495" s="92"/>
      <c r="H495" s="92"/>
      <c r="I495" s="92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</row>
    <row r="496" ht="15.75" customHeight="1">
      <c r="A496" s="7"/>
      <c r="B496" s="7"/>
      <c r="C496" s="7"/>
      <c r="D496" s="7"/>
      <c r="F496" s="7"/>
      <c r="G496" s="92"/>
      <c r="H496" s="92"/>
      <c r="I496" s="92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</row>
    <row r="497" ht="15.75" customHeight="1">
      <c r="A497" s="7"/>
      <c r="B497" s="7"/>
      <c r="C497" s="7"/>
      <c r="D497" s="7"/>
      <c r="F497" s="7"/>
      <c r="G497" s="92"/>
      <c r="H497" s="92"/>
      <c r="I497" s="92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</row>
    <row r="498" ht="15.75" customHeight="1">
      <c r="A498" s="7"/>
      <c r="B498" s="7"/>
      <c r="C498" s="7"/>
      <c r="D498" s="7"/>
      <c r="F498" s="7"/>
      <c r="G498" s="92"/>
      <c r="H498" s="92"/>
      <c r="I498" s="92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</row>
    <row r="499" ht="15.75" customHeight="1">
      <c r="A499" s="7"/>
      <c r="B499" s="7"/>
      <c r="C499" s="7"/>
      <c r="D499" s="7"/>
      <c r="F499" s="7"/>
      <c r="G499" s="92"/>
      <c r="H499" s="92"/>
      <c r="I499" s="92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</row>
    <row r="500" ht="15.75" customHeight="1">
      <c r="A500" s="7"/>
      <c r="B500" s="7"/>
      <c r="C500" s="7"/>
      <c r="D500" s="7"/>
      <c r="F500" s="7"/>
      <c r="G500" s="92"/>
      <c r="H500" s="92"/>
      <c r="I500" s="92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</row>
    <row r="501" ht="15.75" customHeight="1">
      <c r="A501" s="7"/>
      <c r="B501" s="7"/>
      <c r="C501" s="7"/>
      <c r="D501" s="7"/>
      <c r="F501" s="7"/>
      <c r="G501" s="92"/>
      <c r="H501" s="92"/>
      <c r="I501" s="92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</row>
    <row r="502" ht="15.75" customHeight="1">
      <c r="A502" s="7"/>
      <c r="B502" s="7"/>
      <c r="C502" s="7"/>
      <c r="D502" s="7"/>
      <c r="F502" s="7"/>
      <c r="G502" s="92"/>
      <c r="H502" s="92"/>
      <c r="I502" s="92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</row>
    <row r="503" ht="15.75" customHeight="1">
      <c r="A503" s="7"/>
      <c r="B503" s="7"/>
      <c r="C503" s="7"/>
      <c r="D503" s="7"/>
      <c r="F503" s="7"/>
      <c r="G503" s="92"/>
      <c r="H503" s="92"/>
      <c r="I503" s="92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</row>
    <row r="504" ht="15.75" customHeight="1">
      <c r="A504" s="7"/>
      <c r="B504" s="7"/>
      <c r="C504" s="7"/>
      <c r="D504" s="7"/>
      <c r="F504" s="7"/>
      <c r="G504" s="92"/>
      <c r="H504" s="92"/>
      <c r="I504" s="92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</row>
    <row r="505" ht="15.75" customHeight="1">
      <c r="A505" s="7"/>
      <c r="B505" s="7"/>
      <c r="C505" s="7"/>
      <c r="D505" s="7"/>
      <c r="F505" s="7"/>
      <c r="G505" s="92"/>
      <c r="H505" s="92"/>
      <c r="I505" s="92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</row>
    <row r="506" ht="15.75" customHeight="1">
      <c r="A506" s="7"/>
      <c r="B506" s="7"/>
      <c r="C506" s="7"/>
      <c r="D506" s="7"/>
      <c r="F506" s="7"/>
      <c r="G506" s="92"/>
      <c r="H506" s="92"/>
      <c r="I506" s="92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</row>
    <row r="507" ht="15.75" customHeight="1">
      <c r="A507" s="7"/>
      <c r="B507" s="7"/>
      <c r="C507" s="7"/>
      <c r="D507" s="7"/>
      <c r="F507" s="7"/>
      <c r="G507" s="92"/>
      <c r="H507" s="92"/>
      <c r="I507" s="92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</row>
    <row r="508" ht="15.75" customHeight="1">
      <c r="A508" s="7"/>
      <c r="B508" s="7"/>
      <c r="C508" s="7"/>
      <c r="D508" s="7"/>
      <c r="F508" s="7"/>
      <c r="G508" s="92"/>
      <c r="H508" s="92"/>
      <c r="I508" s="92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</row>
    <row r="509" ht="15.75" customHeight="1">
      <c r="A509" s="7"/>
      <c r="B509" s="7"/>
      <c r="C509" s="7"/>
      <c r="D509" s="7"/>
      <c r="F509" s="7"/>
      <c r="G509" s="92"/>
      <c r="H509" s="92"/>
      <c r="I509" s="92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</row>
    <row r="510" ht="15.75" customHeight="1">
      <c r="A510" s="7"/>
      <c r="B510" s="7"/>
      <c r="C510" s="7"/>
      <c r="D510" s="7"/>
      <c r="F510" s="7"/>
      <c r="G510" s="92"/>
      <c r="H510" s="92"/>
      <c r="I510" s="92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</row>
    <row r="511" ht="15.75" customHeight="1">
      <c r="A511" s="7"/>
      <c r="B511" s="7"/>
      <c r="C511" s="7"/>
      <c r="D511" s="7"/>
      <c r="F511" s="7"/>
      <c r="G511" s="92"/>
      <c r="H511" s="92"/>
      <c r="I511" s="92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</row>
    <row r="512" ht="15.75" customHeight="1">
      <c r="A512" s="7"/>
      <c r="B512" s="7"/>
      <c r="C512" s="7"/>
      <c r="D512" s="7"/>
      <c r="F512" s="7"/>
      <c r="G512" s="92"/>
      <c r="H512" s="92"/>
      <c r="I512" s="92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</row>
    <row r="513" ht="15.75" customHeight="1">
      <c r="A513" s="7"/>
      <c r="B513" s="7"/>
      <c r="C513" s="7"/>
      <c r="D513" s="7"/>
      <c r="F513" s="7"/>
      <c r="G513" s="92"/>
      <c r="H513" s="92"/>
      <c r="I513" s="92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</row>
    <row r="514" ht="15.75" customHeight="1">
      <c r="A514" s="7"/>
      <c r="B514" s="7"/>
      <c r="C514" s="7"/>
      <c r="D514" s="7"/>
      <c r="F514" s="7"/>
      <c r="G514" s="92"/>
      <c r="H514" s="92"/>
      <c r="I514" s="92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</row>
    <row r="515" ht="15.75" customHeight="1">
      <c r="A515" s="7"/>
      <c r="B515" s="7"/>
      <c r="C515" s="7"/>
      <c r="D515" s="7"/>
      <c r="F515" s="7"/>
      <c r="G515" s="92"/>
      <c r="H515" s="92"/>
      <c r="I515" s="92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</row>
    <row r="516" ht="15.75" customHeight="1">
      <c r="A516" s="7"/>
      <c r="B516" s="7"/>
      <c r="C516" s="7"/>
      <c r="D516" s="7"/>
      <c r="F516" s="7"/>
      <c r="G516" s="92"/>
      <c r="H516" s="92"/>
      <c r="I516" s="92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</row>
    <row r="517" ht="15.75" customHeight="1">
      <c r="A517" s="7"/>
      <c r="B517" s="7"/>
      <c r="C517" s="7"/>
      <c r="D517" s="7"/>
      <c r="F517" s="7"/>
      <c r="G517" s="92"/>
      <c r="H517" s="92"/>
      <c r="I517" s="92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</row>
    <row r="518" ht="15.75" customHeight="1">
      <c r="A518" s="7"/>
      <c r="B518" s="7"/>
      <c r="C518" s="7"/>
      <c r="D518" s="7"/>
      <c r="F518" s="7"/>
      <c r="G518" s="92"/>
      <c r="H518" s="92"/>
      <c r="I518" s="92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</row>
    <row r="519" ht="15.75" customHeight="1">
      <c r="A519" s="7"/>
      <c r="B519" s="7"/>
      <c r="C519" s="7"/>
      <c r="D519" s="7"/>
      <c r="F519" s="7"/>
      <c r="G519" s="92"/>
      <c r="H519" s="92"/>
      <c r="I519" s="92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</row>
    <row r="520" ht="15.75" customHeight="1">
      <c r="A520" s="7"/>
      <c r="B520" s="7"/>
      <c r="C520" s="7"/>
      <c r="D520" s="7"/>
      <c r="F520" s="7"/>
      <c r="G520" s="92"/>
      <c r="H520" s="92"/>
      <c r="I520" s="92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</row>
    <row r="521" ht="15.75" customHeight="1">
      <c r="A521" s="7"/>
      <c r="B521" s="7"/>
      <c r="C521" s="7"/>
      <c r="D521" s="7"/>
      <c r="F521" s="7"/>
      <c r="G521" s="92"/>
      <c r="H521" s="92"/>
      <c r="I521" s="92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</row>
    <row r="522" ht="15.75" customHeight="1">
      <c r="A522" s="7"/>
      <c r="B522" s="7"/>
      <c r="C522" s="7"/>
      <c r="D522" s="7"/>
      <c r="F522" s="7"/>
      <c r="G522" s="92"/>
      <c r="H522" s="92"/>
      <c r="I522" s="92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</row>
    <row r="523" ht="15.75" customHeight="1">
      <c r="A523" s="7"/>
      <c r="B523" s="7"/>
      <c r="C523" s="7"/>
      <c r="D523" s="7"/>
      <c r="F523" s="7"/>
      <c r="G523" s="92"/>
      <c r="H523" s="92"/>
      <c r="I523" s="92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</row>
    <row r="524" ht="15.75" customHeight="1">
      <c r="A524" s="7"/>
      <c r="B524" s="7"/>
      <c r="C524" s="7"/>
      <c r="D524" s="7"/>
      <c r="F524" s="7"/>
      <c r="G524" s="92"/>
      <c r="H524" s="92"/>
      <c r="I524" s="92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</row>
    <row r="525" ht="15.75" customHeight="1">
      <c r="A525" s="7"/>
      <c r="B525" s="7"/>
      <c r="C525" s="7"/>
      <c r="D525" s="7"/>
      <c r="F525" s="7"/>
      <c r="G525" s="92"/>
      <c r="H525" s="92"/>
      <c r="I525" s="92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</row>
    <row r="526" ht="15.75" customHeight="1">
      <c r="A526" s="7"/>
      <c r="B526" s="7"/>
      <c r="C526" s="7"/>
      <c r="D526" s="7"/>
      <c r="F526" s="7"/>
      <c r="G526" s="92"/>
      <c r="H526" s="92"/>
      <c r="I526" s="92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</row>
    <row r="527" ht="15.75" customHeight="1">
      <c r="A527" s="7"/>
      <c r="B527" s="7"/>
      <c r="C527" s="7"/>
      <c r="D527" s="7"/>
      <c r="F527" s="7"/>
      <c r="G527" s="92"/>
      <c r="H527" s="92"/>
      <c r="I527" s="92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</row>
    <row r="528" ht="15.75" customHeight="1">
      <c r="A528" s="7"/>
      <c r="B528" s="7"/>
      <c r="C528" s="7"/>
      <c r="D528" s="7"/>
      <c r="F528" s="7"/>
      <c r="G528" s="92"/>
      <c r="H528" s="92"/>
      <c r="I528" s="92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</row>
    <row r="529" ht="15.75" customHeight="1">
      <c r="A529" s="7"/>
      <c r="B529" s="7"/>
      <c r="C529" s="7"/>
      <c r="D529" s="7"/>
      <c r="F529" s="7"/>
      <c r="G529" s="92"/>
      <c r="H529" s="92"/>
      <c r="I529" s="92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</row>
    <row r="530" ht="15.75" customHeight="1">
      <c r="A530" s="7"/>
      <c r="B530" s="7"/>
      <c r="C530" s="7"/>
      <c r="D530" s="7"/>
      <c r="F530" s="7"/>
      <c r="G530" s="92"/>
      <c r="H530" s="92"/>
      <c r="I530" s="92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</row>
    <row r="531" ht="15.75" customHeight="1">
      <c r="A531" s="7"/>
      <c r="B531" s="7"/>
      <c r="C531" s="7"/>
      <c r="D531" s="7"/>
      <c r="F531" s="7"/>
      <c r="G531" s="92"/>
      <c r="H531" s="92"/>
      <c r="I531" s="92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</row>
    <row r="532" ht="15.75" customHeight="1">
      <c r="A532" s="7"/>
      <c r="B532" s="7"/>
      <c r="C532" s="7"/>
      <c r="D532" s="7"/>
      <c r="F532" s="7"/>
      <c r="G532" s="92"/>
      <c r="H532" s="92"/>
      <c r="I532" s="92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</row>
    <row r="533" ht="15.75" customHeight="1">
      <c r="A533" s="7"/>
      <c r="B533" s="7"/>
      <c r="C533" s="7"/>
      <c r="D533" s="7"/>
      <c r="F533" s="7"/>
      <c r="G533" s="92"/>
      <c r="H533" s="92"/>
      <c r="I533" s="92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</row>
    <row r="534" ht="15.75" customHeight="1">
      <c r="A534" s="7"/>
      <c r="B534" s="7"/>
      <c r="C534" s="7"/>
      <c r="D534" s="7"/>
      <c r="F534" s="7"/>
      <c r="G534" s="92"/>
      <c r="H534" s="92"/>
      <c r="I534" s="92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</row>
    <row r="535" ht="15.75" customHeight="1">
      <c r="A535" s="7"/>
      <c r="B535" s="7"/>
      <c r="C535" s="7"/>
      <c r="D535" s="7"/>
      <c r="F535" s="7"/>
      <c r="G535" s="92"/>
      <c r="H535" s="92"/>
      <c r="I535" s="92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</row>
    <row r="536" ht="15.75" customHeight="1">
      <c r="A536" s="7"/>
      <c r="B536" s="7"/>
      <c r="C536" s="7"/>
      <c r="D536" s="7"/>
      <c r="F536" s="7"/>
      <c r="G536" s="92"/>
      <c r="H536" s="92"/>
      <c r="I536" s="92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</row>
    <row r="537" ht="15.75" customHeight="1">
      <c r="A537" s="7"/>
      <c r="B537" s="7"/>
      <c r="C537" s="7"/>
      <c r="D537" s="7"/>
      <c r="F537" s="7"/>
      <c r="G537" s="92"/>
      <c r="H537" s="92"/>
      <c r="I537" s="92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</row>
    <row r="538" ht="15.75" customHeight="1">
      <c r="A538" s="7"/>
      <c r="B538" s="7"/>
      <c r="C538" s="7"/>
      <c r="D538" s="7"/>
      <c r="F538" s="7"/>
      <c r="G538" s="92"/>
      <c r="H538" s="92"/>
      <c r="I538" s="92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</row>
    <row r="539" ht="15.75" customHeight="1">
      <c r="A539" s="7"/>
      <c r="B539" s="7"/>
      <c r="C539" s="7"/>
      <c r="D539" s="7"/>
      <c r="F539" s="7"/>
      <c r="G539" s="92"/>
      <c r="H539" s="92"/>
      <c r="I539" s="92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</row>
    <row r="540" ht="15.75" customHeight="1">
      <c r="A540" s="7"/>
      <c r="B540" s="7"/>
      <c r="C540" s="7"/>
      <c r="D540" s="7"/>
      <c r="F540" s="7"/>
      <c r="G540" s="92"/>
      <c r="H540" s="92"/>
      <c r="I540" s="92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</row>
    <row r="541" ht="15.75" customHeight="1">
      <c r="A541" s="7"/>
      <c r="B541" s="7"/>
      <c r="C541" s="7"/>
      <c r="D541" s="7"/>
      <c r="F541" s="7"/>
      <c r="G541" s="92"/>
      <c r="H541" s="92"/>
      <c r="I541" s="92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</row>
    <row r="542" ht="15.75" customHeight="1">
      <c r="A542" s="7"/>
      <c r="B542" s="7"/>
      <c r="C542" s="7"/>
      <c r="D542" s="7"/>
      <c r="F542" s="7"/>
      <c r="G542" s="92"/>
      <c r="H542" s="92"/>
      <c r="I542" s="92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</row>
    <row r="543" ht="15.75" customHeight="1">
      <c r="A543" s="7"/>
      <c r="B543" s="7"/>
      <c r="C543" s="7"/>
      <c r="D543" s="7"/>
      <c r="F543" s="7"/>
      <c r="G543" s="92"/>
      <c r="H543" s="92"/>
      <c r="I543" s="92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</row>
    <row r="544" ht="15.75" customHeight="1">
      <c r="A544" s="7"/>
      <c r="B544" s="7"/>
      <c r="C544" s="7"/>
      <c r="D544" s="7"/>
      <c r="F544" s="7"/>
      <c r="G544" s="92"/>
      <c r="H544" s="92"/>
      <c r="I544" s="92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</row>
    <row r="545" ht="15.75" customHeight="1">
      <c r="A545" s="7"/>
      <c r="B545" s="7"/>
      <c r="C545" s="7"/>
      <c r="D545" s="7"/>
      <c r="F545" s="7"/>
      <c r="G545" s="92"/>
      <c r="H545" s="92"/>
      <c r="I545" s="92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</row>
    <row r="546" ht="15.75" customHeight="1">
      <c r="A546" s="7"/>
      <c r="B546" s="7"/>
      <c r="C546" s="7"/>
      <c r="D546" s="7"/>
      <c r="F546" s="7"/>
      <c r="G546" s="92"/>
      <c r="H546" s="92"/>
      <c r="I546" s="92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</row>
    <row r="547" ht="15.75" customHeight="1">
      <c r="A547" s="7"/>
      <c r="B547" s="7"/>
      <c r="C547" s="7"/>
      <c r="D547" s="7"/>
      <c r="F547" s="7"/>
      <c r="G547" s="92"/>
      <c r="H547" s="92"/>
      <c r="I547" s="92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</row>
    <row r="548" ht="15.75" customHeight="1">
      <c r="A548" s="7"/>
      <c r="B548" s="7"/>
      <c r="C548" s="7"/>
      <c r="D548" s="7"/>
      <c r="F548" s="7"/>
      <c r="G548" s="92"/>
      <c r="H548" s="92"/>
      <c r="I548" s="92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</row>
    <row r="549" ht="15.75" customHeight="1">
      <c r="A549" s="7"/>
      <c r="B549" s="7"/>
      <c r="C549" s="7"/>
      <c r="D549" s="7"/>
      <c r="F549" s="7"/>
      <c r="G549" s="92"/>
      <c r="H549" s="92"/>
      <c r="I549" s="92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</row>
    <row r="550" ht="15.75" customHeight="1">
      <c r="A550" s="7"/>
      <c r="B550" s="7"/>
      <c r="C550" s="7"/>
      <c r="D550" s="7"/>
      <c r="F550" s="7"/>
      <c r="G550" s="92"/>
      <c r="H550" s="92"/>
      <c r="I550" s="92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</row>
    <row r="551" ht="15.75" customHeight="1">
      <c r="A551" s="7"/>
      <c r="B551" s="7"/>
      <c r="C551" s="7"/>
      <c r="D551" s="7"/>
      <c r="F551" s="7"/>
      <c r="G551" s="92"/>
      <c r="H551" s="92"/>
      <c r="I551" s="92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</row>
    <row r="552" ht="15.75" customHeight="1">
      <c r="A552" s="7"/>
      <c r="B552" s="7"/>
      <c r="C552" s="7"/>
      <c r="D552" s="7"/>
      <c r="F552" s="7"/>
      <c r="G552" s="92"/>
      <c r="H552" s="92"/>
      <c r="I552" s="92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</row>
    <row r="553" ht="15.75" customHeight="1">
      <c r="A553" s="7"/>
      <c r="B553" s="7"/>
      <c r="C553" s="7"/>
      <c r="D553" s="7"/>
      <c r="F553" s="7"/>
      <c r="G553" s="92"/>
      <c r="H553" s="92"/>
      <c r="I553" s="92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</row>
    <row r="554" ht="15.75" customHeight="1">
      <c r="A554" s="7"/>
      <c r="B554" s="7"/>
      <c r="C554" s="7"/>
      <c r="D554" s="7"/>
      <c r="F554" s="7"/>
      <c r="G554" s="92"/>
      <c r="H554" s="92"/>
      <c r="I554" s="92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</row>
    <row r="555" ht="15.75" customHeight="1">
      <c r="A555" s="7"/>
      <c r="B555" s="7"/>
      <c r="C555" s="7"/>
      <c r="D555" s="7"/>
      <c r="F555" s="7"/>
      <c r="G555" s="92"/>
      <c r="H555" s="92"/>
      <c r="I555" s="92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</row>
    <row r="556" ht="15.75" customHeight="1">
      <c r="A556" s="7"/>
      <c r="B556" s="7"/>
      <c r="C556" s="7"/>
      <c r="D556" s="7"/>
      <c r="F556" s="7"/>
      <c r="G556" s="92"/>
      <c r="H556" s="92"/>
      <c r="I556" s="92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</row>
    <row r="557" ht="15.75" customHeight="1">
      <c r="A557" s="7"/>
      <c r="B557" s="7"/>
      <c r="C557" s="7"/>
      <c r="D557" s="7"/>
      <c r="F557" s="7"/>
      <c r="G557" s="92"/>
      <c r="H557" s="92"/>
      <c r="I557" s="92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</row>
    <row r="558" ht="15.75" customHeight="1">
      <c r="A558" s="7"/>
      <c r="B558" s="7"/>
      <c r="C558" s="7"/>
      <c r="D558" s="7"/>
      <c r="F558" s="7"/>
      <c r="G558" s="92"/>
      <c r="H558" s="92"/>
      <c r="I558" s="92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</row>
    <row r="559" ht="15.75" customHeight="1">
      <c r="A559" s="7"/>
      <c r="B559" s="7"/>
      <c r="C559" s="7"/>
      <c r="D559" s="7"/>
      <c r="F559" s="7"/>
      <c r="G559" s="92"/>
      <c r="H559" s="92"/>
      <c r="I559" s="92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</row>
    <row r="560" ht="15.75" customHeight="1">
      <c r="A560" s="7"/>
      <c r="B560" s="7"/>
      <c r="C560" s="7"/>
      <c r="D560" s="7"/>
      <c r="F560" s="7"/>
      <c r="G560" s="92"/>
      <c r="H560" s="92"/>
      <c r="I560" s="92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</row>
    <row r="561" ht="15.75" customHeight="1">
      <c r="A561" s="7"/>
      <c r="B561" s="7"/>
      <c r="C561" s="7"/>
      <c r="D561" s="7"/>
      <c r="F561" s="7"/>
      <c r="G561" s="92"/>
      <c r="H561" s="92"/>
      <c r="I561" s="92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</row>
    <row r="562" ht="15.75" customHeight="1">
      <c r="A562" s="7"/>
      <c r="B562" s="7"/>
      <c r="C562" s="7"/>
      <c r="D562" s="7"/>
      <c r="F562" s="7"/>
      <c r="G562" s="92"/>
      <c r="H562" s="92"/>
      <c r="I562" s="92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</row>
    <row r="563" ht="15.75" customHeight="1">
      <c r="A563" s="7"/>
      <c r="B563" s="7"/>
      <c r="C563" s="7"/>
      <c r="D563" s="7"/>
      <c r="F563" s="7"/>
      <c r="G563" s="92"/>
      <c r="H563" s="92"/>
      <c r="I563" s="92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</row>
    <row r="564" ht="15.75" customHeight="1">
      <c r="A564" s="7"/>
      <c r="B564" s="7"/>
      <c r="C564" s="7"/>
      <c r="D564" s="7"/>
      <c r="F564" s="7"/>
      <c r="G564" s="92"/>
      <c r="H564" s="92"/>
      <c r="I564" s="92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</row>
    <row r="565" ht="15.75" customHeight="1">
      <c r="A565" s="7"/>
      <c r="B565" s="7"/>
      <c r="C565" s="7"/>
      <c r="D565" s="7"/>
      <c r="F565" s="7"/>
      <c r="G565" s="92"/>
      <c r="H565" s="92"/>
      <c r="I565" s="92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</row>
    <row r="566" ht="15.75" customHeight="1">
      <c r="A566" s="7"/>
      <c r="B566" s="7"/>
      <c r="C566" s="7"/>
      <c r="D566" s="7"/>
      <c r="F566" s="7"/>
      <c r="G566" s="92"/>
      <c r="H566" s="92"/>
      <c r="I566" s="92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</row>
    <row r="567" ht="15.75" customHeight="1">
      <c r="A567" s="7"/>
      <c r="B567" s="7"/>
      <c r="C567" s="7"/>
      <c r="D567" s="7"/>
      <c r="F567" s="7"/>
      <c r="G567" s="92"/>
      <c r="H567" s="92"/>
      <c r="I567" s="92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</row>
    <row r="568" ht="15.75" customHeight="1">
      <c r="A568" s="7"/>
      <c r="B568" s="7"/>
      <c r="C568" s="7"/>
      <c r="D568" s="7"/>
      <c r="F568" s="7"/>
      <c r="G568" s="92"/>
      <c r="H568" s="92"/>
      <c r="I568" s="92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</row>
    <row r="569" ht="15.75" customHeight="1">
      <c r="A569" s="7"/>
      <c r="B569" s="7"/>
      <c r="C569" s="7"/>
      <c r="D569" s="7"/>
      <c r="F569" s="7"/>
      <c r="G569" s="92"/>
      <c r="H569" s="92"/>
      <c r="I569" s="92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</row>
    <row r="570" ht="15.75" customHeight="1">
      <c r="A570" s="7"/>
      <c r="B570" s="7"/>
      <c r="C570" s="7"/>
      <c r="D570" s="7"/>
      <c r="F570" s="7"/>
      <c r="G570" s="92"/>
      <c r="H570" s="92"/>
      <c r="I570" s="92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</row>
    <row r="571" ht="15.75" customHeight="1">
      <c r="A571" s="7"/>
      <c r="B571" s="7"/>
      <c r="C571" s="7"/>
      <c r="D571" s="7"/>
      <c r="F571" s="7"/>
      <c r="G571" s="92"/>
      <c r="H571" s="92"/>
      <c r="I571" s="92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</row>
    <row r="572" ht="15.75" customHeight="1">
      <c r="A572" s="7"/>
      <c r="B572" s="7"/>
      <c r="C572" s="7"/>
      <c r="D572" s="7"/>
      <c r="F572" s="7"/>
      <c r="G572" s="92"/>
      <c r="H572" s="92"/>
      <c r="I572" s="92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</row>
    <row r="573" ht="15.75" customHeight="1">
      <c r="A573" s="7"/>
      <c r="B573" s="7"/>
      <c r="C573" s="7"/>
      <c r="D573" s="7"/>
      <c r="F573" s="7"/>
      <c r="G573" s="92"/>
      <c r="H573" s="92"/>
      <c r="I573" s="92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</row>
    <row r="574" ht="15.75" customHeight="1">
      <c r="A574" s="7"/>
      <c r="B574" s="7"/>
      <c r="C574" s="7"/>
      <c r="D574" s="7"/>
      <c r="F574" s="7"/>
      <c r="G574" s="92"/>
      <c r="H574" s="92"/>
      <c r="I574" s="92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</row>
    <row r="575" ht="15.75" customHeight="1">
      <c r="A575" s="7"/>
      <c r="B575" s="7"/>
      <c r="C575" s="7"/>
      <c r="D575" s="7"/>
      <c r="F575" s="7"/>
      <c r="G575" s="92"/>
      <c r="H575" s="92"/>
      <c r="I575" s="92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</row>
    <row r="576" ht="15.75" customHeight="1">
      <c r="A576" s="7"/>
      <c r="B576" s="7"/>
      <c r="C576" s="7"/>
      <c r="D576" s="7"/>
      <c r="F576" s="7"/>
      <c r="G576" s="92"/>
      <c r="H576" s="92"/>
      <c r="I576" s="92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</row>
    <row r="577" ht="15.75" customHeight="1">
      <c r="A577" s="7"/>
      <c r="B577" s="7"/>
      <c r="C577" s="7"/>
      <c r="D577" s="7"/>
      <c r="F577" s="7"/>
      <c r="G577" s="92"/>
      <c r="H577" s="92"/>
      <c r="I577" s="92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</row>
    <row r="578" ht="15.75" customHeight="1">
      <c r="A578" s="7"/>
      <c r="B578" s="7"/>
      <c r="C578" s="7"/>
      <c r="D578" s="7"/>
      <c r="F578" s="7"/>
      <c r="G578" s="92"/>
      <c r="H578" s="92"/>
      <c r="I578" s="92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</row>
    <row r="579" ht="15.75" customHeight="1">
      <c r="A579" s="7"/>
      <c r="B579" s="7"/>
      <c r="C579" s="7"/>
      <c r="D579" s="7"/>
      <c r="F579" s="7"/>
      <c r="G579" s="92"/>
      <c r="H579" s="92"/>
      <c r="I579" s="92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</row>
    <row r="580" ht="15.75" customHeight="1">
      <c r="A580" s="7"/>
      <c r="B580" s="7"/>
      <c r="C580" s="7"/>
      <c r="D580" s="7"/>
      <c r="F580" s="7"/>
      <c r="G580" s="92"/>
      <c r="H580" s="92"/>
      <c r="I580" s="92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</row>
    <row r="581" ht="15.75" customHeight="1">
      <c r="A581" s="7"/>
      <c r="B581" s="7"/>
      <c r="C581" s="7"/>
      <c r="D581" s="7"/>
      <c r="F581" s="7"/>
      <c r="G581" s="92"/>
      <c r="H581" s="92"/>
      <c r="I581" s="92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</row>
    <row r="582" ht="15.75" customHeight="1">
      <c r="A582" s="7"/>
      <c r="B582" s="7"/>
      <c r="C582" s="7"/>
      <c r="D582" s="7"/>
      <c r="F582" s="7"/>
      <c r="G582" s="92"/>
      <c r="H582" s="92"/>
      <c r="I582" s="92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</row>
    <row r="583" ht="15.75" customHeight="1">
      <c r="A583" s="7"/>
      <c r="B583" s="7"/>
      <c r="C583" s="7"/>
      <c r="D583" s="7"/>
      <c r="F583" s="7"/>
      <c r="G583" s="92"/>
      <c r="H583" s="92"/>
      <c r="I583" s="92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</row>
    <row r="584" ht="15.75" customHeight="1">
      <c r="A584" s="7"/>
      <c r="B584" s="7"/>
      <c r="C584" s="7"/>
      <c r="D584" s="7"/>
      <c r="F584" s="7"/>
      <c r="G584" s="92"/>
      <c r="H584" s="92"/>
      <c r="I584" s="92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</row>
    <row r="585" ht="15.75" customHeight="1">
      <c r="A585" s="7"/>
      <c r="B585" s="7"/>
      <c r="C585" s="7"/>
      <c r="D585" s="7"/>
      <c r="F585" s="7"/>
      <c r="G585" s="92"/>
      <c r="H585" s="92"/>
      <c r="I585" s="92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</row>
    <row r="586" ht="15.75" customHeight="1">
      <c r="A586" s="7"/>
      <c r="B586" s="7"/>
      <c r="C586" s="7"/>
      <c r="D586" s="7"/>
      <c r="F586" s="7"/>
      <c r="G586" s="92"/>
      <c r="H586" s="92"/>
      <c r="I586" s="92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</row>
    <row r="587" ht="15.75" customHeight="1">
      <c r="A587" s="7"/>
      <c r="B587" s="7"/>
      <c r="C587" s="7"/>
      <c r="D587" s="7"/>
      <c r="F587" s="7"/>
      <c r="G587" s="92"/>
      <c r="H587" s="92"/>
      <c r="I587" s="92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</row>
    <row r="588" ht="15.75" customHeight="1">
      <c r="A588" s="7"/>
      <c r="B588" s="7"/>
      <c r="C588" s="7"/>
      <c r="D588" s="7"/>
      <c r="F588" s="7"/>
      <c r="G588" s="92"/>
      <c r="H588" s="92"/>
      <c r="I588" s="92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</row>
    <row r="589" ht="15.75" customHeight="1">
      <c r="A589" s="7"/>
      <c r="B589" s="7"/>
      <c r="C589" s="7"/>
      <c r="D589" s="7"/>
      <c r="F589" s="7"/>
      <c r="G589" s="92"/>
      <c r="H589" s="92"/>
      <c r="I589" s="92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</row>
    <row r="590" ht="15.75" customHeight="1">
      <c r="A590" s="7"/>
      <c r="B590" s="7"/>
      <c r="C590" s="7"/>
      <c r="D590" s="7"/>
      <c r="F590" s="7"/>
      <c r="G590" s="92"/>
      <c r="H590" s="92"/>
      <c r="I590" s="92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</row>
    <row r="591" ht="15.75" customHeight="1">
      <c r="A591" s="7"/>
      <c r="B591" s="7"/>
      <c r="C591" s="7"/>
      <c r="D591" s="7"/>
      <c r="F591" s="7"/>
      <c r="G591" s="92"/>
      <c r="H591" s="92"/>
      <c r="I591" s="92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</row>
    <row r="592" ht="15.75" customHeight="1">
      <c r="A592" s="7"/>
      <c r="B592" s="7"/>
      <c r="C592" s="7"/>
      <c r="D592" s="7"/>
      <c r="F592" s="7"/>
      <c r="G592" s="92"/>
      <c r="H592" s="92"/>
      <c r="I592" s="92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</row>
    <row r="593" ht="15.75" customHeight="1">
      <c r="A593" s="7"/>
      <c r="B593" s="7"/>
      <c r="C593" s="7"/>
      <c r="D593" s="7"/>
      <c r="F593" s="7"/>
      <c r="G593" s="92"/>
      <c r="H593" s="92"/>
      <c r="I593" s="92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</row>
    <row r="594" ht="15.75" customHeight="1">
      <c r="A594" s="7"/>
      <c r="B594" s="7"/>
      <c r="C594" s="7"/>
      <c r="D594" s="7"/>
      <c r="F594" s="7"/>
      <c r="G594" s="92"/>
      <c r="H594" s="92"/>
      <c r="I594" s="92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</row>
    <row r="595" ht="15.75" customHeight="1">
      <c r="A595" s="7"/>
      <c r="B595" s="7"/>
      <c r="C595" s="7"/>
      <c r="D595" s="7"/>
      <c r="F595" s="7"/>
      <c r="G595" s="92"/>
      <c r="H595" s="92"/>
      <c r="I595" s="92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</row>
    <row r="596" ht="15.75" customHeight="1">
      <c r="A596" s="7"/>
      <c r="B596" s="7"/>
      <c r="C596" s="7"/>
      <c r="D596" s="7"/>
      <c r="F596" s="7"/>
      <c r="G596" s="92"/>
      <c r="H596" s="92"/>
      <c r="I596" s="92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</row>
    <row r="597" ht="15.75" customHeight="1">
      <c r="A597" s="7"/>
      <c r="B597" s="7"/>
      <c r="C597" s="7"/>
      <c r="D597" s="7"/>
      <c r="F597" s="7"/>
      <c r="G597" s="92"/>
      <c r="H597" s="92"/>
      <c r="I597" s="92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</row>
    <row r="598" ht="15.75" customHeight="1">
      <c r="A598" s="7"/>
      <c r="B598" s="7"/>
      <c r="C598" s="7"/>
      <c r="D598" s="7"/>
      <c r="F598" s="7"/>
      <c r="G598" s="92"/>
      <c r="H598" s="92"/>
      <c r="I598" s="92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</row>
    <row r="599" ht="15.75" customHeight="1">
      <c r="A599" s="7"/>
      <c r="B599" s="7"/>
      <c r="C599" s="7"/>
      <c r="D599" s="7"/>
      <c r="F599" s="7"/>
      <c r="G599" s="92"/>
      <c r="H599" s="92"/>
      <c r="I599" s="92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</row>
    <row r="600" ht="15.75" customHeight="1">
      <c r="A600" s="7"/>
      <c r="B600" s="7"/>
      <c r="C600" s="7"/>
      <c r="D600" s="7"/>
      <c r="F600" s="7"/>
      <c r="G600" s="92"/>
      <c r="H600" s="92"/>
      <c r="I600" s="92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</row>
    <row r="601" ht="15.75" customHeight="1">
      <c r="A601" s="7"/>
      <c r="B601" s="7"/>
      <c r="C601" s="7"/>
      <c r="D601" s="7"/>
      <c r="F601" s="7"/>
      <c r="G601" s="92"/>
      <c r="H601" s="92"/>
      <c r="I601" s="92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</row>
    <row r="602" ht="15.75" customHeight="1">
      <c r="A602" s="7"/>
      <c r="B602" s="7"/>
      <c r="C602" s="7"/>
      <c r="D602" s="7"/>
      <c r="F602" s="7"/>
      <c r="G602" s="92"/>
      <c r="H602" s="92"/>
      <c r="I602" s="92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</row>
    <row r="603" ht="15.75" customHeight="1">
      <c r="A603" s="7"/>
      <c r="B603" s="7"/>
      <c r="C603" s="7"/>
      <c r="D603" s="7"/>
      <c r="F603" s="7"/>
      <c r="G603" s="92"/>
      <c r="H603" s="92"/>
      <c r="I603" s="92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</row>
    <row r="604" ht="15.75" customHeight="1">
      <c r="A604" s="7"/>
      <c r="B604" s="7"/>
      <c r="C604" s="7"/>
      <c r="D604" s="7"/>
      <c r="F604" s="7"/>
      <c r="G604" s="92"/>
      <c r="H604" s="92"/>
      <c r="I604" s="92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</row>
    <row r="605" ht="15.75" customHeight="1">
      <c r="A605" s="7"/>
      <c r="B605" s="7"/>
      <c r="C605" s="7"/>
      <c r="D605" s="7"/>
      <c r="F605" s="7"/>
      <c r="G605" s="92"/>
      <c r="H605" s="92"/>
      <c r="I605" s="92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</row>
    <row r="606" ht="15.75" customHeight="1">
      <c r="A606" s="7"/>
      <c r="B606" s="7"/>
      <c r="C606" s="7"/>
      <c r="D606" s="7"/>
      <c r="F606" s="7"/>
      <c r="G606" s="92"/>
      <c r="H606" s="92"/>
      <c r="I606" s="92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</row>
    <row r="607" ht="15.75" customHeight="1">
      <c r="A607" s="7"/>
      <c r="B607" s="7"/>
      <c r="C607" s="7"/>
      <c r="D607" s="7"/>
      <c r="F607" s="7"/>
      <c r="G607" s="92"/>
      <c r="H607" s="92"/>
      <c r="I607" s="92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</row>
    <row r="608" ht="15.75" customHeight="1">
      <c r="A608" s="7"/>
      <c r="B608" s="7"/>
      <c r="C608" s="7"/>
      <c r="D608" s="7"/>
      <c r="F608" s="7"/>
      <c r="G608" s="92"/>
      <c r="H608" s="92"/>
      <c r="I608" s="92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</row>
    <row r="609" ht="15.75" customHeight="1">
      <c r="A609" s="7"/>
      <c r="B609" s="7"/>
      <c r="C609" s="7"/>
      <c r="D609" s="7"/>
      <c r="F609" s="7"/>
      <c r="G609" s="92"/>
      <c r="H609" s="92"/>
      <c r="I609" s="92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</row>
    <row r="610" ht="15.75" customHeight="1">
      <c r="A610" s="7"/>
      <c r="B610" s="7"/>
      <c r="C610" s="7"/>
      <c r="D610" s="7"/>
      <c r="F610" s="7"/>
      <c r="G610" s="92"/>
      <c r="H610" s="92"/>
      <c r="I610" s="92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</row>
    <row r="611" ht="15.75" customHeight="1">
      <c r="A611" s="7"/>
      <c r="B611" s="7"/>
      <c r="C611" s="7"/>
      <c r="D611" s="7"/>
      <c r="F611" s="7"/>
      <c r="G611" s="92"/>
      <c r="H611" s="92"/>
      <c r="I611" s="92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</row>
    <row r="612" ht="15.75" customHeight="1">
      <c r="A612" s="7"/>
      <c r="B612" s="7"/>
      <c r="C612" s="7"/>
      <c r="D612" s="7"/>
      <c r="F612" s="7"/>
      <c r="G612" s="92"/>
      <c r="H612" s="92"/>
      <c r="I612" s="92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</row>
    <row r="613" ht="15.75" customHeight="1">
      <c r="A613" s="7"/>
      <c r="B613" s="7"/>
      <c r="C613" s="7"/>
      <c r="D613" s="7"/>
      <c r="F613" s="7"/>
      <c r="G613" s="92"/>
      <c r="H613" s="92"/>
      <c r="I613" s="92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</row>
    <row r="614" ht="15.75" customHeight="1">
      <c r="A614" s="7"/>
      <c r="B614" s="7"/>
      <c r="C614" s="7"/>
      <c r="D614" s="7"/>
      <c r="F614" s="7"/>
      <c r="G614" s="92"/>
      <c r="H614" s="92"/>
      <c r="I614" s="92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</row>
    <row r="615" ht="15.75" customHeight="1">
      <c r="A615" s="7"/>
      <c r="B615" s="7"/>
      <c r="C615" s="7"/>
      <c r="D615" s="7"/>
      <c r="F615" s="7"/>
      <c r="G615" s="92"/>
      <c r="H615" s="92"/>
      <c r="I615" s="92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</row>
    <row r="616" ht="15.75" customHeight="1">
      <c r="A616" s="7"/>
      <c r="B616" s="7"/>
      <c r="C616" s="7"/>
      <c r="D616" s="7"/>
      <c r="F616" s="7"/>
      <c r="G616" s="92"/>
      <c r="H616" s="92"/>
      <c r="I616" s="92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</row>
    <row r="617" ht="15.75" customHeight="1">
      <c r="A617" s="7"/>
      <c r="B617" s="7"/>
      <c r="C617" s="7"/>
      <c r="D617" s="7"/>
      <c r="F617" s="7"/>
      <c r="G617" s="92"/>
      <c r="H617" s="92"/>
      <c r="I617" s="92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</row>
    <row r="618" ht="15.75" customHeight="1">
      <c r="A618" s="7"/>
      <c r="B618" s="7"/>
      <c r="C618" s="7"/>
      <c r="D618" s="7"/>
      <c r="F618" s="7"/>
      <c r="G618" s="92"/>
      <c r="H618" s="92"/>
      <c r="I618" s="92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</row>
    <row r="619" ht="15.75" customHeight="1">
      <c r="A619" s="7"/>
      <c r="B619" s="7"/>
      <c r="C619" s="7"/>
      <c r="D619" s="7"/>
      <c r="F619" s="7"/>
      <c r="G619" s="92"/>
      <c r="H619" s="92"/>
      <c r="I619" s="92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</row>
    <row r="620" ht="15.75" customHeight="1">
      <c r="A620" s="7"/>
      <c r="B620" s="7"/>
      <c r="C620" s="7"/>
      <c r="D620" s="7"/>
      <c r="F620" s="7"/>
      <c r="G620" s="92"/>
      <c r="H620" s="92"/>
      <c r="I620" s="92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</row>
    <row r="621" ht="15.75" customHeight="1">
      <c r="A621" s="7"/>
      <c r="B621" s="7"/>
      <c r="C621" s="7"/>
      <c r="D621" s="7"/>
      <c r="F621" s="7"/>
      <c r="G621" s="92"/>
      <c r="H621" s="92"/>
      <c r="I621" s="92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</row>
    <row r="622" ht="15.75" customHeight="1">
      <c r="A622" s="7"/>
      <c r="B622" s="7"/>
      <c r="C622" s="7"/>
      <c r="D622" s="7"/>
      <c r="F622" s="7"/>
      <c r="G622" s="92"/>
      <c r="H622" s="92"/>
      <c r="I622" s="92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</row>
    <row r="623" ht="15.75" customHeight="1">
      <c r="A623" s="7"/>
      <c r="B623" s="7"/>
      <c r="C623" s="7"/>
      <c r="D623" s="7"/>
      <c r="F623" s="7"/>
      <c r="G623" s="92"/>
      <c r="H623" s="92"/>
      <c r="I623" s="92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</row>
    <row r="624" ht="15.75" customHeight="1">
      <c r="A624" s="7"/>
      <c r="B624" s="7"/>
      <c r="C624" s="7"/>
      <c r="D624" s="7"/>
      <c r="F624" s="7"/>
      <c r="G624" s="92"/>
      <c r="H624" s="92"/>
      <c r="I624" s="92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</row>
    <row r="625" ht="15.75" customHeight="1">
      <c r="A625" s="7"/>
      <c r="B625" s="7"/>
      <c r="C625" s="7"/>
      <c r="D625" s="7"/>
      <c r="F625" s="7"/>
      <c r="G625" s="92"/>
      <c r="H625" s="92"/>
      <c r="I625" s="92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</row>
    <row r="626" ht="15.75" customHeight="1">
      <c r="A626" s="7"/>
      <c r="B626" s="7"/>
      <c r="C626" s="7"/>
      <c r="D626" s="7"/>
      <c r="F626" s="7"/>
      <c r="G626" s="92"/>
      <c r="H626" s="92"/>
      <c r="I626" s="92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</row>
    <row r="627" ht="15.75" customHeight="1">
      <c r="A627" s="7"/>
      <c r="B627" s="7"/>
      <c r="C627" s="7"/>
      <c r="D627" s="7"/>
      <c r="F627" s="7"/>
      <c r="G627" s="92"/>
      <c r="H627" s="92"/>
      <c r="I627" s="92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</row>
    <row r="628" ht="15.75" customHeight="1">
      <c r="A628" s="7"/>
      <c r="B628" s="7"/>
      <c r="C628" s="7"/>
      <c r="D628" s="7"/>
      <c r="F628" s="7"/>
      <c r="G628" s="92"/>
      <c r="H628" s="92"/>
      <c r="I628" s="92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</row>
    <row r="629" ht="15.75" customHeight="1">
      <c r="A629" s="7"/>
      <c r="B629" s="7"/>
      <c r="C629" s="7"/>
      <c r="D629" s="7"/>
      <c r="F629" s="7"/>
      <c r="G629" s="92"/>
      <c r="H629" s="92"/>
      <c r="I629" s="92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</row>
    <row r="630" ht="15.75" customHeight="1">
      <c r="A630" s="7"/>
      <c r="B630" s="7"/>
      <c r="C630" s="7"/>
      <c r="D630" s="7"/>
      <c r="F630" s="7"/>
      <c r="G630" s="92"/>
      <c r="H630" s="92"/>
      <c r="I630" s="92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</row>
    <row r="631" ht="15.75" customHeight="1">
      <c r="A631" s="7"/>
      <c r="B631" s="7"/>
      <c r="C631" s="7"/>
      <c r="D631" s="7"/>
      <c r="F631" s="7"/>
      <c r="G631" s="92"/>
      <c r="H631" s="92"/>
      <c r="I631" s="92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</row>
    <row r="632" ht="15.75" customHeight="1">
      <c r="A632" s="7"/>
      <c r="B632" s="7"/>
      <c r="C632" s="7"/>
      <c r="D632" s="7"/>
      <c r="F632" s="7"/>
      <c r="G632" s="92"/>
      <c r="H632" s="92"/>
      <c r="I632" s="92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</row>
    <row r="633" ht="15.75" customHeight="1">
      <c r="A633" s="7"/>
      <c r="B633" s="7"/>
      <c r="C633" s="7"/>
      <c r="D633" s="7"/>
      <c r="F633" s="7"/>
      <c r="G633" s="92"/>
      <c r="H633" s="92"/>
      <c r="I633" s="92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</row>
    <row r="634" ht="15.75" customHeight="1">
      <c r="A634" s="7"/>
      <c r="B634" s="7"/>
      <c r="C634" s="7"/>
      <c r="D634" s="7"/>
      <c r="F634" s="7"/>
      <c r="G634" s="92"/>
      <c r="H634" s="92"/>
      <c r="I634" s="92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</row>
    <row r="635" ht="15.75" customHeight="1">
      <c r="A635" s="7"/>
      <c r="B635" s="7"/>
      <c r="C635" s="7"/>
      <c r="D635" s="7"/>
      <c r="F635" s="7"/>
      <c r="G635" s="92"/>
      <c r="H635" s="92"/>
      <c r="I635" s="92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</row>
    <row r="636" ht="15.75" customHeight="1">
      <c r="A636" s="7"/>
      <c r="B636" s="7"/>
      <c r="C636" s="7"/>
      <c r="D636" s="7"/>
      <c r="F636" s="7"/>
      <c r="G636" s="92"/>
      <c r="H636" s="92"/>
      <c r="I636" s="92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</row>
    <row r="637" ht="15.75" customHeight="1">
      <c r="A637" s="7"/>
      <c r="B637" s="7"/>
      <c r="C637" s="7"/>
      <c r="D637" s="7"/>
      <c r="F637" s="7"/>
      <c r="G637" s="92"/>
      <c r="H637" s="92"/>
      <c r="I637" s="92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</row>
    <row r="638" ht="15.75" customHeight="1">
      <c r="A638" s="7"/>
      <c r="B638" s="7"/>
      <c r="C638" s="7"/>
      <c r="D638" s="7"/>
      <c r="F638" s="7"/>
      <c r="G638" s="92"/>
      <c r="H638" s="92"/>
      <c r="I638" s="92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</row>
    <row r="639" ht="15.75" customHeight="1">
      <c r="A639" s="7"/>
      <c r="B639" s="7"/>
      <c r="C639" s="7"/>
      <c r="D639" s="7"/>
      <c r="F639" s="7"/>
      <c r="G639" s="92"/>
      <c r="H639" s="92"/>
      <c r="I639" s="92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</row>
    <row r="640" ht="15.75" customHeight="1">
      <c r="A640" s="7"/>
      <c r="B640" s="7"/>
      <c r="C640" s="7"/>
      <c r="D640" s="7"/>
      <c r="F640" s="7"/>
      <c r="G640" s="92"/>
      <c r="H640" s="92"/>
      <c r="I640" s="92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</row>
    <row r="641" ht="15.75" customHeight="1">
      <c r="A641" s="7"/>
      <c r="B641" s="7"/>
      <c r="C641" s="7"/>
      <c r="D641" s="7"/>
      <c r="F641" s="7"/>
      <c r="G641" s="92"/>
      <c r="H641" s="92"/>
      <c r="I641" s="92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</row>
    <row r="642" ht="15.75" customHeight="1">
      <c r="A642" s="7"/>
      <c r="B642" s="7"/>
      <c r="C642" s="7"/>
      <c r="D642" s="7"/>
      <c r="F642" s="7"/>
      <c r="G642" s="92"/>
      <c r="H642" s="92"/>
      <c r="I642" s="92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</row>
    <row r="643" ht="15.75" customHeight="1">
      <c r="A643" s="7"/>
      <c r="B643" s="7"/>
      <c r="C643" s="7"/>
      <c r="D643" s="7"/>
      <c r="F643" s="7"/>
      <c r="G643" s="92"/>
      <c r="H643" s="92"/>
      <c r="I643" s="92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</row>
    <row r="644" ht="15.75" customHeight="1">
      <c r="A644" s="7"/>
      <c r="B644" s="7"/>
      <c r="C644" s="7"/>
      <c r="D644" s="7"/>
      <c r="F644" s="7"/>
      <c r="G644" s="92"/>
      <c r="H644" s="92"/>
      <c r="I644" s="92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</row>
    <row r="645" ht="15.75" customHeight="1">
      <c r="A645" s="7"/>
      <c r="B645" s="7"/>
      <c r="C645" s="7"/>
      <c r="D645" s="7"/>
      <c r="F645" s="7"/>
      <c r="G645" s="92"/>
      <c r="H645" s="92"/>
      <c r="I645" s="92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</row>
    <row r="646" ht="15.75" customHeight="1">
      <c r="A646" s="7"/>
      <c r="B646" s="7"/>
      <c r="C646" s="7"/>
      <c r="D646" s="7"/>
      <c r="F646" s="7"/>
      <c r="G646" s="92"/>
      <c r="H646" s="92"/>
      <c r="I646" s="92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</row>
    <row r="647" ht="15.75" customHeight="1">
      <c r="A647" s="7"/>
      <c r="B647" s="7"/>
      <c r="C647" s="7"/>
      <c r="D647" s="7"/>
      <c r="F647" s="7"/>
      <c r="G647" s="92"/>
      <c r="H647" s="92"/>
      <c r="I647" s="92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</row>
    <row r="648" ht="15.75" customHeight="1">
      <c r="A648" s="7"/>
      <c r="B648" s="7"/>
      <c r="C648" s="7"/>
      <c r="D648" s="7"/>
      <c r="F648" s="7"/>
      <c r="G648" s="92"/>
      <c r="H648" s="92"/>
      <c r="I648" s="92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</row>
    <row r="649" ht="15.75" customHeight="1">
      <c r="A649" s="7"/>
      <c r="B649" s="7"/>
      <c r="C649" s="7"/>
      <c r="D649" s="7"/>
      <c r="F649" s="7"/>
      <c r="G649" s="92"/>
      <c r="H649" s="92"/>
      <c r="I649" s="92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</row>
    <row r="650" ht="15.75" customHeight="1">
      <c r="A650" s="7"/>
      <c r="B650" s="7"/>
      <c r="C650" s="7"/>
      <c r="D650" s="7"/>
      <c r="F650" s="7"/>
      <c r="G650" s="92"/>
      <c r="H650" s="92"/>
      <c r="I650" s="92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</row>
    <row r="651" ht="15.75" customHeight="1">
      <c r="A651" s="7"/>
      <c r="B651" s="7"/>
      <c r="C651" s="7"/>
      <c r="D651" s="7"/>
      <c r="F651" s="7"/>
      <c r="G651" s="92"/>
      <c r="H651" s="92"/>
      <c r="I651" s="92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</row>
    <row r="652" ht="15.75" customHeight="1">
      <c r="A652" s="7"/>
      <c r="B652" s="7"/>
      <c r="C652" s="7"/>
      <c r="D652" s="7"/>
      <c r="F652" s="7"/>
      <c r="G652" s="92"/>
      <c r="H652" s="92"/>
      <c r="I652" s="92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</row>
    <row r="653" ht="15.75" customHeight="1">
      <c r="A653" s="7"/>
      <c r="B653" s="7"/>
      <c r="C653" s="7"/>
      <c r="D653" s="7"/>
      <c r="F653" s="7"/>
      <c r="G653" s="92"/>
      <c r="H653" s="92"/>
      <c r="I653" s="92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</row>
    <row r="654" ht="15.75" customHeight="1">
      <c r="A654" s="7"/>
      <c r="B654" s="7"/>
      <c r="C654" s="7"/>
      <c r="D654" s="7"/>
      <c r="F654" s="7"/>
      <c r="G654" s="92"/>
      <c r="H654" s="92"/>
      <c r="I654" s="92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</row>
    <row r="655" ht="15.75" customHeight="1">
      <c r="A655" s="7"/>
      <c r="B655" s="7"/>
      <c r="C655" s="7"/>
      <c r="D655" s="7"/>
      <c r="F655" s="7"/>
      <c r="G655" s="92"/>
      <c r="H655" s="92"/>
      <c r="I655" s="92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</row>
    <row r="656" ht="15.75" customHeight="1">
      <c r="A656" s="7"/>
      <c r="B656" s="7"/>
      <c r="C656" s="7"/>
      <c r="D656" s="7"/>
      <c r="F656" s="7"/>
      <c r="G656" s="92"/>
      <c r="H656" s="92"/>
      <c r="I656" s="92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</row>
    <row r="657" ht="15.75" customHeight="1">
      <c r="A657" s="7"/>
      <c r="B657" s="7"/>
      <c r="C657" s="7"/>
      <c r="D657" s="7"/>
      <c r="F657" s="7"/>
      <c r="G657" s="92"/>
      <c r="H657" s="92"/>
      <c r="I657" s="92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</row>
    <row r="658" ht="15.75" customHeight="1">
      <c r="A658" s="7"/>
      <c r="B658" s="7"/>
      <c r="C658" s="7"/>
      <c r="D658" s="7"/>
      <c r="F658" s="7"/>
      <c r="G658" s="92"/>
      <c r="H658" s="92"/>
      <c r="I658" s="92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</row>
    <row r="659" ht="15.75" customHeight="1">
      <c r="A659" s="7"/>
      <c r="B659" s="7"/>
      <c r="C659" s="7"/>
      <c r="D659" s="7"/>
      <c r="F659" s="7"/>
      <c r="G659" s="92"/>
      <c r="H659" s="92"/>
      <c r="I659" s="92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</row>
    <row r="660" ht="15.75" customHeight="1">
      <c r="A660" s="7"/>
      <c r="B660" s="7"/>
      <c r="C660" s="7"/>
      <c r="D660" s="7"/>
      <c r="F660" s="7"/>
      <c r="G660" s="92"/>
      <c r="H660" s="92"/>
      <c r="I660" s="92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</row>
    <row r="661" ht="15.75" customHeight="1">
      <c r="A661" s="7"/>
      <c r="B661" s="7"/>
      <c r="C661" s="7"/>
      <c r="D661" s="7"/>
      <c r="F661" s="7"/>
      <c r="G661" s="92"/>
      <c r="H661" s="92"/>
      <c r="I661" s="92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</row>
    <row r="662" ht="15.75" customHeight="1">
      <c r="A662" s="7"/>
      <c r="B662" s="7"/>
      <c r="C662" s="7"/>
      <c r="D662" s="7"/>
      <c r="F662" s="7"/>
      <c r="G662" s="92"/>
      <c r="H662" s="92"/>
      <c r="I662" s="92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</row>
    <row r="663" ht="15.75" customHeight="1">
      <c r="A663" s="7"/>
      <c r="B663" s="7"/>
      <c r="C663" s="7"/>
      <c r="D663" s="7"/>
      <c r="F663" s="7"/>
      <c r="G663" s="92"/>
      <c r="H663" s="92"/>
      <c r="I663" s="92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</row>
    <row r="664" ht="15.75" customHeight="1">
      <c r="A664" s="7"/>
      <c r="B664" s="7"/>
      <c r="C664" s="7"/>
      <c r="D664" s="7"/>
      <c r="F664" s="7"/>
      <c r="G664" s="92"/>
      <c r="H664" s="92"/>
      <c r="I664" s="92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</row>
    <row r="665" ht="15.75" customHeight="1">
      <c r="A665" s="7"/>
      <c r="B665" s="7"/>
      <c r="C665" s="7"/>
      <c r="D665" s="7"/>
      <c r="F665" s="7"/>
      <c r="G665" s="92"/>
      <c r="H665" s="92"/>
      <c r="I665" s="92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</row>
    <row r="666" ht="15.75" customHeight="1">
      <c r="A666" s="7"/>
      <c r="B666" s="7"/>
      <c r="C666" s="7"/>
      <c r="D666" s="7"/>
      <c r="F666" s="7"/>
      <c r="G666" s="92"/>
      <c r="H666" s="92"/>
      <c r="I666" s="92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</row>
    <row r="667" ht="15.75" customHeight="1">
      <c r="A667" s="7"/>
      <c r="B667" s="7"/>
      <c r="C667" s="7"/>
      <c r="D667" s="7"/>
      <c r="F667" s="7"/>
      <c r="G667" s="92"/>
      <c r="H667" s="92"/>
      <c r="I667" s="92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</row>
    <row r="668" ht="15.75" customHeight="1">
      <c r="A668" s="7"/>
      <c r="B668" s="7"/>
      <c r="C668" s="7"/>
      <c r="D668" s="7"/>
      <c r="F668" s="7"/>
      <c r="G668" s="92"/>
      <c r="H668" s="92"/>
      <c r="I668" s="92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</row>
    <row r="669" ht="15.75" customHeight="1">
      <c r="A669" s="7"/>
      <c r="B669" s="7"/>
      <c r="C669" s="7"/>
      <c r="D669" s="7"/>
      <c r="F669" s="7"/>
      <c r="G669" s="92"/>
      <c r="H669" s="92"/>
      <c r="I669" s="92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</row>
    <row r="670" ht="15.75" customHeight="1">
      <c r="A670" s="7"/>
      <c r="B670" s="7"/>
      <c r="C670" s="7"/>
      <c r="D670" s="7"/>
      <c r="F670" s="7"/>
      <c r="G670" s="92"/>
      <c r="H670" s="92"/>
      <c r="I670" s="92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</row>
    <row r="671" ht="15.75" customHeight="1">
      <c r="A671" s="7"/>
      <c r="B671" s="7"/>
      <c r="C671" s="7"/>
      <c r="D671" s="7"/>
      <c r="F671" s="7"/>
      <c r="G671" s="92"/>
      <c r="H671" s="92"/>
      <c r="I671" s="92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</row>
    <row r="672" ht="15.75" customHeight="1">
      <c r="A672" s="7"/>
      <c r="B672" s="7"/>
      <c r="C672" s="7"/>
      <c r="D672" s="7"/>
      <c r="F672" s="7"/>
      <c r="G672" s="92"/>
      <c r="H672" s="92"/>
      <c r="I672" s="92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</row>
    <row r="673" ht="15.75" customHeight="1">
      <c r="A673" s="7"/>
      <c r="B673" s="7"/>
      <c r="C673" s="7"/>
      <c r="D673" s="7"/>
      <c r="F673" s="7"/>
      <c r="G673" s="92"/>
      <c r="H673" s="92"/>
      <c r="I673" s="92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</row>
    <row r="674" ht="15.75" customHeight="1">
      <c r="A674" s="7"/>
      <c r="B674" s="7"/>
      <c r="C674" s="7"/>
      <c r="D674" s="7"/>
      <c r="F674" s="7"/>
      <c r="G674" s="92"/>
      <c r="H674" s="92"/>
      <c r="I674" s="92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</row>
    <row r="675" ht="15.75" customHeight="1">
      <c r="A675" s="7"/>
      <c r="B675" s="7"/>
      <c r="C675" s="7"/>
      <c r="D675" s="7"/>
      <c r="F675" s="7"/>
      <c r="G675" s="92"/>
      <c r="H675" s="92"/>
      <c r="I675" s="92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</row>
    <row r="676" ht="15.75" customHeight="1">
      <c r="A676" s="7"/>
      <c r="B676" s="7"/>
      <c r="C676" s="7"/>
      <c r="D676" s="7"/>
      <c r="F676" s="7"/>
      <c r="G676" s="92"/>
      <c r="H676" s="92"/>
      <c r="I676" s="92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</row>
    <row r="677" ht="15.75" customHeight="1">
      <c r="A677" s="7"/>
      <c r="B677" s="7"/>
      <c r="C677" s="7"/>
      <c r="D677" s="7"/>
      <c r="F677" s="7"/>
      <c r="G677" s="92"/>
      <c r="H677" s="92"/>
      <c r="I677" s="92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</row>
    <row r="678" ht="15.75" customHeight="1">
      <c r="A678" s="7"/>
      <c r="B678" s="7"/>
      <c r="C678" s="7"/>
      <c r="D678" s="7"/>
      <c r="F678" s="7"/>
      <c r="G678" s="92"/>
      <c r="H678" s="92"/>
      <c r="I678" s="92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</row>
    <row r="679" ht="15.75" customHeight="1">
      <c r="A679" s="7"/>
      <c r="B679" s="7"/>
      <c r="C679" s="7"/>
      <c r="D679" s="7"/>
      <c r="F679" s="7"/>
      <c r="G679" s="92"/>
      <c r="H679" s="92"/>
      <c r="I679" s="92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</row>
    <row r="680" ht="15.75" customHeight="1">
      <c r="A680" s="7"/>
      <c r="B680" s="7"/>
      <c r="C680" s="7"/>
      <c r="D680" s="7"/>
      <c r="F680" s="7"/>
      <c r="G680" s="92"/>
      <c r="H680" s="92"/>
      <c r="I680" s="92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</row>
    <row r="681" ht="15.75" customHeight="1">
      <c r="A681" s="7"/>
      <c r="B681" s="7"/>
      <c r="C681" s="7"/>
      <c r="D681" s="7"/>
      <c r="F681" s="7"/>
      <c r="G681" s="92"/>
      <c r="H681" s="92"/>
      <c r="I681" s="92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</row>
    <row r="682" ht="15.75" customHeight="1">
      <c r="A682" s="7"/>
      <c r="B682" s="7"/>
      <c r="C682" s="7"/>
      <c r="D682" s="7"/>
      <c r="F682" s="7"/>
      <c r="G682" s="92"/>
      <c r="H682" s="92"/>
      <c r="I682" s="92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</row>
    <row r="683" ht="15.75" customHeight="1">
      <c r="A683" s="7"/>
      <c r="B683" s="7"/>
      <c r="C683" s="7"/>
      <c r="D683" s="7"/>
      <c r="F683" s="7"/>
      <c r="G683" s="92"/>
      <c r="H683" s="92"/>
      <c r="I683" s="92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</row>
    <row r="684" ht="15.75" customHeight="1">
      <c r="A684" s="7"/>
      <c r="B684" s="7"/>
      <c r="C684" s="7"/>
      <c r="D684" s="7"/>
      <c r="F684" s="7"/>
      <c r="G684" s="92"/>
      <c r="H684" s="92"/>
      <c r="I684" s="92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</row>
    <row r="685" ht="15.75" customHeight="1">
      <c r="A685" s="7"/>
      <c r="B685" s="7"/>
      <c r="C685" s="7"/>
      <c r="D685" s="7"/>
      <c r="F685" s="7"/>
      <c r="G685" s="92"/>
      <c r="H685" s="92"/>
      <c r="I685" s="92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</row>
    <row r="686" ht="15.75" customHeight="1">
      <c r="A686" s="7"/>
      <c r="B686" s="7"/>
      <c r="C686" s="7"/>
      <c r="D686" s="7"/>
      <c r="F686" s="7"/>
      <c r="G686" s="92"/>
      <c r="H686" s="92"/>
      <c r="I686" s="92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</row>
    <row r="687" ht="15.75" customHeight="1">
      <c r="A687" s="7"/>
      <c r="B687" s="7"/>
      <c r="C687" s="7"/>
      <c r="D687" s="7"/>
      <c r="F687" s="7"/>
      <c r="G687" s="92"/>
      <c r="H687" s="92"/>
      <c r="I687" s="92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</row>
    <row r="688" ht="15.75" customHeight="1">
      <c r="A688" s="7"/>
      <c r="B688" s="7"/>
      <c r="C688" s="7"/>
      <c r="D688" s="7"/>
      <c r="F688" s="7"/>
      <c r="G688" s="92"/>
      <c r="H688" s="92"/>
      <c r="I688" s="92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</row>
    <row r="689" ht="15.75" customHeight="1">
      <c r="A689" s="7"/>
      <c r="B689" s="7"/>
      <c r="C689" s="7"/>
      <c r="D689" s="7"/>
      <c r="F689" s="7"/>
      <c r="G689" s="92"/>
      <c r="H689" s="92"/>
      <c r="I689" s="92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</row>
    <row r="690" ht="15.75" customHeight="1">
      <c r="A690" s="7"/>
      <c r="B690" s="7"/>
      <c r="C690" s="7"/>
      <c r="D690" s="7"/>
      <c r="F690" s="7"/>
      <c r="G690" s="92"/>
      <c r="H690" s="92"/>
      <c r="I690" s="92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</row>
    <row r="691" ht="15.75" customHeight="1">
      <c r="A691" s="7"/>
      <c r="B691" s="7"/>
      <c r="C691" s="7"/>
      <c r="D691" s="7"/>
      <c r="F691" s="7"/>
      <c r="G691" s="92"/>
      <c r="H691" s="92"/>
      <c r="I691" s="92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</row>
    <row r="692" ht="15.75" customHeight="1">
      <c r="A692" s="7"/>
      <c r="B692" s="7"/>
      <c r="C692" s="7"/>
      <c r="D692" s="7"/>
      <c r="F692" s="7"/>
      <c r="G692" s="92"/>
      <c r="H692" s="92"/>
      <c r="I692" s="92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</row>
    <row r="693" ht="15.75" customHeight="1">
      <c r="A693" s="7"/>
      <c r="B693" s="7"/>
      <c r="C693" s="7"/>
      <c r="D693" s="7"/>
      <c r="F693" s="7"/>
      <c r="G693" s="92"/>
      <c r="H693" s="92"/>
      <c r="I693" s="92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</row>
    <row r="694" ht="15.75" customHeight="1">
      <c r="A694" s="7"/>
      <c r="B694" s="7"/>
      <c r="C694" s="7"/>
      <c r="D694" s="7"/>
      <c r="F694" s="7"/>
      <c r="G694" s="92"/>
      <c r="H694" s="92"/>
      <c r="I694" s="92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</row>
    <row r="695" ht="15.75" customHeight="1">
      <c r="A695" s="7"/>
      <c r="B695" s="7"/>
      <c r="C695" s="7"/>
      <c r="D695" s="7"/>
      <c r="F695" s="7"/>
      <c r="G695" s="92"/>
      <c r="H695" s="92"/>
      <c r="I695" s="92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</row>
    <row r="696" ht="15.75" customHeight="1">
      <c r="A696" s="7"/>
      <c r="B696" s="7"/>
      <c r="C696" s="7"/>
      <c r="D696" s="7"/>
      <c r="F696" s="7"/>
      <c r="G696" s="92"/>
      <c r="H696" s="92"/>
      <c r="I696" s="92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</row>
    <row r="697" ht="15.75" customHeight="1">
      <c r="A697" s="7"/>
      <c r="B697" s="7"/>
      <c r="C697" s="7"/>
      <c r="D697" s="7"/>
      <c r="F697" s="7"/>
      <c r="G697" s="92"/>
      <c r="H697" s="92"/>
      <c r="I697" s="92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</row>
    <row r="698" ht="15.75" customHeight="1">
      <c r="A698" s="7"/>
      <c r="B698" s="7"/>
      <c r="C698" s="7"/>
      <c r="D698" s="7"/>
      <c r="F698" s="7"/>
      <c r="G698" s="92"/>
      <c r="H698" s="92"/>
      <c r="I698" s="92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</row>
    <row r="699" ht="15.75" customHeight="1">
      <c r="A699" s="7"/>
      <c r="B699" s="7"/>
      <c r="C699" s="7"/>
      <c r="D699" s="7"/>
      <c r="F699" s="7"/>
      <c r="G699" s="92"/>
      <c r="H699" s="92"/>
      <c r="I699" s="92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</row>
    <row r="700" ht="15.75" customHeight="1">
      <c r="A700" s="7"/>
      <c r="B700" s="7"/>
      <c r="C700" s="7"/>
      <c r="D700" s="7"/>
      <c r="F700" s="7"/>
      <c r="G700" s="92"/>
      <c r="H700" s="92"/>
      <c r="I700" s="92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</row>
    <row r="701" ht="15.75" customHeight="1">
      <c r="A701" s="7"/>
      <c r="B701" s="7"/>
      <c r="C701" s="7"/>
      <c r="D701" s="7"/>
      <c r="F701" s="7"/>
      <c r="G701" s="92"/>
      <c r="H701" s="92"/>
      <c r="I701" s="92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</row>
    <row r="702" ht="15.75" customHeight="1">
      <c r="A702" s="7"/>
      <c r="B702" s="7"/>
      <c r="C702" s="7"/>
      <c r="D702" s="7"/>
      <c r="F702" s="7"/>
      <c r="G702" s="92"/>
      <c r="H702" s="92"/>
      <c r="I702" s="92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</row>
    <row r="703" ht="15.75" customHeight="1">
      <c r="A703" s="7"/>
      <c r="B703" s="7"/>
      <c r="C703" s="7"/>
      <c r="D703" s="7"/>
      <c r="F703" s="7"/>
      <c r="G703" s="92"/>
      <c r="H703" s="92"/>
      <c r="I703" s="92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</row>
    <row r="704" ht="15.75" customHeight="1">
      <c r="A704" s="7"/>
      <c r="B704" s="7"/>
      <c r="C704" s="7"/>
      <c r="D704" s="7"/>
      <c r="F704" s="7"/>
      <c r="G704" s="92"/>
      <c r="H704" s="92"/>
      <c r="I704" s="92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</row>
    <row r="705" ht="15.75" customHeight="1">
      <c r="A705" s="7"/>
      <c r="B705" s="7"/>
      <c r="C705" s="7"/>
      <c r="D705" s="7"/>
      <c r="F705" s="7"/>
      <c r="G705" s="92"/>
      <c r="H705" s="92"/>
      <c r="I705" s="92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</row>
    <row r="706" ht="15.75" customHeight="1">
      <c r="A706" s="7"/>
      <c r="B706" s="7"/>
      <c r="C706" s="7"/>
      <c r="D706" s="7"/>
      <c r="F706" s="7"/>
      <c r="G706" s="92"/>
      <c r="H706" s="92"/>
      <c r="I706" s="92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</row>
    <row r="707" ht="15.75" customHeight="1">
      <c r="A707" s="7"/>
      <c r="B707" s="7"/>
      <c r="C707" s="7"/>
      <c r="D707" s="7"/>
      <c r="F707" s="7"/>
      <c r="G707" s="92"/>
      <c r="H707" s="92"/>
      <c r="I707" s="92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</row>
    <row r="708" ht="15.75" customHeight="1">
      <c r="A708" s="7"/>
      <c r="B708" s="7"/>
      <c r="C708" s="7"/>
      <c r="D708" s="7"/>
      <c r="F708" s="7"/>
      <c r="G708" s="92"/>
      <c r="H708" s="92"/>
      <c r="I708" s="92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</row>
    <row r="709" ht="15.75" customHeight="1">
      <c r="A709" s="7"/>
      <c r="B709" s="7"/>
      <c r="C709" s="7"/>
      <c r="D709" s="7"/>
      <c r="F709" s="7"/>
      <c r="G709" s="92"/>
      <c r="H709" s="92"/>
      <c r="I709" s="92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</row>
    <row r="710" ht="15.75" customHeight="1">
      <c r="A710" s="7"/>
      <c r="B710" s="7"/>
      <c r="C710" s="7"/>
      <c r="D710" s="7"/>
      <c r="F710" s="7"/>
      <c r="G710" s="92"/>
      <c r="H710" s="92"/>
      <c r="I710" s="92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</row>
    <row r="711" ht="15.75" customHeight="1">
      <c r="A711" s="7"/>
      <c r="B711" s="7"/>
      <c r="C711" s="7"/>
      <c r="D711" s="7"/>
      <c r="F711" s="7"/>
      <c r="G711" s="92"/>
      <c r="H711" s="92"/>
      <c r="I711" s="92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</row>
    <row r="712" ht="15.75" customHeight="1">
      <c r="A712" s="7"/>
      <c r="B712" s="7"/>
      <c r="C712" s="7"/>
      <c r="D712" s="7"/>
      <c r="F712" s="7"/>
      <c r="G712" s="92"/>
      <c r="H712" s="92"/>
      <c r="I712" s="92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</row>
    <row r="713" ht="15.75" customHeight="1">
      <c r="A713" s="7"/>
      <c r="B713" s="7"/>
      <c r="C713" s="7"/>
      <c r="D713" s="7"/>
      <c r="F713" s="7"/>
      <c r="G713" s="92"/>
      <c r="H713" s="92"/>
      <c r="I713" s="92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</row>
    <row r="714" ht="15.75" customHeight="1">
      <c r="A714" s="7"/>
      <c r="B714" s="7"/>
      <c r="C714" s="7"/>
      <c r="D714" s="7"/>
      <c r="F714" s="7"/>
      <c r="G714" s="92"/>
      <c r="H714" s="92"/>
      <c r="I714" s="92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</row>
    <row r="715" ht="15.75" customHeight="1">
      <c r="A715" s="7"/>
      <c r="B715" s="7"/>
      <c r="C715" s="7"/>
      <c r="D715" s="7"/>
      <c r="F715" s="7"/>
      <c r="G715" s="92"/>
      <c r="H715" s="92"/>
      <c r="I715" s="92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</row>
    <row r="716" ht="15.75" customHeight="1">
      <c r="A716" s="7"/>
      <c r="B716" s="7"/>
      <c r="C716" s="7"/>
      <c r="D716" s="7"/>
      <c r="F716" s="7"/>
      <c r="G716" s="92"/>
      <c r="H716" s="92"/>
      <c r="I716" s="92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</row>
    <row r="717" ht="15.75" customHeight="1">
      <c r="A717" s="7"/>
      <c r="B717" s="7"/>
      <c r="C717" s="7"/>
      <c r="D717" s="7"/>
      <c r="F717" s="7"/>
      <c r="G717" s="92"/>
      <c r="H717" s="92"/>
      <c r="I717" s="92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</row>
    <row r="718" ht="15.75" customHeight="1">
      <c r="A718" s="7"/>
      <c r="B718" s="7"/>
      <c r="C718" s="7"/>
      <c r="D718" s="7"/>
      <c r="F718" s="7"/>
      <c r="G718" s="92"/>
      <c r="H718" s="92"/>
      <c r="I718" s="92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</row>
    <row r="719" ht="15.75" customHeight="1">
      <c r="A719" s="7"/>
      <c r="B719" s="7"/>
      <c r="C719" s="7"/>
      <c r="D719" s="7"/>
      <c r="F719" s="7"/>
      <c r="G719" s="92"/>
      <c r="H719" s="92"/>
      <c r="I719" s="92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</row>
    <row r="720" ht="15.75" customHeight="1">
      <c r="A720" s="7"/>
      <c r="B720" s="7"/>
      <c r="C720" s="7"/>
      <c r="D720" s="7"/>
      <c r="F720" s="7"/>
      <c r="G720" s="92"/>
      <c r="H720" s="92"/>
      <c r="I720" s="92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</row>
    <row r="721" ht="15.75" customHeight="1">
      <c r="A721" s="7"/>
      <c r="B721" s="7"/>
      <c r="C721" s="7"/>
      <c r="D721" s="7"/>
      <c r="F721" s="7"/>
      <c r="G721" s="92"/>
      <c r="H721" s="92"/>
      <c r="I721" s="92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</row>
    <row r="722" ht="15.75" customHeight="1">
      <c r="A722" s="7"/>
      <c r="B722" s="7"/>
      <c r="C722" s="7"/>
      <c r="D722" s="7"/>
      <c r="F722" s="7"/>
      <c r="G722" s="92"/>
      <c r="H722" s="92"/>
      <c r="I722" s="92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</row>
    <row r="723" ht="15.75" customHeight="1">
      <c r="A723" s="7"/>
      <c r="B723" s="7"/>
      <c r="C723" s="7"/>
      <c r="D723" s="7"/>
      <c r="F723" s="7"/>
      <c r="G723" s="92"/>
      <c r="H723" s="92"/>
      <c r="I723" s="92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</row>
    <row r="724" ht="15.75" customHeight="1">
      <c r="A724" s="7"/>
      <c r="B724" s="7"/>
      <c r="C724" s="7"/>
      <c r="D724" s="7"/>
      <c r="F724" s="7"/>
      <c r="G724" s="92"/>
      <c r="H724" s="92"/>
      <c r="I724" s="92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</row>
    <row r="725" ht="15.75" customHeight="1">
      <c r="A725" s="7"/>
      <c r="B725" s="7"/>
      <c r="C725" s="7"/>
      <c r="D725" s="7"/>
      <c r="F725" s="7"/>
      <c r="G725" s="92"/>
      <c r="H725" s="92"/>
      <c r="I725" s="92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</row>
    <row r="726" ht="15.75" customHeight="1">
      <c r="A726" s="7"/>
      <c r="B726" s="7"/>
      <c r="C726" s="7"/>
      <c r="D726" s="7"/>
      <c r="F726" s="7"/>
      <c r="G726" s="92"/>
      <c r="H726" s="92"/>
      <c r="I726" s="92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</row>
    <row r="727" ht="15.75" customHeight="1">
      <c r="A727" s="7"/>
      <c r="B727" s="7"/>
      <c r="C727" s="7"/>
      <c r="D727" s="7"/>
      <c r="F727" s="7"/>
      <c r="G727" s="92"/>
      <c r="H727" s="92"/>
      <c r="I727" s="92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</row>
    <row r="728" ht="15.75" customHeight="1">
      <c r="A728" s="7"/>
      <c r="B728" s="7"/>
      <c r="C728" s="7"/>
      <c r="D728" s="7"/>
      <c r="F728" s="7"/>
      <c r="G728" s="92"/>
      <c r="H728" s="92"/>
      <c r="I728" s="92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</row>
    <row r="729" ht="15.75" customHeight="1">
      <c r="A729" s="7"/>
      <c r="B729" s="7"/>
      <c r="C729" s="7"/>
      <c r="D729" s="7"/>
      <c r="F729" s="7"/>
      <c r="G729" s="92"/>
      <c r="H729" s="92"/>
      <c r="I729" s="92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</row>
    <row r="730" ht="15.75" customHeight="1">
      <c r="A730" s="7"/>
      <c r="B730" s="7"/>
      <c r="C730" s="7"/>
      <c r="D730" s="7"/>
      <c r="F730" s="7"/>
      <c r="G730" s="92"/>
      <c r="H730" s="92"/>
      <c r="I730" s="92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</row>
    <row r="731" ht="15.75" customHeight="1">
      <c r="A731" s="7"/>
      <c r="B731" s="7"/>
      <c r="C731" s="7"/>
      <c r="D731" s="7"/>
      <c r="F731" s="7"/>
      <c r="G731" s="92"/>
      <c r="H731" s="92"/>
      <c r="I731" s="92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</row>
    <row r="732" ht="15.75" customHeight="1">
      <c r="A732" s="7"/>
      <c r="B732" s="7"/>
      <c r="C732" s="7"/>
      <c r="D732" s="7"/>
      <c r="F732" s="7"/>
      <c r="G732" s="92"/>
      <c r="H732" s="92"/>
      <c r="I732" s="92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</row>
    <row r="733" ht="15.75" customHeight="1">
      <c r="A733" s="7"/>
      <c r="B733" s="7"/>
      <c r="C733" s="7"/>
      <c r="D733" s="7"/>
      <c r="F733" s="7"/>
      <c r="G733" s="92"/>
      <c r="H733" s="92"/>
      <c r="I733" s="92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</row>
    <row r="734" ht="15.75" customHeight="1">
      <c r="A734" s="7"/>
      <c r="B734" s="7"/>
      <c r="C734" s="7"/>
      <c r="D734" s="7"/>
      <c r="F734" s="7"/>
      <c r="G734" s="92"/>
      <c r="H734" s="92"/>
      <c r="I734" s="92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</row>
    <row r="735" ht="15.75" customHeight="1">
      <c r="A735" s="7"/>
      <c r="B735" s="7"/>
      <c r="C735" s="7"/>
      <c r="D735" s="7"/>
      <c r="F735" s="7"/>
      <c r="G735" s="92"/>
      <c r="H735" s="92"/>
      <c r="I735" s="92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</row>
    <row r="736" ht="15.75" customHeight="1">
      <c r="A736" s="7"/>
      <c r="B736" s="7"/>
      <c r="C736" s="7"/>
      <c r="D736" s="7"/>
      <c r="F736" s="7"/>
      <c r="G736" s="92"/>
      <c r="H736" s="92"/>
      <c r="I736" s="92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</row>
    <row r="737" ht="15.75" customHeight="1">
      <c r="A737" s="7"/>
      <c r="B737" s="7"/>
      <c r="C737" s="7"/>
      <c r="D737" s="7"/>
      <c r="F737" s="7"/>
      <c r="G737" s="92"/>
      <c r="H737" s="92"/>
      <c r="I737" s="92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</row>
    <row r="738" ht="15.75" customHeight="1">
      <c r="A738" s="7"/>
      <c r="B738" s="7"/>
      <c r="C738" s="7"/>
      <c r="D738" s="7"/>
      <c r="F738" s="7"/>
      <c r="G738" s="92"/>
      <c r="H738" s="92"/>
      <c r="I738" s="92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</row>
    <row r="739" ht="15.75" customHeight="1">
      <c r="A739" s="7"/>
      <c r="B739" s="7"/>
      <c r="C739" s="7"/>
      <c r="D739" s="7"/>
      <c r="F739" s="7"/>
      <c r="G739" s="92"/>
      <c r="H739" s="92"/>
      <c r="I739" s="92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</row>
    <row r="740" ht="15.75" customHeight="1">
      <c r="A740" s="7"/>
      <c r="B740" s="7"/>
      <c r="C740" s="7"/>
      <c r="D740" s="7"/>
      <c r="F740" s="7"/>
      <c r="G740" s="92"/>
      <c r="H740" s="92"/>
      <c r="I740" s="92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</row>
    <row r="741" ht="15.75" customHeight="1">
      <c r="A741" s="7"/>
      <c r="B741" s="7"/>
      <c r="C741" s="7"/>
      <c r="D741" s="7"/>
      <c r="F741" s="7"/>
      <c r="G741" s="92"/>
      <c r="H741" s="92"/>
      <c r="I741" s="92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</row>
    <row r="742" ht="15.75" customHeight="1">
      <c r="A742" s="7"/>
      <c r="B742" s="7"/>
      <c r="C742" s="7"/>
      <c r="D742" s="7"/>
      <c r="F742" s="7"/>
      <c r="G742" s="92"/>
      <c r="H742" s="92"/>
      <c r="I742" s="92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</row>
    <row r="743" ht="15.75" customHeight="1">
      <c r="A743" s="7"/>
      <c r="B743" s="7"/>
      <c r="C743" s="7"/>
      <c r="D743" s="7"/>
      <c r="F743" s="7"/>
      <c r="G743" s="92"/>
      <c r="H743" s="92"/>
      <c r="I743" s="92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</row>
    <row r="744" ht="15.75" customHeight="1">
      <c r="A744" s="7"/>
      <c r="B744" s="7"/>
      <c r="C744" s="7"/>
      <c r="D744" s="7"/>
      <c r="F744" s="7"/>
      <c r="G744" s="92"/>
      <c r="H744" s="92"/>
      <c r="I744" s="92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</row>
    <row r="745" ht="15.75" customHeight="1">
      <c r="A745" s="7"/>
      <c r="B745" s="7"/>
      <c r="C745" s="7"/>
      <c r="D745" s="7"/>
      <c r="F745" s="7"/>
      <c r="G745" s="92"/>
      <c r="H745" s="92"/>
      <c r="I745" s="92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</row>
    <row r="746" ht="15.75" customHeight="1">
      <c r="A746" s="7"/>
      <c r="B746" s="7"/>
      <c r="C746" s="7"/>
      <c r="D746" s="7"/>
      <c r="F746" s="7"/>
      <c r="G746" s="92"/>
      <c r="H746" s="92"/>
      <c r="I746" s="92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</row>
    <row r="747" ht="15.75" customHeight="1">
      <c r="A747" s="7"/>
      <c r="B747" s="7"/>
      <c r="C747" s="7"/>
      <c r="D747" s="7"/>
      <c r="F747" s="7"/>
      <c r="G747" s="92"/>
      <c r="H747" s="92"/>
      <c r="I747" s="92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</row>
    <row r="748" ht="15.75" customHeight="1">
      <c r="A748" s="7"/>
      <c r="B748" s="7"/>
      <c r="C748" s="7"/>
      <c r="D748" s="7"/>
      <c r="F748" s="7"/>
      <c r="G748" s="92"/>
      <c r="H748" s="92"/>
      <c r="I748" s="92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</row>
    <row r="749" ht="15.75" customHeight="1">
      <c r="A749" s="7"/>
      <c r="B749" s="7"/>
      <c r="C749" s="7"/>
      <c r="D749" s="7"/>
      <c r="F749" s="7"/>
      <c r="G749" s="92"/>
      <c r="H749" s="92"/>
      <c r="I749" s="92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</row>
    <row r="750" ht="15.75" customHeight="1">
      <c r="A750" s="7"/>
      <c r="B750" s="7"/>
      <c r="C750" s="7"/>
      <c r="D750" s="7"/>
      <c r="F750" s="7"/>
      <c r="G750" s="92"/>
      <c r="H750" s="92"/>
      <c r="I750" s="92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</row>
    <row r="751" ht="15.75" customHeight="1">
      <c r="A751" s="7"/>
      <c r="B751" s="7"/>
      <c r="C751" s="7"/>
      <c r="D751" s="7"/>
      <c r="F751" s="7"/>
      <c r="G751" s="92"/>
      <c r="H751" s="92"/>
      <c r="I751" s="92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</row>
    <row r="752" ht="15.75" customHeight="1">
      <c r="A752" s="7"/>
      <c r="B752" s="7"/>
      <c r="C752" s="7"/>
      <c r="D752" s="7"/>
      <c r="F752" s="7"/>
      <c r="G752" s="92"/>
      <c r="H752" s="92"/>
      <c r="I752" s="92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</row>
    <row r="753" ht="15.75" customHeight="1">
      <c r="A753" s="7"/>
      <c r="B753" s="7"/>
      <c r="C753" s="7"/>
      <c r="D753" s="7"/>
      <c r="F753" s="7"/>
      <c r="G753" s="92"/>
      <c r="H753" s="92"/>
      <c r="I753" s="92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</row>
    <row r="754" ht="15.75" customHeight="1">
      <c r="A754" s="7"/>
      <c r="B754" s="7"/>
      <c r="C754" s="7"/>
      <c r="D754" s="7"/>
      <c r="F754" s="7"/>
      <c r="G754" s="92"/>
      <c r="H754" s="92"/>
      <c r="I754" s="92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</row>
    <row r="755" ht="15.75" customHeight="1">
      <c r="A755" s="7"/>
      <c r="B755" s="7"/>
      <c r="C755" s="7"/>
      <c r="D755" s="7"/>
      <c r="F755" s="7"/>
      <c r="G755" s="92"/>
      <c r="H755" s="92"/>
      <c r="I755" s="92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</row>
    <row r="756" ht="15.75" customHeight="1">
      <c r="A756" s="7"/>
      <c r="B756" s="7"/>
      <c r="C756" s="7"/>
      <c r="D756" s="7"/>
      <c r="F756" s="7"/>
      <c r="G756" s="92"/>
      <c r="H756" s="92"/>
      <c r="I756" s="92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</row>
    <row r="757" ht="15.75" customHeight="1">
      <c r="A757" s="7"/>
      <c r="B757" s="7"/>
      <c r="C757" s="7"/>
      <c r="D757" s="7"/>
      <c r="F757" s="7"/>
      <c r="G757" s="92"/>
      <c r="H757" s="92"/>
      <c r="I757" s="92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</row>
    <row r="758" ht="15.75" customHeight="1">
      <c r="A758" s="7"/>
      <c r="B758" s="7"/>
      <c r="C758" s="7"/>
      <c r="D758" s="7"/>
      <c r="F758" s="7"/>
      <c r="G758" s="92"/>
      <c r="H758" s="92"/>
      <c r="I758" s="92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</row>
    <row r="759" ht="15.75" customHeight="1">
      <c r="A759" s="7"/>
      <c r="B759" s="7"/>
      <c r="C759" s="7"/>
      <c r="D759" s="7"/>
      <c r="F759" s="7"/>
      <c r="G759" s="92"/>
      <c r="H759" s="92"/>
      <c r="I759" s="92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</row>
    <row r="760" ht="15.75" customHeight="1">
      <c r="A760" s="7"/>
      <c r="B760" s="7"/>
      <c r="C760" s="7"/>
      <c r="D760" s="7"/>
      <c r="F760" s="7"/>
      <c r="G760" s="92"/>
      <c r="H760" s="92"/>
      <c r="I760" s="92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</row>
    <row r="761" ht="15.75" customHeight="1">
      <c r="A761" s="7"/>
      <c r="B761" s="7"/>
      <c r="C761" s="7"/>
      <c r="D761" s="7"/>
      <c r="F761" s="7"/>
      <c r="G761" s="92"/>
      <c r="H761" s="92"/>
      <c r="I761" s="92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</row>
    <row r="762" ht="15.75" customHeight="1">
      <c r="A762" s="7"/>
      <c r="B762" s="7"/>
      <c r="C762" s="7"/>
      <c r="D762" s="7"/>
      <c r="F762" s="7"/>
      <c r="G762" s="92"/>
      <c r="H762" s="92"/>
      <c r="I762" s="92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</row>
    <row r="763" ht="15.75" customHeight="1">
      <c r="A763" s="7"/>
      <c r="B763" s="7"/>
      <c r="C763" s="7"/>
      <c r="D763" s="7"/>
      <c r="F763" s="7"/>
      <c r="G763" s="92"/>
      <c r="H763" s="92"/>
      <c r="I763" s="92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</row>
    <row r="764" ht="15.75" customHeight="1">
      <c r="A764" s="7"/>
      <c r="B764" s="7"/>
      <c r="C764" s="7"/>
      <c r="D764" s="7"/>
      <c r="F764" s="7"/>
      <c r="G764" s="92"/>
      <c r="H764" s="92"/>
      <c r="I764" s="92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</row>
    <row r="765" ht="15.75" customHeight="1">
      <c r="A765" s="7"/>
      <c r="B765" s="7"/>
      <c r="C765" s="7"/>
      <c r="D765" s="7"/>
      <c r="F765" s="7"/>
      <c r="G765" s="92"/>
      <c r="H765" s="92"/>
      <c r="I765" s="92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</row>
    <row r="766" ht="15.75" customHeight="1">
      <c r="A766" s="7"/>
      <c r="B766" s="7"/>
      <c r="C766" s="7"/>
      <c r="D766" s="7"/>
      <c r="F766" s="7"/>
      <c r="G766" s="92"/>
      <c r="H766" s="92"/>
      <c r="I766" s="92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</row>
    <row r="767" ht="15.75" customHeight="1">
      <c r="A767" s="7"/>
      <c r="B767" s="7"/>
      <c r="C767" s="7"/>
      <c r="D767" s="7"/>
      <c r="F767" s="7"/>
      <c r="G767" s="92"/>
      <c r="H767" s="92"/>
      <c r="I767" s="92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</row>
    <row r="768" ht="15.75" customHeight="1">
      <c r="A768" s="7"/>
      <c r="B768" s="7"/>
      <c r="C768" s="7"/>
      <c r="D768" s="7"/>
      <c r="F768" s="7"/>
      <c r="G768" s="92"/>
      <c r="H768" s="92"/>
      <c r="I768" s="92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</row>
    <row r="769" ht="15.75" customHeight="1">
      <c r="A769" s="7"/>
      <c r="B769" s="7"/>
      <c r="C769" s="7"/>
      <c r="D769" s="7"/>
      <c r="F769" s="7"/>
      <c r="G769" s="92"/>
      <c r="H769" s="92"/>
      <c r="I769" s="92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</row>
    <row r="770" ht="15.75" customHeight="1">
      <c r="A770" s="7"/>
      <c r="B770" s="7"/>
      <c r="C770" s="7"/>
      <c r="D770" s="7"/>
      <c r="F770" s="7"/>
      <c r="G770" s="92"/>
      <c r="H770" s="92"/>
      <c r="I770" s="92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</row>
    <row r="771" ht="15.75" customHeight="1">
      <c r="A771" s="7"/>
      <c r="B771" s="7"/>
      <c r="C771" s="7"/>
      <c r="D771" s="7"/>
      <c r="F771" s="7"/>
      <c r="G771" s="92"/>
      <c r="H771" s="92"/>
      <c r="I771" s="92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</row>
    <row r="772" ht="15.75" customHeight="1">
      <c r="A772" s="7"/>
      <c r="B772" s="7"/>
      <c r="C772" s="7"/>
      <c r="D772" s="7"/>
      <c r="F772" s="7"/>
      <c r="G772" s="92"/>
      <c r="H772" s="92"/>
      <c r="I772" s="92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</row>
    <row r="773" ht="15.75" customHeight="1">
      <c r="A773" s="7"/>
      <c r="B773" s="7"/>
      <c r="C773" s="7"/>
      <c r="D773" s="7"/>
      <c r="F773" s="7"/>
      <c r="G773" s="92"/>
      <c r="H773" s="92"/>
      <c r="I773" s="92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</row>
    <row r="774" ht="15.75" customHeight="1">
      <c r="A774" s="7"/>
      <c r="B774" s="7"/>
      <c r="C774" s="7"/>
      <c r="D774" s="7"/>
      <c r="F774" s="7"/>
      <c r="G774" s="92"/>
      <c r="H774" s="92"/>
      <c r="I774" s="92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</row>
    <row r="775" ht="15.75" customHeight="1">
      <c r="A775" s="7"/>
      <c r="B775" s="7"/>
      <c r="C775" s="7"/>
      <c r="D775" s="7"/>
      <c r="F775" s="7"/>
      <c r="G775" s="92"/>
      <c r="H775" s="92"/>
      <c r="I775" s="92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</row>
    <row r="776" ht="15.75" customHeight="1">
      <c r="A776" s="7"/>
      <c r="B776" s="7"/>
      <c r="C776" s="7"/>
      <c r="D776" s="7"/>
      <c r="F776" s="7"/>
      <c r="G776" s="92"/>
      <c r="H776" s="92"/>
      <c r="I776" s="92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</row>
    <row r="777" ht="15.75" customHeight="1">
      <c r="A777" s="7"/>
      <c r="B777" s="7"/>
      <c r="C777" s="7"/>
      <c r="D777" s="7"/>
      <c r="F777" s="7"/>
      <c r="G777" s="92"/>
      <c r="H777" s="92"/>
      <c r="I777" s="92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</row>
    <row r="778" ht="15.75" customHeight="1">
      <c r="A778" s="7"/>
      <c r="B778" s="7"/>
      <c r="C778" s="7"/>
      <c r="D778" s="7"/>
      <c r="F778" s="7"/>
      <c r="G778" s="92"/>
      <c r="H778" s="92"/>
      <c r="I778" s="92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</row>
    <row r="779" ht="15.75" customHeight="1">
      <c r="A779" s="7"/>
      <c r="B779" s="7"/>
      <c r="C779" s="7"/>
      <c r="D779" s="7"/>
      <c r="F779" s="7"/>
      <c r="G779" s="92"/>
      <c r="H779" s="92"/>
      <c r="I779" s="92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</row>
    <row r="780" ht="15.75" customHeight="1">
      <c r="A780" s="7"/>
      <c r="B780" s="7"/>
      <c r="C780" s="7"/>
      <c r="D780" s="7"/>
      <c r="F780" s="7"/>
      <c r="G780" s="92"/>
      <c r="H780" s="92"/>
      <c r="I780" s="92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</row>
    <row r="781" ht="15.75" customHeight="1">
      <c r="A781" s="7"/>
      <c r="B781" s="7"/>
      <c r="C781" s="7"/>
      <c r="D781" s="7"/>
      <c r="F781" s="7"/>
      <c r="G781" s="92"/>
      <c r="H781" s="92"/>
      <c r="I781" s="92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</row>
    <row r="782" ht="15.75" customHeight="1">
      <c r="A782" s="7"/>
      <c r="B782" s="7"/>
      <c r="C782" s="7"/>
      <c r="D782" s="7"/>
      <c r="F782" s="7"/>
      <c r="G782" s="92"/>
      <c r="H782" s="92"/>
      <c r="I782" s="92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</row>
    <row r="783" ht="15.75" customHeight="1">
      <c r="A783" s="7"/>
      <c r="B783" s="7"/>
      <c r="C783" s="7"/>
      <c r="D783" s="7"/>
      <c r="F783" s="7"/>
      <c r="G783" s="92"/>
      <c r="H783" s="92"/>
      <c r="I783" s="92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</row>
    <row r="784" ht="15.75" customHeight="1">
      <c r="A784" s="7"/>
      <c r="B784" s="7"/>
      <c r="C784" s="7"/>
      <c r="D784" s="7"/>
      <c r="F784" s="7"/>
      <c r="G784" s="92"/>
      <c r="H784" s="92"/>
      <c r="I784" s="92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</row>
    <row r="785" ht="15.75" customHeight="1">
      <c r="A785" s="7"/>
      <c r="B785" s="7"/>
      <c r="C785" s="7"/>
      <c r="D785" s="7"/>
      <c r="F785" s="7"/>
      <c r="G785" s="92"/>
      <c r="H785" s="92"/>
      <c r="I785" s="92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</row>
    <row r="786" ht="15.75" customHeight="1">
      <c r="A786" s="7"/>
      <c r="B786" s="7"/>
      <c r="C786" s="7"/>
      <c r="D786" s="7"/>
      <c r="F786" s="7"/>
      <c r="G786" s="92"/>
      <c r="H786" s="92"/>
      <c r="I786" s="92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</row>
    <row r="787" ht="15.75" customHeight="1">
      <c r="A787" s="7"/>
      <c r="B787" s="7"/>
      <c r="C787" s="7"/>
      <c r="D787" s="7"/>
      <c r="F787" s="7"/>
      <c r="G787" s="92"/>
      <c r="H787" s="92"/>
      <c r="I787" s="92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</row>
    <row r="788" ht="15.75" customHeight="1">
      <c r="A788" s="7"/>
      <c r="B788" s="7"/>
      <c r="C788" s="7"/>
      <c r="D788" s="7"/>
      <c r="F788" s="7"/>
      <c r="G788" s="92"/>
      <c r="H788" s="92"/>
      <c r="I788" s="92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</row>
    <row r="789" ht="15.75" customHeight="1">
      <c r="A789" s="7"/>
      <c r="B789" s="7"/>
      <c r="C789" s="7"/>
      <c r="D789" s="7"/>
      <c r="F789" s="7"/>
      <c r="G789" s="92"/>
      <c r="H789" s="92"/>
      <c r="I789" s="92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</row>
    <row r="790" ht="15.75" customHeight="1">
      <c r="A790" s="7"/>
      <c r="B790" s="7"/>
      <c r="C790" s="7"/>
      <c r="D790" s="7"/>
      <c r="F790" s="7"/>
      <c r="G790" s="92"/>
      <c r="H790" s="92"/>
      <c r="I790" s="92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</row>
    <row r="791" ht="15.75" customHeight="1">
      <c r="A791" s="7"/>
      <c r="B791" s="7"/>
      <c r="C791" s="7"/>
      <c r="D791" s="7"/>
      <c r="F791" s="7"/>
      <c r="G791" s="92"/>
      <c r="H791" s="92"/>
      <c r="I791" s="92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</row>
    <row r="792" ht="15.75" customHeight="1">
      <c r="A792" s="7"/>
      <c r="B792" s="7"/>
      <c r="C792" s="7"/>
      <c r="D792" s="7"/>
      <c r="F792" s="7"/>
      <c r="G792" s="92"/>
      <c r="H792" s="92"/>
      <c r="I792" s="92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</row>
    <row r="793" ht="15.75" customHeight="1">
      <c r="A793" s="7"/>
      <c r="B793" s="7"/>
      <c r="C793" s="7"/>
      <c r="D793" s="7"/>
      <c r="F793" s="7"/>
      <c r="G793" s="92"/>
      <c r="H793" s="92"/>
      <c r="I793" s="92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</row>
    <row r="794" ht="15.75" customHeight="1">
      <c r="A794" s="7"/>
      <c r="B794" s="7"/>
      <c r="C794" s="7"/>
      <c r="D794" s="7"/>
      <c r="F794" s="7"/>
      <c r="G794" s="92"/>
      <c r="H794" s="92"/>
      <c r="I794" s="92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</row>
    <row r="795" ht="15.75" customHeight="1">
      <c r="A795" s="7"/>
      <c r="B795" s="7"/>
      <c r="C795" s="7"/>
      <c r="D795" s="7"/>
      <c r="F795" s="7"/>
      <c r="G795" s="92"/>
      <c r="H795" s="92"/>
      <c r="I795" s="92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</row>
    <row r="796" ht="15.75" customHeight="1">
      <c r="A796" s="7"/>
      <c r="B796" s="7"/>
      <c r="C796" s="7"/>
      <c r="D796" s="7"/>
      <c r="F796" s="7"/>
      <c r="G796" s="92"/>
      <c r="H796" s="92"/>
      <c r="I796" s="92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</row>
    <row r="797" ht="15.75" customHeight="1">
      <c r="A797" s="7"/>
      <c r="B797" s="7"/>
      <c r="C797" s="7"/>
      <c r="D797" s="7"/>
      <c r="F797" s="7"/>
      <c r="G797" s="92"/>
      <c r="H797" s="92"/>
      <c r="I797" s="92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</row>
    <row r="798" ht="15.75" customHeight="1">
      <c r="A798" s="7"/>
      <c r="B798" s="7"/>
      <c r="C798" s="7"/>
      <c r="D798" s="7"/>
      <c r="F798" s="7"/>
      <c r="G798" s="92"/>
      <c r="H798" s="92"/>
      <c r="I798" s="92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</row>
    <row r="799" ht="15.75" customHeight="1">
      <c r="A799" s="7"/>
      <c r="B799" s="7"/>
      <c r="C799" s="7"/>
      <c r="D799" s="7"/>
      <c r="F799" s="7"/>
      <c r="G799" s="92"/>
      <c r="H799" s="92"/>
      <c r="I799" s="92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</row>
    <row r="800" ht="15.75" customHeight="1">
      <c r="A800" s="7"/>
      <c r="B800" s="7"/>
      <c r="C800" s="7"/>
      <c r="D800" s="7"/>
      <c r="F800" s="7"/>
      <c r="G800" s="92"/>
      <c r="H800" s="92"/>
      <c r="I800" s="92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</row>
    <row r="801" ht="15.75" customHeight="1">
      <c r="A801" s="7"/>
      <c r="B801" s="7"/>
      <c r="C801" s="7"/>
      <c r="D801" s="7"/>
      <c r="F801" s="7"/>
      <c r="G801" s="92"/>
      <c r="H801" s="92"/>
      <c r="I801" s="92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</row>
    <row r="802" ht="15.75" customHeight="1">
      <c r="A802" s="7"/>
      <c r="B802" s="7"/>
      <c r="C802" s="7"/>
      <c r="D802" s="7"/>
      <c r="F802" s="7"/>
      <c r="G802" s="92"/>
      <c r="H802" s="92"/>
      <c r="I802" s="92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</row>
    <row r="803" ht="15.75" customHeight="1">
      <c r="A803" s="7"/>
      <c r="B803" s="7"/>
      <c r="C803" s="7"/>
      <c r="D803" s="7"/>
      <c r="F803" s="7"/>
      <c r="G803" s="92"/>
      <c r="H803" s="92"/>
      <c r="I803" s="92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</row>
    <row r="804" ht="15.75" customHeight="1">
      <c r="A804" s="7"/>
      <c r="B804" s="7"/>
      <c r="C804" s="7"/>
      <c r="D804" s="7"/>
      <c r="F804" s="7"/>
      <c r="G804" s="92"/>
      <c r="H804" s="92"/>
      <c r="I804" s="92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</row>
    <row r="805" ht="15.75" customHeight="1">
      <c r="A805" s="7"/>
      <c r="B805" s="7"/>
      <c r="C805" s="7"/>
      <c r="D805" s="7"/>
      <c r="F805" s="7"/>
      <c r="G805" s="92"/>
      <c r="H805" s="92"/>
      <c r="I805" s="92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</row>
    <row r="806" ht="15.75" customHeight="1">
      <c r="A806" s="7"/>
      <c r="B806" s="7"/>
      <c r="C806" s="7"/>
      <c r="D806" s="7"/>
      <c r="F806" s="7"/>
      <c r="G806" s="92"/>
      <c r="H806" s="92"/>
      <c r="I806" s="92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</row>
    <row r="807" ht="15.75" customHeight="1">
      <c r="A807" s="7"/>
      <c r="B807" s="7"/>
      <c r="C807" s="7"/>
      <c r="D807" s="7"/>
      <c r="F807" s="7"/>
      <c r="G807" s="92"/>
      <c r="H807" s="92"/>
      <c r="I807" s="92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</row>
    <row r="808" ht="15.75" customHeight="1">
      <c r="A808" s="7"/>
      <c r="B808" s="7"/>
      <c r="C808" s="7"/>
      <c r="D808" s="7"/>
      <c r="F808" s="7"/>
      <c r="G808" s="92"/>
      <c r="H808" s="92"/>
      <c r="I808" s="92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</row>
    <row r="809" ht="15.75" customHeight="1">
      <c r="A809" s="7"/>
      <c r="B809" s="7"/>
      <c r="C809" s="7"/>
      <c r="D809" s="7"/>
      <c r="F809" s="7"/>
      <c r="G809" s="92"/>
      <c r="H809" s="92"/>
      <c r="I809" s="92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</row>
    <row r="810" ht="15.75" customHeight="1">
      <c r="A810" s="7"/>
      <c r="B810" s="7"/>
      <c r="C810" s="7"/>
      <c r="D810" s="7"/>
      <c r="F810" s="7"/>
      <c r="G810" s="92"/>
      <c r="H810" s="92"/>
      <c r="I810" s="92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</row>
    <row r="811" ht="15.75" customHeight="1">
      <c r="A811" s="7"/>
      <c r="B811" s="7"/>
      <c r="C811" s="7"/>
      <c r="D811" s="7"/>
      <c r="F811" s="7"/>
      <c r="G811" s="92"/>
      <c r="H811" s="92"/>
      <c r="I811" s="92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</row>
    <row r="812" ht="15.75" customHeight="1">
      <c r="A812" s="7"/>
      <c r="B812" s="7"/>
      <c r="C812" s="7"/>
      <c r="D812" s="7"/>
      <c r="F812" s="7"/>
      <c r="G812" s="92"/>
      <c r="H812" s="92"/>
      <c r="I812" s="92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</row>
    <row r="813" ht="15.75" customHeight="1">
      <c r="A813" s="7"/>
      <c r="B813" s="7"/>
      <c r="C813" s="7"/>
      <c r="D813" s="7"/>
      <c r="F813" s="7"/>
      <c r="G813" s="92"/>
      <c r="H813" s="92"/>
      <c r="I813" s="92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</row>
    <row r="814" ht="15.75" customHeight="1">
      <c r="A814" s="7"/>
      <c r="B814" s="7"/>
      <c r="C814" s="7"/>
      <c r="D814" s="7"/>
      <c r="F814" s="7"/>
      <c r="G814" s="92"/>
      <c r="H814" s="92"/>
      <c r="I814" s="92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</row>
    <row r="815" ht="15.75" customHeight="1">
      <c r="A815" s="7"/>
      <c r="B815" s="7"/>
      <c r="C815" s="7"/>
      <c r="D815" s="7"/>
      <c r="F815" s="7"/>
      <c r="G815" s="92"/>
      <c r="H815" s="92"/>
      <c r="I815" s="92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</row>
    <row r="816" ht="15.75" customHeight="1">
      <c r="A816" s="7"/>
      <c r="B816" s="7"/>
      <c r="C816" s="7"/>
      <c r="D816" s="7"/>
      <c r="F816" s="7"/>
      <c r="G816" s="92"/>
      <c r="H816" s="92"/>
      <c r="I816" s="92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</row>
    <row r="817" ht="15.75" customHeight="1">
      <c r="A817" s="7"/>
      <c r="B817" s="7"/>
      <c r="C817" s="7"/>
      <c r="D817" s="7"/>
      <c r="F817" s="7"/>
      <c r="G817" s="92"/>
      <c r="H817" s="92"/>
      <c r="I817" s="92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</row>
    <row r="818" ht="15.75" customHeight="1">
      <c r="A818" s="7"/>
      <c r="B818" s="7"/>
      <c r="C818" s="7"/>
      <c r="D818" s="7"/>
      <c r="F818" s="7"/>
      <c r="G818" s="92"/>
      <c r="H818" s="92"/>
      <c r="I818" s="92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</row>
    <row r="819" ht="15.75" customHeight="1">
      <c r="A819" s="7"/>
      <c r="B819" s="7"/>
      <c r="C819" s="7"/>
      <c r="D819" s="7"/>
      <c r="F819" s="7"/>
      <c r="G819" s="92"/>
      <c r="H819" s="92"/>
      <c r="I819" s="92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</row>
    <row r="820" ht="15.75" customHeight="1">
      <c r="A820" s="7"/>
      <c r="B820" s="7"/>
      <c r="C820" s="7"/>
      <c r="D820" s="7"/>
      <c r="F820" s="7"/>
      <c r="G820" s="92"/>
      <c r="H820" s="92"/>
      <c r="I820" s="92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</row>
    <row r="821" ht="15.75" customHeight="1">
      <c r="A821" s="7"/>
      <c r="B821" s="7"/>
      <c r="C821" s="7"/>
      <c r="D821" s="7"/>
      <c r="F821" s="7"/>
      <c r="G821" s="92"/>
      <c r="H821" s="92"/>
      <c r="I821" s="92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</row>
    <row r="822" ht="15.75" customHeight="1">
      <c r="A822" s="7"/>
      <c r="B822" s="7"/>
      <c r="C822" s="7"/>
      <c r="D822" s="7"/>
      <c r="F822" s="7"/>
      <c r="G822" s="92"/>
      <c r="H822" s="92"/>
      <c r="I822" s="92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</row>
    <row r="823" ht="15.75" customHeight="1">
      <c r="A823" s="7"/>
      <c r="B823" s="7"/>
      <c r="C823" s="7"/>
      <c r="D823" s="7"/>
      <c r="F823" s="7"/>
      <c r="G823" s="92"/>
      <c r="H823" s="92"/>
      <c r="I823" s="92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</row>
    <row r="824" ht="15.75" customHeight="1">
      <c r="A824" s="7"/>
      <c r="B824" s="7"/>
      <c r="C824" s="7"/>
      <c r="D824" s="7"/>
      <c r="F824" s="7"/>
      <c r="G824" s="92"/>
      <c r="H824" s="92"/>
      <c r="I824" s="92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</row>
    <row r="825" ht="15.75" customHeight="1">
      <c r="A825" s="7"/>
      <c r="B825" s="7"/>
      <c r="C825" s="7"/>
      <c r="D825" s="7"/>
      <c r="F825" s="7"/>
      <c r="G825" s="92"/>
      <c r="H825" s="92"/>
      <c r="I825" s="92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</row>
    <row r="826" ht="15.75" customHeight="1">
      <c r="A826" s="7"/>
      <c r="B826" s="7"/>
      <c r="C826" s="7"/>
      <c r="D826" s="7"/>
      <c r="F826" s="7"/>
      <c r="G826" s="92"/>
      <c r="H826" s="92"/>
      <c r="I826" s="92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</row>
    <row r="827" ht="15.75" customHeight="1">
      <c r="A827" s="7"/>
      <c r="B827" s="7"/>
      <c r="C827" s="7"/>
      <c r="D827" s="7"/>
      <c r="F827" s="7"/>
      <c r="G827" s="92"/>
      <c r="H827" s="92"/>
      <c r="I827" s="92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</row>
    <row r="828" ht="15.75" customHeight="1">
      <c r="A828" s="7"/>
      <c r="B828" s="7"/>
      <c r="C828" s="7"/>
      <c r="D828" s="7"/>
      <c r="F828" s="7"/>
      <c r="G828" s="92"/>
      <c r="H828" s="92"/>
      <c r="I828" s="92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</row>
    <row r="829" ht="15.75" customHeight="1">
      <c r="A829" s="7"/>
      <c r="B829" s="7"/>
      <c r="C829" s="7"/>
      <c r="D829" s="7"/>
      <c r="F829" s="7"/>
      <c r="G829" s="92"/>
      <c r="H829" s="92"/>
      <c r="I829" s="92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</row>
    <row r="830" ht="15.75" customHeight="1">
      <c r="A830" s="7"/>
      <c r="B830" s="7"/>
      <c r="C830" s="7"/>
      <c r="D830" s="7"/>
      <c r="F830" s="7"/>
      <c r="G830" s="92"/>
      <c r="H830" s="92"/>
      <c r="I830" s="92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</row>
    <row r="831" ht="15.75" customHeight="1">
      <c r="A831" s="7"/>
      <c r="B831" s="7"/>
      <c r="C831" s="7"/>
      <c r="D831" s="7"/>
      <c r="F831" s="7"/>
      <c r="G831" s="92"/>
      <c r="H831" s="92"/>
      <c r="I831" s="92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</row>
    <row r="832" ht="15.75" customHeight="1">
      <c r="A832" s="7"/>
      <c r="B832" s="7"/>
      <c r="C832" s="7"/>
      <c r="D832" s="7"/>
      <c r="F832" s="7"/>
      <c r="G832" s="92"/>
      <c r="H832" s="92"/>
      <c r="I832" s="92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</row>
    <row r="833" ht="15.75" customHeight="1">
      <c r="A833" s="7"/>
      <c r="B833" s="7"/>
      <c r="C833" s="7"/>
      <c r="D833" s="7"/>
      <c r="F833" s="7"/>
      <c r="G833" s="92"/>
      <c r="H833" s="92"/>
      <c r="I833" s="92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</row>
    <row r="834" ht="15.75" customHeight="1">
      <c r="A834" s="7"/>
      <c r="B834" s="7"/>
      <c r="C834" s="7"/>
      <c r="D834" s="7"/>
      <c r="F834" s="7"/>
      <c r="G834" s="92"/>
      <c r="H834" s="92"/>
      <c r="I834" s="92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</row>
    <row r="835" ht="15.75" customHeight="1">
      <c r="A835" s="7"/>
      <c r="B835" s="7"/>
      <c r="C835" s="7"/>
      <c r="D835" s="7"/>
      <c r="F835" s="7"/>
      <c r="G835" s="92"/>
      <c r="H835" s="92"/>
      <c r="I835" s="92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</row>
    <row r="836" ht="15.75" customHeight="1">
      <c r="A836" s="7"/>
      <c r="B836" s="7"/>
      <c r="C836" s="7"/>
      <c r="D836" s="7"/>
      <c r="F836" s="7"/>
      <c r="G836" s="92"/>
      <c r="H836" s="92"/>
      <c r="I836" s="92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</row>
    <row r="837" ht="15.75" customHeight="1">
      <c r="A837" s="7"/>
      <c r="B837" s="7"/>
      <c r="C837" s="7"/>
      <c r="D837" s="7"/>
      <c r="F837" s="7"/>
      <c r="G837" s="92"/>
      <c r="H837" s="92"/>
      <c r="I837" s="92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</row>
    <row r="838" ht="15.75" customHeight="1">
      <c r="A838" s="7"/>
      <c r="B838" s="7"/>
      <c r="C838" s="7"/>
      <c r="D838" s="7"/>
      <c r="F838" s="7"/>
      <c r="G838" s="92"/>
      <c r="H838" s="92"/>
      <c r="I838" s="92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</row>
    <row r="839" ht="15.75" customHeight="1">
      <c r="A839" s="7"/>
      <c r="B839" s="7"/>
      <c r="C839" s="7"/>
      <c r="D839" s="7"/>
      <c r="F839" s="7"/>
      <c r="G839" s="92"/>
      <c r="H839" s="92"/>
      <c r="I839" s="92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</row>
    <row r="840" ht="15.75" customHeight="1">
      <c r="A840" s="7"/>
      <c r="B840" s="7"/>
      <c r="C840" s="7"/>
      <c r="D840" s="7"/>
      <c r="F840" s="7"/>
      <c r="G840" s="92"/>
      <c r="H840" s="92"/>
      <c r="I840" s="92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</row>
    <row r="841" ht="15.75" customHeight="1">
      <c r="A841" s="7"/>
      <c r="B841" s="7"/>
      <c r="C841" s="7"/>
      <c r="D841" s="7"/>
      <c r="F841" s="7"/>
      <c r="G841" s="92"/>
      <c r="H841" s="92"/>
      <c r="I841" s="92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</row>
    <row r="842" ht="15.75" customHeight="1">
      <c r="A842" s="7"/>
      <c r="B842" s="7"/>
      <c r="C842" s="7"/>
      <c r="D842" s="7"/>
      <c r="F842" s="7"/>
      <c r="G842" s="92"/>
      <c r="H842" s="92"/>
      <c r="I842" s="92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</row>
    <row r="843" ht="15.75" customHeight="1">
      <c r="A843" s="7"/>
      <c r="B843" s="7"/>
      <c r="C843" s="7"/>
      <c r="D843" s="7"/>
      <c r="F843" s="7"/>
      <c r="G843" s="92"/>
      <c r="H843" s="92"/>
      <c r="I843" s="92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</row>
    <row r="844" ht="15.75" customHeight="1">
      <c r="A844" s="7"/>
      <c r="B844" s="7"/>
      <c r="C844" s="7"/>
      <c r="D844" s="7"/>
      <c r="F844" s="7"/>
      <c r="G844" s="92"/>
      <c r="H844" s="92"/>
      <c r="I844" s="92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</row>
    <row r="845" ht="15.75" customHeight="1">
      <c r="A845" s="7"/>
      <c r="B845" s="7"/>
      <c r="C845" s="7"/>
      <c r="D845" s="7"/>
      <c r="F845" s="7"/>
      <c r="G845" s="92"/>
      <c r="H845" s="92"/>
      <c r="I845" s="92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</row>
    <row r="846" ht="15.75" customHeight="1">
      <c r="A846" s="7"/>
      <c r="B846" s="7"/>
      <c r="C846" s="7"/>
      <c r="D846" s="7"/>
      <c r="F846" s="7"/>
      <c r="G846" s="92"/>
      <c r="H846" s="92"/>
      <c r="I846" s="92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</row>
    <row r="847" ht="15.75" customHeight="1">
      <c r="A847" s="7"/>
      <c r="B847" s="7"/>
      <c r="C847" s="7"/>
      <c r="D847" s="7"/>
      <c r="F847" s="7"/>
      <c r="G847" s="92"/>
      <c r="H847" s="92"/>
      <c r="I847" s="92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</row>
    <row r="848" ht="15.75" customHeight="1">
      <c r="A848" s="7"/>
      <c r="B848" s="7"/>
      <c r="C848" s="7"/>
      <c r="D848" s="7"/>
      <c r="F848" s="7"/>
      <c r="G848" s="92"/>
      <c r="H848" s="92"/>
      <c r="I848" s="92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</row>
    <row r="849" ht="15.75" customHeight="1">
      <c r="A849" s="7"/>
      <c r="B849" s="7"/>
      <c r="C849" s="7"/>
      <c r="D849" s="7"/>
      <c r="F849" s="7"/>
      <c r="G849" s="92"/>
      <c r="H849" s="92"/>
      <c r="I849" s="92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</row>
    <row r="850" ht="15.75" customHeight="1">
      <c r="A850" s="7"/>
      <c r="B850" s="7"/>
      <c r="C850" s="7"/>
      <c r="D850" s="7"/>
      <c r="F850" s="7"/>
      <c r="G850" s="92"/>
      <c r="H850" s="92"/>
      <c r="I850" s="92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</row>
    <row r="851" ht="15.75" customHeight="1">
      <c r="A851" s="7"/>
      <c r="B851" s="7"/>
      <c r="C851" s="7"/>
      <c r="D851" s="7"/>
      <c r="F851" s="7"/>
      <c r="G851" s="92"/>
      <c r="H851" s="92"/>
      <c r="I851" s="92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</row>
    <row r="852" ht="15.75" customHeight="1">
      <c r="A852" s="7"/>
      <c r="B852" s="7"/>
      <c r="C852" s="7"/>
      <c r="D852" s="7"/>
      <c r="F852" s="7"/>
      <c r="G852" s="92"/>
      <c r="H852" s="92"/>
      <c r="I852" s="92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</row>
    <row r="853" ht="15.75" customHeight="1">
      <c r="A853" s="7"/>
      <c r="B853" s="7"/>
      <c r="C853" s="7"/>
      <c r="D853" s="7"/>
      <c r="F853" s="7"/>
      <c r="G853" s="92"/>
      <c r="H853" s="92"/>
      <c r="I853" s="92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</row>
    <row r="854" ht="15.75" customHeight="1">
      <c r="A854" s="7"/>
      <c r="B854" s="7"/>
      <c r="C854" s="7"/>
      <c r="D854" s="7"/>
      <c r="F854" s="7"/>
      <c r="G854" s="92"/>
      <c r="H854" s="92"/>
      <c r="I854" s="92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</row>
    <row r="855" ht="15.75" customHeight="1">
      <c r="A855" s="7"/>
      <c r="B855" s="7"/>
      <c r="C855" s="7"/>
      <c r="D855" s="7"/>
      <c r="F855" s="7"/>
      <c r="G855" s="92"/>
      <c r="H855" s="92"/>
      <c r="I855" s="92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</row>
    <row r="856" ht="15.75" customHeight="1">
      <c r="A856" s="7"/>
      <c r="B856" s="7"/>
      <c r="C856" s="7"/>
      <c r="D856" s="7"/>
      <c r="F856" s="7"/>
      <c r="G856" s="92"/>
      <c r="H856" s="92"/>
      <c r="I856" s="92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</row>
    <row r="857" ht="15.75" customHeight="1">
      <c r="A857" s="7"/>
      <c r="B857" s="7"/>
      <c r="C857" s="7"/>
      <c r="D857" s="7"/>
      <c r="F857" s="7"/>
      <c r="G857" s="92"/>
      <c r="H857" s="92"/>
      <c r="I857" s="92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</row>
    <row r="858" ht="15.75" customHeight="1">
      <c r="A858" s="7"/>
      <c r="B858" s="7"/>
      <c r="C858" s="7"/>
      <c r="D858" s="7"/>
      <c r="F858" s="7"/>
      <c r="G858" s="92"/>
      <c r="H858" s="92"/>
      <c r="I858" s="92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</row>
    <row r="859" ht="15.75" customHeight="1">
      <c r="A859" s="7"/>
      <c r="B859" s="7"/>
      <c r="C859" s="7"/>
      <c r="D859" s="7"/>
      <c r="F859" s="7"/>
      <c r="G859" s="92"/>
      <c r="H859" s="92"/>
      <c r="I859" s="92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</row>
    <row r="860" ht="15.75" customHeight="1">
      <c r="A860" s="7"/>
      <c r="B860" s="7"/>
      <c r="C860" s="7"/>
      <c r="D860" s="7"/>
      <c r="F860" s="7"/>
      <c r="G860" s="92"/>
      <c r="H860" s="92"/>
      <c r="I860" s="92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</row>
    <row r="861" ht="15.75" customHeight="1">
      <c r="A861" s="7"/>
      <c r="B861" s="7"/>
      <c r="C861" s="7"/>
      <c r="D861" s="7"/>
      <c r="F861" s="7"/>
      <c r="G861" s="92"/>
      <c r="H861" s="92"/>
      <c r="I861" s="92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</row>
    <row r="862" ht="15.75" customHeight="1">
      <c r="A862" s="7"/>
      <c r="B862" s="7"/>
      <c r="C862" s="7"/>
      <c r="D862" s="7"/>
      <c r="F862" s="7"/>
      <c r="G862" s="92"/>
      <c r="H862" s="92"/>
      <c r="I862" s="92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</row>
    <row r="863" ht="15.75" customHeight="1">
      <c r="A863" s="7"/>
      <c r="B863" s="7"/>
      <c r="C863" s="7"/>
      <c r="D863" s="7"/>
      <c r="F863" s="7"/>
      <c r="G863" s="92"/>
      <c r="H863" s="92"/>
      <c r="I863" s="92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</row>
    <row r="864" ht="15.75" customHeight="1">
      <c r="A864" s="7"/>
      <c r="B864" s="7"/>
      <c r="C864" s="7"/>
      <c r="D864" s="7"/>
      <c r="F864" s="7"/>
      <c r="G864" s="92"/>
      <c r="H864" s="92"/>
      <c r="I864" s="92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</row>
    <row r="865" ht="15.75" customHeight="1">
      <c r="A865" s="7"/>
      <c r="B865" s="7"/>
      <c r="C865" s="7"/>
      <c r="D865" s="7"/>
      <c r="F865" s="7"/>
      <c r="G865" s="92"/>
      <c r="H865" s="92"/>
      <c r="I865" s="92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</row>
    <row r="866" ht="15.75" customHeight="1">
      <c r="A866" s="7"/>
      <c r="B866" s="7"/>
      <c r="C866" s="7"/>
      <c r="D866" s="7"/>
      <c r="F866" s="7"/>
      <c r="G866" s="92"/>
      <c r="H866" s="92"/>
      <c r="I866" s="92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</row>
    <row r="867" ht="15.75" customHeight="1">
      <c r="A867" s="7"/>
      <c r="B867" s="7"/>
      <c r="C867" s="7"/>
      <c r="D867" s="7"/>
      <c r="F867" s="7"/>
      <c r="G867" s="92"/>
      <c r="H867" s="92"/>
      <c r="I867" s="92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</row>
    <row r="868" ht="15.75" customHeight="1">
      <c r="A868" s="7"/>
      <c r="B868" s="7"/>
      <c r="C868" s="7"/>
      <c r="D868" s="7"/>
      <c r="F868" s="7"/>
      <c r="G868" s="92"/>
      <c r="H868" s="92"/>
      <c r="I868" s="92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</row>
    <row r="869" ht="15.75" customHeight="1">
      <c r="A869" s="7"/>
      <c r="B869" s="7"/>
      <c r="C869" s="7"/>
      <c r="D869" s="7"/>
      <c r="F869" s="7"/>
      <c r="G869" s="92"/>
      <c r="H869" s="92"/>
      <c r="I869" s="92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</row>
    <row r="870" ht="15.75" customHeight="1">
      <c r="A870" s="7"/>
      <c r="B870" s="7"/>
      <c r="C870" s="7"/>
      <c r="D870" s="7"/>
      <c r="F870" s="7"/>
      <c r="G870" s="92"/>
      <c r="H870" s="92"/>
      <c r="I870" s="92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</row>
    <row r="871" ht="15.75" customHeight="1">
      <c r="A871" s="7"/>
      <c r="B871" s="7"/>
      <c r="C871" s="7"/>
      <c r="D871" s="7"/>
      <c r="F871" s="7"/>
      <c r="G871" s="92"/>
      <c r="H871" s="92"/>
      <c r="I871" s="92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</row>
    <row r="872" ht="15.75" customHeight="1">
      <c r="A872" s="7"/>
      <c r="B872" s="7"/>
      <c r="C872" s="7"/>
      <c r="D872" s="7"/>
      <c r="F872" s="7"/>
      <c r="G872" s="92"/>
      <c r="H872" s="92"/>
      <c r="I872" s="92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</row>
    <row r="873" ht="15.75" customHeight="1">
      <c r="A873" s="7"/>
      <c r="B873" s="7"/>
      <c r="C873" s="7"/>
      <c r="D873" s="7"/>
      <c r="F873" s="7"/>
      <c r="G873" s="92"/>
      <c r="H873" s="92"/>
      <c r="I873" s="92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</row>
    <row r="874" ht="15.75" customHeight="1">
      <c r="A874" s="7"/>
      <c r="B874" s="7"/>
      <c r="C874" s="7"/>
      <c r="D874" s="7"/>
      <c r="F874" s="7"/>
      <c r="G874" s="92"/>
      <c r="H874" s="92"/>
      <c r="I874" s="92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</row>
    <row r="875" ht="15.75" customHeight="1">
      <c r="A875" s="7"/>
      <c r="B875" s="7"/>
      <c r="C875" s="7"/>
      <c r="D875" s="7"/>
      <c r="F875" s="7"/>
      <c r="G875" s="92"/>
      <c r="H875" s="92"/>
      <c r="I875" s="92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</row>
    <row r="876" ht="15.75" customHeight="1">
      <c r="A876" s="7"/>
      <c r="B876" s="7"/>
      <c r="C876" s="7"/>
      <c r="D876" s="7"/>
      <c r="F876" s="7"/>
      <c r="G876" s="92"/>
      <c r="H876" s="92"/>
      <c r="I876" s="92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</row>
    <row r="877" ht="15.75" customHeight="1">
      <c r="A877" s="7"/>
      <c r="B877" s="7"/>
      <c r="C877" s="7"/>
      <c r="D877" s="7"/>
      <c r="F877" s="7"/>
      <c r="G877" s="92"/>
      <c r="H877" s="92"/>
      <c r="I877" s="92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</row>
    <row r="878" ht="15.75" customHeight="1">
      <c r="A878" s="7"/>
      <c r="B878" s="7"/>
      <c r="C878" s="7"/>
      <c r="D878" s="7"/>
      <c r="F878" s="7"/>
      <c r="G878" s="92"/>
      <c r="H878" s="92"/>
      <c r="I878" s="92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</row>
    <row r="879" ht="15.75" customHeight="1">
      <c r="A879" s="7"/>
      <c r="B879" s="7"/>
      <c r="C879" s="7"/>
      <c r="D879" s="7"/>
      <c r="F879" s="7"/>
      <c r="G879" s="92"/>
      <c r="H879" s="92"/>
      <c r="I879" s="92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</row>
    <row r="880" ht="15.75" customHeight="1">
      <c r="A880" s="7"/>
      <c r="B880" s="7"/>
      <c r="C880" s="7"/>
      <c r="D880" s="7"/>
      <c r="F880" s="7"/>
      <c r="G880" s="92"/>
      <c r="H880" s="92"/>
      <c r="I880" s="92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</row>
    <row r="881" ht="15.75" customHeight="1">
      <c r="A881" s="7"/>
      <c r="B881" s="7"/>
      <c r="C881" s="7"/>
      <c r="D881" s="7"/>
      <c r="F881" s="7"/>
      <c r="G881" s="92"/>
      <c r="H881" s="92"/>
      <c r="I881" s="92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</row>
    <row r="882" ht="15.75" customHeight="1">
      <c r="A882" s="7"/>
      <c r="B882" s="7"/>
      <c r="C882" s="7"/>
      <c r="D882" s="7"/>
      <c r="F882" s="7"/>
      <c r="G882" s="92"/>
      <c r="H882" s="92"/>
      <c r="I882" s="92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</row>
    <row r="883" ht="15.75" customHeight="1">
      <c r="A883" s="7"/>
      <c r="B883" s="7"/>
      <c r="C883" s="7"/>
      <c r="D883" s="7"/>
      <c r="F883" s="7"/>
      <c r="G883" s="92"/>
      <c r="H883" s="92"/>
      <c r="I883" s="92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</row>
    <row r="884" ht="15.75" customHeight="1">
      <c r="A884" s="7"/>
      <c r="B884" s="7"/>
      <c r="C884" s="7"/>
      <c r="D884" s="7"/>
      <c r="F884" s="7"/>
      <c r="G884" s="92"/>
      <c r="H884" s="92"/>
      <c r="I884" s="92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</row>
    <row r="885" ht="15.75" customHeight="1">
      <c r="A885" s="7"/>
      <c r="B885" s="7"/>
      <c r="C885" s="7"/>
      <c r="D885" s="7"/>
      <c r="F885" s="7"/>
      <c r="G885" s="92"/>
      <c r="H885" s="92"/>
      <c r="I885" s="92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</row>
    <row r="886" ht="15.75" customHeight="1">
      <c r="A886" s="7"/>
      <c r="B886" s="7"/>
      <c r="C886" s="7"/>
      <c r="D886" s="7"/>
      <c r="F886" s="7"/>
      <c r="G886" s="92"/>
      <c r="H886" s="92"/>
      <c r="I886" s="92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</row>
    <row r="887" ht="15.75" customHeight="1">
      <c r="A887" s="7"/>
      <c r="B887" s="7"/>
      <c r="C887" s="7"/>
      <c r="D887" s="7"/>
      <c r="F887" s="7"/>
      <c r="G887" s="92"/>
      <c r="H887" s="92"/>
      <c r="I887" s="92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</row>
    <row r="888" ht="15.75" customHeight="1">
      <c r="A888" s="7"/>
      <c r="B888" s="7"/>
      <c r="C888" s="7"/>
      <c r="D888" s="7"/>
      <c r="F888" s="7"/>
      <c r="G888" s="92"/>
      <c r="H888" s="92"/>
      <c r="I888" s="92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</row>
    <row r="889" ht="15.75" customHeight="1">
      <c r="A889" s="7"/>
      <c r="B889" s="7"/>
      <c r="C889" s="7"/>
      <c r="D889" s="7"/>
      <c r="F889" s="7"/>
      <c r="G889" s="92"/>
      <c r="H889" s="92"/>
      <c r="I889" s="92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</row>
    <row r="890" ht="15.75" customHeight="1">
      <c r="A890" s="7"/>
      <c r="B890" s="7"/>
      <c r="C890" s="7"/>
      <c r="D890" s="7"/>
      <c r="F890" s="7"/>
      <c r="G890" s="92"/>
      <c r="H890" s="92"/>
      <c r="I890" s="92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</row>
    <row r="891" ht="15.75" customHeight="1">
      <c r="A891" s="7"/>
      <c r="B891" s="7"/>
      <c r="C891" s="7"/>
      <c r="D891" s="7"/>
      <c r="F891" s="7"/>
      <c r="G891" s="92"/>
      <c r="H891" s="92"/>
      <c r="I891" s="92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</row>
    <row r="892" ht="15.75" customHeight="1">
      <c r="A892" s="7"/>
      <c r="B892" s="7"/>
      <c r="C892" s="7"/>
      <c r="D892" s="7"/>
      <c r="F892" s="7"/>
      <c r="G892" s="92"/>
      <c r="H892" s="92"/>
      <c r="I892" s="92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</row>
    <row r="893" ht="15.75" customHeight="1">
      <c r="A893" s="7"/>
      <c r="B893" s="7"/>
      <c r="C893" s="7"/>
      <c r="D893" s="7"/>
      <c r="F893" s="7"/>
      <c r="G893" s="92"/>
      <c r="H893" s="92"/>
      <c r="I893" s="92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</row>
    <row r="894" ht="15.75" customHeight="1">
      <c r="A894" s="7"/>
      <c r="B894" s="7"/>
      <c r="C894" s="7"/>
      <c r="D894" s="7"/>
      <c r="F894" s="7"/>
      <c r="G894" s="92"/>
      <c r="H894" s="92"/>
      <c r="I894" s="92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</row>
    <row r="895" ht="15.75" customHeight="1">
      <c r="A895" s="7"/>
      <c r="B895" s="7"/>
      <c r="C895" s="7"/>
      <c r="D895" s="7"/>
      <c r="F895" s="7"/>
      <c r="G895" s="92"/>
      <c r="H895" s="92"/>
      <c r="I895" s="92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</row>
    <row r="896" ht="15.75" customHeight="1">
      <c r="A896" s="7"/>
      <c r="B896" s="7"/>
      <c r="C896" s="7"/>
      <c r="D896" s="7"/>
      <c r="F896" s="7"/>
      <c r="G896" s="92"/>
      <c r="H896" s="92"/>
      <c r="I896" s="92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</row>
    <row r="897" ht="15.75" customHeight="1">
      <c r="A897" s="7"/>
      <c r="B897" s="7"/>
      <c r="C897" s="7"/>
      <c r="D897" s="7"/>
      <c r="F897" s="7"/>
      <c r="G897" s="92"/>
      <c r="H897" s="92"/>
      <c r="I897" s="92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</row>
    <row r="898" ht="15.75" customHeight="1">
      <c r="A898" s="7"/>
      <c r="B898" s="7"/>
      <c r="C898" s="7"/>
      <c r="D898" s="7"/>
      <c r="F898" s="7"/>
      <c r="G898" s="92"/>
      <c r="H898" s="92"/>
      <c r="I898" s="92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</row>
    <row r="899" ht="15.75" customHeight="1">
      <c r="A899" s="7"/>
      <c r="B899" s="7"/>
      <c r="C899" s="7"/>
      <c r="D899" s="7"/>
      <c r="F899" s="7"/>
      <c r="G899" s="92"/>
      <c r="H899" s="92"/>
      <c r="I899" s="92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</row>
    <row r="900" ht="15.75" customHeight="1">
      <c r="A900" s="7"/>
      <c r="B900" s="7"/>
      <c r="C900" s="7"/>
      <c r="D900" s="7"/>
      <c r="F900" s="7"/>
      <c r="G900" s="92"/>
      <c r="H900" s="92"/>
      <c r="I900" s="92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</row>
    <row r="901" ht="15.75" customHeight="1">
      <c r="A901" s="7"/>
      <c r="B901" s="7"/>
      <c r="C901" s="7"/>
      <c r="D901" s="7"/>
      <c r="F901" s="7"/>
      <c r="G901" s="92"/>
      <c r="H901" s="92"/>
      <c r="I901" s="92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</row>
    <row r="902" ht="15.75" customHeight="1">
      <c r="A902" s="7"/>
      <c r="B902" s="7"/>
      <c r="C902" s="7"/>
      <c r="D902" s="7"/>
      <c r="F902" s="7"/>
      <c r="G902" s="92"/>
      <c r="H902" s="92"/>
      <c r="I902" s="92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</row>
    <row r="903" ht="15.75" customHeight="1">
      <c r="A903" s="7"/>
      <c r="B903" s="7"/>
      <c r="C903" s="7"/>
      <c r="D903" s="7"/>
      <c r="F903" s="7"/>
      <c r="G903" s="92"/>
      <c r="H903" s="92"/>
      <c r="I903" s="92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</row>
    <row r="904" ht="15.75" customHeight="1">
      <c r="A904" s="7"/>
      <c r="B904" s="7"/>
      <c r="C904" s="7"/>
      <c r="D904" s="7"/>
      <c r="F904" s="7"/>
      <c r="G904" s="92"/>
      <c r="H904" s="92"/>
      <c r="I904" s="92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</row>
    <row r="905" ht="15.75" customHeight="1">
      <c r="A905" s="7"/>
      <c r="B905" s="7"/>
      <c r="C905" s="7"/>
      <c r="D905" s="7"/>
      <c r="F905" s="7"/>
      <c r="G905" s="92"/>
      <c r="H905" s="92"/>
      <c r="I905" s="92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</row>
    <row r="906" ht="15.75" customHeight="1">
      <c r="A906" s="7"/>
      <c r="B906" s="7"/>
      <c r="C906" s="7"/>
      <c r="D906" s="7"/>
      <c r="F906" s="7"/>
      <c r="G906" s="92"/>
      <c r="H906" s="92"/>
      <c r="I906" s="92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</row>
    <row r="907" ht="15.75" customHeight="1">
      <c r="A907" s="7"/>
      <c r="B907" s="7"/>
      <c r="C907" s="7"/>
      <c r="D907" s="7"/>
      <c r="F907" s="7"/>
      <c r="G907" s="92"/>
      <c r="H907" s="92"/>
      <c r="I907" s="92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</row>
    <row r="908" ht="15.75" customHeight="1">
      <c r="A908" s="7"/>
      <c r="B908" s="7"/>
      <c r="C908" s="7"/>
      <c r="D908" s="7"/>
      <c r="F908" s="7"/>
      <c r="G908" s="92"/>
      <c r="H908" s="92"/>
      <c r="I908" s="92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</row>
    <row r="909" ht="15.75" customHeight="1">
      <c r="A909" s="7"/>
      <c r="B909" s="7"/>
      <c r="C909" s="7"/>
      <c r="D909" s="7"/>
      <c r="F909" s="7"/>
      <c r="G909" s="92"/>
      <c r="H909" s="92"/>
      <c r="I909" s="92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</row>
    <row r="910" ht="15.75" customHeight="1">
      <c r="A910" s="7"/>
      <c r="B910" s="7"/>
      <c r="C910" s="7"/>
      <c r="D910" s="7"/>
      <c r="F910" s="7"/>
      <c r="G910" s="92"/>
      <c r="H910" s="92"/>
      <c r="I910" s="92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</row>
    <row r="911" ht="15.75" customHeight="1">
      <c r="A911" s="7"/>
      <c r="B911" s="7"/>
      <c r="C911" s="7"/>
      <c r="D911" s="7"/>
      <c r="F911" s="7"/>
      <c r="G911" s="92"/>
      <c r="H911" s="92"/>
      <c r="I911" s="92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</row>
    <row r="912" ht="15.75" customHeight="1">
      <c r="A912" s="7"/>
      <c r="B912" s="7"/>
      <c r="C912" s="7"/>
      <c r="D912" s="7"/>
      <c r="F912" s="7"/>
      <c r="G912" s="92"/>
      <c r="H912" s="92"/>
      <c r="I912" s="92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</row>
    <row r="913" ht="15.75" customHeight="1">
      <c r="A913" s="7"/>
      <c r="B913" s="7"/>
      <c r="C913" s="7"/>
      <c r="D913" s="7"/>
      <c r="F913" s="7"/>
      <c r="G913" s="92"/>
      <c r="H913" s="92"/>
      <c r="I913" s="92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</row>
    <row r="914" ht="15.75" customHeight="1">
      <c r="A914" s="7"/>
      <c r="B914" s="7"/>
      <c r="C914" s="7"/>
      <c r="D914" s="7"/>
      <c r="F914" s="7"/>
      <c r="G914" s="92"/>
      <c r="H914" s="92"/>
      <c r="I914" s="92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</row>
    <row r="915" ht="15.75" customHeight="1">
      <c r="A915" s="7"/>
      <c r="B915" s="7"/>
      <c r="C915" s="7"/>
      <c r="D915" s="7"/>
      <c r="F915" s="7"/>
      <c r="G915" s="92"/>
      <c r="H915" s="92"/>
      <c r="I915" s="92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</row>
    <row r="916" ht="15.75" customHeight="1">
      <c r="A916" s="7"/>
      <c r="B916" s="7"/>
      <c r="C916" s="7"/>
      <c r="D916" s="7"/>
      <c r="F916" s="7"/>
      <c r="G916" s="92"/>
      <c r="H916" s="92"/>
      <c r="I916" s="92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</row>
    <row r="917" ht="15.75" customHeight="1">
      <c r="A917" s="7"/>
      <c r="B917" s="7"/>
      <c r="C917" s="7"/>
      <c r="D917" s="7"/>
      <c r="F917" s="7"/>
      <c r="G917" s="92"/>
      <c r="H917" s="92"/>
      <c r="I917" s="92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</row>
    <row r="918" ht="15.75" customHeight="1">
      <c r="A918" s="7"/>
      <c r="B918" s="7"/>
      <c r="C918" s="7"/>
      <c r="D918" s="7"/>
      <c r="F918" s="7"/>
      <c r="G918" s="92"/>
      <c r="H918" s="92"/>
      <c r="I918" s="92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</row>
    <row r="919" ht="15.75" customHeight="1">
      <c r="A919" s="7"/>
      <c r="B919" s="7"/>
      <c r="C919" s="7"/>
      <c r="D919" s="7"/>
      <c r="F919" s="7"/>
      <c r="G919" s="92"/>
      <c r="H919" s="92"/>
      <c r="I919" s="92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</row>
    <row r="920" ht="15.75" customHeight="1">
      <c r="A920" s="7"/>
      <c r="B920" s="7"/>
      <c r="C920" s="7"/>
      <c r="D920" s="7"/>
      <c r="F920" s="7"/>
      <c r="G920" s="92"/>
      <c r="H920" s="92"/>
      <c r="I920" s="92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</row>
    <row r="921" ht="15.75" customHeight="1">
      <c r="A921" s="7"/>
      <c r="B921" s="7"/>
      <c r="C921" s="7"/>
      <c r="D921" s="7"/>
      <c r="F921" s="7"/>
      <c r="G921" s="92"/>
      <c r="H921" s="92"/>
      <c r="I921" s="92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</row>
    <row r="922" ht="15.75" customHeight="1">
      <c r="A922" s="7"/>
      <c r="B922" s="7"/>
      <c r="C922" s="7"/>
      <c r="D922" s="7"/>
      <c r="F922" s="7"/>
      <c r="G922" s="92"/>
      <c r="H922" s="92"/>
      <c r="I922" s="92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</row>
    <row r="923" ht="15.75" customHeight="1">
      <c r="A923" s="7"/>
      <c r="B923" s="7"/>
      <c r="C923" s="7"/>
      <c r="D923" s="7"/>
      <c r="F923" s="7"/>
      <c r="G923" s="92"/>
      <c r="H923" s="92"/>
      <c r="I923" s="92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</row>
    <row r="924" ht="15.75" customHeight="1">
      <c r="A924" s="7"/>
      <c r="B924" s="7"/>
      <c r="C924" s="7"/>
      <c r="D924" s="7"/>
      <c r="F924" s="7"/>
      <c r="G924" s="92"/>
      <c r="H924" s="92"/>
      <c r="I924" s="92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</row>
    <row r="925" ht="15.75" customHeight="1">
      <c r="A925" s="7"/>
      <c r="B925" s="7"/>
      <c r="C925" s="7"/>
      <c r="D925" s="7"/>
      <c r="F925" s="7"/>
      <c r="G925" s="92"/>
      <c r="H925" s="92"/>
      <c r="I925" s="92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</row>
    <row r="926" ht="15.75" customHeight="1">
      <c r="A926" s="7"/>
      <c r="B926" s="7"/>
      <c r="C926" s="7"/>
      <c r="D926" s="7"/>
      <c r="F926" s="7"/>
      <c r="G926" s="92"/>
      <c r="H926" s="92"/>
      <c r="I926" s="92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</row>
    <row r="927" ht="15.75" customHeight="1">
      <c r="A927" s="7"/>
      <c r="B927" s="7"/>
      <c r="C927" s="7"/>
      <c r="D927" s="7"/>
      <c r="F927" s="7"/>
      <c r="G927" s="92"/>
      <c r="H927" s="92"/>
      <c r="I927" s="92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</row>
    <row r="928" ht="15.75" customHeight="1">
      <c r="A928" s="7"/>
      <c r="B928" s="7"/>
      <c r="C928" s="7"/>
      <c r="D928" s="7"/>
      <c r="F928" s="7"/>
      <c r="G928" s="92"/>
      <c r="H928" s="92"/>
      <c r="I928" s="92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</row>
    <row r="929" ht="15.75" customHeight="1">
      <c r="A929" s="7"/>
      <c r="B929" s="7"/>
      <c r="C929" s="7"/>
      <c r="D929" s="7"/>
      <c r="F929" s="7"/>
      <c r="G929" s="92"/>
      <c r="H929" s="92"/>
      <c r="I929" s="92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</row>
    <row r="930" ht="15.75" customHeight="1">
      <c r="A930" s="7"/>
      <c r="B930" s="7"/>
      <c r="C930" s="7"/>
      <c r="D930" s="7"/>
      <c r="F930" s="7"/>
      <c r="G930" s="92"/>
      <c r="H930" s="92"/>
      <c r="I930" s="92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</row>
    <row r="931" ht="15.75" customHeight="1">
      <c r="A931" s="7"/>
      <c r="B931" s="7"/>
      <c r="C931" s="7"/>
      <c r="D931" s="7"/>
      <c r="F931" s="7"/>
      <c r="G931" s="92"/>
      <c r="H931" s="92"/>
      <c r="I931" s="92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</row>
    <row r="932" ht="15.75" customHeight="1">
      <c r="A932" s="7"/>
      <c r="B932" s="7"/>
      <c r="C932" s="7"/>
      <c r="D932" s="7"/>
      <c r="F932" s="7"/>
      <c r="G932" s="92"/>
      <c r="H932" s="92"/>
      <c r="I932" s="92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</row>
    <row r="933" ht="15.75" customHeight="1">
      <c r="A933" s="7"/>
      <c r="B933" s="7"/>
      <c r="C933" s="7"/>
      <c r="D933" s="7"/>
      <c r="F933" s="7"/>
      <c r="G933" s="92"/>
      <c r="H933" s="92"/>
      <c r="I933" s="92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</row>
    <row r="934" ht="15.75" customHeight="1">
      <c r="A934" s="7"/>
      <c r="B934" s="7"/>
      <c r="C934" s="7"/>
      <c r="D934" s="7"/>
      <c r="F934" s="7"/>
      <c r="G934" s="92"/>
      <c r="H934" s="92"/>
      <c r="I934" s="92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</row>
    <row r="935" ht="15.75" customHeight="1">
      <c r="A935" s="7"/>
      <c r="B935" s="7"/>
      <c r="C935" s="7"/>
      <c r="D935" s="7"/>
      <c r="F935" s="7"/>
      <c r="G935" s="92"/>
      <c r="H935" s="92"/>
      <c r="I935" s="92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</row>
    <row r="936" ht="15.75" customHeight="1">
      <c r="A936" s="7"/>
      <c r="B936" s="7"/>
      <c r="C936" s="7"/>
      <c r="D936" s="7"/>
      <c r="F936" s="7"/>
      <c r="G936" s="92"/>
      <c r="H936" s="92"/>
      <c r="I936" s="92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</row>
    <row r="937" ht="15.75" customHeight="1">
      <c r="A937" s="7"/>
      <c r="B937" s="7"/>
      <c r="C937" s="7"/>
      <c r="D937" s="7"/>
      <c r="F937" s="7"/>
      <c r="G937" s="92"/>
      <c r="H937" s="92"/>
      <c r="I937" s="92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</row>
    <row r="938" ht="15.75" customHeight="1">
      <c r="A938" s="7"/>
      <c r="B938" s="7"/>
      <c r="C938" s="7"/>
      <c r="D938" s="7"/>
      <c r="F938" s="7"/>
      <c r="G938" s="92"/>
      <c r="H938" s="92"/>
      <c r="I938" s="92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</row>
    <row r="939" ht="15.75" customHeight="1">
      <c r="A939" s="7"/>
      <c r="B939" s="7"/>
      <c r="C939" s="7"/>
      <c r="D939" s="7"/>
      <c r="F939" s="7"/>
      <c r="G939" s="92"/>
      <c r="H939" s="92"/>
      <c r="I939" s="92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</row>
    <row r="940" ht="15.75" customHeight="1">
      <c r="A940" s="7"/>
      <c r="B940" s="7"/>
      <c r="C940" s="7"/>
      <c r="D940" s="7"/>
      <c r="F940" s="7"/>
      <c r="G940" s="92"/>
      <c r="H940" s="92"/>
      <c r="I940" s="92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</row>
    <row r="941" ht="15.75" customHeight="1">
      <c r="A941" s="7"/>
      <c r="B941" s="7"/>
      <c r="C941" s="7"/>
      <c r="D941" s="7"/>
      <c r="F941" s="7"/>
      <c r="G941" s="92"/>
      <c r="H941" s="92"/>
      <c r="I941" s="92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</row>
    <row r="942" ht="15.75" customHeight="1">
      <c r="A942" s="7"/>
      <c r="B942" s="7"/>
      <c r="C942" s="7"/>
      <c r="D942" s="7"/>
      <c r="F942" s="7"/>
      <c r="G942" s="92"/>
      <c r="H942" s="92"/>
      <c r="I942" s="92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</row>
    <row r="943" ht="15.75" customHeight="1">
      <c r="A943" s="7"/>
      <c r="B943" s="7"/>
      <c r="C943" s="7"/>
      <c r="D943" s="7"/>
      <c r="F943" s="7"/>
      <c r="G943" s="92"/>
      <c r="H943" s="92"/>
      <c r="I943" s="92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</row>
    <row r="944" ht="15.75" customHeight="1">
      <c r="A944" s="7"/>
      <c r="B944" s="7"/>
      <c r="C944" s="7"/>
      <c r="D944" s="7"/>
      <c r="F944" s="7"/>
      <c r="G944" s="92"/>
      <c r="H944" s="92"/>
      <c r="I944" s="92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</row>
    <row r="945" ht="15.75" customHeight="1">
      <c r="A945" s="7"/>
      <c r="B945" s="7"/>
      <c r="C945" s="7"/>
      <c r="D945" s="7"/>
      <c r="F945" s="7"/>
      <c r="G945" s="92"/>
      <c r="H945" s="92"/>
      <c r="I945" s="92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</row>
    <row r="946" ht="15.75" customHeight="1">
      <c r="A946" s="7"/>
      <c r="B946" s="7"/>
      <c r="C946" s="7"/>
      <c r="D946" s="7"/>
      <c r="F946" s="7"/>
      <c r="G946" s="92"/>
      <c r="H946" s="92"/>
      <c r="I946" s="92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</row>
    <row r="947" ht="15.75" customHeight="1">
      <c r="A947" s="7"/>
      <c r="B947" s="7"/>
      <c r="C947" s="7"/>
      <c r="D947" s="7"/>
      <c r="F947" s="7"/>
      <c r="G947" s="92"/>
      <c r="H947" s="92"/>
      <c r="I947" s="92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</row>
    <row r="948" ht="15.75" customHeight="1">
      <c r="A948" s="7"/>
      <c r="B948" s="7"/>
      <c r="C948" s="7"/>
      <c r="D948" s="7"/>
      <c r="F948" s="7"/>
      <c r="G948" s="92"/>
      <c r="H948" s="92"/>
      <c r="I948" s="92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</row>
    <row r="949" ht="15.75" customHeight="1">
      <c r="A949" s="7"/>
      <c r="B949" s="7"/>
      <c r="C949" s="7"/>
      <c r="D949" s="7"/>
      <c r="F949" s="7"/>
      <c r="G949" s="92"/>
      <c r="H949" s="92"/>
      <c r="I949" s="92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</row>
    <row r="950" ht="15.75" customHeight="1">
      <c r="A950" s="7"/>
      <c r="B950" s="7"/>
      <c r="C950" s="7"/>
      <c r="D950" s="7"/>
      <c r="F950" s="7"/>
      <c r="G950" s="92"/>
      <c r="H950" s="92"/>
      <c r="I950" s="92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</row>
    <row r="951" ht="15.75" customHeight="1">
      <c r="A951" s="7"/>
      <c r="B951" s="7"/>
      <c r="C951" s="7"/>
      <c r="D951" s="7"/>
      <c r="F951" s="7"/>
      <c r="G951" s="92"/>
      <c r="H951" s="92"/>
      <c r="I951" s="92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</row>
    <row r="952" ht="15.75" customHeight="1">
      <c r="A952" s="7"/>
      <c r="B952" s="7"/>
      <c r="C952" s="7"/>
      <c r="D952" s="7"/>
      <c r="F952" s="7"/>
      <c r="G952" s="92"/>
      <c r="H952" s="92"/>
      <c r="I952" s="92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</row>
    <row r="953" ht="15.75" customHeight="1">
      <c r="A953" s="7"/>
      <c r="B953" s="7"/>
      <c r="C953" s="7"/>
      <c r="D953" s="7"/>
      <c r="F953" s="7"/>
      <c r="G953" s="92"/>
      <c r="H953" s="92"/>
      <c r="I953" s="92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</row>
    <row r="954" ht="15.75" customHeight="1">
      <c r="A954" s="7"/>
      <c r="B954" s="7"/>
      <c r="C954" s="7"/>
      <c r="D954" s="7"/>
      <c r="F954" s="7"/>
      <c r="G954" s="92"/>
      <c r="H954" s="92"/>
      <c r="I954" s="92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</row>
    <row r="955" ht="15.75" customHeight="1">
      <c r="A955" s="7"/>
      <c r="B955" s="7"/>
      <c r="C955" s="7"/>
      <c r="D955" s="7"/>
      <c r="F955" s="7"/>
      <c r="G955" s="92"/>
      <c r="H955" s="92"/>
      <c r="I955" s="92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</row>
    <row r="956" ht="15.75" customHeight="1">
      <c r="A956" s="7"/>
      <c r="B956" s="7"/>
      <c r="C956" s="7"/>
      <c r="D956" s="7"/>
      <c r="F956" s="7"/>
      <c r="G956" s="92"/>
      <c r="H956" s="92"/>
      <c r="I956" s="92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</row>
    <row r="957" ht="15.75" customHeight="1">
      <c r="A957" s="7"/>
      <c r="B957" s="7"/>
      <c r="C957" s="7"/>
      <c r="D957" s="7"/>
      <c r="F957" s="7"/>
      <c r="G957" s="92"/>
      <c r="H957" s="92"/>
      <c r="I957" s="92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</row>
    <row r="958" ht="15.75" customHeight="1">
      <c r="A958" s="7"/>
      <c r="B958" s="7"/>
      <c r="C958" s="7"/>
      <c r="D958" s="7"/>
      <c r="F958" s="7"/>
      <c r="G958" s="92"/>
      <c r="H958" s="92"/>
      <c r="I958" s="92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</row>
    <row r="959" ht="15.75" customHeight="1">
      <c r="A959" s="7"/>
      <c r="B959" s="7"/>
      <c r="C959" s="7"/>
      <c r="D959" s="7"/>
      <c r="F959" s="7"/>
      <c r="G959" s="92"/>
      <c r="H959" s="92"/>
      <c r="I959" s="92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</row>
    <row r="960" ht="15.75" customHeight="1">
      <c r="A960" s="7"/>
      <c r="B960" s="7"/>
      <c r="C960" s="7"/>
      <c r="D960" s="7"/>
      <c r="F960" s="7"/>
      <c r="G960" s="92"/>
      <c r="H960" s="92"/>
      <c r="I960" s="92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</row>
    <row r="961" ht="15.75" customHeight="1">
      <c r="A961" s="7"/>
      <c r="B961" s="7"/>
      <c r="C961" s="7"/>
      <c r="D961" s="7"/>
      <c r="F961" s="7"/>
      <c r="G961" s="92"/>
      <c r="H961" s="92"/>
      <c r="I961" s="92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</row>
    <row r="962" ht="15.75" customHeight="1">
      <c r="A962" s="7"/>
      <c r="B962" s="7"/>
      <c r="C962" s="7"/>
      <c r="D962" s="7"/>
      <c r="F962" s="7"/>
      <c r="G962" s="92"/>
      <c r="H962" s="92"/>
      <c r="I962" s="92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</row>
    <row r="963" ht="15.75" customHeight="1">
      <c r="A963" s="7"/>
      <c r="B963" s="7"/>
      <c r="C963" s="7"/>
      <c r="D963" s="7"/>
      <c r="F963" s="7"/>
      <c r="G963" s="92"/>
      <c r="H963" s="92"/>
      <c r="I963" s="92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</row>
    <row r="964" ht="15.75" customHeight="1">
      <c r="A964" s="7"/>
      <c r="B964" s="7"/>
      <c r="C964" s="7"/>
      <c r="D964" s="7"/>
      <c r="F964" s="7"/>
      <c r="G964" s="92"/>
      <c r="H964" s="92"/>
      <c r="I964" s="92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</row>
    <row r="965" ht="15.75" customHeight="1">
      <c r="A965" s="7"/>
      <c r="B965" s="7"/>
      <c r="C965" s="7"/>
      <c r="D965" s="7"/>
      <c r="F965" s="7"/>
      <c r="G965" s="92"/>
      <c r="H965" s="92"/>
      <c r="I965" s="92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</row>
    <row r="966" ht="15.75" customHeight="1">
      <c r="A966" s="7"/>
      <c r="B966" s="7"/>
      <c r="C966" s="7"/>
      <c r="D966" s="7"/>
      <c r="F966" s="7"/>
      <c r="G966" s="92"/>
      <c r="H966" s="92"/>
      <c r="I966" s="92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</row>
    <row r="967" ht="15.75" customHeight="1">
      <c r="A967" s="7"/>
      <c r="B967" s="7"/>
      <c r="C967" s="7"/>
      <c r="D967" s="7"/>
      <c r="F967" s="7"/>
      <c r="G967" s="92"/>
      <c r="H967" s="92"/>
      <c r="I967" s="92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</row>
    <row r="968" ht="15.75" customHeight="1">
      <c r="A968" s="7"/>
      <c r="B968" s="7"/>
      <c r="C968" s="7"/>
      <c r="D968" s="7"/>
      <c r="F968" s="7"/>
      <c r="G968" s="92"/>
      <c r="H968" s="92"/>
      <c r="I968" s="92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</row>
    <row r="969" ht="15.75" customHeight="1">
      <c r="A969" s="7"/>
      <c r="B969" s="7"/>
      <c r="C969" s="7"/>
      <c r="D969" s="7"/>
      <c r="F969" s="7"/>
      <c r="G969" s="92"/>
      <c r="H969" s="92"/>
      <c r="I969" s="92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</row>
    <row r="970" ht="15.75" customHeight="1">
      <c r="A970" s="7"/>
      <c r="B970" s="7"/>
      <c r="C970" s="7"/>
      <c r="D970" s="7"/>
      <c r="F970" s="7"/>
      <c r="G970" s="92"/>
      <c r="H970" s="92"/>
      <c r="I970" s="92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</row>
    <row r="971" ht="15.75" customHeight="1">
      <c r="A971" s="7"/>
      <c r="B971" s="7"/>
      <c r="C971" s="7"/>
      <c r="D971" s="7"/>
      <c r="F971" s="7"/>
      <c r="G971" s="92"/>
      <c r="H971" s="92"/>
      <c r="I971" s="92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</row>
    <row r="972" ht="15.75" customHeight="1">
      <c r="A972" s="7"/>
      <c r="B972" s="7"/>
      <c r="C972" s="7"/>
      <c r="D972" s="7"/>
      <c r="F972" s="7"/>
      <c r="G972" s="92"/>
      <c r="H972" s="92"/>
      <c r="I972" s="92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</row>
    <row r="973" ht="15.75" customHeight="1">
      <c r="A973" s="7"/>
      <c r="B973" s="7"/>
      <c r="C973" s="7"/>
      <c r="D973" s="7"/>
      <c r="F973" s="7"/>
      <c r="G973" s="92"/>
      <c r="H973" s="92"/>
      <c r="I973" s="92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</row>
    <row r="974" ht="15.75" customHeight="1">
      <c r="A974" s="7"/>
      <c r="B974" s="7"/>
      <c r="C974" s="7"/>
      <c r="D974" s="7"/>
      <c r="F974" s="7"/>
      <c r="G974" s="92"/>
      <c r="H974" s="92"/>
      <c r="I974" s="92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</row>
    <row r="975" ht="15.75" customHeight="1">
      <c r="A975" s="7"/>
      <c r="B975" s="7"/>
      <c r="C975" s="7"/>
      <c r="D975" s="7"/>
      <c r="F975" s="7"/>
      <c r="G975" s="92"/>
      <c r="H975" s="92"/>
      <c r="I975" s="92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</row>
    <row r="976" ht="15.75" customHeight="1">
      <c r="A976" s="7"/>
      <c r="B976" s="7"/>
      <c r="C976" s="7"/>
      <c r="D976" s="7"/>
      <c r="F976" s="7"/>
      <c r="G976" s="92"/>
      <c r="H976" s="92"/>
      <c r="I976" s="92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</row>
    <row r="977" ht="15.75" customHeight="1">
      <c r="A977" s="7"/>
      <c r="B977" s="7"/>
      <c r="C977" s="7"/>
      <c r="D977" s="7"/>
      <c r="F977" s="7"/>
      <c r="G977" s="92"/>
      <c r="H977" s="92"/>
      <c r="I977" s="92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</row>
    <row r="978" ht="15.75" customHeight="1">
      <c r="A978" s="7"/>
      <c r="B978" s="7"/>
      <c r="C978" s="7"/>
      <c r="D978" s="7"/>
      <c r="F978" s="7"/>
      <c r="G978" s="92"/>
      <c r="H978" s="92"/>
      <c r="I978" s="92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</row>
    <row r="979" ht="15.75" customHeight="1">
      <c r="A979" s="7"/>
      <c r="B979" s="7"/>
      <c r="C979" s="7"/>
      <c r="D979" s="7"/>
      <c r="F979" s="7"/>
      <c r="G979" s="92"/>
      <c r="H979" s="92"/>
      <c r="I979" s="92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</row>
    <row r="980" ht="15.75" customHeight="1">
      <c r="A980" s="7"/>
      <c r="B980" s="7"/>
      <c r="C980" s="7"/>
      <c r="D980" s="7"/>
      <c r="F980" s="7"/>
      <c r="G980" s="92"/>
      <c r="H980" s="92"/>
      <c r="I980" s="92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</row>
    <row r="981" ht="15.75" customHeight="1">
      <c r="A981" s="7"/>
      <c r="B981" s="7"/>
      <c r="C981" s="7"/>
      <c r="D981" s="7"/>
      <c r="F981" s="7"/>
      <c r="G981" s="92"/>
      <c r="H981" s="92"/>
      <c r="I981" s="92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</row>
    <row r="982" ht="15.75" customHeight="1">
      <c r="A982" s="7"/>
      <c r="B982" s="7"/>
      <c r="C982" s="7"/>
      <c r="D982" s="7"/>
      <c r="F982" s="7"/>
      <c r="G982" s="92"/>
      <c r="H982" s="92"/>
      <c r="I982" s="92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</row>
    <row r="983" ht="15.75" customHeight="1">
      <c r="A983" s="7"/>
      <c r="B983" s="7"/>
      <c r="C983" s="7"/>
      <c r="D983" s="7"/>
      <c r="F983" s="7"/>
      <c r="G983" s="92"/>
      <c r="H983" s="92"/>
      <c r="I983" s="92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</row>
    <row r="984" ht="15.75" customHeight="1">
      <c r="A984" s="7"/>
      <c r="B984" s="7"/>
      <c r="C984" s="7"/>
      <c r="D984" s="7"/>
      <c r="F984" s="7"/>
      <c r="G984" s="92"/>
      <c r="H984" s="92"/>
      <c r="I984" s="92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</row>
    <row r="985" ht="15.75" customHeight="1">
      <c r="A985" s="7"/>
      <c r="B985" s="7"/>
      <c r="C985" s="7"/>
      <c r="D985" s="7"/>
      <c r="F985" s="7"/>
      <c r="G985" s="92"/>
      <c r="H985" s="92"/>
      <c r="I985" s="92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</row>
    <row r="986" ht="15.75" customHeight="1">
      <c r="A986" s="7"/>
      <c r="B986" s="7"/>
      <c r="C986" s="7"/>
      <c r="D986" s="7"/>
      <c r="F986" s="7"/>
      <c r="G986" s="92"/>
      <c r="H986" s="92"/>
      <c r="I986" s="92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</row>
    <row r="987" ht="15.75" customHeight="1">
      <c r="A987" s="7"/>
      <c r="B987" s="7"/>
      <c r="C987" s="7"/>
      <c r="D987" s="7"/>
      <c r="F987" s="7"/>
      <c r="G987" s="92"/>
      <c r="H987" s="92"/>
      <c r="I987" s="92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2.0"/>
    <col customWidth="1" min="3" max="4" width="23.25"/>
    <col customWidth="1" min="5" max="6" width="19.75"/>
    <col customWidth="1" min="7" max="7" width="30.25"/>
    <col customWidth="1" min="8" max="24" width="8.63"/>
  </cols>
  <sheetData>
    <row r="1">
      <c r="A1" s="72" t="s">
        <v>862</v>
      </c>
      <c r="B1" s="72" t="s">
        <v>863</v>
      </c>
      <c r="C1" s="72" t="s">
        <v>864</v>
      </c>
      <c r="D1" s="72" t="s">
        <v>865</v>
      </c>
      <c r="E1" s="72" t="s">
        <v>866</v>
      </c>
      <c r="F1" s="96" t="s">
        <v>867</v>
      </c>
      <c r="G1" s="72" t="s">
        <v>868</v>
      </c>
    </row>
    <row r="2">
      <c r="A2" s="72">
        <v>1.0</v>
      </c>
      <c r="B2" s="97">
        <v>1.0</v>
      </c>
      <c r="C2" s="72" t="s">
        <v>869</v>
      </c>
      <c r="D2" s="72" t="s">
        <v>870</v>
      </c>
      <c r="E2" s="72" t="str">
        <f>dim_labor_title!$C2&amp;" "&amp;dim_labor_title!$D2</f>
        <v>Asbestos Project Monitor</v>
      </c>
      <c r="F2" s="98">
        <v>3.0</v>
      </c>
      <c r="G2" s="72" t="str">
        <f>dim_labor_title!$C2&amp;" "&amp;dim_labor_title!$D2&amp;"|"&amp;dim_labor_title!$F2</f>
        <v>Asbestos Project Monitor|3</v>
      </c>
    </row>
    <row r="3">
      <c r="A3" s="72">
        <v>2.0</v>
      </c>
      <c r="B3" s="97">
        <v>2.0</v>
      </c>
      <c r="C3" s="72" t="s">
        <v>869</v>
      </c>
      <c r="D3" s="72" t="s">
        <v>871</v>
      </c>
      <c r="E3" s="72" t="str">
        <f>dim_labor_title!$C3&amp;" "&amp;dim_labor_title!$D3</f>
        <v>Asbestos Air Testing</v>
      </c>
      <c r="F3" s="98">
        <v>3.0</v>
      </c>
      <c r="G3" s="72" t="str">
        <f>dim_labor_title!$C3&amp;" "&amp;dim_labor_title!$D3&amp;"|"&amp;dim_labor_title!$F3</f>
        <v>Asbestos Air Testing|3</v>
      </c>
    </row>
    <row r="4">
      <c r="A4" s="72">
        <v>3.0</v>
      </c>
      <c r="B4" s="97">
        <v>3.0</v>
      </c>
      <c r="C4" s="72" t="s">
        <v>869</v>
      </c>
      <c r="D4" s="72" t="s">
        <v>872</v>
      </c>
      <c r="E4" s="72" t="str">
        <f>dim_labor_title!$C4&amp;" "&amp;dim_labor_title!$D4</f>
        <v>Asbestos Investigator</v>
      </c>
      <c r="F4" s="98">
        <v>3.0</v>
      </c>
      <c r="G4" s="72" t="str">
        <f>dim_labor_title!$C4&amp;" "&amp;dim_labor_title!$D4&amp;"|"&amp;dim_labor_title!$F4</f>
        <v>Asbestos Investigator|3</v>
      </c>
    </row>
    <row r="5">
      <c r="A5" s="72">
        <v>4.0</v>
      </c>
      <c r="B5" s="97">
        <v>4.0</v>
      </c>
      <c r="C5" s="72" t="s">
        <v>869</v>
      </c>
      <c r="D5" s="72" t="s">
        <v>873</v>
      </c>
      <c r="E5" s="72" t="str">
        <f>dim_labor_title!$C5&amp;" "&amp;dim_labor_title!$D5</f>
        <v>Asbestos Project Designer</v>
      </c>
      <c r="F5" s="98">
        <v>3.0</v>
      </c>
      <c r="G5" s="72" t="str">
        <f>dim_labor_title!$C5&amp;" "&amp;dim_labor_title!$D5&amp;"|"&amp;dim_labor_title!$F5</f>
        <v>Asbestos Project Designer|3</v>
      </c>
    </row>
    <row r="6">
      <c r="A6" s="72">
        <v>5.0</v>
      </c>
      <c r="B6" s="97">
        <v>5.0</v>
      </c>
      <c r="C6" s="72" t="s">
        <v>869</v>
      </c>
      <c r="D6" s="72" t="s">
        <v>874</v>
      </c>
      <c r="E6" s="72" t="str">
        <f>dim_labor_title!$C6&amp;" "&amp;dim_labor_title!$D6</f>
        <v>Asbestos Project Manager</v>
      </c>
      <c r="F6" s="98">
        <v>3.0</v>
      </c>
      <c r="G6" s="72" t="str">
        <f>dim_labor_title!$C6&amp;" "&amp;dim_labor_title!$D6&amp;"|"&amp;dim_labor_title!$F6</f>
        <v>Asbestos Project Manager|3</v>
      </c>
    </row>
    <row r="7">
      <c r="A7" s="72">
        <v>6.0</v>
      </c>
      <c r="B7" s="97">
        <v>6.0</v>
      </c>
      <c r="C7" s="72" t="s">
        <v>875</v>
      </c>
      <c r="D7" s="72" t="s">
        <v>876</v>
      </c>
      <c r="E7" s="72" t="str">
        <f>dim_labor_title!$C7&amp;" "&amp;dim_labor_title!$D7</f>
        <v>Lead Inspector</v>
      </c>
      <c r="F7" s="98">
        <v>3.0</v>
      </c>
      <c r="G7" s="72" t="str">
        <f>dim_labor_title!$C7&amp;" "&amp;dim_labor_title!$D7&amp;"|"&amp;dim_labor_title!$F7</f>
        <v>Lead Inspector|3</v>
      </c>
    </row>
    <row r="8">
      <c r="A8" s="72">
        <v>7.0</v>
      </c>
      <c r="B8" s="97">
        <v>7.0</v>
      </c>
      <c r="C8" s="72" t="s">
        <v>875</v>
      </c>
      <c r="D8" s="72" t="s">
        <v>877</v>
      </c>
      <c r="E8" s="72" t="str">
        <f>dim_labor_title!$C8&amp;" "&amp;dim_labor_title!$D8</f>
        <v>Lead Inspector / Risk Assessor</v>
      </c>
      <c r="F8" s="98">
        <v>3.0</v>
      </c>
      <c r="G8" s="72" t="str">
        <f>dim_labor_title!$C8&amp;" "&amp;dim_labor_title!$D8&amp;"|"&amp;dim_labor_title!$F8</f>
        <v>Lead Inspector / Risk Assessor|3</v>
      </c>
    </row>
    <row r="9">
      <c r="A9" s="72">
        <v>8.0</v>
      </c>
      <c r="B9" s="97">
        <v>1.0</v>
      </c>
      <c r="C9" s="72" t="s">
        <v>869</v>
      </c>
      <c r="D9" s="72" t="s">
        <v>870</v>
      </c>
      <c r="E9" s="72" t="str">
        <f>dim_labor_title!$C9&amp;" "&amp;dim_labor_title!$D9</f>
        <v>Asbestos Project Monitor</v>
      </c>
      <c r="F9" s="98">
        <v>7.0</v>
      </c>
      <c r="G9" s="72" t="str">
        <f>dim_labor_title!$C9&amp;" "&amp;dim_labor_title!$D9&amp;"|"&amp;dim_labor_title!$F9</f>
        <v>Asbestos Project Monitor|7</v>
      </c>
    </row>
    <row r="10">
      <c r="A10" s="72">
        <v>9.0</v>
      </c>
      <c r="B10" s="97">
        <v>2.0</v>
      </c>
      <c r="C10" s="72" t="s">
        <v>869</v>
      </c>
      <c r="D10" s="72" t="s">
        <v>871</v>
      </c>
      <c r="E10" s="72" t="str">
        <f>dim_labor_title!$C10&amp;" "&amp;dim_labor_title!$D10</f>
        <v>Asbestos Air Testing</v>
      </c>
      <c r="F10" s="98">
        <v>7.0</v>
      </c>
      <c r="G10" s="72" t="str">
        <f>dim_labor_title!$C10&amp;" "&amp;dim_labor_title!$D10&amp;"|"&amp;dim_labor_title!$F10</f>
        <v>Asbestos Air Testing|7</v>
      </c>
    </row>
    <row r="11">
      <c r="A11" s="72">
        <v>10.0</v>
      </c>
      <c r="B11" s="97">
        <v>3.0</v>
      </c>
      <c r="C11" s="72" t="s">
        <v>869</v>
      </c>
      <c r="D11" s="72" t="s">
        <v>872</v>
      </c>
      <c r="E11" s="72" t="str">
        <f>dim_labor_title!$C11&amp;" "&amp;dim_labor_title!$D11</f>
        <v>Asbestos Investigator</v>
      </c>
      <c r="F11" s="98">
        <v>7.0</v>
      </c>
      <c r="G11" s="72" t="str">
        <f>dim_labor_title!$C11&amp;" "&amp;dim_labor_title!$D11&amp;"|"&amp;dim_labor_title!$F11</f>
        <v>Asbestos Investigator|7</v>
      </c>
    </row>
    <row r="12">
      <c r="A12" s="72">
        <v>11.0</v>
      </c>
      <c r="B12" s="97">
        <v>4.0</v>
      </c>
      <c r="C12" s="72" t="s">
        <v>869</v>
      </c>
      <c r="D12" s="72" t="s">
        <v>873</v>
      </c>
      <c r="E12" s="72" t="str">
        <f>dim_labor_title!$C12&amp;" "&amp;dim_labor_title!$D12</f>
        <v>Asbestos Project Designer</v>
      </c>
      <c r="F12" s="98">
        <v>7.0</v>
      </c>
      <c r="G12" s="72" t="str">
        <f>dim_labor_title!$C12&amp;" "&amp;dim_labor_title!$D12&amp;"|"&amp;dim_labor_title!$F12</f>
        <v>Asbestos Project Designer|7</v>
      </c>
    </row>
    <row r="13">
      <c r="A13" s="72">
        <v>12.0</v>
      </c>
      <c r="B13" s="97">
        <v>5.0</v>
      </c>
      <c r="C13" s="72" t="s">
        <v>869</v>
      </c>
      <c r="D13" s="72" t="s">
        <v>874</v>
      </c>
      <c r="E13" s="72" t="str">
        <f>dim_labor_title!$C13&amp;" "&amp;dim_labor_title!$D13</f>
        <v>Asbestos Project Manager</v>
      </c>
      <c r="F13" s="98">
        <v>7.0</v>
      </c>
      <c r="G13" s="72" t="str">
        <f>dim_labor_title!$C13&amp;" "&amp;dim_labor_title!$D13&amp;"|"&amp;dim_labor_title!$F13</f>
        <v>Asbestos Project Manager|7</v>
      </c>
    </row>
    <row r="14">
      <c r="A14" s="72">
        <v>13.0</v>
      </c>
      <c r="B14" s="97">
        <v>6.0</v>
      </c>
      <c r="C14" s="72" t="s">
        <v>875</v>
      </c>
      <c r="D14" s="72" t="s">
        <v>876</v>
      </c>
      <c r="E14" s="72" t="str">
        <f>dim_labor_title!$C14&amp;" "&amp;dim_labor_title!$D14</f>
        <v>Lead Inspector</v>
      </c>
      <c r="F14" s="98">
        <v>7.0</v>
      </c>
      <c r="G14" s="72" t="str">
        <f>dim_labor_title!$C14&amp;" "&amp;dim_labor_title!$D14&amp;"|"&amp;dim_labor_title!$F14</f>
        <v>Lead Inspector|7</v>
      </c>
    </row>
    <row r="15">
      <c r="A15" s="72">
        <v>14.0</v>
      </c>
      <c r="B15" s="97">
        <v>7.0</v>
      </c>
      <c r="C15" s="72" t="s">
        <v>875</v>
      </c>
      <c r="D15" s="72" t="s">
        <v>877</v>
      </c>
      <c r="E15" s="72" t="str">
        <f>dim_labor_title!$C15&amp;" "&amp;dim_labor_title!$D15</f>
        <v>Lead Inspector / Risk Assessor</v>
      </c>
      <c r="F15" s="98">
        <v>7.0</v>
      </c>
      <c r="G15" s="72" t="str">
        <f>dim_labor_title!$C15&amp;" "&amp;dim_labor_title!$D15&amp;"|"&amp;dim_labor_title!$F15</f>
        <v>Lead Inspector / Risk Assessor|7</v>
      </c>
    </row>
    <row r="16">
      <c r="A16" s="72">
        <v>15.0</v>
      </c>
      <c r="B16" s="72">
        <v>0.0</v>
      </c>
      <c r="C16" s="72" t="s">
        <v>878</v>
      </c>
      <c r="D16" s="72" t="s">
        <v>789</v>
      </c>
      <c r="E16" s="98" t="str">
        <f>dim_labor_title!$C16&amp;" "&amp;dim_labor_title!$D16</f>
        <v>Office Admin</v>
      </c>
      <c r="F16" s="98">
        <v>3.0</v>
      </c>
      <c r="G16" s="72" t="str">
        <f>dim_labor_title!$C16&amp;" "&amp;dim_labor_title!$D16&amp;"|"&amp;dim_labor_title!$F16</f>
        <v>Office Admin|3</v>
      </c>
    </row>
    <row r="17">
      <c r="E17" s="85"/>
    </row>
    <row r="18">
      <c r="E18" s="85"/>
    </row>
    <row r="19">
      <c r="E19" s="85"/>
    </row>
    <row r="20">
      <c r="E20" s="85"/>
    </row>
    <row r="21" ht="15.75" customHeight="1">
      <c r="E21" s="85"/>
    </row>
    <row r="22" ht="15.75" customHeight="1">
      <c r="E22" s="85"/>
    </row>
    <row r="23" ht="15.75" customHeight="1">
      <c r="E23" s="85"/>
    </row>
    <row r="24" ht="15.75" customHeight="1">
      <c r="E24" s="85"/>
    </row>
    <row r="25" ht="15.75" customHeight="1">
      <c r="E25" s="85"/>
    </row>
    <row r="26" ht="15.75" customHeight="1">
      <c r="E26" s="85"/>
    </row>
    <row r="27" ht="15.75" customHeight="1">
      <c r="E27" s="85"/>
    </row>
    <row r="28" ht="15.75" customHeight="1">
      <c r="E28" s="85"/>
    </row>
    <row r="29" ht="15.75" customHeight="1">
      <c r="E29" s="85"/>
    </row>
    <row r="30" ht="15.75" customHeight="1">
      <c r="E30" s="85"/>
    </row>
    <row r="31" ht="15.75" customHeight="1">
      <c r="E31" s="85"/>
    </row>
    <row r="32" ht="15.75" customHeight="1">
      <c r="E32" s="85"/>
    </row>
    <row r="33" ht="15.75" customHeight="1">
      <c r="E33" s="85"/>
    </row>
    <row r="34" ht="15.75" customHeight="1">
      <c r="E34" s="85"/>
    </row>
    <row r="35" ht="15.75" customHeight="1">
      <c r="E35" s="85"/>
    </row>
    <row r="36" ht="15.75" customHeight="1">
      <c r="E36" s="85"/>
    </row>
    <row r="37" ht="15.75" customHeight="1">
      <c r="E37" s="85"/>
    </row>
    <row r="38" ht="15.75" customHeight="1">
      <c r="E38" s="85"/>
    </row>
    <row r="39" ht="15.75" customHeight="1">
      <c r="E39" s="85"/>
    </row>
    <row r="40" ht="15.75" customHeight="1">
      <c r="E40" s="85"/>
    </row>
    <row r="41" ht="15.75" customHeight="1">
      <c r="E41" s="85"/>
    </row>
    <row r="42" ht="15.75" customHeight="1">
      <c r="E42" s="85"/>
    </row>
    <row r="43" ht="15.75" customHeight="1">
      <c r="E43" s="85"/>
    </row>
    <row r="44" ht="15.75" customHeight="1">
      <c r="E44" s="85"/>
    </row>
    <row r="45" ht="15.75" customHeight="1">
      <c r="E45" s="85"/>
    </row>
    <row r="46" ht="15.75" customHeight="1">
      <c r="E46" s="85"/>
    </row>
    <row r="47" ht="15.75" customHeight="1">
      <c r="E47" s="85"/>
    </row>
    <row r="48" ht="15.75" customHeight="1">
      <c r="E48" s="85"/>
    </row>
    <row r="49" ht="15.75" customHeight="1">
      <c r="E49" s="85"/>
    </row>
    <row r="50" ht="15.75" customHeight="1">
      <c r="E50" s="85"/>
    </row>
    <row r="51" ht="15.75" customHeight="1">
      <c r="E51" s="85"/>
    </row>
    <row r="52" ht="15.75" customHeight="1">
      <c r="E52" s="85"/>
    </row>
    <row r="53" ht="15.75" customHeight="1">
      <c r="E53" s="85"/>
    </row>
    <row r="54" ht="15.75" customHeight="1">
      <c r="E54" s="85"/>
    </row>
    <row r="55" ht="15.75" customHeight="1">
      <c r="E55" s="85"/>
    </row>
    <row r="56" ht="15.75" customHeight="1">
      <c r="E56" s="85"/>
    </row>
    <row r="57" ht="15.75" customHeight="1">
      <c r="E57" s="85"/>
    </row>
    <row r="58" ht="15.75" customHeight="1">
      <c r="E58" s="85"/>
    </row>
    <row r="59" ht="15.75" customHeight="1">
      <c r="E59" s="85"/>
    </row>
    <row r="60" ht="15.75" customHeight="1">
      <c r="E60" s="85"/>
    </row>
    <row r="61" ht="15.75" customHeight="1">
      <c r="E61" s="85"/>
    </row>
    <row r="62" ht="15.75" customHeight="1">
      <c r="E62" s="85"/>
    </row>
    <row r="63" ht="15.75" customHeight="1">
      <c r="E63" s="85"/>
    </row>
    <row r="64" ht="15.75" customHeight="1">
      <c r="E64" s="85"/>
    </row>
    <row r="65" ht="15.75" customHeight="1">
      <c r="E65" s="85"/>
    </row>
    <row r="66" ht="15.75" customHeight="1">
      <c r="E66" s="85"/>
    </row>
    <row r="67" ht="15.75" customHeight="1">
      <c r="E67" s="85"/>
    </row>
    <row r="68" ht="15.75" customHeight="1">
      <c r="E68" s="85"/>
    </row>
    <row r="69" ht="15.75" customHeight="1">
      <c r="E69" s="85"/>
    </row>
    <row r="70" ht="15.75" customHeight="1">
      <c r="E70" s="85"/>
    </row>
    <row r="71" ht="15.75" customHeight="1">
      <c r="E71" s="85"/>
    </row>
    <row r="72" ht="15.75" customHeight="1">
      <c r="E72" s="85"/>
    </row>
    <row r="73" ht="15.75" customHeight="1">
      <c r="E73" s="85"/>
    </row>
    <row r="74" ht="15.75" customHeight="1">
      <c r="E74" s="85"/>
    </row>
    <row r="75" ht="15.75" customHeight="1">
      <c r="E75" s="85"/>
    </row>
    <row r="76" ht="15.75" customHeight="1">
      <c r="E76" s="85"/>
    </row>
    <row r="77" ht="15.75" customHeight="1">
      <c r="E77" s="85"/>
    </row>
    <row r="78" ht="15.75" customHeight="1">
      <c r="E78" s="85"/>
    </row>
    <row r="79" ht="15.75" customHeight="1">
      <c r="E79" s="85"/>
    </row>
    <row r="80" ht="15.75" customHeight="1">
      <c r="E80" s="85"/>
    </row>
    <row r="81" ht="15.75" customHeight="1">
      <c r="E81" s="85"/>
    </row>
    <row r="82" ht="15.75" customHeight="1">
      <c r="E82" s="85"/>
    </row>
    <row r="83" ht="15.75" customHeight="1">
      <c r="E83" s="85"/>
    </row>
    <row r="84" ht="15.75" customHeight="1">
      <c r="E84" s="85"/>
    </row>
    <row r="85" ht="15.75" customHeight="1">
      <c r="E85" s="85"/>
    </row>
    <row r="86" ht="15.75" customHeight="1">
      <c r="E86" s="85"/>
    </row>
    <row r="87" ht="15.75" customHeight="1">
      <c r="E87" s="85"/>
    </row>
    <row r="88" ht="15.75" customHeight="1">
      <c r="E88" s="85"/>
    </row>
    <row r="89" ht="15.75" customHeight="1">
      <c r="E89" s="85"/>
    </row>
    <row r="90" ht="15.75" customHeight="1">
      <c r="E90" s="85"/>
    </row>
    <row r="91" ht="15.75" customHeight="1">
      <c r="E91" s="85"/>
    </row>
    <row r="92" ht="15.75" customHeight="1">
      <c r="E92" s="85"/>
    </row>
    <row r="93" ht="15.75" customHeight="1">
      <c r="E93" s="85"/>
    </row>
    <row r="94" ht="15.75" customHeight="1">
      <c r="E94" s="85"/>
    </row>
    <row r="95" ht="15.75" customHeight="1">
      <c r="E95" s="85"/>
    </row>
    <row r="96" ht="15.75" customHeight="1">
      <c r="E96" s="85"/>
    </row>
    <row r="97" ht="15.75" customHeight="1">
      <c r="E97" s="85"/>
    </row>
    <row r="98" ht="15.75" customHeight="1">
      <c r="E98" s="85"/>
    </row>
    <row r="99" ht="15.75" customHeight="1">
      <c r="E99" s="85"/>
    </row>
    <row r="100" ht="15.75" customHeight="1">
      <c r="E100" s="85"/>
    </row>
    <row r="101" ht="15.75" customHeight="1">
      <c r="E101" s="85"/>
    </row>
    <row r="102" ht="15.75" customHeight="1">
      <c r="E102" s="85"/>
    </row>
    <row r="103" ht="15.75" customHeight="1">
      <c r="E103" s="85"/>
    </row>
    <row r="104" ht="15.75" customHeight="1">
      <c r="E104" s="85"/>
    </row>
    <row r="105" ht="15.75" customHeight="1">
      <c r="E105" s="85"/>
    </row>
    <row r="106" ht="15.75" customHeight="1">
      <c r="E106" s="85"/>
    </row>
    <row r="107" ht="15.75" customHeight="1">
      <c r="E107" s="85"/>
    </row>
    <row r="108" ht="15.75" customHeight="1">
      <c r="E108" s="85"/>
    </row>
    <row r="109" ht="15.75" customHeight="1">
      <c r="E109" s="85"/>
    </row>
    <row r="110" ht="15.75" customHeight="1">
      <c r="E110" s="85"/>
    </row>
    <row r="111" ht="15.75" customHeight="1">
      <c r="E111" s="85"/>
    </row>
    <row r="112" ht="15.75" customHeight="1">
      <c r="E112" s="85"/>
    </row>
    <row r="113" ht="15.75" customHeight="1">
      <c r="E113" s="85"/>
    </row>
    <row r="114" ht="15.75" customHeight="1">
      <c r="E114" s="85"/>
    </row>
    <row r="115" ht="15.75" customHeight="1">
      <c r="E115" s="85"/>
    </row>
    <row r="116" ht="15.75" customHeight="1">
      <c r="E116" s="85"/>
    </row>
    <row r="117" ht="15.75" customHeight="1">
      <c r="E117" s="85"/>
    </row>
    <row r="118" ht="15.75" customHeight="1">
      <c r="E118" s="85"/>
    </row>
    <row r="119" ht="15.75" customHeight="1">
      <c r="E119" s="85"/>
    </row>
    <row r="120" ht="15.75" customHeight="1">
      <c r="E120" s="85"/>
    </row>
    <row r="121" ht="15.75" customHeight="1">
      <c r="E121" s="85"/>
    </row>
    <row r="122" ht="15.75" customHeight="1">
      <c r="E122" s="85"/>
    </row>
    <row r="123" ht="15.75" customHeight="1">
      <c r="E123" s="85"/>
    </row>
    <row r="124" ht="15.75" customHeight="1">
      <c r="E124" s="85"/>
    </row>
    <row r="125" ht="15.75" customHeight="1">
      <c r="E125" s="85"/>
    </row>
    <row r="126" ht="15.75" customHeight="1">
      <c r="E126" s="85"/>
    </row>
    <row r="127" ht="15.75" customHeight="1">
      <c r="E127" s="85"/>
    </row>
    <row r="128" ht="15.75" customHeight="1">
      <c r="E128" s="85"/>
    </row>
    <row r="129" ht="15.75" customHeight="1">
      <c r="E129" s="85"/>
    </row>
    <row r="130" ht="15.75" customHeight="1">
      <c r="E130" s="85"/>
    </row>
    <row r="131" ht="15.75" customHeight="1">
      <c r="E131" s="85"/>
    </row>
    <row r="132" ht="15.75" customHeight="1">
      <c r="E132" s="85"/>
    </row>
    <row r="133" ht="15.75" customHeight="1">
      <c r="E133" s="85"/>
    </row>
    <row r="134" ht="15.75" customHeight="1">
      <c r="E134" s="85"/>
    </row>
    <row r="135" ht="15.75" customHeight="1">
      <c r="E135" s="85"/>
    </row>
    <row r="136" ht="15.75" customHeight="1">
      <c r="E136" s="85"/>
    </row>
    <row r="137" ht="15.75" customHeight="1">
      <c r="E137" s="85"/>
    </row>
    <row r="138" ht="15.75" customHeight="1">
      <c r="E138" s="85"/>
    </row>
    <row r="139" ht="15.75" customHeight="1">
      <c r="E139" s="85"/>
    </row>
    <row r="140" ht="15.75" customHeight="1">
      <c r="E140" s="85"/>
    </row>
    <row r="141" ht="15.75" customHeight="1">
      <c r="E141" s="85"/>
    </row>
    <row r="142" ht="15.75" customHeight="1">
      <c r="E142" s="85"/>
    </row>
    <row r="143" ht="15.75" customHeight="1">
      <c r="E143" s="85"/>
    </row>
    <row r="144" ht="15.75" customHeight="1">
      <c r="E144" s="85"/>
    </row>
    <row r="145" ht="15.75" customHeight="1">
      <c r="E145" s="85"/>
    </row>
    <row r="146" ht="15.75" customHeight="1">
      <c r="E146" s="85"/>
    </row>
    <row r="147" ht="15.75" customHeight="1">
      <c r="E147" s="85"/>
    </row>
    <row r="148" ht="15.75" customHeight="1">
      <c r="E148" s="85"/>
    </row>
    <row r="149" ht="15.75" customHeight="1">
      <c r="E149" s="85"/>
    </row>
    <row r="150" ht="15.75" customHeight="1">
      <c r="E150" s="85"/>
    </row>
    <row r="151" ht="15.75" customHeight="1">
      <c r="E151" s="85"/>
    </row>
    <row r="152" ht="15.75" customHeight="1">
      <c r="E152" s="85"/>
    </row>
    <row r="153" ht="15.75" customHeight="1">
      <c r="E153" s="85"/>
    </row>
    <row r="154" ht="15.75" customHeight="1">
      <c r="E154" s="85"/>
    </row>
    <row r="155" ht="15.75" customHeight="1">
      <c r="E155" s="85"/>
    </row>
    <row r="156" ht="15.75" customHeight="1">
      <c r="E156" s="85"/>
    </row>
    <row r="157" ht="15.75" customHeight="1">
      <c r="E157" s="85"/>
    </row>
    <row r="158" ht="15.75" customHeight="1">
      <c r="E158" s="85"/>
    </row>
    <row r="159" ht="15.75" customHeight="1">
      <c r="E159" s="85"/>
    </row>
    <row r="160" ht="15.75" customHeight="1">
      <c r="E160" s="85"/>
    </row>
    <row r="161" ht="15.75" customHeight="1">
      <c r="E161" s="85"/>
    </row>
    <row r="162" ht="15.75" customHeight="1">
      <c r="E162" s="85"/>
    </row>
    <row r="163" ht="15.75" customHeight="1">
      <c r="E163" s="85"/>
    </row>
    <row r="164" ht="15.75" customHeight="1">
      <c r="E164" s="85"/>
    </row>
    <row r="165" ht="15.75" customHeight="1">
      <c r="E165" s="85"/>
    </row>
    <row r="166" ht="15.75" customHeight="1">
      <c r="E166" s="85"/>
    </row>
    <row r="167" ht="15.75" customHeight="1">
      <c r="E167" s="85"/>
    </row>
    <row r="168" ht="15.75" customHeight="1">
      <c r="E168" s="85"/>
    </row>
    <row r="169" ht="15.75" customHeight="1">
      <c r="E169" s="85"/>
    </row>
    <row r="170" ht="15.75" customHeight="1">
      <c r="E170" s="85"/>
    </row>
    <row r="171" ht="15.75" customHeight="1">
      <c r="E171" s="85"/>
    </row>
    <row r="172" ht="15.75" customHeight="1">
      <c r="E172" s="85"/>
    </row>
    <row r="173" ht="15.75" customHeight="1">
      <c r="E173" s="85"/>
    </row>
    <row r="174" ht="15.75" customHeight="1">
      <c r="E174" s="85"/>
    </row>
    <row r="175" ht="15.75" customHeight="1">
      <c r="E175" s="85"/>
    </row>
    <row r="176" ht="15.75" customHeight="1">
      <c r="E176" s="85"/>
    </row>
    <row r="177" ht="15.75" customHeight="1">
      <c r="E177" s="85"/>
    </row>
    <row r="178" ht="15.75" customHeight="1">
      <c r="E178" s="85"/>
    </row>
    <row r="179" ht="15.75" customHeight="1">
      <c r="E179" s="85"/>
    </row>
    <row r="180" ht="15.75" customHeight="1">
      <c r="E180" s="85"/>
    </row>
    <row r="181" ht="15.75" customHeight="1">
      <c r="E181" s="85"/>
    </row>
    <row r="182" ht="15.75" customHeight="1">
      <c r="E182" s="85"/>
    </row>
    <row r="183" ht="15.75" customHeight="1">
      <c r="E183" s="85"/>
    </row>
    <row r="184" ht="15.75" customHeight="1">
      <c r="E184" s="85"/>
    </row>
    <row r="185" ht="15.75" customHeight="1">
      <c r="E185" s="85"/>
    </row>
    <row r="186" ht="15.75" customHeight="1">
      <c r="E186" s="85"/>
    </row>
    <row r="187" ht="15.75" customHeight="1">
      <c r="E187" s="85"/>
    </row>
    <row r="188" ht="15.75" customHeight="1">
      <c r="E188" s="85"/>
    </row>
    <row r="189" ht="15.75" customHeight="1">
      <c r="E189" s="85"/>
    </row>
    <row r="190" ht="15.75" customHeight="1">
      <c r="E190" s="85"/>
    </row>
    <row r="191" ht="15.75" customHeight="1">
      <c r="E191" s="85"/>
    </row>
    <row r="192" ht="15.75" customHeight="1">
      <c r="E192" s="85"/>
    </row>
    <row r="193" ht="15.75" customHeight="1">
      <c r="E193" s="85"/>
    </row>
    <row r="194" ht="15.75" customHeight="1">
      <c r="E194" s="85"/>
    </row>
    <row r="195" ht="15.75" customHeight="1">
      <c r="E195" s="85"/>
    </row>
    <row r="196" ht="15.75" customHeight="1">
      <c r="E196" s="85"/>
    </row>
    <row r="197" ht="15.75" customHeight="1">
      <c r="E197" s="85"/>
    </row>
    <row r="198" ht="15.75" customHeight="1">
      <c r="E198" s="85"/>
    </row>
    <row r="199" ht="15.75" customHeight="1">
      <c r="E199" s="85"/>
    </row>
    <row r="200" ht="15.75" customHeight="1">
      <c r="E200" s="85"/>
    </row>
    <row r="201" ht="15.75" customHeight="1">
      <c r="E201" s="85"/>
    </row>
    <row r="202" ht="15.75" customHeight="1">
      <c r="E202" s="85"/>
    </row>
    <row r="203" ht="15.75" customHeight="1">
      <c r="E203" s="85"/>
    </row>
    <row r="204" ht="15.75" customHeight="1">
      <c r="E204" s="85"/>
    </row>
    <row r="205" ht="15.75" customHeight="1">
      <c r="E205" s="85"/>
    </row>
    <row r="206" ht="15.75" customHeight="1">
      <c r="E206" s="85"/>
    </row>
    <row r="207" ht="15.75" customHeight="1">
      <c r="E207" s="85"/>
    </row>
    <row r="208" ht="15.75" customHeight="1">
      <c r="E208" s="85"/>
    </row>
    <row r="209" ht="15.75" customHeight="1">
      <c r="E209" s="85"/>
    </row>
    <row r="210" ht="15.75" customHeight="1">
      <c r="E210" s="85"/>
    </row>
    <row r="211" ht="15.75" customHeight="1">
      <c r="E211" s="85"/>
    </row>
    <row r="212" ht="15.75" customHeight="1">
      <c r="E212" s="85"/>
    </row>
    <row r="213" ht="15.75" customHeight="1">
      <c r="E213" s="85"/>
    </row>
    <row r="214" ht="15.75" customHeight="1">
      <c r="E214" s="85"/>
    </row>
    <row r="215" ht="15.75" customHeight="1">
      <c r="E215" s="85"/>
    </row>
    <row r="216" ht="15.75" customHeight="1">
      <c r="E216" s="85"/>
    </row>
    <row r="217" ht="15.75" customHeight="1">
      <c r="E217" s="85"/>
    </row>
    <row r="218" ht="15.75" customHeight="1">
      <c r="E218" s="85"/>
    </row>
    <row r="219" ht="15.75" customHeight="1">
      <c r="E219" s="85"/>
    </row>
    <row r="220" ht="15.75" customHeight="1">
      <c r="E220" s="85"/>
    </row>
    <row r="221" ht="15.75" customHeight="1">
      <c r="E221" s="85"/>
    </row>
    <row r="222" ht="15.75" customHeight="1">
      <c r="E222" s="85"/>
    </row>
    <row r="223" ht="15.75" customHeight="1">
      <c r="E223" s="85"/>
    </row>
    <row r="224" ht="15.75" customHeight="1">
      <c r="E224" s="85"/>
    </row>
    <row r="225" ht="15.75" customHeight="1">
      <c r="E225" s="85"/>
    </row>
    <row r="226" ht="15.75" customHeight="1">
      <c r="E226" s="85"/>
    </row>
    <row r="227" ht="15.75" customHeight="1">
      <c r="E227" s="85"/>
    </row>
    <row r="228" ht="15.75" customHeight="1">
      <c r="E228" s="85"/>
    </row>
    <row r="229" ht="15.75" customHeight="1">
      <c r="E229" s="85"/>
    </row>
    <row r="230" ht="15.75" customHeight="1">
      <c r="E230" s="85"/>
    </row>
    <row r="231" ht="15.75" customHeight="1">
      <c r="E231" s="85"/>
    </row>
    <row r="232" ht="15.75" customHeight="1">
      <c r="E232" s="85"/>
    </row>
    <row r="233" ht="15.75" customHeight="1">
      <c r="E233" s="85"/>
    </row>
    <row r="234" ht="15.75" customHeight="1">
      <c r="E234" s="85"/>
    </row>
    <row r="235" ht="15.75" customHeight="1">
      <c r="E235" s="85"/>
    </row>
    <row r="236" ht="15.75" customHeight="1">
      <c r="E236" s="85"/>
    </row>
    <row r="237" ht="15.75" customHeight="1">
      <c r="E237" s="85"/>
    </row>
    <row r="238" ht="15.75" customHeight="1">
      <c r="E238" s="85"/>
    </row>
    <row r="239" ht="15.75" customHeight="1">
      <c r="E239" s="85"/>
    </row>
    <row r="240" ht="15.75" customHeight="1">
      <c r="E240" s="85"/>
    </row>
    <row r="241" ht="15.75" customHeight="1">
      <c r="E241" s="85"/>
    </row>
    <row r="242" ht="15.75" customHeight="1">
      <c r="E242" s="85"/>
    </row>
    <row r="243" ht="15.75" customHeight="1">
      <c r="E243" s="85"/>
    </row>
    <row r="244" ht="15.75" customHeight="1">
      <c r="E244" s="85"/>
    </row>
    <row r="245" ht="15.75" customHeight="1">
      <c r="E245" s="85"/>
    </row>
    <row r="246" ht="15.75" customHeight="1">
      <c r="E246" s="85"/>
    </row>
    <row r="247" ht="15.75" customHeight="1">
      <c r="E247" s="85"/>
    </row>
    <row r="248" ht="15.75" customHeight="1">
      <c r="E248" s="85"/>
    </row>
    <row r="249" ht="15.75" customHeight="1">
      <c r="E249" s="85"/>
    </row>
    <row r="250" ht="15.75" customHeight="1">
      <c r="E250" s="85"/>
    </row>
    <row r="251" ht="15.75" customHeight="1">
      <c r="E251" s="85"/>
    </row>
    <row r="252" ht="15.75" customHeight="1">
      <c r="E252" s="85"/>
    </row>
    <row r="253" ht="15.75" customHeight="1">
      <c r="E253" s="85"/>
    </row>
    <row r="254" ht="15.75" customHeight="1">
      <c r="E254" s="85"/>
    </row>
    <row r="255" ht="15.75" customHeight="1">
      <c r="E255" s="85"/>
    </row>
    <row r="256" ht="15.75" customHeight="1">
      <c r="E256" s="85"/>
    </row>
    <row r="257" ht="15.75" customHeight="1">
      <c r="E257" s="85"/>
    </row>
    <row r="258" ht="15.75" customHeight="1">
      <c r="E258" s="85"/>
    </row>
    <row r="259" ht="15.75" customHeight="1">
      <c r="E259" s="85"/>
    </row>
    <row r="260" ht="15.75" customHeight="1">
      <c r="E260" s="85"/>
    </row>
    <row r="261" ht="15.75" customHeight="1">
      <c r="E261" s="85"/>
    </row>
    <row r="262" ht="15.75" customHeight="1">
      <c r="E262" s="85"/>
    </row>
    <row r="263" ht="15.75" customHeight="1">
      <c r="E263" s="85"/>
    </row>
    <row r="264" ht="15.75" customHeight="1">
      <c r="E264" s="85"/>
    </row>
    <row r="265" ht="15.75" customHeight="1">
      <c r="E265" s="85"/>
    </row>
    <row r="266" ht="15.75" customHeight="1">
      <c r="E266" s="85"/>
    </row>
    <row r="267" ht="15.75" customHeight="1">
      <c r="E267" s="85"/>
    </row>
    <row r="268" ht="15.75" customHeight="1">
      <c r="E268" s="85"/>
    </row>
    <row r="269" ht="15.75" customHeight="1">
      <c r="E269" s="85"/>
    </row>
    <row r="270" ht="15.75" customHeight="1">
      <c r="E270" s="85"/>
    </row>
    <row r="271" ht="15.75" customHeight="1">
      <c r="E271" s="85"/>
    </row>
    <row r="272" ht="15.75" customHeight="1">
      <c r="E272" s="85"/>
    </row>
    <row r="273" ht="15.75" customHeight="1">
      <c r="E273" s="85"/>
    </row>
    <row r="274" ht="15.75" customHeight="1">
      <c r="E274" s="85"/>
    </row>
    <row r="275" ht="15.75" customHeight="1">
      <c r="E275" s="85"/>
    </row>
    <row r="276" ht="15.75" customHeight="1">
      <c r="E276" s="85"/>
    </row>
    <row r="277" ht="15.75" customHeight="1">
      <c r="E277" s="85"/>
    </row>
    <row r="278" ht="15.75" customHeight="1">
      <c r="E278" s="85"/>
    </row>
    <row r="279" ht="15.75" customHeight="1">
      <c r="E279" s="85"/>
    </row>
    <row r="280" ht="15.75" customHeight="1">
      <c r="E280" s="85"/>
    </row>
    <row r="281" ht="15.75" customHeight="1">
      <c r="E281" s="85"/>
    </row>
    <row r="282" ht="15.75" customHeight="1">
      <c r="E282" s="85"/>
    </row>
    <row r="283" ht="15.75" customHeight="1">
      <c r="E283" s="85"/>
    </row>
    <row r="284" ht="15.75" customHeight="1">
      <c r="E284" s="85"/>
    </row>
    <row r="285" ht="15.75" customHeight="1">
      <c r="E285" s="85"/>
    </row>
    <row r="286" ht="15.75" customHeight="1">
      <c r="E286" s="85"/>
    </row>
    <row r="287" ht="15.75" customHeight="1">
      <c r="E287" s="85"/>
    </row>
    <row r="288" ht="15.75" customHeight="1">
      <c r="E288" s="85"/>
    </row>
    <row r="289" ht="15.75" customHeight="1">
      <c r="E289" s="85"/>
    </row>
    <row r="290" ht="15.75" customHeight="1">
      <c r="E290" s="85"/>
    </row>
    <row r="291" ht="15.75" customHeight="1">
      <c r="E291" s="85"/>
    </row>
    <row r="292" ht="15.75" customHeight="1">
      <c r="E292" s="85"/>
    </row>
    <row r="293" ht="15.75" customHeight="1">
      <c r="E293" s="85"/>
    </row>
    <row r="294" ht="15.75" customHeight="1">
      <c r="E294" s="85"/>
    </row>
    <row r="295" ht="15.75" customHeight="1">
      <c r="E295" s="85"/>
    </row>
    <row r="296" ht="15.75" customHeight="1">
      <c r="E296" s="85"/>
    </row>
    <row r="297" ht="15.75" customHeight="1">
      <c r="E297" s="85"/>
    </row>
    <row r="298" ht="15.75" customHeight="1">
      <c r="E298" s="85"/>
    </row>
    <row r="299" ht="15.75" customHeight="1">
      <c r="E299" s="85"/>
    </row>
    <row r="300" ht="15.75" customHeight="1">
      <c r="E300" s="85"/>
    </row>
    <row r="301" ht="15.75" customHeight="1">
      <c r="E301" s="85"/>
    </row>
    <row r="302" ht="15.75" customHeight="1">
      <c r="E302" s="85"/>
    </row>
    <row r="303" ht="15.75" customHeight="1">
      <c r="E303" s="85"/>
    </row>
    <row r="304" ht="15.75" customHeight="1">
      <c r="E304" s="85"/>
    </row>
    <row r="305" ht="15.75" customHeight="1">
      <c r="E305" s="85"/>
    </row>
    <row r="306" ht="15.75" customHeight="1">
      <c r="E306" s="85"/>
    </row>
    <row r="307" ht="15.75" customHeight="1">
      <c r="E307" s="85"/>
    </row>
    <row r="308" ht="15.75" customHeight="1">
      <c r="E308" s="85"/>
    </row>
    <row r="309" ht="15.75" customHeight="1">
      <c r="E309" s="85"/>
    </row>
    <row r="310" ht="15.75" customHeight="1">
      <c r="E310" s="85"/>
    </row>
    <row r="311" ht="15.75" customHeight="1">
      <c r="E311" s="85"/>
    </row>
    <row r="312" ht="15.75" customHeight="1">
      <c r="E312" s="85"/>
    </row>
    <row r="313" ht="15.75" customHeight="1">
      <c r="E313" s="85"/>
    </row>
    <row r="314" ht="15.75" customHeight="1">
      <c r="E314" s="85"/>
    </row>
    <row r="315" ht="15.75" customHeight="1">
      <c r="E315" s="85"/>
    </row>
    <row r="316" ht="15.75" customHeight="1">
      <c r="E316" s="85"/>
    </row>
    <row r="317" ht="15.75" customHeight="1">
      <c r="E317" s="85"/>
    </row>
    <row r="318" ht="15.75" customHeight="1">
      <c r="E318" s="85"/>
    </row>
    <row r="319" ht="15.75" customHeight="1">
      <c r="E319" s="85"/>
    </row>
    <row r="320" ht="15.75" customHeight="1">
      <c r="E320" s="85"/>
    </row>
    <row r="321" ht="15.75" customHeight="1">
      <c r="E321" s="85"/>
    </row>
    <row r="322" ht="15.75" customHeight="1">
      <c r="E322" s="85"/>
    </row>
    <row r="323" ht="15.75" customHeight="1">
      <c r="E323" s="85"/>
    </row>
    <row r="324" ht="15.75" customHeight="1">
      <c r="E324" s="85"/>
    </row>
    <row r="325" ht="15.75" customHeight="1">
      <c r="E325" s="85"/>
    </row>
    <row r="326" ht="15.75" customHeight="1">
      <c r="E326" s="85"/>
    </row>
    <row r="327" ht="15.75" customHeight="1">
      <c r="E327" s="85"/>
    </row>
    <row r="328" ht="15.75" customHeight="1">
      <c r="E328" s="85"/>
    </row>
    <row r="329" ht="15.75" customHeight="1">
      <c r="E329" s="85"/>
    </row>
    <row r="330" ht="15.75" customHeight="1">
      <c r="E330" s="85"/>
    </row>
    <row r="331" ht="15.75" customHeight="1">
      <c r="E331" s="85"/>
    </row>
    <row r="332" ht="15.75" customHeight="1">
      <c r="E332" s="85"/>
    </row>
    <row r="333" ht="15.75" customHeight="1">
      <c r="E333" s="85"/>
    </row>
    <row r="334" ht="15.75" customHeight="1">
      <c r="E334" s="85"/>
    </row>
    <row r="335" ht="15.75" customHeight="1">
      <c r="E335" s="85"/>
    </row>
    <row r="336" ht="15.75" customHeight="1">
      <c r="E336" s="85"/>
    </row>
    <row r="337" ht="15.75" customHeight="1">
      <c r="E337" s="85"/>
    </row>
    <row r="338" ht="15.75" customHeight="1">
      <c r="E338" s="85"/>
    </row>
    <row r="339" ht="15.75" customHeight="1">
      <c r="E339" s="85"/>
    </row>
    <row r="340" ht="15.75" customHeight="1">
      <c r="E340" s="85"/>
    </row>
    <row r="341" ht="15.75" customHeight="1">
      <c r="E341" s="85"/>
    </row>
    <row r="342" ht="15.75" customHeight="1">
      <c r="E342" s="85"/>
    </row>
    <row r="343" ht="15.75" customHeight="1">
      <c r="E343" s="85"/>
    </row>
    <row r="344" ht="15.75" customHeight="1">
      <c r="E344" s="85"/>
    </row>
    <row r="345" ht="15.75" customHeight="1">
      <c r="E345" s="85"/>
    </row>
    <row r="346" ht="15.75" customHeight="1">
      <c r="E346" s="85"/>
    </row>
    <row r="347" ht="15.75" customHeight="1">
      <c r="E347" s="85"/>
    </row>
    <row r="348" ht="15.75" customHeight="1">
      <c r="E348" s="85"/>
    </row>
    <row r="349" ht="15.75" customHeight="1">
      <c r="E349" s="85"/>
    </row>
    <row r="350" ht="15.75" customHeight="1">
      <c r="E350" s="85"/>
    </row>
    <row r="351" ht="15.75" customHeight="1">
      <c r="E351" s="85"/>
    </row>
    <row r="352" ht="15.75" customHeight="1">
      <c r="E352" s="85"/>
    </row>
    <row r="353" ht="15.75" customHeight="1">
      <c r="E353" s="85"/>
    </row>
    <row r="354" ht="15.75" customHeight="1">
      <c r="E354" s="85"/>
    </row>
    <row r="355" ht="15.75" customHeight="1">
      <c r="E355" s="85"/>
    </row>
    <row r="356" ht="15.75" customHeight="1">
      <c r="E356" s="85"/>
    </row>
    <row r="357" ht="15.75" customHeight="1">
      <c r="E357" s="85"/>
    </row>
    <row r="358" ht="15.75" customHeight="1">
      <c r="E358" s="85"/>
    </row>
    <row r="359" ht="15.75" customHeight="1">
      <c r="E359" s="85"/>
    </row>
    <row r="360" ht="15.75" customHeight="1">
      <c r="E360" s="85"/>
    </row>
    <row r="361" ht="15.75" customHeight="1">
      <c r="E361" s="85"/>
    </row>
    <row r="362" ht="15.75" customHeight="1">
      <c r="E362" s="85"/>
    </row>
    <row r="363" ht="15.75" customHeight="1">
      <c r="E363" s="85"/>
    </row>
    <row r="364" ht="15.75" customHeight="1">
      <c r="E364" s="85"/>
    </row>
    <row r="365" ht="15.75" customHeight="1">
      <c r="E365" s="85"/>
    </row>
    <row r="366" ht="15.75" customHeight="1">
      <c r="E366" s="85"/>
    </row>
    <row r="367" ht="15.75" customHeight="1">
      <c r="E367" s="85"/>
    </row>
    <row r="368" ht="15.75" customHeight="1">
      <c r="E368" s="85"/>
    </row>
    <row r="369" ht="15.75" customHeight="1">
      <c r="E369" s="85"/>
    </row>
    <row r="370" ht="15.75" customHeight="1">
      <c r="E370" s="85"/>
    </row>
    <row r="371" ht="15.75" customHeight="1">
      <c r="E371" s="85"/>
    </row>
    <row r="372" ht="15.75" customHeight="1">
      <c r="E372" s="85"/>
    </row>
    <row r="373" ht="15.75" customHeight="1">
      <c r="E373" s="85"/>
    </row>
    <row r="374" ht="15.75" customHeight="1">
      <c r="E374" s="85"/>
    </row>
    <row r="375" ht="15.75" customHeight="1">
      <c r="E375" s="85"/>
    </row>
    <row r="376" ht="15.75" customHeight="1">
      <c r="E376" s="85"/>
    </row>
    <row r="377" ht="15.75" customHeight="1">
      <c r="E377" s="85"/>
    </row>
    <row r="378" ht="15.75" customHeight="1">
      <c r="E378" s="85"/>
    </row>
    <row r="379" ht="15.75" customHeight="1">
      <c r="E379" s="85"/>
    </row>
    <row r="380" ht="15.75" customHeight="1">
      <c r="E380" s="85"/>
    </row>
    <row r="381" ht="15.75" customHeight="1">
      <c r="E381" s="85"/>
    </row>
    <row r="382" ht="15.75" customHeight="1">
      <c r="E382" s="85"/>
    </row>
    <row r="383" ht="15.75" customHeight="1">
      <c r="E383" s="85"/>
    </row>
    <row r="384" ht="15.75" customHeight="1">
      <c r="E384" s="85"/>
    </row>
    <row r="385" ht="15.75" customHeight="1">
      <c r="E385" s="85"/>
    </row>
    <row r="386" ht="15.75" customHeight="1">
      <c r="E386" s="85"/>
    </row>
    <row r="387" ht="15.75" customHeight="1">
      <c r="E387" s="85"/>
    </row>
    <row r="388" ht="15.75" customHeight="1">
      <c r="E388" s="85"/>
    </row>
    <row r="389" ht="15.75" customHeight="1">
      <c r="E389" s="85"/>
    </row>
    <row r="390" ht="15.75" customHeight="1">
      <c r="E390" s="85"/>
    </row>
    <row r="391" ht="15.75" customHeight="1">
      <c r="E391" s="85"/>
    </row>
    <row r="392" ht="15.75" customHeight="1">
      <c r="E392" s="85"/>
    </row>
    <row r="393" ht="15.75" customHeight="1">
      <c r="E393" s="85"/>
    </row>
    <row r="394" ht="15.75" customHeight="1">
      <c r="E394" s="85"/>
    </row>
    <row r="395" ht="15.75" customHeight="1">
      <c r="E395" s="85"/>
    </row>
    <row r="396" ht="15.75" customHeight="1">
      <c r="E396" s="85"/>
    </row>
    <row r="397" ht="15.75" customHeight="1">
      <c r="E397" s="85"/>
    </row>
    <row r="398" ht="15.75" customHeight="1">
      <c r="E398" s="85"/>
    </row>
    <row r="399" ht="15.75" customHeight="1">
      <c r="E399" s="85"/>
    </row>
    <row r="400" ht="15.75" customHeight="1">
      <c r="E400" s="85"/>
    </row>
    <row r="401" ht="15.75" customHeight="1">
      <c r="E401" s="85"/>
    </row>
    <row r="402" ht="15.75" customHeight="1">
      <c r="E402" s="85"/>
    </row>
    <row r="403" ht="15.75" customHeight="1">
      <c r="E403" s="85"/>
    </row>
    <row r="404" ht="15.75" customHeight="1">
      <c r="E404" s="85"/>
    </row>
    <row r="405" ht="15.75" customHeight="1">
      <c r="E405" s="85"/>
    </row>
    <row r="406" ht="15.75" customHeight="1">
      <c r="E406" s="85"/>
    </row>
    <row r="407" ht="15.75" customHeight="1">
      <c r="E407" s="85"/>
    </row>
    <row r="408" ht="15.75" customHeight="1">
      <c r="E408" s="85"/>
    </row>
    <row r="409" ht="15.75" customHeight="1">
      <c r="E409" s="85"/>
    </row>
    <row r="410" ht="15.75" customHeight="1">
      <c r="E410" s="85"/>
    </row>
    <row r="411" ht="15.75" customHeight="1">
      <c r="E411" s="85"/>
    </row>
    <row r="412" ht="15.75" customHeight="1">
      <c r="E412" s="85"/>
    </row>
    <row r="413" ht="15.75" customHeight="1">
      <c r="E413" s="85"/>
    </row>
    <row r="414" ht="15.75" customHeight="1">
      <c r="E414" s="85"/>
    </row>
    <row r="415" ht="15.75" customHeight="1">
      <c r="E415" s="85"/>
    </row>
    <row r="416" ht="15.75" customHeight="1">
      <c r="E416" s="85"/>
    </row>
    <row r="417" ht="15.75" customHeight="1">
      <c r="E417" s="85"/>
    </row>
    <row r="418" ht="15.75" customHeight="1">
      <c r="E418" s="85"/>
    </row>
    <row r="419" ht="15.75" customHeight="1">
      <c r="E419" s="85"/>
    </row>
    <row r="420" ht="15.75" customHeight="1">
      <c r="E420" s="85"/>
    </row>
    <row r="421" ht="15.75" customHeight="1">
      <c r="E421" s="85"/>
    </row>
    <row r="422" ht="15.75" customHeight="1">
      <c r="E422" s="85"/>
    </row>
    <row r="423" ht="15.75" customHeight="1">
      <c r="E423" s="85"/>
    </row>
    <row r="424" ht="15.75" customHeight="1">
      <c r="E424" s="85"/>
    </row>
    <row r="425" ht="15.75" customHeight="1">
      <c r="E425" s="85"/>
    </row>
    <row r="426" ht="15.75" customHeight="1">
      <c r="E426" s="85"/>
    </row>
    <row r="427" ht="15.75" customHeight="1">
      <c r="E427" s="85"/>
    </row>
    <row r="428" ht="15.75" customHeight="1">
      <c r="E428" s="85"/>
    </row>
    <row r="429" ht="15.75" customHeight="1">
      <c r="E429" s="85"/>
    </row>
    <row r="430" ht="15.75" customHeight="1">
      <c r="E430" s="85"/>
    </row>
    <row r="431" ht="15.75" customHeight="1">
      <c r="E431" s="85"/>
    </row>
    <row r="432" ht="15.75" customHeight="1">
      <c r="E432" s="85"/>
    </row>
    <row r="433" ht="15.75" customHeight="1">
      <c r="E433" s="85"/>
    </row>
    <row r="434" ht="15.75" customHeight="1">
      <c r="E434" s="85"/>
    </row>
    <row r="435" ht="15.75" customHeight="1">
      <c r="E435" s="85"/>
    </row>
    <row r="436" ht="15.75" customHeight="1">
      <c r="E436" s="85"/>
    </row>
    <row r="437" ht="15.75" customHeight="1">
      <c r="E437" s="85"/>
    </row>
    <row r="438" ht="15.75" customHeight="1">
      <c r="E438" s="85"/>
    </row>
    <row r="439" ht="15.75" customHeight="1">
      <c r="E439" s="85"/>
    </row>
    <row r="440" ht="15.75" customHeight="1">
      <c r="E440" s="85"/>
    </row>
    <row r="441" ht="15.75" customHeight="1">
      <c r="E441" s="85"/>
    </row>
    <row r="442" ht="15.75" customHeight="1">
      <c r="E442" s="85"/>
    </row>
    <row r="443" ht="15.75" customHeight="1">
      <c r="E443" s="85"/>
    </row>
    <row r="444" ht="15.75" customHeight="1">
      <c r="E444" s="85"/>
    </row>
    <row r="445" ht="15.75" customHeight="1">
      <c r="E445" s="85"/>
    </row>
    <row r="446" ht="15.75" customHeight="1">
      <c r="E446" s="85"/>
    </row>
    <row r="447" ht="15.75" customHeight="1">
      <c r="E447" s="85"/>
    </row>
    <row r="448" ht="15.75" customHeight="1">
      <c r="E448" s="85"/>
    </row>
    <row r="449" ht="15.75" customHeight="1">
      <c r="E449" s="85"/>
    </row>
    <row r="450" ht="15.75" customHeight="1">
      <c r="E450" s="85"/>
    </row>
    <row r="451" ht="15.75" customHeight="1">
      <c r="E451" s="85"/>
    </row>
    <row r="452" ht="15.75" customHeight="1">
      <c r="E452" s="85"/>
    </row>
    <row r="453" ht="15.75" customHeight="1">
      <c r="E453" s="85"/>
    </row>
    <row r="454" ht="15.75" customHeight="1">
      <c r="E454" s="85"/>
    </row>
    <row r="455" ht="15.75" customHeight="1">
      <c r="E455" s="85"/>
    </row>
    <row r="456" ht="15.75" customHeight="1">
      <c r="E456" s="85"/>
    </row>
    <row r="457" ht="15.75" customHeight="1">
      <c r="E457" s="85"/>
    </row>
    <row r="458" ht="15.75" customHeight="1">
      <c r="E458" s="85"/>
    </row>
    <row r="459" ht="15.75" customHeight="1">
      <c r="E459" s="85"/>
    </row>
    <row r="460" ht="15.75" customHeight="1">
      <c r="E460" s="85"/>
    </row>
    <row r="461" ht="15.75" customHeight="1">
      <c r="E461" s="85"/>
    </row>
    <row r="462" ht="15.75" customHeight="1">
      <c r="E462" s="85"/>
    </row>
    <row r="463" ht="15.75" customHeight="1">
      <c r="E463" s="85"/>
    </row>
    <row r="464" ht="15.75" customHeight="1">
      <c r="E464" s="85"/>
    </row>
    <row r="465" ht="15.75" customHeight="1">
      <c r="E465" s="85"/>
    </row>
    <row r="466" ht="15.75" customHeight="1">
      <c r="E466" s="85"/>
    </row>
    <row r="467" ht="15.75" customHeight="1">
      <c r="E467" s="85"/>
    </row>
    <row r="468" ht="15.75" customHeight="1">
      <c r="E468" s="85"/>
    </row>
    <row r="469" ht="15.75" customHeight="1">
      <c r="E469" s="85"/>
    </row>
    <row r="470" ht="15.75" customHeight="1">
      <c r="E470" s="85"/>
    </row>
    <row r="471" ht="15.75" customHeight="1">
      <c r="E471" s="85"/>
    </row>
    <row r="472" ht="15.75" customHeight="1">
      <c r="E472" s="85"/>
    </row>
    <row r="473" ht="15.75" customHeight="1">
      <c r="E473" s="85"/>
    </row>
    <row r="474" ht="15.75" customHeight="1">
      <c r="E474" s="85"/>
    </row>
    <row r="475" ht="15.75" customHeight="1">
      <c r="E475" s="85"/>
    </row>
    <row r="476" ht="15.75" customHeight="1">
      <c r="E476" s="85"/>
    </row>
    <row r="477" ht="15.75" customHeight="1">
      <c r="E477" s="85"/>
    </row>
    <row r="478" ht="15.75" customHeight="1">
      <c r="E478" s="85"/>
    </row>
    <row r="479" ht="15.75" customHeight="1">
      <c r="E479" s="85"/>
    </row>
    <row r="480" ht="15.75" customHeight="1">
      <c r="E480" s="85"/>
    </row>
    <row r="481" ht="15.75" customHeight="1">
      <c r="E481" s="85"/>
    </row>
    <row r="482" ht="15.75" customHeight="1">
      <c r="E482" s="85"/>
    </row>
    <row r="483" ht="15.75" customHeight="1">
      <c r="E483" s="85"/>
    </row>
    <row r="484" ht="15.75" customHeight="1">
      <c r="E484" s="85"/>
    </row>
    <row r="485" ht="15.75" customHeight="1">
      <c r="E485" s="85"/>
    </row>
    <row r="486" ht="15.75" customHeight="1">
      <c r="E486" s="85"/>
    </row>
    <row r="487" ht="15.75" customHeight="1">
      <c r="E487" s="85"/>
    </row>
    <row r="488" ht="15.75" customHeight="1">
      <c r="E488" s="85"/>
    </row>
    <row r="489" ht="15.75" customHeight="1">
      <c r="E489" s="85"/>
    </row>
    <row r="490" ht="15.75" customHeight="1">
      <c r="E490" s="85"/>
    </row>
    <row r="491" ht="15.75" customHeight="1">
      <c r="E491" s="85"/>
    </row>
    <row r="492" ht="15.75" customHeight="1">
      <c r="E492" s="85"/>
    </row>
    <row r="493" ht="15.75" customHeight="1">
      <c r="E493" s="85"/>
    </row>
    <row r="494" ht="15.75" customHeight="1">
      <c r="E494" s="85"/>
    </row>
    <row r="495" ht="15.75" customHeight="1">
      <c r="E495" s="85"/>
    </row>
    <row r="496" ht="15.75" customHeight="1">
      <c r="E496" s="85"/>
    </row>
    <row r="497" ht="15.75" customHeight="1">
      <c r="E497" s="85"/>
    </row>
    <row r="498" ht="15.75" customHeight="1">
      <c r="E498" s="85"/>
    </row>
    <row r="499" ht="15.75" customHeight="1">
      <c r="E499" s="85"/>
    </row>
    <row r="500" ht="15.75" customHeight="1">
      <c r="E500" s="85"/>
    </row>
    <row r="501" ht="15.75" customHeight="1">
      <c r="E501" s="85"/>
    </row>
    <row r="502" ht="15.75" customHeight="1">
      <c r="E502" s="85"/>
    </row>
    <row r="503" ht="15.75" customHeight="1">
      <c r="E503" s="85"/>
    </row>
    <row r="504" ht="15.75" customHeight="1">
      <c r="E504" s="85"/>
    </row>
    <row r="505" ht="15.75" customHeight="1">
      <c r="E505" s="85"/>
    </row>
    <row r="506" ht="15.75" customHeight="1">
      <c r="E506" s="85"/>
    </row>
    <row r="507" ht="15.75" customHeight="1">
      <c r="E507" s="85"/>
    </row>
    <row r="508" ht="15.75" customHeight="1">
      <c r="E508" s="85"/>
    </row>
    <row r="509" ht="15.75" customHeight="1">
      <c r="E509" s="85"/>
    </row>
    <row r="510" ht="15.75" customHeight="1">
      <c r="E510" s="85"/>
    </row>
    <row r="511" ht="15.75" customHeight="1">
      <c r="E511" s="85"/>
    </row>
    <row r="512" ht="15.75" customHeight="1">
      <c r="E512" s="85"/>
    </row>
    <row r="513" ht="15.75" customHeight="1">
      <c r="E513" s="85"/>
    </row>
    <row r="514" ht="15.75" customHeight="1">
      <c r="E514" s="85"/>
    </row>
    <row r="515" ht="15.75" customHeight="1">
      <c r="E515" s="85"/>
    </row>
    <row r="516" ht="15.75" customHeight="1">
      <c r="E516" s="85"/>
    </row>
    <row r="517" ht="15.75" customHeight="1">
      <c r="E517" s="85"/>
    </row>
    <row r="518" ht="15.75" customHeight="1">
      <c r="E518" s="85"/>
    </row>
    <row r="519" ht="15.75" customHeight="1">
      <c r="E519" s="85"/>
    </row>
    <row r="520" ht="15.75" customHeight="1">
      <c r="E520" s="85"/>
    </row>
    <row r="521" ht="15.75" customHeight="1">
      <c r="E521" s="85"/>
    </row>
    <row r="522" ht="15.75" customHeight="1">
      <c r="E522" s="85"/>
    </row>
    <row r="523" ht="15.75" customHeight="1">
      <c r="E523" s="85"/>
    </row>
    <row r="524" ht="15.75" customHeight="1">
      <c r="E524" s="85"/>
    </row>
    <row r="525" ht="15.75" customHeight="1">
      <c r="E525" s="85"/>
    </row>
    <row r="526" ht="15.75" customHeight="1">
      <c r="E526" s="85"/>
    </row>
    <row r="527" ht="15.75" customHeight="1">
      <c r="E527" s="85"/>
    </row>
    <row r="528" ht="15.75" customHeight="1">
      <c r="E528" s="85"/>
    </row>
    <row r="529" ht="15.75" customHeight="1">
      <c r="E529" s="85"/>
    </row>
    <row r="530" ht="15.75" customHeight="1">
      <c r="E530" s="85"/>
    </row>
    <row r="531" ht="15.75" customHeight="1">
      <c r="E531" s="85"/>
    </row>
    <row r="532" ht="15.75" customHeight="1">
      <c r="E532" s="85"/>
    </row>
    <row r="533" ht="15.75" customHeight="1">
      <c r="E533" s="85"/>
    </row>
    <row r="534" ht="15.75" customHeight="1">
      <c r="E534" s="85"/>
    </row>
    <row r="535" ht="15.75" customHeight="1">
      <c r="E535" s="85"/>
    </row>
    <row r="536" ht="15.75" customHeight="1">
      <c r="E536" s="85"/>
    </row>
    <row r="537" ht="15.75" customHeight="1">
      <c r="E537" s="85"/>
    </row>
    <row r="538" ht="15.75" customHeight="1">
      <c r="E538" s="85"/>
    </row>
    <row r="539" ht="15.75" customHeight="1">
      <c r="E539" s="85"/>
    </row>
    <row r="540" ht="15.75" customHeight="1">
      <c r="E540" s="85"/>
    </row>
    <row r="541" ht="15.75" customHeight="1">
      <c r="E541" s="85"/>
    </row>
    <row r="542" ht="15.75" customHeight="1">
      <c r="E542" s="85"/>
    </row>
    <row r="543" ht="15.75" customHeight="1">
      <c r="E543" s="85"/>
    </row>
    <row r="544" ht="15.75" customHeight="1">
      <c r="E544" s="85"/>
    </row>
    <row r="545" ht="15.75" customHeight="1">
      <c r="E545" s="85"/>
    </row>
    <row r="546" ht="15.75" customHeight="1">
      <c r="E546" s="85"/>
    </row>
    <row r="547" ht="15.75" customHeight="1">
      <c r="E547" s="85"/>
    </row>
    <row r="548" ht="15.75" customHeight="1">
      <c r="E548" s="85"/>
    </row>
    <row r="549" ht="15.75" customHeight="1">
      <c r="E549" s="85"/>
    </row>
    <row r="550" ht="15.75" customHeight="1">
      <c r="E550" s="85"/>
    </row>
    <row r="551" ht="15.75" customHeight="1">
      <c r="E551" s="85"/>
    </row>
    <row r="552" ht="15.75" customHeight="1">
      <c r="E552" s="85"/>
    </row>
    <row r="553" ht="15.75" customHeight="1">
      <c r="E553" s="85"/>
    </row>
    <row r="554" ht="15.75" customHeight="1">
      <c r="E554" s="85"/>
    </row>
    <row r="555" ht="15.75" customHeight="1">
      <c r="E555" s="85"/>
    </row>
    <row r="556" ht="15.75" customHeight="1">
      <c r="E556" s="85"/>
    </row>
    <row r="557" ht="15.75" customHeight="1">
      <c r="E557" s="85"/>
    </row>
    <row r="558" ht="15.75" customHeight="1">
      <c r="E558" s="85"/>
    </row>
    <row r="559" ht="15.75" customHeight="1">
      <c r="E559" s="85"/>
    </row>
    <row r="560" ht="15.75" customHeight="1">
      <c r="E560" s="85"/>
    </row>
    <row r="561" ht="15.75" customHeight="1">
      <c r="E561" s="85"/>
    </row>
    <row r="562" ht="15.75" customHeight="1">
      <c r="E562" s="85"/>
    </row>
    <row r="563" ht="15.75" customHeight="1">
      <c r="E563" s="85"/>
    </row>
    <row r="564" ht="15.75" customHeight="1">
      <c r="E564" s="85"/>
    </row>
    <row r="565" ht="15.75" customHeight="1">
      <c r="E565" s="85"/>
    </row>
    <row r="566" ht="15.75" customHeight="1">
      <c r="E566" s="85"/>
    </row>
    <row r="567" ht="15.75" customHeight="1">
      <c r="E567" s="85"/>
    </row>
    <row r="568" ht="15.75" customHeight="1">
      <c r="E568" s="85"/>
    </row>
    <row r="569" ht="15.75" customHeight="1">
      <c r="E569" s="85"/>
    </row>
    <row r="570" ht="15.75" customHeight="1">
      <c r="E570" s="85"/>
    </row>
    <row r="571" ht="15.75" customHeight="1">
      <c r="E571" s="85"/>
    </row>
    <row r="572" ht="15.75" customHeight="1">
      <c r="E572" s="85"/>
    </row>
    <row r="573" ht="15.75" customHeight="1">
      <c r="E573" s="85"/>
    </row>
    <row r="574" ht="15.75" customHeight="1">
      <c r="E574" s="85"/>
    </row>
    <row r="575" ht="15.75" customHeight="1">
      <c r="E575" s="85"/>
    </row>
    <row r="576" ht="15.75" customHeight="1">
      <c r="E576" s="85"/>
    </row>
    <row r="577" ht="15.75" customHeight="1">
      <c r="E577" s="85"/>
    </row>
    <row r="578" ht="15.75" customHeight="1">
      <c r="E578" s="85"/>
    </row>
    <row r="579" ht="15.75" customHeight="1">
      <c r="E579" s="85"/>
    </row>
    <row r="580" ht="15.75" customHeight="1">
      <c r="E580" s="85"/>
    </row>
    <row r="581" ht="15.75" customHeight="1">
      <c r="E581" s="85"/>
    </row>
    <row r="582" ht="15.75" customHeight="1">
      <c r="E582" s="85"/>
    </row>
    <row r="583" ht="15.75" customHeight="1">
      <c r="E583" s="85"/>
    </row>
    <row r="584" ht="15.75" customHeight="1">
      <c r="E584" s="85"/>
    </row>
    <row r="585" ht="15.75" customHeight="1">
      <c r="E585" s="85"/>
    </row>
    <row r="586" ht="15.75" customHeight="1">
      <c r="E586" s="85"/>
    </row>
    <row r="587" ht="15.75" customHeight="1">
      <c r="E587" s="85"/>
    </row>
    <row r="588" ht="15.75" customHeight="1">
      <c r="E588" s="85"/>
    </row>
    <row r="589" ht="15.75" customHeight="1">
      <c r="E589" s="85"/>
    </row>
    <row r="590" ht="15.75" customHeight="1">
      <c r="E590" s="85"/>
    </row>
    <row r="591" ht="15.75" customHeight="1">
      <c r="E591" s="85"/>
    </row>
    <row r="592" ht="15.75" customHeight="1">
      <c r="E592" s="85"/>
    </row>
    <row r="593" ht="15.75" customHeight="1">
      <c r="E593" s="85"/>
    </row>
    <row r="594" ht="15.75" customHeight="1">
      <c r="E594" s="85"/>
    </row>
    <row r="595" ht="15.75" customHeight="1">
      <c r="E595" s="85"/>
    </row>
    <row r="596" ht="15.75" customHeight="1">
      <c r="E596" s="85"/>
    </row>
    <row r="597" ht="15.75" customHeight="1">
      <c r="E597" s="85"/>
    </row>
    <row r="598" ht="15.75" customHeight="1">
      <c r="E598" s="85"/>
    </row>
    <row r="599" ht="15.75" customHeight="1">
      <c r="E599" s="85"/>
    </row>
    <row r="600" ht="15.75" customHeight="1">
      <c r="E600" s="85"/>
    </row>
    <row r="601" ht="15.75" customHeight="1">
      <c r="E601" s="85"/>
    </row>
    <row r="602" ht="15.75" customHeight="1">
      <c r="E602" s="85"/>
    </row>
    <row r="603" ht="15.75" customHeight="1">
      <c r="E603" s="85"/>
    </row>
    <row r="604" ht="15.75" customHeight="1">
      <c r="E604" s="85"/>
    </row>
    <row r="605" ht="15.75" customHeight="1">
      <c r="E605" s="85"/>
    </row>
    <row r="606" ht="15.75" customHeight="1">
      <c r="E606" s="85"/>
    </row>
    <row r="607" ht="15.75" customHeight="1">
      <c r="E607" s="85"/>
    </row>
    <row r="608" ht="15.75" customHeight="1">
      <c r="E608" s="85"/>
    </row>
    <row r="609" ht="15.75" customHeight="1">
      <c r="E609" s="85"/>
    </row>
    <row r="610" ht="15.75" customHeight="1">
      <c r="E610" s="85"/>
    </row>
    <row r="611" ht="15.75" customHeight="1">
      <c r="E611" s="85"/>
    </row>
    <row r="612" ht="15.75" customHeight="1">
      <c r="E612" s="85"/>
    </row>
    <row r="613" ht="15.75" customHeight="1">
      <c r="E613" s="85"/>
    </row>
    <row r="614" ht="15.75" customHeight="1">
      <c r="E614" s="85"/>
    </row>
    <row r="615" ht="15.75" customHeight="1">
      <c r="E615" s="85"/>
    </row>
    <row r="616" ht="15.75" customHeight="1">
      <c r="E616" s="85"/>
    </row>
    <row r="617" ht="15.75" customHeight="1">
      <c r="E617" s="85"/>
    </row>
    <row r="618" ht="15.75" customHeight="1">
      <c r="E618" s="85"/>
    </row>
    <row r="619" ht="15.75" customHeight="1">
      <c r="E619" s="85"/>
    </row>
    <row r="620" ht="15.75" customHeight="1">
      <c r="E620" s="85"/>
    </row>
    <row r="621" ht="15.75" customHeight="1">
      <c r="E621" s="85"/>
    </row>
    <row r="622" ht="15.75" customHeight="1">
      <c r="E622" s="85"/>
    </row>
    <row r="623" ht="15.75" customHeight="1">
      <c r="E623" s="85"/>
    </row>
    <row r="624" ht="15.75" customHeight="1">
      <c r="E624" s="85"/>
    </row>
    <row r="625" ht="15.75" customHeight="1">
      <c r="E625" s="85"/>
    </row>
    <row r="626" ht="15.75" customHeight="1">
      <c r="E626" s="85"/>
    </row>
    <row r="627" ht="15.75" customHeight="1">
      <c r="E627" s="85"/>
    </row>
    <row r="628" ht="15.75" customHeight="1">
      <c r="E628" s="85"/>
    </row>
    <row r="629" ht="15.75" customHeight="1">
      <c r="E629" s="85"/>
    </row>
    <row r="630" ht="15.75" customHeight="1">
      <c r="E630" s="85"/>
    </row>
    <row r="631" ht="15.75" customHeight="1">
      <c r="E631" s="85"/>
    </row>
    <row r="632" ht="15.75" customHeight="1">
      <c r="E632" s="85"/>
    </row>
    <row r="633" ht="15.75" customHeight="1">
      <c r="E633" s="85"/>
    </row>
    <row r="634" ht="15.75" customHeight="1">
      <c r="E634" s="85"/>
    </row>
    <row r="635" ht="15.75" customHeight="1">
      <c r="E635" s="85"/>
    </row>
    <row r="636" ht="15.75" customHeight="1">
      <c r="E636" s="85"/>
    </row>
    <row r="637" ht="15.75" customHeight="1">
      <c r="E637" s="85"/>
    </row>
    <row r="638" ht="15.75" customHeight="1">
      <c r="E638" s="85"/>
    </row>
    <row r="639" ht="15.75" customHeight="1">
      <c r="E639" s="85"/>
    </row>
    <row r="640" ht="15.75" customHeight="1">
      <c r="E640" s="85"/>
    </row>
    <row r="641" ht="15.75" customHeight="1">
      <c r="E641" s="85"/>
    </row>
    <row r="642" ht="15.75" customHeight="1">
      <c r="E642" s="85"/>
    </row>
    <row r="643" ht="15.75" customHeight="1">
      <c r="E643" s="85"/>
    </row>
    <row r="644" ht="15.75" customHeight="1">
      <c r="E644" s="85"/>
    </row>
    <row r="645" ht="15.75" customHeight="1">
      <c r="E645" s="85"/>
    </row>
    <row r="646" ht="15.75" customHeight="1">
      <c r="E646" s="85"/>
    </row>
    <row r="647" ht="15.75" customHeight="1">
      <c r="E647" s="85"/>
    </row>
    <row r="648" ht="15.75" customHeight="1">
      <c r="E648" s="85"/>
    </row>
    <row r="649" ht="15.75" customHeight="1">
      <c r="E649" s="85"/>
    </row>
    <row r="650" ht="15.75" customHeight="1">
      <c r="E650" s="85"/>
    </row>
    <row r="651" ht="15.75" customHeight="1">
      <c r="E651" s="85"/>
    </row>
    <row r="652" ht="15.75" customHeight="1">
      <c r="E652" s="85"/>
    </row>
    <row r="653" ht="15.75" customHeight="1">
      <c r="E653" s="85"/>
    </row>
    <row r="654" ht="15.75" customHeight="1">
      <c r="E654" s="85"/>
    </row>
    <row r="655" ht="15.75" customHeight="1">
      <c r="E655" s="85"/>
    </row>
    <row r="656" ht="15.75" customHeight="1">
      <c r="E656" s="85"/>
    </row>
    <row r="657" ht="15.75" customHeight="1">
      <c r="E657" s="85"/>
    </row>
    <row r="658" ht="15.75" customHeight="1">
      <c r="E658" s="85"/>
    </row>
    <row r="659" ht="15.75" customHeight="1">
      <c r="E659" s="85"/>
    </row>
    <row r="660" ht="15.75" customHeight="1">
      <c r="E660" s="85"/>
    </row>
    <row r="661" ht="15.75" customHeight="1">
      <c r="E661" s="85"/>
    </row>
    <row r="662" ht="15.75" customHeight="1">
      <c r="E662" s="85"/>
    </row>
    <row r="663" ht="15.75" customHeight="1">
      <c r="E663" s="85"/>
    </row>
    <row r="664" ht="15.75" customHeight="1">
      <c r="E664" s="85"/>
    </row>
    <row r="665" ht="15.75" customHeight="1">
      <c r="E665" s="85"/>
    </row>
    <row r="666" ht="15.75" customHeight="1">
      <c r="E666" s="85"/>
    </row>
    <row r="667" ht="15.75" customHeight="1">
      <c r="E667" s="85"/>
    </row>
    <row r="668" ht="15.75" customHeight="1">
      <c r="E668" s="85"/>
    </row>
    <row r="669" ht="15.75" customHeight="1">
      <c r="E669" s="85"/>
    </row>
    <row r="670" ht="15.75" customHeight="1">
      <c r="E670" s="85"/>
    </row>
    <row r="671" ht="15.75" customHeight="1">
      <c r="E671" s="85"/>
    </row>
    <row r="672" ht="15.75" customHeight="1">
      <c r="E672" s="85"/>
    </row>
    <row r="673" ht="15.75" customHeight="1">
      <c r="E673" s="85"/>
    </row>
    <row r="674" ht="15.75" customHeight="1">
      <c r="E674" s="85"/>
    </row>
    <row r="675" ht="15.75" customHeight="1">
      <c r="E675" s="85"/>
    </row>
    <row r="676" ht="15.75" customHeight="1">
      <c r="E676" s="85"/>
    </row>
    <row r="677" ht="15.75" customHeight="1">
      <c r="E677" s="85"/>
    </row>
    <row r="678" ht="15.75" customHeight="1">
      <c r="E678" s="85"/>
    </row>
    <row r="679" ht="15.75" customHeight="1">
      <c r="E679" s="85"/>
    </row>
    <row r="680" ht="15.75" customHeight="1">
      <c r="E680" s="85"/>
    </row>
    <row r="681" ht="15.75" customHeight="1">
      <c r="E681" s="85"/>
    </row>
    <row r="682" ht="15.75" customHeight="1">
      <c r="E682" s="85"/>
    </row>
    <row r="683" ht="15.75" customHeight="1">
      <c r="E683" s="85"/>
    </row>
    <row r="684" ht="15.75" customHeight="1">
      <c r="E684" s="85"/>
    </row>
    <row r="685" ht="15.75" customHeight="1">
      <c r="E685" s="85"/>
    </row>
    <row r="686" ht="15.75" customHeight="1">
      <c r="E686" s="85"/>
    </row>
    <row r="687" ht="15.75" customHeight="1">
      <c r="E687" s="85"/>
    </row>
    <row r="688" ht="15.75" customHeight="1">
      <c r="E688" s="85"/>
    </row>
    <row r="689" ht="15.75" customHeight="1">
      <c r="E689" s="85"/>
    </row>
    <row r="690" ht="15.75" customHeight="1">
      <c r="E690" s="85"/>
    </row>
    <row r="691" ht="15.75" customHeight="1">
      <c r="E691" s="85"/>
    </row>
    <row r="692" ht="15.75" customHeight="1">
      <c r="E692" s="85"/>
    </row>
    <row r="693" ht="15.75" customHeight="1">
      <c r="E693" s="85"/>
    </row>
    <row r="694" ht="15.75" customHeight="1">
      <c r="E694" s="85"/>
    </row>
    <row r="695" ht="15.75" customHeight="1">
      <c r="E695" s="85"/>
    </row>
    <row r="696" ht="15.75" customHeight="1">
      <c r="E696" s="85"/>
    </row>
    <row r="697" ht="15.75" customHeight="1">
      <c r="E697" s="85"/>
    </row>
    <row r="698" ht="15.75" customHeight="1">
      <c r="E698" s="85"/>
    </row>
    <row r="699" ht="15.75" customHeight="1">
      <c r="E699" s="85"/>
    </row>
    <row r="700" ht="15.75" customHeight="1">
      <c r="E700" s="85"/>
    </row>
    <row r="701" ht="15.75" customHeight="1">
      <c r="E701" s="85"/>
    </row>
    <row r="702" ht="15.75" customHeight="1">
      <c r="E702" s="85"/>
    </row>
    <row r="703" ht="15.75" customHeight="1">
      <c r="E703" s="85"/>
    </row>
    <row r="704" ht="15.75" customHeight="1">
      <c r="E704" s="85"/>
    </row>
    <row r="705" ht="15.75" customHeight="1">
      <c r="E705" s="85"/>
    </row>
    <row r="706" ht="15.75" customHeight="1">
      <c r="E706" s="85"/>
    </row>
    <row r="707" ht="15.75" customHeight="1">
      <c r="E707" s="85"/>
    </row>
    <row r="708" ht="15.75" customHeight="1">
      <c r="E708" s="85"/>
    </row>
    <row r="709" ht="15.75" customHeight="1">
      <c r="E709" s="85"/>
    </row>
    <row r="710" ht="15.75" customHeight="1">
      <c r="E710" s="85"/>
    </row>
    <row r="711" ht="15.75" customHeight="1">
      <c r="E711" s="85"/>
    </row>
    <row r="712" ht="15.75" customHeight="1">
      <c r="E712" s="85"/>
    </row>
    <row r="713" ht="15.75" customHeight="1">
      <c r="E713" s="85"/>
    </row>
    <row r="714" ht="15.75" customHeight="1">
      <c r="E714" s="85"/>
    </row>
    <row r="715" ht="15.75" customHeight="1">
      <c r="E715" s="85"/>
    </row>
    <row r="716" ht="15.75" customHeight="1">
      <c r="E716" s="85"/>
    </row>
    <row r="717" ht="15.75" customHeight="1">
      <c r="E717" s="85"/>
    </row>
    <row r="718" ht="15.75" customHeight="1">
      <c r="E718" s="85"/>
    </row>
    <row r="719" ht="15.75" customHeight="1">
      <c r="E719" s="85"/>
    </row>
    <row r="720" ht="15.75" customHeight="1">
      <c r="E720" s="85"/>
    </row>
    <row r="721" ht="15.75" customHeight="1">
      <c r="E721" s="85"/>
    </row>
    <row r="722" ht="15.75" customHeight="1">
      <c r="E722" s="85"/>
    </row>
    <row r="723" ht="15.75" customHeight="1">
      <c r="E723" s="85"/>
    </row>
    <row r="724" ht="15.75" customHeight="1">
      <c r="E724" s="85"/>
    </row>
    <row r="725" ht="15.75" customHeight="1">
      <c r="E725" s="85"/>
    </row>
    <row r="726" ht="15.75" customHeight="1">
      <c r="E726" s="85"/>
    </row>
    <row r="727" ht="15.75" customHeight="1">
      <c r="E727" s="85"/>
    </row>
    <row r="728" ht="15.75" customHeight="1">
      <c r="E728" s="85"/>
    </row>
    <row r="729" ht="15.75" customHeight="1">
      <c r="E729" s="85"/>
    </row>
    <row r="730" ht="15.75" customHeight="1">
      <c r="E730" s="85"/>
    </row>
    <row r="731" ht="15.75" customHeight="1">
      <c r="E731" s="85"/>
    </row>
    <row r="732" ht="15.75" customHeight="1">
      <c r="E732" s="85"/>
    </row>
    <row r="733" ht="15.75" customHeight="1">
      <c r="E733" s="85"/>
    </row>
    <row r="734" ht="15.75" customHeight="1">
      <c r="E734" s="85"/>
    </row>
    <row r="735" ht="15.75" customHeight="1">
      <c r="E735" s="85"/>
    </row>
    <row r="736" ht="15.75" customHeight="1">
      <c r="E736" s="85"/>
    </row>
    <row r="737" ht="15.75" customHeight="1">
      <c r="E737" s="85"/>
    </row>
    <row r="738" ht="15.75" customHeight="1">
      <c r="E738" s="85"/>
    </row>
    <row r="739" ht="15.75" customHeight="1">
      <c r="E739" s="85"/>
    </row>
    <row r="740" ht="15.75" customHeight="1">
      <c r="E740" s="85"/>
    </row>
    <row r="741" ht="15.75" customHeight="1">
      <c r="E741" s="85"/>
    </row>
    <row r="742" ht="15.75" customHeight="1">
      <c r="E742" s="85"/>
    </row>
    <row r="743" ht="15.75" customHeight="1">
      <c r="E743" s="85"/>
    </row>
    <row r="744" ht="15.75" customHeight="1">
      <c r="E744" s="85"/>
    </row>
    <row r="745" ht="15.75" customHeight="1">
      <c r="E745" s="85"/>
    </row>
    <row r="746" ht="15.75" customHeight="1">
      <c r="E746" s="85"/>
    </row>
    <row r="747" ht="15.75" customHeight="1">
      <c r="E747" s="85"/>
    </row>
    <row r="748" ht="15.75" customHeight="1">
      <c r="E748" s="85"/>
    </row>
    <row r="749" ht="15.75" customHeight="1">
      <c r="E749" s="85"/>
    </row>
    <row r="750" ht="15.75" customHeight="1">
      <c r="E750" s="85"/>
    </row>
    <row r="751" ht="15.75" customHeight="1">
      <c r="E751" s="85"/>
    </row>
    <row r="752" ht="15.75" customHeight="1">
      <c r="E752" s="85"/>
    </row>
    <row r="753" ht="15.75" customHeight="1">
      <c r="E753" s="85"/>
    </row>
    <row r="754" ht="15.75" customHeight="1">
      <c r="E754" s="85"/>
    </row>
    <row r="755" ht="15.75" customHeight="1">
      <c r="E755" s="85"/>
    </row>
    <row r="756" ht="15.75" customHeight="1">
      <c r="E756" s="85"/>
    </row>
    <row r="757" ht="15.75" customHeight="1">
      <c r="E757" s="85"/>
    </row>
    <row r="758" ht="15.75" customHeight="1">
      <c r="E758" s="85"/>
    </row>
    <row r="759" ht="15.75" customHeight="1">
      <c r="E759" s="85"/>
    </row>
    <row r="760" ht="15.75" customHeight="1">
      <c r="E760" s="85"/>
    </row>
    <row r="761" ht="15.75" customHeight="1">
      <c r="E761" s="85"/>
    </row>
    <row r="762" ht="15.75" customHeight="1">
      <c r="E762" s="85"/>
    </row>
    <row r="763" ht="15.75" customHeight="1">
      <c r="E763" s="85"/>
    </row>
    <row r="764" ht="15.75" customHeight="1">
      <c r="E764" s="85"/>
    </row>
    <row r="765" ht="15.75" customHeight="1">
      <c r="E765" s="85"/>
    </row>
    <row r="766" ht="15.75" customHeight="1">
      <c r="E766" s="85"/>
    </row>
    <row r="767" ht="15.75" customHeight="1">
      <c r="E767" s="85"/>
    </row>
    <row r="768" ht="15.75" customHeight="1">
      <c r="E768" s="85"/>
    </row>
    <row r="769" ht="15.75" customHeight="1">
      <c r="E769" s="85"/>
    </row>
    <row r="770" ht="15.75" customHeight="1">
      <c r="E770" s="85"/>
    </row>
    <row r="771" ht="15.75" customHeight="1">
      <c r="E771" s="85"/>
    </row>
    <row r="772" ht="15.75" customHeight="1">
      <c r="E772" s="85"/>
    </row>
    <row r="773" ht="15.75" customHeight="1">
      <c r="E773" s="85"/>
    </row>
    <row r="774" ht="15.75" customHeight="1">
      <c r="E774" s="85"/>
    </row>
    <row r="775" ht="15.75" customHeight="1">
      <c r="E775" s="85"/>
    </row>
    <row r="776" ht="15.75" customHeight="1">
      <c r="E776" s="85"/>
    </row>
    <row r="777" ht="15.75" customHeight="1">
      <c r="E777" s="85"/>
    </row>
    <row r="778" ht="15.75" customHeight="1">
      <c r="E778" s="85"/>
    </row>
    <row r="779" ht="15.75" customHeight="1">
      <c r="E779" s="85"/>
    </row>
    <row r="780" ht="15.75" customHeight="1">
      <c r="E780" s="85"/>
    </row>
    <row r="781" ht="15.75" customHeight="1">
      <c r="E781" s="85"/>
    </row>
    <row r="782" ht="15.75" customHeight="1">
      <c r="E782" s="85"/>
    </row>
    <row r="783" ht="15.75" customHeight="1">
      <c r="E783" s="85"/>
    </row>
    <row r="784" ht="15.75" customHeight="1">
      <c r="E784" s="85"/>
    </row>
    <row r="785" ht="15.75" customHeight="1">
      <c r="E785" s="85"/>
    </row>
    <row r="786" ht="15.75" customHeight="1">
      <c r="E786" s="85"/>
    </row>
    <row r="787" ht="15.75" customHeight="1">
      <c r="E787" s="85"/>
    </row>
    <row r="788" ht="15.75" customHeight="1">
      <c r="E788" s="85"/>
    </row>
    <row r="789" ht="15.75" customHeight="1">
      <c r="E789" s="85"/>
    </row>
    <row r="790" ht="15.75" customHeight="1">
      <c r="E790" s="85"/>
    </row>
    <row r="791" ht="15.75" customHeight="1">
      <c r="E791" s="85"/>
    </row>
    <row r="792" ht="15.75" customHeight="1">
      <c r="E792" s="85"/>
    </row>
    <row r="793" ht="15.75" customHeight="1">
      <c r="E793" s="85"/>
    </row>
    <row r="794" ht="15.75" customHeight="1">
      <c r="E794" s="85"/>
    </row>
    <row r="795" ht="15.75" customHeight="1">
      <c r="E795" s="85"/>
    </row>
    <row r="796" ht="15.75" customHeight="1">
      <c r="E796" s="85"/>
    </row>
    <row r="797" ht="15.75" customHeight="1">
      <c r="E797" s="85"/>
    </row>
    <row r="798" ht="15.75" customHeight="1">
      <c r="E798" s="85"/>
    </row>
    <row r="799" ht="15.75" customHeight="1">
      <c r="E799" s="85"/>
    </row>
    <row r="800" ht="15.75" customHeight="1">
      <c r="E800" s="85"/>
    </row>
    <row r="801" ht="15.75" customHeight="1">
      <c r="E801" s="85"/>
    </row>
    <row r="802" ht="15.75" customHeight="1">
      <c r="E802" s="85"/>
    </row>
    <row r="803" ht="15.75" customHeight="1">
      <c r="E803" s="85"/>
    </row>
    <row r="804" ht="15.75" customHeight="1">
      <c r="E804" s="85"/>
    </row>
    <row r="805" ht="15.75" customHeight="1">
      <c r="E805" s="85"/>
    </row>
    <row r="806" ht="15.75" customHeight="1">
      <c r="E806" s="85"/>
    </row>
    <row r="807" ht="15.75" customHeight="1">
      <c r="E807" s="85"/>
    </row>
    <row r="808" ht="15.75" customHeight="1">
      <c r="E808" s="85"/>
    </row>
    <row r="809" ht="15.75" customHeight="1">
      <c r="E809" s="85"/>
    </row>
    <row r="810" ht="15.75" customHeight="1">
      <c r="E810" s="85"/>
    </row>
    <row r="811" ht="15.75" customHeight="1">
      <c r="E811" s="85"/>
    </row>
    <row r="812" ht="15.75" customHeight="1">
      <c r="E812" s="85"/>
    </row>
    <row r="813" ht="15.75" customHeight="1">
      <c r="E813" s="85"/>
    </row>
    <row r="814" ht="15.75" customHeight="1">
      <c r="E814" s="85"/>
    </row>
    <row r="815" ht="15.75" customHeight="1">
      <c r="E815" s="85"/>
    </row>
    <row r="816" ht="15.75" customHeight="1">
      <c r="E816" s="85"/>
    </row>
    <row r="817" ht="15.75" customHeight="1">
      <c r="E817" s="85"/>
    </row>
    <row r="818" ht="15.75" customHeight="1">
      <c r="E818" s="85"/>
    </row>
    <row r="819" ht="15.75" customHeight="1">
      <c r="E819" s="85"/>
    </row>
    <row r="820" ht="15.75" customHeight="1">
      <c r="E820" s="85"/>
    </row>
    <row r="821" ht="15.75" customHeight="1">
      <c r="E821" s="85"/>
    </row>
    <row r="822" ht="15.75" customHeight="1">
      <c r="E822" s="85"/>
    </row>
    <row r="823" ht="15.75" customHeight="1">
      <c r="E823" s="85"/>
    </row>
    <row r="824" ht="15.75" customHeight="1">
      <c r="E824" s="85"/>
    </row>
    <row r="825" ht="15.75" customHeight="1">
      <c r="E825" s="85"/>
    </row>
    <row r="826" ht="15.75" customHeight="1">
      <c r="E826" s="85"/>
    </row>
    <row r="827" ht="15.75" customHeight="1">
      <c r="E827" s="85"/>
    </row>
    <row r="828" ht="15.75" customHeight="1">
      <c r="E828" s="85"/>
    </row>
    <row r="829" ht="15.75" customHeight="1">
      <c r="E829" s="85"/>
    </row>
    <row r="830" ht="15.75" customHeight="1">
      <c r="E830" s="85"/>
    </row>
    <row r="831" ht="15.75" customHeight="1">
      <c r="E831" s="85"/>
    </row>
    <row r="832" ht="15.75" customHeight="1">
      <c r="E832" s="85"/>
    </row>
    <row r="833" ht="15.75" customHeight="1">
      <c r="E833" s="85"/>
    </row>
    <row r="834" ht="15.75" customHeight="1">
      <c r="E834" s="85"/>
    </row>
    <row r="835" ht="15.75" customHeight="1">
      <c r="E835" s="85"/>
    </row>
    <row r="836" ht="15.75" customHeight="1">
      <c r="E836" s="85"/>
    </row>
    <row r="837" ht="15.75" customHeight="1">
      <c r="E837" s="85"/>
    </row>
    <row r="838" ht="15.75" customHeight="1">
      <c r="E838" s="85"/>
    </row>
    <row r="839" ht="15.75" customHeight="1">
      <c r="E839" s="85"/>
    </row>
    <row r="840" ht="15.75" customHeight="1">
      <c r="E840" s="85"/>
    </row>
    <row r="841" ht="15.75" customHeight="1">
      <c r="E841" s="85"/>
    </row>
    <row r="842" ht="15.75" customHeight="1">
      <c r="E842" s="85"/>
    </row>
    <row r="843" ht="15.75" customHeight="1">
      <c r="E843" s="85"/>
    </row>
    <row r="844" ht="15.75" customHeight="1">
      <c r="E844" s="85"/>
    </row>
    <row r="845" ht="15.75" customHeight="1">
      <c r="E845" s="85"/>
    </row>
    <row r="846" ht="15.75" customHeight="1">
      <c r="E846" s="85"/>
    </row>
    <row r="847" ht="15.75" customHeight="1">
      <c r="E847" s="85"/>
    </row>
    <row r="848" ht="15.75" customHeight="1">
      <c r="E848" s="85"/>
    </row>
    <row r="849" ht="15.75" customHeight="1">
      <c r="E849" s="85"/>
    </row>
    <row r="850" ht="15.75" customHeight="1">
      <c r="E850" s="85"/>
    </row>
    <row r="851" ht="15.75" customHeight="1">
      <c r="E851" s="85"/>
    </row>
    <row r="852" ht="15.75" customHeight="1">
      <c r="E852" s="85"/>
    </row>
    <row r="853" ht="15.75" customHeight="1">
      <c r="E853" s="85"/>
    </row>
    <row r="854" ht="15.75" customHeight="1">
      <c r="E854" s="85"/>
    </row>
    <row r="855" ht="15.75" customHeight="1">
      <c r="E855" s="85"/>
    </row>
    <row r="856" ht="15.75" customHeight="1">
      <c r="E856" s="85"/>
    </row>
    <row r="857" ht="15.75" customHeight="1">
      <c r="E857" s="85"/>
    </row>
    <row r="858" ht="15.75" customHeight="1">
      <c r="E858" s="85"/>
    </row>
    <row r="859" ht="15.75" customHeight="1">
      <c r="E859" s="85"/>
    </row>
    <row r="860" ht="15.75" customHeight="1">
      <c r="E860" s="85"/>
    </row>
    <row r="861" ht="15.75" customHeight="1">
      <c r="E861" s="85"/>
    </row>
    <row r="862" ht="15.75" customHeight="1">
      <c r="E862" s="85"/>
    </row>
    <row r="863" ht="15.75" customHeight="1">
      <c r="E863" s="85"/>
    </row>
    <row r="864" ht="15.75" customHeight="1">
      <c r="E864" s="85"/>
    </row>
    <row r="865" ht="15.75" customHeight="1">
      <c r="E865" s="85"/>
    </row>
    <row r="866" ht="15.75" customHeight="1">
      <c r="E866" s="85"/>
    </row>
    <row r="867" ht="15.75" customHeight="1">
      <c r="E867" s="85"/>
    </row>
    <row r="868" ht="15.75" customHeight="1">
      <c r="E868" s="85"/>
    </row>
    <row r="869" ht="15.75" customHeight="1">
      <c r="E869" s="85"/>
    </row>
    <row r="870" ht="15.75" customHeight="1">
      <c r="E870" s="85"/>
    </row>
    <row r="871" ht="15.75" customHeight="1">
      <c r="E871" s="85"/>
    </row>
    <row r="872" ht="15.75" customHeight="1">
      <c r="E872" s="85"/>
    </row>
    <row r="873" ht="15.75" customHeight="1">
      <c r="E873" s="85"/>
    </row>
    <row r="874" ht="15.75" customHeight="1">
      <c r="E874" s="85"/>
    </row>
    <row r="875" ht="15.75" customHeight="1">
      <c r="E875" s="85"/>
    </row>
    <row r="876" ht="15.75" customHeight="1">
      <c r="E876" s="85"/>
    </row>
    <row r="877" ht="15.75" customHeight="1">
      <c r="E877" s="85"/>
    </row>
    <row r="878" ht="15.75" customHeight="1">
      <c r="E878" s="85"/>
    </row>
    <row r="879" ht="15.75" customHeight="1">
      <c r="E879" s="85"/>
    </row>
    <row r="880" ht="15.75" customHeight="1">
      <c r="E880" s="85"/>
    </row>
    <row r="881" ht="15.75" customHeight="1">
      <c r="E881" s="85"/>
    </row>
    <row r="882" ht="15.75" customHeight="1">
      <c r="E882" s="85"/>
    </row>
    <row r="883" ht="15.75" customHeight="1">
      <c r="E883" s="85"/>
    </row>
    <row r="884" ht="15.75" customHeight="1">
      <c r="E884" s="85"/>
    </row>
    <row r="885" ht="15.75" customHeight="1">
      <c r="E885" s="85"/>
    </row>
    <row r="886" ht="15.75" customHeight="1">
      <c r="E886" s="85"/>
    </row>
    <row r="887" ht="15.75" customHeight="1">
      <c r="E887" s="85"/>
    </row>
    <row r="888" ht="15.75" customHeight="1">
      <c r="E888" s="85"/>
    </row>
    <row r="889" ht="15.75" customHeight="1">
      <c r="E889" s="85"/>
    </row>
    <row r="890" ht="15.75" customHeight="1">
      <c r="E890" s="85"/>
    </row>
    <row r="891" ht="15.75" customHeight="1">
      <c r="E891" s="85"/>
    </row>
    <row r="892" ht="15.75" customHeight="1">
      <c r="E892" s="85"/>
    </row>
    <row r="893" ht="15.75" customHeight="1">
      <c r="E893" s="85"/>
    </row>
    <row r="894" ht="15.75" customHeight="1">
      <c r="E894" s="85"/>
    </row>
    <row r="895" ht="15.75" customHeight="1">
      <c r="E895" s="85"/>
    </row>
    <row r="896" ht="15.75" customHeight="1">
      <c r="E896" s="85"/>
    </row>
    <row r="897" ht="15.75" customHeight="1">
      <c r="E897" s="85"/>
    </row>
    <row r="898" ht="15.75" customHeight="1">
      <c r="E898" s="85"/>
    </row>
    <row r="899" ht="15.75" customHeight="1">
      <c r="E899" s="85"/>
    </row>
    <row r="900" ht="15.75" customHeight="1">
      <c r="E900" s="85"/>
    </row>
    <row r="901" ht="15.75" customHeight="1">
      <c r="E901" s="85"/>
    </row>
    <row r="902" ht="15.75" customHeight="1">
      <c r="E902" s="85"/>
    </row>
    <row r="903" ht="15.75" customHeight="1">
      <c r="E903" s="85"/>
    </row>
    <row r="904" ht="15.75" customHeight="1">
      <c r="E904" s="85"/>
    </row>
    <row r="905" ht="15.75" customHeight="1">
      <c r="E905" s="85"/>
    </row>
    <row r="906" ht="15.75" customHeight="1">
      <c r="E906" s="85"/>
    </row>
    <row r="907" ht="15.75" customHeight="1">
      <c r="E907" s="85"/>
    </row>
    <row r="908" ht="15.75" customHeight="1">
      <c r="E908" s="85"/>
    </row>
    <row r="909" ht="15.75" customHeight="1">
      <c r="E909" s="85"/>
    </row>
    <row r="910" ht="15.75" customHeight="1">
      <c r="E910" s="85"/>
    </row>
    <row r="911" ht="15.75" customHeight="1">
      <c r="E911" s="85"/>
    </row>
    <row r="912" ht="15.75" customHeight="1">
      <c r="E912" s="85"/>
    </row>
    <row r="913" ht="15.75" customHeight="1">
      <c r="E913" s="85"/>
    </row>
    <row r="914" ht="15.75" customHeight="1">
      <c r="E914" s="85"/>
    </row>
    <row r="915" ht="15.75" customHeight="1">
      <c r="E915" s="85"/>
    </row>
    <row r="916" ht="15.75" customHeight="1">
      <c r="E916" s="85"/>
    </row>
    <row r="917" ht="15.75" customHeight="1">
      <c r="E917" s="85"/>
    </row>
    <row r="918" ht="15.75" customHeight="1">
      <c r="E918" s="85"/>
    </row>
    <row r="919" ht="15.75" customHeight="1">
      <c r="E919" s="85"/>
    </row>
    <row r="920" ht="15.75" customHeight="1">
      <c r="E920" s="85"/>
    </row>
    <row r="921" ht="15.75" customHeight="1">
      <c r="E921" s="85"/>
    </row>
    <row r="922" ht="15.75" customHeight="1">
      <c r="E922" s="85"/>
    </row>
    <row r="923" ht="15.75" customHeight="1">
      <c r="E923" s="85"/>
    </row>
    <row r="924" ht="15.75" customHeight="1">
      <c r="E924" s="85"/>
    </row>
    <row r="925" ht="15.75" customHeight="1">
      <c r="E925" s="85"/>
    </row>
    <row r="926" ht="15.75" customHeight="1">
      <c r="E926" s="85"/>
    </row>
    <row r="927" ht="15.75" customHeight="1">
      <c r="E927" s="85"/>
    </row>
    <row r="928" ht="15.75" customHeight="1">
      <c r="E928" s="85"/>
    </row>
    <row r="929" ht="15.75" customHeight="1">
      <c r="E929" s="85"/>
    </row>
    <row r="930" ht="15.75" customHeight="1">
      <c r="E930" s="85"/>
    </row>
    <row r="931" ht="15.75" customHeight="1">
      <c r="E931" s="85"/>
    </row>
    <row r="932" ht="15.75" customHeight="1">
      <c r="E932" s="85"/>
    </row>
    <row r="933" ht="15.75" customHeight="1">
      <c r="E933" s="85"/>
    </row>
    <row r="934" ht="15.75" customHeight="1">
      <c r="E934" s="85"/>
    </row>
    <row r="935" ht="15.75" customHeight="1">
      <c r="E935" s="85"/>
    </row>
    <row r="936" ht="15.75" customHeight="1">
      <c r="E936" s="85"/>
    </row>
    <row r="937" ht="15.75" customHeight="1">
      <c r="E937" s="85"/>
    </row>
    <row r="938" ht="15.75" customHeight="1">
      <c r="E938" s="85"/>
    </row>
    <row r="939" ht="15.75" customHeight="1">
      <c r="E939" s="85"/>
    </row>
    <row r="940" ht="15.75" customHeight="1">
      <c r="E940" s="85"/>
    </row>
    <row r="941" ht="15.75" customHeight="1">
      <c r="E941" s="85"/>
    </row>
    <row r="942" ht="15.75" customHeight="1">
      <c r="E942" s="85"/>
    </row>
    <row r="943" ht="15.75" customHeight="1">
      <c r="E943" s="85"/>
    </row>
    <row r="944" ht="15.75" customHeight="1">
      <c r="E944" s="85"/>
    </row>
    <row r="945" ht="15.75" customHeight="1">
      <c r="E945" s="85"/>
    </row>
    <row r="946" ht="15.75" customHeight="1">
      <c r="E946" s="85"/>
    </row>
    <row r="947" ht="15.75" customHeight="1">
      <c r="E947" s="85"/>
    </row>
    <row r="948" ht="15.75" customHeight="1">
      <c r="E948" s="85"/>
    </row>
    <row r="949" ht="15.75" customHeight="1">
      <c r="E949" s="85"/>
    </row>
    <row r="950" ht="15.75" customHeight="1">
      <c r="E950" s="85"/>
    </row>
    <row r="951" ht="15.75" customHeight="1">
      <c r="E951" s="85"/>
    </row>
    <row r="952" ht="15.75" customHeight="1">
      <c r="E952" s="85"/>
    </row>
    <row r="953" ht="15.75" customHeight="1">
      <c r="E953" s="85"/>
    </row>
    <row r="954" ht="15.75" customHeight="1">
      <c r="E954" s="85"/>
    </row>
    <row r="955" ht="15.75" customHeight="1">
      <c r="E955" s="85"/>
    </row>
    <row r="956" ht="15.75" customHeight="1">
      <c r="E956" s="85"/>
    </row>
    <row r="957" ht="15.75" customHeight="1">
      <c r="E957" s="85"/>
    </row>
    <row r="958" ht="15.75" customHeight="1">
      <c r="E958" s="85"/>
    </row>
    <row r="959" ht="15.75" customHeight="1">
      <c r="E959" s="85"/>
    </row>
    <row r="960" ht="15.75" customHeight="1">
      <c r="E960" s="85"/>
    </row>
    <row r="961" ht="15.75" customHeight="1">
      <c r="E961" s="85"/>
    </row>
    <row r="962" ht="15.75" customHeight="1">
      <c r="E962" s="85"/>
    </row>
    <row r="963" ht="15.75" customHeight="1">
      <c r="E963" s="85"/>
    </row>
    <row r="964" ht="15.75" customHeight="1">
      <c r="E964" s="85"/>
    </row>
    <row r="965" ht="15.75" customHeight="1">
      <c r="E965" s="85"/>
    </row>
    <row r="966" ht="15.75" customHeight="1">
      <c r="E966" s="85"/>
    </row>
    <row r="967" ht="15.75" customHeight="1">
      <c r="E967" s="85"/>
    </row>
    <row r="968" ht="15.75" customHeight="1">
      <c r="E968" s="85"/>
    </row>
    <row r="969" ht="15.75" customHeight="1">
      <c r="E969" s="85"/>
    </row>
    <row r="970" ht="15.75" customHeight="1">
      <c r="E970" s="85"/>
    </row>
    <row r="971" ht="15.75" customHeight="1">
      <c r="E971" s="85"/>
    </row>
    <row r="972" ht="15.75" customHeight="1">
      <c r="E972" s="85"/>
    </row>
    <row r="973" ht="15.75" customHeight="1">
      <c r="E973" s="85"/>
    </row>
    <row r="974" ht="15.75" customHeight="1">
      <c r="E974" s="85"/>
    </row>
    <row r="975" ht="15.75" customHeight="1">
      <c r="E975" s="85"/>
    </row>
    <row r="976" ht="15.75" customHeight="1">
      <c r="E976" s="85"/>
    </row>
    <row r="977" ht="15.75" customHeight="1">
      <c r="E977" s="85"/>
    </row>
    <row r="978" ht="15.75" customHeight="1">
      <c r="E978" s="85"/>
    </row>
    <row r="979" ht="15.75" customHeight="1">
      <c r="E979" s="85"/>
    </row>
    <row r="980" ht="15.75" customHeight="1">
      <c r="E980" s="85"/>
    </row>
    <row r="981" ht="15.75" customHeight="1">
      <c r="E981" s="85"/>
    </row>
    <row r="982" ht="15.75" customHeight="1">
      <c r="E982" s="85"/>
    </row>
    <row r="983" ht="15.75" customHeight="1">
      <c r="E983" s="85"/>
    </row>
    <row r="984" ht="15.75" customHeight="1">
      <c r="E984" s="85"/>
    </row>
    <row r="985" ht="15.75" customHeight="1">
      <c r="E985" s="85"/>
    </row>
    <row r="986" ht="15.75" customHeight="1">
      <c r="E986" s="85"/>
    </row>
    <row r="987" ht="15.75" customHeight="1">
      <c r="E987" s="85"/>
    </row>
    <row r="988" ht="15.75" customHeight="1">
      <c r="E988" s="85"/>
    </row>
    <row r="989" ht="15.75" customHeight="1">
      <c r="E989" s="85"/>
    </row>
    <row r="990" ht="15.75" customHeight="1">
      <c r="E990" s="85"/>
    </row>
    <row r="991" ht="15.75" customHeight="1">
      <c r="E991" s="85"/>
    </row>
    <row r="992" ht="15.75" customHeight="1">
      <c r="E992" s="85"/>
    </row>
    <row r="993" ht="15.75" customHeight="1">
      <c r="E993" s="85"/>
    </row>
    <row r="994" ht="15.75" customHeight="1">
      <c r="E994" s="85"/>
    </row>
    <row r="995" ht="15.75" customHeight="1">
      <c r="E995" s="85"/>
    </row>
    <row r="996" ht="15.75" customHeight="1">
      <c r="E996" s="85"/>
    </row>
    <row r="997" ht="15.75" customHeight="1">
      <c r="E997" s="85"/>
    </row>
    <row r="998" ht="15.75" customHeight="1">
      <c r="E998" s="85"/>
    </row>
    <row r="999" ht="15.75" customHeight="1">
      <c r="E999" s="85"/>
    </row>
    <row r="1000" ht="15.75" customHeight="1">
      <c r="E1000" s="85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63"/>
    <col customWidth="1" min="3" max="3" width="12.25"/>
    <col customWidth="1" min="4" max="4" width="8.13"/>
    <col customWidth="1" min="5" max="5" width="12.0"/>
    <col customWidth="1" min="6" max="6" width="20.0"/>
    <col customWidth="1" min="7" max="7" width="10.25"/>
    <col customWidth="1" min="8" max="8" width="30.25"/>
    <col customWidth="1" min="9" max="26" width="8.63"/>
  </cols>
  <sheetData>
    <row r="1">
      <c r="A1" s="72" t="s">
        <v>879</v>
      </c>
      <c r="B1" s="72" t="s">
        <v>880</v>
      </c>
      <c r="C1" s="72" t="s">
        <v>881</v>
      </c>
      <c r="D1" s="72" t="s">
        <v>882</v>
      </c>
      <c r="E1" s="72" t="s">
        <v>863</v>
      </c>
      <c r="F1" s="72" t="s">
        <v>883</v>
      </c>
      <c r="G1" s="72" t="s">
        <v>884</v>
      </c>
      <c r="H1" s="72" t="s">
        <v>646</v>
      </c>
    </row>
    <row r="2">
      <c r="A2" s="99">
        <v>1.0</v>
      </c>
      <c r="B2" s="72" t="s">
        <v>650</v>
      </c>
      <c r="C2" s="72" t="s">
        <v>674</v>
      </c>
      <c r="D2" s="72" t="s">
        <v>673</v>
      </c>
      <c r="E2" s="97">
        <v>1.0</v>
      </c>
      <c r="F2" s="97" t="str">
        <f t="array" ref="F2">XLOOKUP(dim_technician!$E2, dim_labor_title!$B$2:$B$16, dim_labor_title!$E$2:$E$16, "", 0)</f>
        <v>Asbestos Project Monitor</v>
      </c>
      <c r="G2" s="99">
        <v>7.0</v>
      </c>
      <c r="H2" s="72" t="str">
        <f>LOWER(dim_technician!$C2 &amp; dim_technician!$D2 &amp; TEXT(dim_technician!$E2, "00"))</f>
        <v>cornelalbu01</v>
      </c>
    </row>
    <row r="3">
      <c r="A3" s="99">
        <v>2.0</v>
      </c>
      <c r="B3" s="72" t="s">
        <v>650</v>
      </c>
      <c r="C3" s="72" t="s">
        <v>674</v>
      </c>
      <c r="D3" s="72" t="s">
        <v>673</v>
      </c>
      <c r="E3" s="97">
        <v>2.0</v>
      </c>
      <c r="F3" s="97" t="str">
        <f t="array" ref="F3">XLOOKUP(dim_technician!$E3, dim_labor_title!$B$2:$B$16, dim_labor_title!$E$2:$E$16, "", 0)</f>
        <v>Asbestos Air Testing</v>
      </c>
      <c r="G3" s="99">
        <v>7.0</v>
      </c>
      <c r="H3" s="72" t="str">
        <f>LOWER(dim_technician!$C3 &amp; dim_technician!$D3 &amp; TEXT(dim_technician!$E3, "00"))</f>
        <v>cornelalbu02</v>
      </c>
    </row>
    <row r="4">
      <c r="A4" s="99">
        <v>3.0</v>
      </c>
      <c r="B4" s="72" t="s">
        <v>650</v>
      </c>
      <c r="C4" s="72" t="s">
        <v>674</v>
      </c>
      <c r="D4" s="72" t="s">
        <v>673</v>
      </c>
      <c r="E4" s="97">
        <v>3.0</v>
      </c>
      <c r="F4" s="97" t="str">
        <f t="array" ref="F4">XLOOKUP(dim_technician!$E4, dim_labor_title!$B$2:$B$16, dim_labor_title!$E$2:$E$16, "", 0)</f>
        <v>Asbestos Investigator</v>
      </c>
      <c r="G4" s="99">
        <v>7.0</v>
      </c>
      <c r="H4" s="72" t="str">
        <f>LOWER(dim_technician!$C4 &amp; dim_technician!$D4 &amp; TEXT(dim_technician!$E4, "00"))</f>
        <v>cornelalbu03</v>
      </c>
    </row>
    <row r="5">
      <c r="A5" s="99">
        <v>4.0</v>
      </c>
      <c r="B5" s="72" t="s">
        <v>650</v>
      </c>
      <c r="C5" s="72" t="s">
        <v>674</v>
      </c>
      <c r="D5" s="72" t="s">
        <v>673</v>
      </c>
      <c r="E5" s="97">
        <v>5.0</v>
      </c>
      <c r="F5" s="97" t="str">
        <f t="array" ref="F5">XLOOKUP(dim_technician!$E5, dim_labor_title!$B$2:$B$16, dim_labor_title!$E$2:$E$16, "", 0)</f>
        <v>Asbestos Project Manager</v>
      </c>
      <c r="G5" s="99">
        <v>7.0</v>
      </c>
      <c r="H5" s="72" t="str">
        <f>LOWER(dim_technician!$C5 &amp; dim_technician!$D5 &amp; TEXT(dim_technician!$E5, "00"))</f>
        <v>cornelalbu05</v>
      </c>
    </row>
    <row r="6">
      <c r="A6" s="99">
        <v>5.0</v>
      </c>
      <c r="B6" s="72" t="s">
        <v>767</v>
      </c>
      <c r="C6" s="72" t="s">
        <v>678</v>
      </c>
      <c r="D6" s="72" t="s">
        <v>677</v>
      </c>
      <c r="E6" s="97">
        <v>1.0</v>
      </c>
      <c r="F6" s="97" t="str">
        <f t="array" ref="F6">XLOOKUP(dim_technician!$E6, dim_labor_title!$B$2:$B$16, dim_labor_title!$E$2:$E$16, "", 0)</f>
        <v>Asbestos Project Monitor</v>
      </c>
      <c r="G6" s="99">
        <v>3.0</v>
      </c>
      <c r="H6" s="72" t="str">
        <f>LOWER(dim_technician!$C6 &amp; dim_technician!$D6 &amp; TEXT(dim_technician!$E6, "00"))</f>
        <v>marinaablitsova01</v>
      </c>
    </row>
    <row r="7">
      <c r="A7" s="99">
        <v>6.0</v>
      </c>
      <c r="B7" s="72" t="s">
        <v>767</v>
      </c>
      <c r="C7" s="72" t="s">
        <v>678</v>
      </c>
      <c r="D7" s="72" t="s">
        <v>677</v>
      </c>
      <c r="E7" s="97">
        <v>2.0</v>
      </c>
      <c r="F7" s="97" t="str">
        <f t="array" ref="F7">XLOOKUP(dim_technician!$E7, dim_labor_title!$B$2:$B$16, dim_labor_title!$E$2:$E$16, "", 0)</f>
        <v>Asbestos Air Testing</v>
      </c>
      <c r="G7" s="99">
        <v>3.0</v>
      </c>
      <c r="H7" s="72" t="str">
        <f>LOWER(dim_technician!$C7 &amp; dim_technician!$D7 &amp; TEXT(dim_technician!$E7, "00"))</f>
        <v>marinaablitsova02</v>
      </c>
    </row>
    <row r="8">
      <c r="A8" s="99">
        <v>7.0</v>
      </c>
      <c r="B8" s="72" t="s">
        <v>778</v>
      </c>
      <c r="C8" s="72" t="s">
        <v>681</v>
      </c>
      <c r="D8" s="72" t="s">
        <v>680</v>
      </c>
      <c r="E8" s="97">
        <v>1.0</v>
      </c>
      <c r="F8" s="97" t="str">
        <f t="array" ref="F8">XLOOKUP(dim_technician!$E8, dim_labor_title!$B$2:$B$16, dim_labor_title!$E$2:$E$16, "", 0)</f>
        <v>Asbestos Project Monitor</v>
      </c>
      <c r="G8" s="99">
        <v>3.0</v>
      </c>
      <c r="H8" s="72" t="str">
        <f>LOWER(dim_technician!$C8 &amp; dim_technician!$D8 &amp; TEXT(dim_technician!$E8, "00"))</f>
        <v>tatianaciobanu01</v>
      </c>
    </row>
    <row r="9">
      <c r="A9" s="99">
        <v>8.0</v>
      </c>
      <c r="B9" s="72" t="s">
        <v>778</v>
      </c>
      <c r="C9" s="72" t="s">
        <v>681</v>
      </c>
      <c r="D9" s="72" t="s">
        <v>680</v>
      </c>
      <c r="E9" s="97">
        <v>2.0</v>
      </c>
      <c r="F9" s="97" t="str">
        <f t="array" ref="F9">XLOOKUP(dim_technician!$E9, dim_labor_title!$B$2:$B$16, dim_labor_title!$E$2:$E$16, "", 0)</f>
        <v>Asbestos Air Testing</v>
      </c>
      <c r="G9" s="99">
        <v>3.0</v>
      </c>
      <c r="H9" s="72" t="str">
        <f>LOWER(dim_technician!$C9 &amp; dim_technician!$D9 &amp; TEXT(dim_technician!$E9, "00"))</f>
        <v>tatianaciobanu02</v>
      </c>
    </row>
    <row r="10">
      <c r="A10" s="99">
        <v>9.0</v>
      </c>
      <c r="B10" s="72" t="s">
        <v>751</v>
      </c>
      <c r="C10" s="72" t="s">
        <v>684</v>
      </c>
      <c r="D10" s="72" t="s">
        <v>683</v>
      </c>
      <c r="E10" s="97">
        <v>1.0</v>
      </c>
      <c r="F10" s="97" t="str">
        <f t="array" ref="F10">XLOOKUP(dim_technician!$E10, dim_labor_title!$B$2:$B$16, dim_labor_title!$E$2:$E$16, "", 0)</f>
        <v>Asbestos Project Monitor</v>
      </c>
      <c r="G10" s="99">
        <v>7.0</v>
      </c>
      <c r="H10" s="72" t="str">
        <f>LOWER(dim_technician!$C10 &amp; dim_technician!$D10 &amp; TEXT(dim_technician!$E10, "00"))</f>
        <v>chifeihung01</v>
      </c>
    </row>
    <row r="11">
      <c r="A11" s="99">
        <v>10.0</v>
      </c>
      <c r="B11" s="72" t="s">
        <v>751</v>
      </c>
      <c r="C11" s="72" t="s">
        <v>684</v>
      </c>
      <c r="D11" s="72" t="s">
        <v>683</v>
      </c>
      <c r="E11" s="97">
        <v>2.0</v>
      </c>
      <c r="F11" s="97" t="str">
        <f t="array" ref="F11">XLOOKUP(dim_technician!$E11, dim_labor_title!$B$2:$B$16, dim_labor_title!$E$2:$E$16, "", 0)</f>
        <v>Asbestos Air Testing</v>
      </c>
      <c r="G11" s="99">
        <v>7.0</v>
      </c>
      <c r="H11" s="72" t="str">
        <f>LOWER(dim_technician!$C11 &amp; dim_technician!$D11 &amp; TEXT(dim_technician!$E11, "00"))</f>
        <v>chifeihung02</v>
      </c>
    </row>
    <row r="12">
      <c r="A12" s="99">
        <v>11.0</v>
      </c>
      <c r="B12" s="72" t="s">
        <v>763</v>
      </c>
      <c r="C12" s="72" t="s">
        <v>686</v>
      </c>
      <c r="D12" s="72" t="s">
        <v>683</v>
      </c>
      <c r="E12" s="97">
        <v>1.0</v>
      </c>
      <c r="F12" s="97" t="str">
        <f t="array" ref="F12">XLOOKUP(dim_technician!$E12, dim_labor_title!$B$2:$B$16, dim_labor_title!$E$2:$E$16, "", 0)</f>
        <v>Asbestos Project Monitor</v>
      </c>
      <c r="G12" s="99">
        <v>7.0</v>
      </c>
      <c r="H12" s="72" t="str">
        <f>LOWER(dim_technician!$C12 &amp; dim_technician!$D12 &amp; TEXT(dim_technician!$E12, "00"))</f>
        <v>joifeihung01</v>
      </c>
    </row>
    <row r="13">
      <c r="A13" s="99">
        <v>12.0</v>
      </c>
      <c r="B13" s="72" t="s">
        <v>763</v>
      </c>
      <c r="C13" s="72" t="s">
        <v>686</v>
      </c>
      <c r="D13" s="72" t="s">
        <v>683</v>
      </c>
      <c r="E13" s="97">
        <v>2.0</v>
      </c>
      <c r="F13" s="97" t="str">
        <f t="array" ref="F13">XLOOKUP(dim_technician!$E13, dim_labor_title!$B$2:$B$16, dim_labor_title!$E$2:$E$16, "", 0)</f>
        <v>Asbestos Air Testing</v>
      </c>
      <c r="G13" s="99">
        <v>7.0</v>
      </c>
      <c r="H13" s="72" t="str">
        <f>LOWER(dim_technician!$C13 &amp; dim_technician!$D13 &amp; TEXT(dim_technician!$E13, "00"))</f>
        <v>joifeihung02</v>
      </c>
    </row>
    <row r="14">
      <c r="A14" s="99">
        <v>13.0</v>
      </c>
      <c r="B14" s="72" t="s">
        <v>652</v>
      </c>
      <c r="C14" s="72" t="s">
        <v>689</v>
      </c>
      <c r="D14" s="72" t="s">
        <v>688</v>
      </c>
      <c r="E14" s="97">
        <v>1.0</v>
      </c>
      <c r="F14" s="97" t="str">
        <f t="array" ref="F14">XLOOKUP(dim_technician!$E14, dim_labor_title!$B$2:$B$16, dim_labor_title!$E$2:$E$16, "", 0)</f>
        <v>Asbestos Project Monitor</v>
      </c>
      <c r="G14" s="99">
        <v>3.0</v>
      </c>
      <c r="H14" s="72" t="str">
        <f>LOWER(dim_technician!$C14 &amp; dim_technician!$D14 &amp; TEXT(dim_technician!$E14, "00"))</f>
        <v>leongroysman01</v>
      </c>
    </row>
    <row r="15">
      <c r="A15" s="99">
        <v>14.0</v>
      </c>
      <c r="B15" s="72" t="s">
        <v>652</v>
      </c>
      <c r="C15" s="72" t="s">
        <v>689</v>
      </c>
      <c r="D15" s="72" t="s">
        <v>688</v>
      </c>
      <c r="E15" s="97">
        <v>3.0</v>
      </c>
      <c r="F15" s="97" t="str">
        <f t="array" ref="F15">XLOOKUP(dim_technician!$E15, dim_labor_title!$B$2:$B$16, dim_labor_title!$E$2:$E$16, "", 0)</f>
        <v>Asbestos Investigator</v>
      </c>
      <c r="G15" s="99">
        <v>3.0</v>
      </c>
      <c r="H15" s="72" t="str">
        <f>LOWER(dim_technician!$C15 &amp; dim_technician!$D15 &amp; TEXT(dim_technician!$E15, "00"))</f>
        <v>leongroysman03</v>
      </c>
    </row>
    <row r="16">
      <c r="A16" s="99">
        <v>15.0</v>
      </c>
      <c r="B16" s="72" t="s">
        <v>647</v>
      </c>
      <c r="C16" s="72" t="s">
        <v>691</v>
      </c>
      <c r="D16" s="72" t="s">
        <v>688</v>
      </c>
      <c r="E16" s="97">
        <v>1.0</v>
      </c>
      <c r="F16" s="97" t="str">
        <f t="array" ref="F16">XLOOKUP(dim_technician!$E16, dim_labor_title!$B$2:$B$16, dim_labor_title!$E$2:$E$16, "", 0)</f>
        <v>Asbestos Project Monitor</v>
      </c>
      <c r="G16" s="99">
        <v>7.0</v>
      </c>
      <c r="H16" s="72" t="str">
        <f>LOWER(dim_technician!$C16 &amp; dim_technician!$D16 &amp; TEXT(dim_technician!$E16, "00"))</f>
        <v>igorgroysman01</v>
      </c>
    </row>
    <row r="17">
      <c r="A17" s="99">
        <v>16.0</v>
      </c>
      <c r="B17" s="72" t="s">
        <v>647</v>
      </c>
      <c r="C17" s="72" t="s">
        <v>691</v>
      </c>
      <c r="D17" s="72" t="s">
        <v>688</v>
      </c>
      <c r="E17" s="97">
        <v>2.0</v>
      </c>
      <c r="F17" s="97" t="str">
        <f t="array" ref="F17">XLOOKUP(dim_technician!$E17, dim_labor_title!$B$2:$B$16, dim_labor_title!$E$2:$E$16, "", 0)</f>
        <v>Asbestos Air Testing</v>
      </c>
      <c r="G17" s="99">
        <v>7.0</v>
      </c>
      <c r="H17" s="72" t="str">
        <f>LOWER(dim_technician!$C17 &amp; dim_technician!$D17 &amp; TEXT(dim_technician!$E17, "00"))</f>
        <v>igorgroysman02</v>
      </c>
    </row>
    <row r="18">
      <c r="A18" s="99">
        <v>17.0</v>
      </c>
      <c r="B18" s="72" t="s">
        <v>647</v>
      </c>
      <c r="C18" s="72" t="s">
        <v>691</v>
      </c>
      <c r="D18" s="72" t="s">
        <v>688</v>
      </c>
      <c r="E18" s="97">
        <v>3.0</v>
      </c>
      <c r="F18" s="97" t="str">
        <f t="array" ref="F18">XLOOKUP(dim_technician!$E18, dim_labor_title!$B$2:$B$16, dim_labor_title!$E$2:$E$16, "", 0)</f>
        <v>Asbestos Investigator</v>
      </c>
      <c r="G18" s="99">
        <v>7.0</v>
      </c>
      <c r="H18" s="72" t="str">
        <f>LOWER(dim_technician!$C18 &amp; dim_technician!$D18 &amp; TEXT(dim_technician!$E18, "00"))</f>
        <v>igorgroysman03</v>
      </c>
    </row>
    <row r="19">
      <c r="A19" s="99">
        <v>18.0</v>
      </c>
      <c r="B19" s="72" t="s">
        <v>649</v>
      </c>
      <c r="C19" s="72" t="s">
        <v>694</v>
      </c>
      <c r="D19" s="72" t="s">
        <v>693</v>
      </c>
      <c r="E19" s="97">
        <v>1.0</v>
      </c>
      <c r="F19" s="97" t="str">
        <f t="array" ref="F19">XLOOKUP(dim_technician!$E19, dim_labor_title!$B$2:$B$16, dim_labor_title!$E$2:$E$16, "", 0)</f>
        <v>Asbestos Project Monitor</v>
      </c>
      <c r="G19" s="99">
        <v>7.0</v>
      </c>
      <c r="H19" s="72" t="str">
        <f>LOWER(dim_technician!$C19 &amp; dim_technician!$D19 &amp; TEXT(dim_technician!$E19, "00"))</f>
        <v>ricardovilchez01</v>
      </c>
    </row>
    <row r="20">
      <c r="A20" s="99">
        <v>19.0</v>
      </c>
      <c r="B20" s="72" t="s">
        <v>649</v>
      </c>
      <c r="C20" s="72" t="s">
        <v>694</v>
      </c>
      <c r="D20" s="72" t="s">
        <v>693</v>
      </c>
      <c r="E20" s="97">
        <v>2.0</v>
      </c>
      <c r="F20" s="97" t="str">
        <f t="array" ref="F20">XLOOKUP(dim_technician!$E20, dim_labor_title!$B$2:$B$16, dim_labor_title!$E$2:$E$16, "", 0)</f>
        <v>Asbestos Air Testing</v>
      </c>
      <c r="G20" s="99">
        <v>7.0</v>
      </c>
      <c r="H20" s="72" t="str">
        <f>LOWER(dim_technician!$C20 &amp; dim_technician!$D20 &amp; TEXT(dim_technician!$E20, "00"))</f>
        <v>ricardovilchez02</v>
      </c>
    </row>
    <row r="21" ht="15.75" customHeight="1">
      <c r="A21" s="99">
        <v>20.0</v>
      </c>
      <c r="B21" s="72" t="s">
        <v>649</v>
      </c>
      <c r="C21" s="72" t="s">
        <v>694</v>
      </c>
      <c r="D21" s="72" t="s">
        <v>693</v>
      </c>
      <c r="E21" s="97">
        <v>3.0</v>
      </c>
      <c r="F21" s="97" t="str">
        <f t="array" ref="F21">XLOOKUP(dim_technician!$E21, dim_labor_title!$B$2:$B$16, dim_labor_title!$E$2:$E$16, "", 0)</f>
        <v>Asbestos Investigator</v>
      </c>
      <c r="G21" s="99">
        <v>7.0</v>
      </c>
      <c r="H21" s="72" t="str">
        <f>LOWER(dim_technician!$C21 &amp; dim_technician!$D21 &amp; TEXT(dim_technician!$E21, "00"))</f>
        <v>ricardovilchez03</v>
      </c>
    </row>
    <row r="22" ht="15.75" customHeight="1">
      <c r="A22" s="99">
        <v>21.0</v>
      </c>
      <c r="B22" s="72" t="s">
        <v>649</v>
      </c>
      <c r="C22" s="72" t="s">
        <v>694</v>
      </c>
      <c r="D22" s="72" t="s">
        <v>693</v>
      </c>
      <c r="E22" s="97">
        <v>4.0</v>
      </c>
      <c r="F22" s="97" t="str">
        <f t="array" ref="F22">XLOOKUP(dim_technician!$E22, dim_labor_title!$B$2:$B$16, dim_labor_title!$E$2:$E$16, "", 0)</f>
        <v>Asbestos Project Designer</v>
      </c>
      <c r="G22" s="99">
        <v>7.0</v>
      </c>
      <c r="H22" s="72" t="str">
        <f>LOWER(dim_technician!$C22 &amp; dim_technician!$D22 &amp; TEXT(dim_technician!$E22, "00"))</f>
        <v>ricardovilchez04</v>
      </c>
    </row>
    <row r="23" ht="15.75" customHeight="1">
      <c r="A23" s="99">
        <v>22.0</v>
      </c>
      <c r="B23" s="72" t="s">
        <v>649</v>
      </c>
      <c r="C23" s="72" t="s">
        <v>694</v>
      </c>
      <c r="D23" s="72" t="s">
        <v>693</v>
      </c>
      <c r="E23" s="97">
        <v>5.0</v>
      </c>
      <c r="F23" s="97" t="str">
        <f t="array" ref="F23">XLOOKUP(dim_technician!$E23, dim_labor_title!$B$2:$B$16, dim_labor_title!$E$2:$E$16, "", 0)</f>
        <v>Asbestos Project Manager</v>
      </c>
      <c r="G23" s="99">
        <v>7.0</v>
      </c>
      <c r="H23" s="72" t="str">
        <f>LOWER(dim_technician!$C23 &amp; dim_technician!$D23 &amp; TEXT(dim_technician!$E23, "00"))</f>
        <v>ricardovilchez05</v>
      </c>
    </row>
    <row r="24" ht="15.75" customHeight="1">
      <c r="A24" s="99">
        <v>23.0</v>
      </c>
      <c r="B24" s="72" t="s">
        <v>649</v>
      </c>
      <c r="C24" s="72" t="s">
        <v>694</v>
      </c>
      <c r="D24" s="72" t="s">
        <v>693</v>
      </c>
      <c r="E24" s="97">
        <v>6.0</v>
      </c>
      <c r="F24" s="97" t="str">
        <f t="array" ref="F24">XLOOKUP(dim_technician!$E24, dim_labor_title!$B$2:$B$16, dim_labor_title!$E$2:$E$16, "", 0)</f>
        <v>Lead Inspector</v>
      </c>
      <c r="G24" s="99">
        <v>7.0</v>
      </c>
      <c r="H24" s="72" t="str">
        <f>LOWER(dim_technician!$C24 &amp; dim_technician!$D24 &amp; TEXT(dim_technician!$E24, "00"))</f>
        <v>ricardovilchez06</v>
      </c>
    </row>
    <row r="25" ht="15.75" customHeight="1">
      <c r="A25" s="99">
        <v>24.0</v>
      </c>
      <c r="B25" s="72" t="s">
        <v>649</v>
      </c>
      <c r="C25" s="72" t="s">
        <v>694</v>
      </c>
      <c r="D25" s="72" t="s">
        <v>693</v>
      </c>
      <c r="E25" s="97">
        <v>7.0</v>
      </c>
      <c r="F25" s="97" t="str">
        <f t="array" ref="F25">XLOOKUP(dim_technician!$E25, dim_labor_title!$B$2:$B$16, dim_labor_title!$E$2:$E$16, "", 0)</f>
        <v>Lead Inspector / Risk Assessor</v>
      </c>
      <c r="G25" s="99">
        <v>7.0</v>
      </c>
      <c r="H25" s="72" t="str">
        <f>LOWER(dim_technician!$C25 &amp; dim_technician!$D25 &amp; TEXT(dim_technician!$E25, "00"))</f>
        <v>ricardovilchez07</v>
      </c>
    </row>
    <row r="26" ht="15.75" customHeight="1">
      <c r="A26" s="99">
        <v>25.0</v>
      </c>
      <c r="B26" s="72" t="s">
        <v>651</v>
      </c>
      <c r="C26" s="72" t="s">
        <v>697</v>
      </c>
      <c r="D26" s="72" t="s">
        <v>696</v>
      </c>
      <c r="E26" s="97">
        <v>1.0</v>
      </c>
      <c r="F26" s="97" t="str">
        <f t="array" ref="F26">XLOOKUP(dim_technician!$E26, dim_labor_title!$B$2:$B$16, dim_labor_title!$E$2:$E$16, "", 0)</f>
        <v>Asbestos Project Monitor</v>
      </c>
      <c r="G26" s="99">
        <v>7.0</v>
      </c>
      <c r="H26" s="72" t="str">
        <f>LOWER(dim_technician!$C26 &amp; dim_technician!$D26 &amp; TEXT(dim_technician!$E26, "00"))</f>
        <v>soslanlazarov01</v>
      </c>
    </row>
    <row r="27" ht="15.75" customHeight="1">
      <c r="A27" s="99">
        <v>26.0</v>
      </c>
      <c r="B27" s="72" t="s">
        <v>747</v>
      </c>
      <c r="C27" s="72" t="s">
        <v>700</v>
      </c>
      <c r="D27" s="72" t="s">
        <v>699</v>
      </c>
      <c r="E27" s="97">
        <v>1.0</v>
      </c>
      <c r="F27" s="97" t="str">
        <f t="array" ref="F27">XLOOKUP(dim_technician!$E27, dim_labor_title!$B$2:$B$16, dim_labor_title!$E$2:$E$16, "", 0)</f>
        <v>Asbestos Project Monitor</v>
      </c>
      <c r="G27" s="99">
        <v>7.0</v>
      </c>
      <c r="H27" s="72" t="str">
        <f>LOWER(dim_technician!$C27 &amp; dim_technician!$D27 &amp; TEXT(dim_technician!$E27, "00"))</f>
        <v>aleksandrgasis01</v>
      </c>
    </row>
    <row r="28" ht="15.75" customHeight="1">
      <c r="A28" s="99">
        <v>27.0</v>
      </c>
      <c r="B28" s="72" t="s">
        <v>747</v>
      </c>
      <c r="C28" s="72" t="s">
        <v>700</v>
      </c>
      <c r="D28" s="72" t="s">
        <v>699</v>
      </c>
      <c r="E28" s="97">
        <v>2.0</v>
      </c>
      <c r="F28" s="97" t="str">
        <f t="array" ref="F28">XLOOKUP(dim_technician!$E28, dim_labor_title!$B$2:$B$16, dim_labor_title!$E$2:$E$16, "", 0)</f>
        <v>Asbestos Air Testing</v>
      </c>
      <c r="G28" s="99">
        <v>7.0</v>
      </c>
      <c r="H28" s="72" t="str">
        <f>LOWER(dim_technician!$C28 &amp; dim_technician!$D28 &amp; TEXT(dim_technician!$E28, "00"))</f>
        <v>aleksandrgasis02</v>
      </c>
    </row>
    <row r="29" ht="15.75" customHeight="1">
      <c r="A29" s="99">
        <v>28.0</v>
      </c>
      <c r="B29" s="72" t="s">
        <v>749</v>
      </c>
      <c r="C29" s="72" t="s">
        <v>700</v>
      </c>
      <c r="D29" s="72" t="s">
        <v>702</v>
      </c>
      <c r="E29" s="97">
        <v>1.0</v>
      </c>
      <c r="F29" s="97" t="str">
        <f t="array" ref="F29">XLOOKUP(dim_technician!$E29, dim_labor_title!$B$2:$B$16, dim_labor_title!$E$2:$E$16, "", 0)</f>
        <v>Asbestos Project Monitor</v>
      </c>
      <c r="G29" s="99">
        <v>7.0</v>
      </c>
      <c r="H29" s="72" t="str">
        <f>LOWER(dim_technician!$C29 &amp; dim_technician!$D29 &amp; TEXT(dim_technician!$E29, "00"))</f>
        <v>aleksandrtsvayg01</v>
      </c>
    </row>
    <row r="30" ht="15.75" customHeight="1">
      <c r="A30" s="99">
        <v>29.0</v>
      </c>
      <c r="B30" s="72" t="s">
        <v>749</v>
      </c>
      <c r="C30" s="72" t="s">
        <v>700</v>
      </c>
      <c r="D30" s="72" t="s">
        <v>702</v>
      </c>
      <c r="E30" s="97">
        <v>2.0</v>
      </c>
      <c r="F30" s="97" t="str">
        <f t="array" ref="F30">XLOOKUP(dim_technician!$E30, dim_labor_title!$B$2:$B$16, dim_labor_title!$E$2:$E$16, "", 0)</f>
        <v>Asbestos Air Testing</v>
      </c>
      <c r="G30" s="99">
        <v>7.0</v>
      </c>
      <c r="H30" s="72" t="str">
        <f>LOWER(dim_technician!$C30 &amp; dim_technician!$D30 &amp; TEXT(dim_technician!$E30, "00"))</f>
        <v>aleksandrtsvayg02</v>
      </c>
    </row>
    <row r="31" ht="15.75" customHeight="1">
      <c r="A31" s="99">
        <v>30.0</v>
      </c>
      <c r="B31" s="72" t="s">
        <v>780</v>
      </c>
      <c r="C31" s="72" t="s">
        <v>705</v>
      </c>
      <c r="D31" s="72" t="s">
        <v>704</v>
      </c>
      <c r="E31" s="97">
        <v>1.0</v>
      </c>
      <c r="F31" s="97" t="str">
        <f t="array" ref="F31">XLOOKUP(dim_technician!$E31, dim_labor_title!$B$2:$B$16, dim_labor_title!$E$2:$E$16, "", 0)</f>
        <v>Asbestos Project Monitor</v>
      </c>
      <c r="G31" s="99">
        <v>7.0</v>
      </c>
      <c r="H31" s="72" t="str">
        <f>LOWER(dim_technician!$C31 &amp; dim_technician!$D31 &amp; TEXT(dim_technician!$E31, "00"))</f>
        <v>zviadinebieridze01</v>
      </c>
    </row>
    <row r="32" ht="15.75" customHeight="1">
      <c r="A32" s="99">
        <v>31.0</v>
      </c>
      <c r="B32" s="72" t="s">
        <v>761</v>
      </c>
      <c r="C32" s="72" t="s">
        <v>708</v>
      </c>
      <c r="D32" s="72" t="s">
        <v>707</v>
      </c>
      <c r="E32" s="97">
        <v>6.0</v>
      </c>
      <c r="F32" s="97" t="str">
        <f t="array" ref="F32">XLOOKUP(dim_technician!$E32, dim_labor_title!$B$2:$B$16, dim_labor_title!$E$2:$E$16, "", 0)</f>
        <v>Lead Inspector</v>
      </c>
      <c r="G32" s="99">
        <v>3.0</v>
      </c>
      <c r="H32" s="72" t="str">
        <f>LOWER(dim_technician!$C32 &amp; dim_technician!$D32 &amp; TEXT(dim_technician!$E32, "00"))</f>
        <v>ishahasan06</v>
      </c>
    </row>
    <row r="33" ht="15.75" customHeight="1">
      <c r="A33" s="99">
        <v>32.0</v>
      </c>
      <c r="B33" s="72" t="s">
        <v>655</v>
      </c>
      <c r="C33" s="72" t="s">
        <v>667</v>
      </c>
      <c r="D33" s="72" t="s">
        <v>663</v>
      </c>
      <c r="E33" s="97">
        <v>3.0</v>
      </c>
      <c r="F33" s="97" t="str">
        <f t="array" ref="F33">XLOOKUP(dim_technician!$E33, dim_labor_title!$B$2:$B$16, dim_labor_title!$E$2:$E$16, "", 0)</f>
        <v>Asbestos Investigator</v>
      </c>
      <c r="G33" s="99">
        <v>7.0</v>
      </c>
      <c r="H33" s="72" t="str">
        <f>LOWER(dim_technician!$C33 &amp; dim_technician!$D33 &amp; TEXT(dim_technician!$E33, "00"))</f>
        <v>dimitribellos03</v>
      </c>
    </row>
    <row r="34" ht="15.75" customHeight="1">
      <c r="A34" s="99">
        <v>33.0</v>
      </c>
      <c r="B34" s="72" t="s">
        <v>885</v>
      </c>
      <c r="C34" s="72" t="s">
        <v>664</v>
      </c>
      <c r="D34" s="72" t="s">
        <v>663</v>
      </c>
      <c r="E34" s="97">
        <v>3.0</v>
      </c>
      <c r="F34" s="97" t="str">
        <f t="array" ref="F34">XLOOKUP(dim_technician!$E34, dim_labor_title!$B$2:$B$16, dim_labor_title!$E$2:$E$16, "", 0)</f>
        <v>Asbestos Investigator</v>
      </c>
      <c r="G34" s="99">
        <v>7.0</v>
      </c>
      <c r="H34" s="72" t="str">
        <f>LOWER(dim_technician!$C34 &amp; dim_technician!$D34 &amp; TEXT(dim_technician!$E34, "00"))</f>
        <v>vasilibellos03</v>
      </c>
    </row>
    <row r="35" ht="15.75" customHeight="1">
      <c r="A35" s="99">
        <v>34.0</v>
      </c>
      <c r="B35" s="72" t="s">
        <v>775</v>
      </c>
      <c r="C35" s="72" t="s">
        <v>711</v>
      </c>
      <c r="D35" s="72" t="s">
        <v>710</v>
      </c>
      <c r="E35" s="97">
        <v>1.0</v>
      </c>
      <c r="F35" s="97" t="str">
        <f t="array" ref="F35">XLOOKUP(dim_technician!$E35, dim_labor_title!$B$2:$B$16, dim_labor_title!$E$2:$E$16, "", 0)</f>
        <v>Asbestos Project Monitor</v>
      </c>
      <c r="G35" s="99">
        <v>7.0</v>
      </c>
      <c r="H35" s="72" t="str">
        <f>LOWER(dim_technician!$C35 &amp; dim_technician!$D35 &amp; TEXT(dim_technician!$E35, "00"))</f>
        <v>shalvasagihashvili01</v>
      </c>
    </row>
    <row r="36" ht="15.75" customHeight="1">
      <c r="A36" s="99">
        <v>35.0</v>
      </c>
      <c r="B36" s="72" t="s">
        <v>745</v>
      </c>
      <c r="C36" s="72" t="s">
        <v>714</v>
      </c>
      <c r="D36" s="72" t="s">
        <v>713</v>
      </c>
      <c r="E36" s="97">
        <v>1.0</v>
      </c>
      <c r="F36" s="97" t="str">
        <f t="array" ref="F36">XLOOKUP(dim_technician!$E36, dim_labor_title!$B$2:$B$16, dim_labor_title!$E$2:$E$16, "", 0)</f>
        <v>Asbestos Project Monitor</v>
      </c>
      <c r="G36" s="99">
        <v>7.0</v>
      </c>
      <c r="H36" s="72" t="str">
        <f>LOWER(dim_technician!$C36 &amp; dim_technician!$D36 &amp; TEXT(dim_technician!$E36, "00"))</f>
        <v>adeniyiadeniran01</v>
      </c>
    </row>
    <row r="37" ht="15.75" customHeight="1">
      <c r="A37" s="99">
        <v>36.0</v>
      </c>
      <c r="B37" s="72" t="s">
        <v>769</v>
      </c>
      <c r="C37" s="72" t="s">
        <v>717</v>
      </c>
      <c r="D37" s="72" t="s">
        <v>716</v>
      </c>
      <c r="E37" s="97">
        <v>1.0</v>
      </c>
      <c r="F37" s="97" t="str">
        <f t="array" ref="F37">XLOOKUP(dim_technician!$E37, dim_labor_title!$B$2:$B$16, dim_labor_title!$E$2:$E$16, "", 0)</f>
        <v>Asbestos Project Monitor</v>
      </c>
      <c r="G37" s="99">
        <v>7.0</v>
      </c>
      <c r="H37" s="72" t="str">
        <f>LOWER(dim_technician!$C37 &amp; dim_technician!$D37 &amp; TEXT(dim_technician!$E37, "00"))</f>
        <v>maryanskira01</v>
      </c>
    </row>
    <row r="38" ht="15.75" customHeight="1">
      <c r="A38" s="99">
        <v>37.0</v>
      </c>
      <c r="B38" s="72" t="s">
        <v>652</v>
      </c>
      <c r="C38" s="72" t="s">
        <v>689</v>
      </c>
      <c r="D38" s="72" t="s">
        <v>688</v>
      </c>
      <c r="E38" s="97">
        <v>6.0</v>
      </c>
      <c r="F38" s="97" t="str">
        <f t="array" ref="F38">XLOOKUP(dim_technician!$E38, dim_labor_title!$B$2:$B$16, dim_labor_title!$E$2:$E$16, "", 0)</f>
        <v>Lead Inspector</v>
      </c>
      <c r="G38" s="99">
        <v>3.0</v>
      </c>
      <c r="H38" s="72" t="str">
        <f>LOWER(dim_technician!$C38 &amp; dim_technician!$D38 &amp; TEXT(dim_technician!$E38, "00"))</f>
        <v>leongroysman06</v>
      </c>
    </row>
    <row r="39" ht="15.75" customHeight="1">
      <c r="A39" s="99">
        <v>38.0</v>
      </c>
      <c r="B39" s="72" t="s">
        <v>788</v>
      </c>
      <c r="C39" s="72" t="s">
        <v>670</v>
      </c>
      <c r="D39" s="72" t="s">
        <v>669</v>
      </c>
      <c r="E39" s="97">
        <v>0.0</v>
      </c>
      <c r="F39" s="97" t="str">
        <f t="array" ref="F39">XLOOKUP(dim_technician!$E39, dim_labor_title!$B$2:$B$16, dim_labor_title!$E$2:$E$16, "", 0)</f>
        <v>Office Admin</v>
      </c>
      <c r="G39" s="99">
        <v>3.0</v>
      </c>
      <c r="H39" s="72" t="str">
        <f>LOWER(dim_technician!$C39 &amp; dim_technician!$D39 &amp; TEXT(dim_technician!$E39, "00"))</f>
        <v>patriciadros00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9.88"/>
    <col customWidth="1" min="3" max="4" width="12.0"/>
    <col customWidth="1" min="5" max="6" width="11.25"/>
    <col customWidth="1" min="7" max="7" width="14.25"/>
    <col customWidth="1" min="8" max="8" width="8.63"/>
    <col customWidth="1" min="9" max="9" width="9.38"/>
    <col customWidth="1" min="10" max="27" width="8.63"/>
  </cols>
  <sheetData>
    <row r="1">
      <c r="A1" s="71" t="s">
        <v>886</v>
      </c>
      <c r="B1" s="72" t="s">
        <v>656</v>
      </c>
      <c r="C1" s="72" t="s">
        <v>887</v>
      </c>
      <c r="D1" s="72" t="s">
        <v>888</v>
      </c>
      <c r="E1" s="72" t="s">
        <v>889</v>
      </c>
      <c r="F1" s="72" t="s">
        <v>890</v>
      </c>
      <c r="G1" s="72" t="s">
        <v>891</v>
      </c>
    </row>
    <row r="2">
      <c r="A2" s="72"/>
      <c r="B2" s="72" t="str">
        <f>TRIM(stg_emp_rate_history!$A2)</f>
        <v>adeniyiadeniran01</v>
      </c>
      <c r="C2" s="75">
        <f>stg_emp_rate_history!$F2</f>
        <v>45183</v>
      </c>
      <c r="D2" s="72" t="str">
        <f t="shared" ref="D2:D52" si="1">TEXT(C2,"yyyymmdd")</f>
        <v>20230914</v>
      </c>
      <c r="E2" s="75">
        <f>stg_emp_rate_history!$G2</f>
        <v>45207</v>
      </c>
      <c r="F2" s="75" t="str">
        <f t="shared" ref="F2:F52" si="2">TEXT(E2,"yyyymmdd")</f>
        <v>20231008</v>
      </c>
      <c r="G2" s="76">
        <f>stg_emp_rate_history!$H2</f>
        <v>33</v>
      </c>
    </row>
    <row r="3">
      <c r="A3" s="72"/>
      <c r="B3" s="72" t="str">
        <f>TRIM(stg_emp_rate_history!$A3)</f>
        <v>aleksandrgasis01</v>
      </c>
      <c r="C3" s="75">
        <f>stg_emp_rate_history!$F3</f>
        <v>45536</v>
      </c>
      <c r="D3" s="72" t="str">
        <f t="shared" si="1"/>
        <v>20240901</v>
      </c>
      <c r="E3" s="75">
        <f>stg_emp_rate_history!$G3</f>
        <v>46208</v>
      </c>
      <c r="F3" s="75" t="str">
        <f t="shared" si="2"/>
        <v>20260705</v>
      </c>
      <c r="G3" s="76">
        <f>stg_emp_rate_history!$H3</f>
        <v>38</v>
      </c>
    </row>
    <row r="4">
      <c r="A4" s="72"/>
      <c r="B4" s="72" t="str">
        <f>TRIM(stg_emp_rate_history!$A4)</f>
        <v>aleksandrtsvayg01</v>
      </c>
      <c r="C4" s="75">
        <f>stg_emp_rate_history!$F4</f>
        <v>43466</v>
      </c>
      <c r="D4" s="72" t="str">
        <f t="shared" si="1"/>
        <v>20190101</v>
      </c>
      <c r="E4" s="75">
        <f>stg_emp_rate_history!$G4</f>
        <v>46124</v>
      </c>
      <c r="F4" s="75" t="str">
        <f t="shared" si="2"/>
        <v>20260412</v>
      </c>
      <c r="G4" s="76">
        <f>stg_emp_rate_history!$H4</f>
        <v>33</v>
      </c>
    </row>
    <row r="5">
      <c r="A5" s="72"/>
      <c r="B5" s="72" t="str">
        <f>TRIM(stg_emp_rate_history!$A5)</f>
        <v>aleksandrtsvayg01</v>
      </c>
      <c r="C5" s="75">
        <f>stg_emp_rate_history!$F5</f>
        <v>46125</v>
      </c>
      <c r="D5" s="72" t="str">
        <f t="shared" si="1"/>
        <v>20260413</v>
      </c>
      <c r="E5" s="75">
        <f>stg_emp_rate_history!$G5</f>
        <v>46208</v>
      </c>
      <c r="F5" s="75" t="str">
        <f t="shared" si="2"/>
        <v>20260705</v>
      </c>
      <c r="G5" s="76">
        <f>stg_emp_rate_history!$H5</f>
        <v>38</v>
      </c>
    </row>
    <row r="6">
      <c r="A6" s="72"/>
      <c r="B6" s="72" t="str">
        <f>TRIM(stg_emp_rate_history!$A6)</f>
        <v>chifeihung01</v>
      </c>
      <c r="C6" s="75">
        <f>stg_emp_rate_history!$F6</f>
        <v>43466</v>
      </c>
      <c r="D6" s="72" t="str">
        <f t="shared" si="1"/>
        <v>20190101</v>
      </c>
      <c r="E6" s="75">
        <f>stg_emp_rate_history!$G6</f>
        <v>46124</v>
      </c>
      <c r="F6" s="75" t="str">
        <f t="shared" si="2"/>
        <v>20260412</v>
      </c>
      <c r="G6" s="76">
        <f>stg_emp_rate_history!$H6</f>
        <v>38</v>
      </c>
    </row>
    <row r="7">
      <c r="A7" s="72"/>
      <c r="B7" s="72" t="str">
        <f>TRIM(stg_emp_rate_history!$A7)</f>
        <v>chifeihung02</v>
      </c>
      <c r="C7" s="75">
        <f>stg_emp_rate_history!$F7</f>
        <v>43466</v>
      </c>
      <c r="D7" s="72" t="str">
        <f t="shared" si="1"/>
        <v>20190101</v>
      </c>
      <c r="E7" s="75">
        <f>stg_emp_rate_history!$G7</f>
        <v>46124</v>
      </c>
      <c r="F7" s="75" t="str">
        <f t="shared" si="2"/>
        <v>20260412</v>
      </c>
      <c r="G7" s="76">
        <f>stg_emp_rate_history!$H7</f>
        <v>38</v>
      </c>
    </row>
    <row r="8">
      <c r="A8" s="72"/>
      <c r="B8" s="72" t="str">
        <f>TRIM(stg_emp_rate_history!$A8)</f>
        <v>cornelalbu01</v>
      </c>
      <c r="C8" s="75">
        <f>stg_emp_rate_history!$F8</f>
        <v>43466</v>
      </c>
      <c r="D8" s="72" t="str">
        <f t="shared" si="1"/>
        <v>20190101</v>
      </c>
      <c r="E8" s="75">
        <f>stg_emp_rate_history!$G8</f>
        <v>46124</v>
      </c>
      <c r="F8" s="75" t="str">
        <f t="shared" si="2"/>
        <v>20260412</v>
      </c>
      <c r="G8" s="76">
        <f>stg_emp_rate_history!$H8</f>
        <v>38</v>
      </c>
    </row>
    <row r="9">
      <c r="A9" s="72"/>
      <c r="B9" s="72" t="str">
        <f>TRIM(stg_emp_rate_history!$A9)</f>
        <v>cornelalbu03</v>
      </c>
      <c r="C9" s="75">
        <f>stg_emp_rate_history!$F9</f>
        <v>43466</v>
      </c>
      <c r="D9" s="72" t="str">
        <f t="shared" si="1"/>
        <v>20190101</v>
      </c>
      <c r="E9" s="75">
        <f>stg_emp_rate_history!$G9</f>
        <v>46124</v>
      </c>
      <c r="F9" s="75" t="str">
        <f t="shared" si="2"/>
        <v>20260412</v>
      </c>
      <c r="G9" s="76">
        <f>stg_emp_rate_history!$H9</f>
        <v>45</v>
      </c>
    </row>
    <row r="10">
      <c r="A10" s="72"/>
      <c r="B10" s="72" t="str">
        <f>TRIM(stg_emp_rate_history!$A10)</f>
        <v>cornelalbu05</v>
      </c>
      <c r="C10" s="75">
        <f>stg_emp_rate_history!$F10</f>
        <v>43466</v>
      </c>
      <c r="D10" s="72" t="str">
        <f t="shared" si="1"/>
        <v>20190101</v>
      </c>
      <c r="E10" s="75">
        <f>stg_emp_rate_history!$G10</f>
        <v>46208</v>
      </c>
      <c r="F10" s="75" t="str">
        <f t="shared" si="2"/>
        <v>20260705</v>
      </c>
      <c r="G10" s="76">
        <f>stg_emp_rate_history!$H10</f>
        <v>45</v>
      </c>
    </row>
    <row r="11">
      <c r="A11" s="72"/>
      <c r="B11" s="72" t="str">
        <f>TRIM(stg_emp_rate_history!$A11)</f>
        <v>igorgroysman01</v>
      </c>
      <c r="C11" s="75">
        <f>stg_emp_rate_history!$F11</f>
        <v>43466</v>
      </c>
      <c r="D11" s="72" t="str">
        <f t="shared" si="1"/>
        <v>20190101</v>
      </c>
      <c r="E11" s="75">
        <f>stg_emp_rate_history!$G11</f>
        <v>46124</v>
      </c>
      <c r="F11" s="75" t="str">
        <f t="shared" si="2"/>
        <v>20260412</v>
      </c>
      <c r="G11" s="76">
        <f>stg_emp_rate_history!$H11</f>
        <v>38</v>
      </c>
    </row>
    <row r="12">
      <c r="A12" s="72"/>
      <c r="B12" s="72" t="str">
        <f>TRIM(stg_emp_rate_history!$A12)</f>
        <v>igorgroysman03</v>
      </c>
      <c r="C12" s="75">
        <f>stg_emp_rate_history!$F12</f>
        <v>43466</v>
      </c>
      <c r="D12" s="72" t="str">
        <f t="shared" si="1"/>
        <v>20190101</v>
      </c>
      <c r="E12" s="75">
        <f>stg_emp_rate_history!$G12</f>
        <v>46124</v>
      </c>
      <c r="F12" s="75" t="str">
        <f t="shared" si="2"/>
        <v>20260412</v>
      </c>
      <c r="G12" s="76">
        <f>stg_emp_rate_history!$H12</f>
        <v>45</v>
      </c>
    </row>
    <row r="13">
      <c r="A13" s="72"/>
      <c r="B13" s="72" t="str">
        <f>TRIM(stg_emp_rate_history!$A13)</f>
        <v>igorgroysman02</v>
      </c>
      <c r="C13" s="75">
        <f>stg_emp_rate_history!$F13</f>
        <v>43466</v>
      </c>
      <c r="D13" s="72" t="str">
        <f t="shared" si="1"/>
        <v>20190101</v>
      </c>
      <c r="E13" s="75">
        <f>stg_emp_rate_history!$G13</f>
        <v>46124</v>
      </c>
      <c r="F13" s="75" t="str">
        <f t="shared" si="2"/>
        <v>20260412</v>
      </c>
      <c r="G13" s="76">
        <f>stg_emp_rate_history!$H13</f>
        <v>45</v>
      </c>
    </row>
    <row r="14">
      <c r="A14" s="72"/>
      <c r="B14" s="72" t="str">
        <f>TRIM(stg_emp_rate_history!$A14)</f>
        <v>ishahasan03</v>
      </c>
      <c r="C14" s="75">
        <f>stg_emp_rate_history!$F14</f>
        <v>43466</v>
      </c>
      <c r="D14" s="72" t="str">
        <f t="shared" si="1"/>
        <v>20190101</v>
      </c>
      <c r="E14" s="75">
        <f>stg_emp_rate_history!$G14</f>
        <v>46208</v>
      </c>
      <c r="F14" s="75" t="str">
        <f t="shared" si="2"/>
        <v>20260705</v>
      </c>
      <c r="G14" s="76">
        <f>stg_emp_rate_history!$H14</f>
        <v>35</v>
      </c>
    </row>
    <row r="15">
      <c r="A15" s="72"/>
      <c r="B15" s="72" t="str">
        <f>TRIM(stg_emp_rate_history!$A15)</f>
        <v>joifeihung01</v>
      </c>
      <c r="C15" s="75">
        <f>stg_emp_rate_history!$F15</f>
        <v>43466</v>
      </c>
      <c r="D15" s="72" t="str">
        <f t="shared" si="1"/>
        <v>20190101</v>
      </c>
      <c r="E15" s="75">
        <f>stg_emp_rate_history!$G15</f>
        <v>46124</v>
      </c>
      <c r="F15" s="75" t="str">
        <f t="shared" si="2"/>
        <v>20260412</v>
      </c>
      <c r="G15" s="76">
        <f>stg_emp_rate_history!$H15</f>
        <v>38</v>
      </c>
    </row>
    <row r="16">
      <c r="A16" s="72"/>
      <c r="B16" s="72" t="str">
        <f>TRIM(stg_emp_rate_history!$A16)</f>
        <v>leongroysman01</v>
      </c>
      <c r="C16" s="75">
        <f>stg_emp_rate_history!$F16</f>
        <v>43466</v>
      </c>
      <c r="D16" s="72" t="str">
        <f t="shared" si="1"/>
        <v>20190101</v>
      </c>
      <c r="E16" s="75">
        <f>stg_emp_rate_history!$G16</f>
        <v>45864</v>
      </c>
      <c r="F16" s="75" t="str">
        <f t="shared" si="2"/>
        <v>20250726</v>
      </c>
      <c r="G16" s="76">
        <f>stg_emp_rate_history!$H16</f>
        <v>30</v>
      </c>
    </row>
    <row r="17">
      <c r="A17" s="72"/>
      <c r="B17" s="72" t="str">
        <f>TRIM(stg_emp_rate_history!$A17)</f>
        <v>leongroysman03</v>
      </c>
      <c r="C17" s="75">
        <f>stg_emp_rate_history!$F17</f>
        <v>43466</v>
      </c>
      <c r="D17" s="72" t="str">
        <f t="shared" si="1"/>
        <v>20190101</v>
      </c>
      <c r="E17" s="75">
        <f>stg_emp_rate_history!$G17</f>
        <v>45864</v>
      </c>
      <c r="F17" s="75" t="str">
        <f t="shared" si="2"/>
        <v>20250726</v>
      </c>
      <c r="G17" s="76">
        <f>stg_emp_rate_history!$H17</f>
        <v>30</v>
      </c>
    </row>
    <row r="18">
      <c r="A18" s="72"/>
      <c r="B18" s="72" t="str">
        <f>TRIM(stg_emp_rate_history!$A18)</f>
        <v>leongroysman03</v>
      </c>
      <c r="C18" s="75">
        <f>stg_emp_rate_history!$F18</f>
        <v>45865</v>
      </c>
      <c r="D18" s="72" t="str">
        <f t="shared" si="1"/>
        <v>20250727</v>
      </c>
      <c r="E18" s="75">
        <f>stg_emp_rate_history!$G18</f>
        <v>46124</v>
      </c>
      <c r="F18" s="75" t="str">
        <f t="shared" si="2"/>
        <v>20260412</v>
      </c>
      <c r="G18" s="76">
        <f>stg_emp_rate_history!$H18</f>
        <v>35</v>
      </c>
    </row>
    <row r="19">
      <c r="A19" s="72"/>
      <c r="B19" s="72" t="str">
        <f>TRIM(stg_emp_rate_history!$A19)</f>
        <v>leongroysman01</v>
      </c>
      <c r="C19" s="75">
        <f>stg_emp_rate_history!$F19</f>
        <v>45865</v>
      </c>
      <c r="D19" s="72" t="str">
        <f t="shared" si="1"/>
        <v>20250727</v>
      </c>
      <c r="E19" s="75">
        <f>stg_emp_rate_history!$G19</f>
        <v>46124</v>
      </c>
      <c r="F19" s="75" t="str">
        <f t="shared" si="2"/>
        <v>20260412</v>
      </c>
      <c r="G19" s="76">
        <f>stg_emp_rate_history!$H19</f>
        <v>35</v>
      </c>
      <c r="I19" s="100"/>
    </row>
    <row r="20">
      <c r="A20" s="72"/>
      <c r="B20" s="72" t="str">
        <f>TRIM(stg_emp_rate_history!$A20)</f>
        <v>marinaablitsova01</v>
      </c>
      <c r="C20" s="75">
        <f>stg_emp_rate_history!$F20</f>
        <v>43466</v>
      </c>
      <c r="D20" s="72" t="str">
        <f t="shared" si="1"/>
        <v>20190101</v>
      </c>
      <c r="E20" s="75">
        <f>stg_emp_rate_history!$G20</f>
        <v>46124</v>
      </c>
      <c r="F20" s="75" t="str">
        <f t="shared" si="2"/>
        <v>20260412</v>
      </c>
      <c r="G20" s="76">
        <f>stg_emp_rate_history!$H20</f>
        <v>35</v>
      </c>
    </row>
    <row r="21" ht="15.75" customHeight="1">
      <c r="A21" s="72"/>
      <c r="B21" s="72" t="str">
        <f>TRIM(stg_emp_rate_history!$A21)</f>
        <v>maryanskira01</v>
      </c>
      <c r="C21" s="75">
        <f>stg_emp_rate_history!$F21</f>
        <v>43466</v>
      </c>
      <c r="D21" s="72" t="str">
        <f t="shared" si="1"/>
        <v>20190101</v>
      </c>
      <c r="E21" s="75">
        <f>stg_emp_rate_history!$G21</f>
        <v>46124</v>
      </c>
      <c r="F21" s="75" t="str">
        <f t="shared" si="2"/>
        <v>20260412</v>
      </c>
      <c r="G21" s="76">
        <f>stg_emp_rate_history!$H21</f>
        <v>35</v>
      </c>
    </row>
    <row r="22" ht="15.75" customHeight="1">
      <c r="A22" s="72"/>
      <c r="B22" s="72" t="str">
        <f>TRIM(stg_emp_rate_history!$A22)</f>
        <v>ricardovilchez06</v>
      </c>
      <c r="C22" s="75">
        <f>stg_emp_rate_history!$F22</f>
        <v>43466</v>
      </c>
      <c r="D22" s="72" t="str">
        <f t="shared" si="1"/>
        <v>20190101</v>
      </c>
      <c r="E22" s="75">
        <f>stg_emp_rate_history!$G22</f>
        <v>45488</v>
      </c>
      <c r="F22" s="75" t="str">
        <f t="shared" si="2"/>
        <v>20240715</v>
      </c>
      <c r="G22" s="76">
        <f>stg_emp_rate_history!$H22</f>
        <v>45</v>
      </c>
    </row>
    <row r="23" ht="15.75" customHeight="1">
      <c r="A23" s="72"/>
      <c r="B23" s="72" t="str">
        <f>TRIM(stg_emp_rate_history!$A23)</f>
        <v>ricardovilchez01</v>
      </c>
      <c r="C23" s="75">
        <f>stg_emp_rate_history!$F23</f>
        <v>43466</v>
      </c>
      <c r="D23" s="72" t="str">
        <f t="shared" si="1"/>
        <v>20190101</v>
      </c>
      <c r="E23" s="75">
        <f>stg_emp_rate_history!$G23</f>
        <v>45488</v>
      </c>
      <c r="F23" s="75" t="str">
        <f t="shared" si="2"/>
        <v>20240715</v>
      </c>
      <c r="G23" s="76">
        <f>stg_emp_rate_history!$H23</f>
        <v>38</v>
      </c>
    </row>
    <row r="24" ht="15.75" customHeight="1">
      <c r="A24" s="72"/>
      <c r="B24" s="72" t="str">
        <f>TRIM(stg_emp_rate_history!$A24)</f>
        <v>ricardovilchez02</v>
      </c>
      <c r="C24" s="75">
        <f>stg_emp_rate_history!$F24</f>
        <v>43466</v>
      </c>
      <c r="D24" s="72" t="str">
        <f t="shared" si="1"/>
        <v>20190101</v>
      </c>
      <c r="E24" s="75">
        <f>stg_emp_rate_history!$G24</f>
        <v>45488</v>
      </c>
      <c r="F24" s="75" t="str">
        <f t="shared" si="2"/>
        <v>20240715</v>
      </c>
      <c r="G24" s="76">
        <f>stg_emp_rate_history!$H24</f>
        <v>45</v>
      </c>
    </row>
    <row r="25" ht="15.75" customHeight="1">
      <c r="A25" s="72"/>
      <c r="B25" s="72" t="str">
        <f>TRIM(stg_emp_rate_history!$A25)</f>
        <v>ricardovilchez03</v>
      </c>
      <c r="C25" s="75">
        <f>stg_emp_rate_history!$F25</f>
        <v>43466</v>
      </c>
      <c r="D25" s="72" t="str">
        <f t="shared" si="1"/>
        <v>20190101</v>
      </c>
      <c r="E25" s="75">
        <f>stg_emp_rate_history!$G25</f>
        <v>45488</v>
      </c>
      <c r="F25" s="75" t="str">
        <f t="shared" si="2"/>
        <v>20240715</v>
      </c>
      <c r="G25" s="76">
        <f>stg_emp_rate_history!$H25</f>
        <v>45</v>
      </c>
    </row>
    <row r="26" ht="15.75" customHeight="1">
      <c r="A26" s="72"/>
      <c r="B26" s="72" t="str">
        <f>TRIM(stg_emp_rate_history!$A26)</f>
        <v>shalvasagihashvili01</v>
      </c>
      <c r="C26" s="75">
        <f>stg_emp_rate_history!$F26</f>
        <v>44896</v>
      </c>
      <c r="D26" s="72" t="str">
        <f t="shared" si="1"/>
        <v>20221201</v>
      </c>
      <c r="E26" s="75">
        <f>stg_emp_rate_history!$G26</f>
        <v>45076</v>
      </c>
      <c r="F26" s="75" t="str">
        <f t="shared" si="2"/>
        <v>20230530</v>
      </c>
      <c r="G26" s="76">
        <f>stg_emp_rate_history!$H26</f>
        <v>38</v>
      </c>
    </row>
    <row r="27" ht="15.75" customHeight="1">
      <c r="A27" s="72"/>
      <c r="B27" s="72" t="str">
        <f>TRIM(stg_emp_rate_history!$A27)</f>
        <v>soslanlazarov01</v>
      </c>
      <c r="C27" s="75">
        <f>stg_emp_rate_history!$F27</f>
        <v>43466</v>
      </c>
      <c r="D27" s="72" t="str">
        <f t="shared" si="1"/>
        <v>20190101</v>
      </c>
      <c r="E27" s="75">
        <f>stg_emp_rate_history!$G27</f>
        <v>46124</v>
      </c>
      <c r="F27" s="75" t="str">
        <f t="shared" si="2"/>
        <v>20260412</v>
      </c>
      <c r="G27" s="76">
        <f>stg_emp_rate_history!$H27</f>
        <v>33</v>
      </c>
    </row>
    <row r="28" ht="15.75" customHeight="1">
      <c r="A28" s="72"/>
      <c r="B28" s="72" t="str">
        <f>TRIM(stg_emp_rate_history!$A28)</f>
        <v>tatianaciobanu01</v>
      </c>
      <c r="C28" s="75">
        <f>stg_emp_rate_history!$F28</f>
        <v>43466</v>
      </c>
      <c r="D28" s="72" t="str">
        <f t="shared" si="1"/>
        <v>20190101</v>
      </c>
      <c r="E28" s="75">
        <f>stg_emp_rate_history!$G28</f>
        <v>46124</v>
      </c>
      <c r="F28" s="75" t="str">
        <f t="shared" si="2"/>
        <v>20260412</v>
      </c>
      <c r="G28" s="76">
        <f>stg_emp_rate_history!$H28</f>
        <v>33</v>
      </c>
    </row>
    <row r="29" ht="15.75" customHeight="1">
      <c r="A29" s="72"/>
      <c r="B29" s="72" t="str">
        <f>TRIM(stg_emp_rate_history!$A29)</f>
        <v>tatianaciobanu01</v>
      </c>
      <c r="C29" s="75">
        <f>stg_emp_rate_history!$F29</f>
        <v>46125</v>
      </c>
      <c r="D29" s="72" t="str">
        <f t="shared" si="1"/>
        <v>20260413</v>
      </c>
      <c r="E29" s="75">
        <f>stg_emp_rate_history!$G29</f>
        <v>46208</v>
      </c>
      <c r="F29" s="75" t="str">
        <f t="shared" si="2"/>
        <v>20260705</v>
      </c>
      <c r="G29" s="76">
        <f>stg_emp_rate_history!$H29</f>
        <v>38</v>
      </c>
    </row>
    <row r="30" ht="15.75" customHeight="1">
      <c r="A30" s="72"/>
      <c r="B30" s="72" t="str">
        <f>TRIM(stg_emp_rate_history!$A30)</f>
        <v>zviadinebieridze01</v>
      </c>
      <c r="C30" s="75">
        <f>stg_emp_rate_history!$F30</f>
        <v>43466</v>
      </c>
      <c r="D30" s="72" t="str">
        <f t="shared" si="1"/>
        <v>20190101</v>
      </c>
      <c r="E30" s="75">
        <f>stg_emp_rate_history!$G30</f>
        <v>46124</v>
      </c>
      <c r="F30" s="75" t="str">
        <f t="shared" si="2"/>
        <v>20260412</v>
      </c>
      <c r="G30" s="76">
        <f>stg_emp_rate_history!$H30</f>
        <v>33</v>
      </c>
    </row>
    <row r="31" ht="15.75" customHeight="1">
      <c r="A31" s="72"/>
      <c r="B31" s="72" t="str">
        <f>TRIM(stg_emp_rate_history!$A31)</f>
        <v>chifeihung01</v>
      </c>
      <c r="C31" s="75">
        <f>stg_emp_rate_history!$F31</f>
        <v>46125</v>
      </c>
      <c r="D31" s="72" t="str">
        <f t="shared" si="1"/>
        <v>20260413</v>
      </c>
      <c r="E31" s="75">
        <f>stg_emp_rate_history!$G31</f>
        <v>46208</v>
      </c>
      <c r="F31" s="75" t="str">
        <f t="shared" si="2"/>
        <v>20260705</v>
      </c>
      <c r="G31" s="76">
        <f>stg_emp_rate_history!$H31</f>
        <v>42</v>
      </c>
    </row>
    <row r="32" ht="15.75" customHeight="1">
      <c r="A32" s="72"/>
      <c r="B32" s="72" t="str">
        <f>TRIM(stg_emp_rate_history!$A32)</f>
        <v>chifeihung02</v>
      </c>
      <c r="C32" s="75">
        <f>stg_emp_rate_history!$F32</f>
        <v>46125</v>
      </c>
      <c r="D32" s="72" t="str">
        <f t="shared" si="1"/>
        <v>20260413</v>
      </c>
      <c r="E32" s="75">
        <f>stg_emp_rate_history!$G32</f>
        <v>46208</v>
      </c>
      <c r="F32" s="75" t="str">
        <f t="shared" si="2"/>
        <v>20260705</v>
      </c>
      <c r="G32" s="76">
        <f>stg_emp_rate_history!$H32</f>
        <v>42</v>
      </c>
    </row>
    <row r="33" ht="15.75" customHeight="1">
      <c r="A33" s="72"/>
      <c r="B33" s="72" t="str">
        <f>TRIM(stg_emp_rate_history!$A33)</f>
        <v>cornelalbu01</v>
      </c>
      <c r="C33" s="75">
        <f>stg_emp_rate_history!$F33</f>
        <v>46125</v>
      </c>
      <c r="D33" s="72" t="str">
        <f t="shared" si="1"/>
        <v>20260413</v>
      </c>
      <c r="E33" s="75">
        <f>stg_emp_rate_history!$G33</f>
        <v>46208</v>
      </c>
      <c r="F33" s="75" t="str">
        <f t="shared" si="2"/>
        <v>20260705</v>
      </c>
      <c r="G33" s="76">
        <f>stg_emp_rate_history!$H33</f>
        <v>42</v>
      </c>
    </row>
    <row r="34" ht="15.75" customHeight="1">
      <c r="A34" s="72"/>
      <c r="B34" s="72" t="str">
        <f>TRIM(stg_emp_rate_history!$A34)</f>
        <v>cornelalbu05</v>
      </c>
      <c r="C34" s="75">
        <f>stg_emp_rate_history!$F34</f>
        <v>45658</v>
      </c>
      <c r="D34" s="72" t="str">
        <f t="shared" si="1"/>
        <v>20250101</v>
      </c>
      <c r="E34" s="75">
        <f>stg_emp_rate_history!$G34</f>
        <v>46208</v>
      </c>
      <c r="F34" s="75" t="str">
        <f t="shared" si="2"/>
        <v>20260705</v>
      </c>
      <c r="G34" s="76">
        <f>stg_emp_rate_history!$H34</f>
        <v>45</v>
      </c>
    </row>
    <row r="35" ht="15.75" customHeight="1">
      <c r="A35" s="72"/>
      <c r="B35" s="72" t="str">
        <f>TRIM(stg_emp_rate_history!$A35)</f>
        <v>cornelalbu03</v>
      </c>
      <c r="C35" s="75">
        <f>stg_emp_rate_history!$F35</f>
        <v>46125</v>
      </c>
      <c r="D35" s="72" t="str">
        <f t="shared" si="1"/>
        <v>20260413</v>
      </c>
      <c r="E35" s="75">
        <f>stg_emp_rate_history!$G35</f>
        <v>46208</v>
      </c>
      <c r="F35" s="75" t="str">
        <f t="shared" si="2"/>
        <v>20260705</v>
      </c>
      <c r="G35" s="76">
        <f>stg_emp_rate_history!$H35</f>
        <v>50</v>
      </c>
    </row>
    <row r="36" ht="15.75" customHeight="1">
      <c r="A36" s="72"/>
      <c r="B36" s="72" t="str">
        <f>TRIM(stg_emp_rate_history!$A36)</f>
        <v>ishahasan03</v>
      </c>
      <c r="C36" s="75">
        <f>stg_emp_rate_history!$F36</f>
        <v>43466</v>
      </c>
      <c r="D36" s="72" t="str">
        <f t="shared" si="1"/>
        <v>20190101</v>
      </c>
      <c r="E36" s="75">
        <f>stg_emp_rate_history!$G36</f>
        <v>46208</v>
      </c>
      <c r="F36" s="75" t="str">
        <f t="shared" si="2"/>
        <v>20260705</v>
      </c>
      <c r="G36" s="76">
        <f>stg_emp_rate_history!$H36</f>
        <v>35</v>
      </c>
    </row>
    <row r="37" ht="15.75" customHeight="1">
      <c r="A37" s="72"/>
      <c r="B37" s="72" t="str">
        <f>TRIM(stg_emp_rate_history!$A37)</f>
        <v>igorgroysman01</v>
      </c>
      <c r="C37" s="75">
        <f>stg_emp_rate_history!$F37</f>
        <v>46125</v>
      </c>
      <c r="D37" s="72" t="str">
        <f t="shared" si="1"/>
        <v>20260413</v>
      </c>
      <c r="E37" s="75">
        <f>stg_emp_rate_history!$G37</f>
        <v>46208</v>
      </c>
      <c r="F37" s="75" t="str">
        <f t="shared" si="2"/>
        <v>20260705</v>
      </c>
      <c r="G37" s="76">
        <f>stg_emp_rate_history!$H37</f>
        <v>42</v>
      </c>
    </row>
    <row r="38" ht="15.75" customHeight="1">
      <c r="A38" s="72"/>
      <c r="B38" s="72" t="str">
        <f>TRIM(stg_emp_rate_history!$A38)</f>
        <v>igorgroysman03</v>
      </c>
      <c r="C38" s="75">
        <f>stg_emp_rate_history!$F38</f>
        <v>46125</v>
      </c>
      <c r="D38" s="72" t="str">
        <f t="shared" si="1"/>
        <v>20260413</v>
      </c>
      <c r="E38" s="75">
        <f>stg_emp_rate_history!$G38</f>
        <v>46208</v>
      </c>
      <c r="F38" s="75" t="str">
        <f t="shared" si="2"/>
        <v>20260705</v>
      </c>
      <c r="G38" s="76">
        <f>stg_emp_rate_history!$H38</f>
        <v>55</v>
      </c>
    </row>
    <row r="39" ht="15.75" customHeight="1">
      <c r="A39" s="72"/>
      <c r="B39" s="72" t="str">
        <f>TRIM(stg_emp_rate_history!$A39)</f>
        <v>igorgroysman02</v>
      </c>
      <c r="C39" s="75">
        <f>stg_emp_rate_history!$F39</f>
        <v>46125</v>
      </c>
      <c r="D39" s="72" t="str">
        <f t="shared" si="1"/>
        <v>20260413</v>
      </c>
      <c r="E39" s="75">
        <f>stg_emp_rate_history!$G39</f>
        <v>46208</v>
      </c>
      <c r="F39" s="75" t="str">
        <f t="shared" si="2"/>
        <v>20260705</v>
      </c>
      <c r="G39" s="76">
        <f>stg_emp_rate_history!$H39</f>
        <v>55</v>
      </c>
    </row>
    <row r="40" ht="15.75" customHeight="1">
      <c r="A40" s="72"/>
      <c r="B40" s="72" t="str">
        <f>TRIM(stg_emp_rate_history!$A40)</f>
        <v>joifeihung01</v>
      </c>
      <c r="C40" s="75">
        <f>stg_emp_rate_history!$F40</f>
        <v>46125</v>
      </c>
      <c r="D40" s="72" t="str">
        <f t="shared" si="1"/>
        <v>20260413</v>
      </c>
      <c r="E40" s="75">
        <f>stg_emp_rate_history!$G40</f>
        <v>46208</v>
      </c>
      <c r="F40" s="75" t="str">
        <f t="shared" si="2"/>
        <v>20260705</v>
      </c>
      <c r="G40" s="76">
        <f>stg_emp_rate_history!$H40</f>
        <v>42</v>
      </c>
    </row>
    <row r="41" ht="15.75" customHeight="1">
      <c r="A41" s="72"/>
      <c r="B41" s="72" t="str">
        <f>TRIM(stg_emp_rate_history!$A41)</f>
        <v>leongroysman03</v>
      </c>
      <c r="C41" s="75">
        <f>stg_emp_rate_history!$F41</f>
        <v>46125</v>
      </c>
      <c r="D41" s="72" t="str">
        <f t="shared" si="1"/>
        <v>20260413</v>
      </c>
      <c r="E41" s="75">
        <f>stg_emp_rate_history!$G41</f>
        <v>46208</v>
      </c>
      <c r="F41" s="75" t="str">
        <f t="shared" si="2"/>
        <v>20260705</v>
      </c>
      <c r="G41" s="76">
        <f>stg_emp_rate_history!$H41</f>
        <v>38</v>
      </c>
    </row>
    <row r="42" ht="15.75" customHeight="1">
      <c r="A42" s="72"/>
      <c r="B42" s="72" t="str">
        <f>TRIM(stg_emp_rate_history!$A42)</f>
        <v>leongroysman01</v>
      </c>
      <c r="C42" s="75">
        <f>stg_emp_rate_history!$F42</f>
        <v>46125</v>
      </c>
      <c r="D42" s="72" t="str">
        <f t="shared" si="1"/>
        <v>20260413</v>
      </c>
      <c r="E42" s="75">
        <f>stg_emp_rate_history!$G42</f>
        <v>46208</v>
      </c>
      <c r="F42" s="75" t="str">
        <f t="shared" si="2"/>
        <v>20260705</v>
      </c>
      <c r="G42" s="76">
        <f>stg_emp_rate_history!$H42</f>
        <v>38</v>
      </c>
    </row>
    <row r="43" ht="15.75" customHeight="1">
      <c r="A43" s="72"/>
      <c r="B43" s="72" t="str">
        <f>TRIM(stg_emp_rate_history!$A43)</f>
        <v>marinaablitsova01</v>
      </c>
      <c r="C43" s="75">
        <f>stg_emp_rate_history!$F43</f>
        <v>46125</v>
      </c>
      <c r="D43" s="72" t="str">
        <f t="shared" si="1"/>
        <v>20260413</v>
      </c>
      <c r="E43" s="75">
        <f>stg_emp_rate_history!$G43</f>
        <v>46208</v>
      </c>
      <c r="F43" s="75" t="str">
        <f t="shared" si="2"/>
        <v>20260705</v>
      </c>
      <c r="G43" s="76">
        <f>stg_emp_rate_history!$H43</f>
        <v>38</v>
      </c>
    </row>
    <row r="44" ht="15.75" customHeight="1">
      <c r="A44" s="72"/>
      <c r="B44" s="72" t="str">
        <f>TRIM(stg_emp_rate_history!$A44)</f>
        <v>maryanskira01</v>
      </c>
      <c r="C44" s="75">
        <f>stg_emp_rate_history!$F44</f>
        <v>46125</v>
      </c>
      <c r="D44" s="72" t="str">
        <f t="shared" si="1"/>
        <v>20260413</v>
      </c>
      <c r="E44" s="75">
        <f>stg_emp_rate_history!$G44</f>
        <v>46208</v>
      </c>
      <c r="F44" s="75" t="str">
        <f t="shared" si="2"/>
        <v>20260705</v>
      </c>
      <c r="G44" s="76">
        <f>stg_emp_rate_history!$H44</f>
        <v>38</v>
      </c>
    </row>
    <row r="45" ht="15.75" customHeight="1">
      <c r="A45" s="72"/>
      <c r="B45" s="72" t="str">
        <f>TRIM(stg_emp_rate_history!$A45)</f>
        <v>soslanlazarov01</v>
      </c>
      <c r="C45" s="75">
        <f>stg_emp_rate_history!$F45</f>
        <v>46125</v>
      </c>
      <c r="D45" s="72" t="str">
        <f t="shared" si="1"/>
        <v>20260413</v>
      </c>
      <c r="E45" s="75">
        <f>stg_emp_rate_history!$G45</f>
        <v>46208</v>
      </c>
      <c r="F45" s="75" t="str">
        <f t="shared" si="2"/>
        <v>20260705</v>
      </c>
      <c r="G45" s="76">
        <f>stg_emp_rate_history!$H45</f>
        <v>35</v>
      </c>
    </row>
    <row r="46" ht="15.75" customHeight="1">
      <c r="A46" s="72"/>
      <c r="B46" s="72" t="str">
        <f>TRIM(stg_emp_rate_history!$A46)</f>
        <v>zviadinebieridze01</v>
      </c>
      <c r="C46" s="75">
        <f>stg_emp_rate_history!$F46</f>
        <v>46125</v>
      </c>
      <c r="D46" s="72" t="str">
        <f t="shared" si="1"/>
        <v>20260413</v>
      </c>
      <c r="E46" s="75">
        <f>stg_emp_rate_history!$G46</f>
        <v>46208</v>
      </c>
      <c r="F46" s="75" t="str">
        <f t="shared" si="2"/>
        <v>20260705</v>
      </c>
      <c r="G46" s="76">
        <f>stg_emp_rate_history!$H46</f>
        <v>35</v>
      </c>
    </row>
    <row r="47" ht="15.75" customHeight="1">
      <c r="A47" s="72"/>
      <c r="B47" s="72" t="str">
        <f>TRIM(stg_emp_rate_history!$A49)</f>
        <v>vasilisbellos03</v>
      </c>
      <c r="C47" s="75">
        <f>stg_emp_rate_history!$F49</f>
        <v>43466</v>
      </c>
      <c r="D47" s="72" t="str">
        <f t="shared" si="1"/>
        <v>20190101</v>
      </c>
      <c r="E47" s="75">
        <f>stg_emp_rate_history!$G49</f>
        <v>46124</v>
      </c>
      <c r="F47" s="75" t="str">
        <f t="shared" si="2"/>
        <v>20260412</v>
      </c>
      <c r="G47" s="76">
        <f>stg_emp_rate_history!$H49</f>
        <v>89</v>
      </c>
    </row>
    <row r="48" ht="15.75" customHeight="1">
      <c r="A48" s="72"/>
      <c r="B48" s="72" t="str">
        <f>TRIM(stg_emp_rate_history!$A50)</f>
        <v>vasilisbellos03</v>
      </c>
      <c r="C48" s="75">
        <f>stg_emp_rate_history!$F50</f>
        <v>46125</v>
      </c>
      <c r="D48" s="72" t="str">
        <f t="shared" si="1"/>
        <v>20260413</v>
      </c>
      <c r="E48" s="75">
        <f>stg_emp_rate_history!$G50</f>
        <v>46208</v>
      </c>
      <c r="F48" s="75" t="str">
        <f t="shared" si="2"/>
        <v>20260705</v>
      </c>
      <c r="G48" s="76">
        <f>stg_emp_rate_history!$H50</f>
        <v>89</v>
      </c>
    </row>
    <row r="49" ht="15.75" customHeight="1">
      <c r="A49" s="72"/>
      <c r="B49" s="72" t="str">
        <f>TRIM(stg_emp_rate_history!$A53)</f>
        <v>dimitribellos01</v>
      </c>
      <c r="C49" s="75">
        <f>stg_emp_rate_history!$F53</f>
        <v>43466</v>
      </c>
      <c r="D49" s="72" t="str">
        <f t="shared" si="1"/>
        <v>20190101</v>
      </c>
      <c r="E49" s="75">
        <f>stg_emp_rate_history!$G53</f>
        <v>46124</v>
      </c>
      <c r="F49" s="75" t="str">
        <f t="shared" si="2"/>
        <v>20260412</v>
      </c>
      <c r="G49" s="76">
        <f>stg_emp_rate_history!$H53</f>
        <v>89</v>
      </c>
    </row>
    <row r="50" ht="15.75" customHeight="1">
      <c r="A50" s="72"/>
      <c r="B50" s="72" t="str">
        <f>TRIM(stg_emp_rate_history!$A54)</f>
        <v>dimitribellos01</v>
      </c>
      <c r="C50" s="75">
        <f>stg_emp_rate_history!$F54</f>
        <v>46125</v>
      </c>
      <c r="D50" s="72" t="str">
        <f t="shared" si="1"/>
        <v>20260413</v>
      </c>
      <c r="E50" s="75">
        <f>stg_emp_rate_history!$G54</f>
        <v>46208</v>
      </c>
      <c r="F50" s="75" t="str">
        <f t="shared" si="2"/>
        <v>20260705</v>
      </c>
      <c r="G50" s="76">
        <f>stg_emp_rate_history!$H54</f>
        <v>89</v>
      </c>
    </row>
    <row r="51" ht="15.75" customHeight="1">
      <c r="A51" s="72"/>
      <c r="B51" s="72" t="str">
        <f>TRIM(stg_emp_rate_history!$A55)</f>
        <v>dimitribellos03</v>
      </c>
      <c r="C51" s="75">
        <f>stg_emp_rate_history!$F55</f>
        <v>43466</v>
      </c>
      <c r="D51" s="72" t="str">
        <f t="shared" si="1"/>
        <v>20190101</v>
      </c>
      <c r="E51" s="75">
        <f>stg_emp_rate_history!$G55</f>
        <v>46124</v>
      </c>
      <c r="F51" s="75" t="str">
        <f t="shared" si="2"/>
        <v>20260412</v>
      </c>
      <c r="G51" s="76">
        <f>stg_emp_rate_history!$H55</f>
        <v>89</v>
      </c>
    </row>
    <row r="52" ht="15.75" customHeight="1">
      <c r="A52" s="72"/>
      <c r="B52" s="72" t="str">
        <f>TRIM(stg_emp_rate_history!$A56)</f>
        <v>patriciadros00</v>
      </c>
      <c r="C52" s="75">
        <f>stg_emp_rate_history!$F56</f>
        <v>44896</v>
      </c>
      <c r="D52" s="72" t="str">
        <f t="shared" si="1"/>
        <v>20221201</v>
      </c>
      <c r="E52" s="75">
        <f>stg_emp_rate_history!$G56</f>
        <v>46208</v>
      </c>
      <c r="F52" s="75" t="str">
        <f t="shared" si="2"/>
        <v>20260705</v>
      </c>
      <c r="G52" s="76">
        <v>28.0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1.75"/>
    <col customWidth="1" min="3" max="3" width="36.63"/>
    <col customWidth="1" min="4" max="4" width="11.38"/>
    <col customWidth="1" min="5" max="5" width="28.13"/>
    <col customWidth="1" min="6" max="6" width="49.63"/>
    <col customWidth="1" min="7" max="7" width="7.38"/>
    <col customWidth="1" min="8" max="8" width="20.0"/>
    <col customWidth="1" min="9" max="9" width="32.38"/>
    <col customWidth="1" min="10" max="10" width="31.63"/>
    <col customWidth="1" min="11" max="11" width="33.25"/>
    <col customWidth="1" min="12" max="26" width="8.63"/>
  </cols>
  <sheetData>
    <row r="1">
      <c r="A1" s="72" t="s">
        <v>102</v>
      </c>
      <c r="B1" s="72" t="s">
        <v>892</v>
      </c>
      <c r="C1" s="72" t="s">
        <v>893</v>
      </c>
      <c r="D1" s="72" t="s">
        <v>894</v>
      </c>
      <c r="E1" s="72" t="s">
        <v>865</v>
      </c>
      <c r="F1" s="72" t="s">
        <v>895</v>
      </c>
      <c r="G1" s="72" t="s">
        <v>896</v>
      </c>
      <c r="H1" s="72" t="s">
        <v>897</v>
      </c>
      <c r="I1" s="72" t="s">
        <v>898</v>
      </c>
      <c r="J1" s="72" t="s">
        <v>899</v>
      </c>
      <c r="K1" s="72" t="s">
        <v>900</v>
      </c>
    </row>
    <row r="2">
      <c r="A2" s="72" t="s">
        <v>9</v>
      </c>
      <c r="B2" s="72" t="s">
        <v>901</v>
      </c>
      <c r="C2" s="72" t="s">
        <v>902</v>
      </c>
      <c r="D2" s="72" t="s">
        <v>869</v>
      </c>
      <c r="E2" s="72" t="s">
        <v>903</v>
      </c>
      <c r="F2" s="72" t="str">
        <f>dim_sca_labor_rate!$A2&amp;" "&amp;dim_sca_labor_rate!$D2&amp;" "&amp;dim_sca_labor_rate!$E2&amp;"|"&amp;dim_sca_labor_rate!$H2</f>
        <v>C000015128 Asbestos Certified Industrial Hygienist|</v>
      </c>
      <c r="G2" s="72"/>
      <c r="H2" s="72"/>
      <c r="I2" s="76">
        <v>66.4</v>
      </c>
      <c r="J2" s="76">
        <v>166.664</v>
      </c>
      <c r="K2" s="76">
        <v>160.02400000000003</v>
      </c>
    </row>
    <row r="3">
      <c r="A3" s="72" t="s">
        <v>9</v>
      </c>
      <c r="B3" s="72" t="s">
        <v>904</v>
      </c>
      <c r="C3" s="72" t="s">
        <v>732</v>
      </c>
      <c r="D3" s="72" t="s">
        <v>869</v>
      </c>
      <c r="E3" s="72" t="s">
        <v>876</v>
      </c>
      <c r="F3" s="72" t="str">
        <f>dim_sca_labor_rate!$A3&amp;" "&amp;dim_sca_labor_rate!$D3&amp;" "&amp;dim_sca_labor_rate!$E3&amp;"|"&amp;dim_sca_labor_rate!$H3</f>
        <v>C000015128 Asbestos Inspector|7</v>
      </c>
      <c r="G3" s="72" t="s">
        <v>905</v>
      </c>
      <c r="H3" s="72">
        <v>7.0</v>
      </c>
      <c r="I3" s="76">
        <v>39.42</v>
      </c>
      <c r="J3" s="76">
        <v>98.9442</v>
      </c>
      <c r="K3" s="76">
        <v>95.00220000000002</v>
      </c>
    </row>
    <row r="4">
      <c r="A4" s="72" t="s">
        <v>9</v>
      </c>
      <c r="B4" s="72" t="s">
        <v>906</v>
      </c>
      <c r="C4" s="72" t="s">
        <v>732</v>
      </c>
      <c r="D4" s="72" t="s">
        <v>869</v>
      </c>
      <c r="E4" s="72" t="s">
        <v>876</v>
      </c>
      <c r="F4" s="72" t="str">
        <f>dim_sca_labor_rate!$A4&amp;" "&amp;dim_sca_labor_rate!$D4&amp;" "&amp;dim_sca_labor_rate!$E4&amp;"|"&amp;dim_sca_labor_rate!$H4</f>
        <v>C000015128 Asbestos Inspector|3</v>
      </c>
      <c r="G4" s="72" t="s">
        <v>907</v>
      </c>
      <c r="H4" s="72">
        <v>3.0</v>
      </c>
      <c r="I4" s="76">
        <v>35.27</v>
      </c>
      <c r="J4" s="76">
        <v>88.5277</v>
      </c>
      <c r="K4" s="76">
        <v>85.00070000000001</v>
      </c>
    </row>
    <row r="5">
      <c r="A5" s="72" t="s">
        <v>9</v>
      </c>
      <c r="B5" s="72" t="s">
        <v>908</v>
      </c>
      <c r="C5" s="72" t="s">
        <v>733</v>
      </c>
      <c r="D5" s="72" t="s">
        <v>869</v>
      </c>
      <c r="E5" s="72" t="s">
        <v>872</v>
      </c>
      <c r="F5" s="72" t="str">
        <f>dim_sca_labor_rate!$A5&amp;" "&amp;dim_sca_labor_rate!$D5&amp;" "&amp;dim_sca_labor_rate!$E5&amp;"|"&amp;dim_sca_labor_rate!$H5</f>
        <v>C000015128 Asbestos Investigator|7</v>
      </c>
      <c r="G5" s="72" t="s">
        <v>905</v>
      </c>
      <c r="H5" s="72">
        <v>7.0</v>
      </c>
      <c r="I5" s="76">
        <v>45.65</v>
      </c>
      <c r="J5" s="76">
        <v>114.58149999999999</v>
      </c>
      <c r="K5" s="76">
        <v>110.01650000000001</v>
      </c>
    </row>
    <row r="6">
      <c r="A6" s="72" t="s">
        <v>9</v>
      </c>
      <c r="B6" s="72" t="s">
        <v>909</v>
      </c>
      <c r="C6" s="72" t="s">
        <v>733</v>
      </c>
      <c r="D6" s="72" t="s">
        <v>869</v>
      </c>
      <c r="E6" s="72" t="s">
        <v>872</v>
      </c>
      <c r="F6" s="72" t="str">
        <f>dim_sca_labor_rate!$A6&amp;" "&amp;dim_sca_labor_rate!$D6&amp;" "&amp;dim_sca_labor_rate!$E6&amp;"|"&amp;dim_sca_labor_rate!$H6</f>
        <v>C000015128 Asbestos Investigator|3</v>
      </c>
      <c r="G6" s="72" t="s">
        <v>907</v>
      </c>
      <c r="H6" s="72">
        <v>3.0</v>
      </c>
      <c r="I6" s="76">
        <v>39.42</v>
      </c>
      <c r="J6" s="76">
        <v>98.9442</v>
      </c>
      <c r="K6" s="76">
        <v>95.00220000000002</v>
      </c>
    </row>
    <row r="7">
      <c r="A7" s="72" t="s">
        <v>9</v>
      </c>
      <c r="B7" s="72" t="s">
        <v>910</v>
      </c>
      <c r="C7" s="71" t="s">
        <v>753</v>
      </c>
      <c r="D7" s="72" t="s">
        <v>869</v>
      </c>
      <c r="E7" s="72" t="s">
        <v>871</v>
      </c>
      <c r="F7" s="72" t="str">
        <f>dim_sca_labor_rate!$A7&amp;" "&amp;dim_sca_labor_rate!$D7&amp;" "&amp;dim_sca_labor_rate!$E7&amp;"|"&amp;dim_sca_labor_rate!$H7</f>
        <v>C000015128 Asbestos Air Testing|3</v>
      </c>
      <c r="G7" s="72" t="s">
        <v>907</v>
      </c>
      <c r="H7" s="72">
        <v>3.0</v>
      </c>
      <c r="I7" s="76">
        <v>33.2</v>
      </c>
      <c r="J7" s="76">
        <v>83.332</v>
      </c>
      <c r="K7" s="76">
        <v>80.01200000000001</v>
      </c>
    </row>
    <row r="8">
      <c r="A8" s="72" t="s">
        <v>9</v>
      </c>
      <c r="B8" s="72" t="s">
        <v>910</v>
      </c>
      <c r="C8" s="72" t="s">
        <v>753</v>
      </c>
      <c r="D8" s="72" t="s">
        <v>869</v>
      </c>
      <c r="E8" s="72" t="s">
        <v>871</v>
      </c>
      <c r="F8" s="72" t="str">
        <f>dim_sca_labor_rate!$A8&amp;" "&amp;dim_sca_labor_rate!$D8&amp;" "&amp;dim_sca_labor_rate!$E8&amp;"|"&amp;dim_sca_labor_rate!$H8</f>
        <v>C000015128 Asbestos Air Testing|7</v>
      </c>
      <c r="G8" s="72" t="s">
        <v>905</v>
      </c>
      <c r="H8" s="72">
        <v>7.0</v>
      </c>
      <c r="I8" s="76">
        <v>33.2</v>
      </c>
      <c r="J8" s="76">
        <v>83.332</v>
      </c>
      <c r="K8" s="76">
        <v>80.01200000000001</v>
      </c>
    </row>
    <row r="9">
      <c r="A9" s="72" t="s">
        <v>9</v>
      </c>
      <c r="B9" s="72" t="s">
        <v>911</v>
      </c>
      <c r="C9" s="72" t="s">
        <v>734</v>
      </c>
      <c r="D9" s="72" t="s">
        <v>869</v>
      </c>
      <c r="E9" s="72" t="s">
        <v>873</v>
      </c>
      <c r="F9" s="72" t="str">
        <f>dim_sca_labor_rate!$A9&amp;" "&amp;dim_sca_labor_rate!$D9&amp;" "&amp;dim_sca_labor_rate!$E9&amp;"|"&amp;dim_sca_labor_rate!$H9</f>
        <v>C000015128 Asbestos Project Designer|7</v>
      </c>
      <c r="G9" s="72" t="s">
        <v>905</v>
      </c>
      <c r="H9" s="72">
        <v>7.0</v>
      </c>
      <c r="I9" s="76">
        <v>45.65</v>
      </c>
      <c r="J9" s="76">
        <v>114.58149999999999</v>
      </c>
      <c r="K9" s="76">
        <v>110.01650000000001</v>
      </c>
    </row>
    <row r="10">
      <c r="A10" s="72" t="s">
        <v>9</v>
      </c>
      <c r="B10" s="72" t="s">
        <v>912</v>
      </c>
      <c r="C10" s="72" t="s">
        <v>734</v>
      </c>
      <c r="D10" s="72" t="s">
        <v>869</v>
      </c>
      <c r="E10" s="72" t="s">
        <v>873</v>
      </c>
      <c r="F10" s="72" t="str">
        <f>dim_sca_labor_rate!$A10&amp;" "&amp;dim_sca_labor_rate!$D10&amp;" "&amp;dim_sca_labor_rate!$E10&amp;"|"&amp;dim_sca_labor_rate!$H10</f>
        <v>C000015128 Asbestos Project Designer|3</v>
      </c>
      <c r="G10" s="72" t="s">
        <v>907</v>
      </c>
      <c r="H10" s="72">
        <v>3.0</v>
      </c>
      <c r="I10" s="76">
        <v>37.35</v>
      </c>
      <c r="J10" s="76">
        <v>93.74849999999999</v>
      </c>
      <c r="K10" s="76">
        <v>90.01350000000001</v>
      </c>
    </row>
    <row r="11">
      <c r="A11" s="72" t="s">
        <v>9</v>
      </c>
      <c r="B11" s="72" t="s">
        <v>913</v>
      </c>
      <c r="C11" s="72" t="s">
        <v>735</v>
      </c>
      <c r="D11" s="72" t="s">
        <v>869</v>
      </c>
      <c r="E11" s="72" t="s">
        <v>874</v>
      </c>
      <c r="F11" s="72" t="str">
        <f>dim_sca_labor_rate!$A11&amp;" "&amp;dim_sca_labor_rate!$D11&amp;" "&amp;dim_sca_labor_rate!$E11&amp;"|"&amp;dim_sca_labor_rate!$H11</f>
        <v>C000015128 Asbestos Project Manager|7</v>
      </c>
      <c r="G11" s="72" t="s">
        <v>905</v>
      </c>
      <c r="H11" s="72">
        <v>7.0</v>
      </c>
      <c r="I11" s="76">
        <v>58.1</v>
      </c>
      <c r="J11" s="76">
        <v>145.831</v>
      </c>
      <c r="K11" s="76">
        <v>140.02100000000002</v>
      </c>
    </row>
    <row r="12">
      <c r="A12" s="72" t="s">
        <v>9</v>
      </c>
      <c r="B12" s="72" t="s">
        <v>914</v>
      </c>
      <c r="C12" s="72" t="s">
        <v>735</v>
      </c>
      <c r="D12" s="72" t="s">
        <v>869</v>
      </c>
      <c r="E12" s="72" t="s">
        <v>874</v>
      </c>
      <c r="F12" s="72" t="str">
        <f>dim_sca_labor_rate!$A12&amp;" "&amp;dim_sca_labor_rate!$D12&amp;" "&amp;dim_sca_labor_rate!$E12&amp;"|"&amp;dim_sca_labor_rate!$H12</f>
        <v>C000015128 Asbestos Project Manager|3</v>
      </c>
      <c r="G12" s="72" t="s">
        <v>907</v>
      </c>
      <c r="H12" s="72">
        <v>3.0</v>
      </c>
      <c r="I12" s="76">
        <v>45.64</v>
      </c>
      <c r="J12" s="76">
        <v>114.5564</v>
      </c>
      <c r="K12" s="76">
        <v>109.9924</v>
      </c>
    </row>
    <row r="13">
      <c r="A13" s="72" t="s">
        <v>9</v>
      </c>
      <c r="B13" s="72" t="s">
        <v>915</v>
      </c>
      <c r="C13" s="72" t="s">
        <v>731</v>
      </c>
      <c r="D13" s="72" t="s">
        <v>869</v>
      </c>
      <c r="E13" s="72" t="s">
        <v>870</v>
      </c>
      <c r="F13" s="72" t="str">
        <f>dim_sca_labor_rate!$A13&amp;" "&amp;dim_sca_labor_rate!$D13&amp;" "&amp;dim_sca_labor_rate!$E13&amp;"|"&amp;dim_sca_labor_rate!$H13</f>
        <v>C000015128 Asbestos Project Monitor|7</v>
      </c>
      <c r="G13" s="72" t="s">
        <v>905</v>
      </c>
      <c r="H13" s="72">
        <v>7.0</v>
      </c>
      <c r="I13" s="76">
        <v>35.27</v>
      </c>
      <c r="J13" s="76">
        <v>88.5277</v>
      </c>
      <c r="K13" s="76">
        <v>85.00070000000001</v>
      </c>
    </row>
    <row r="14">
      <c r="A14" s="72" t="s">
        <v>9</v>
      </c>
      <c r="B14" s="72" t="s">
        <v>915</v>
      </c>
      <c r="C14" s="72" t="s">
        <v>731</v>
      </c>
      <c r="D14" s="72" t="s">
        <v>869</v>
      </c>
      <c r="E14" s="72" t="s">
        <v>870</v>
      </c>
      <c r="F14" s="72" t="str">
        <f>dim_sca_labor_rate!$A14&amp;" "&amp;dim_sca_labor_rate!$D14&amp;" "&amp;dim_sca_labor_rate!$E14&amp;"|"&amp;dim_sca_labor_rate!$H14</f>
        <v>C000015128 Asbestos Project Monitor|3</v>
      </c>
      <c r="G14" s="72" t="s">
        <v>907</v>
      </c>
      <c r="H14" s="72">
        <v>3.0</v>
      </c>
      <c r="I14" s="76">
        <v>35.27</v>
      </c>
      <c r="J14" s="76">
        <v>88.5277</v>
      </c>
      <c r="K14" s="76">
        <v>85.00070000000001</v>
      </c>
    </row>
    <row r="15">
      <c r="A15" s="72" t="s">
        <v>9</v>
      </c>
      <c r="B15" s="72" t="s">
        <v>916</v>
      </c>
      <c r="C15" s="72" t="s">
        <v>917</v>
      </c>
      <c r="D15" s="72" t="s">
        <v>918</v>
      </c>
      <c r="E15" s="72" t="s">
        <v>919</v>
      </c>
      <c r="F15" s="72" t="str">
        <f>dim_sca_labor_rate!$A15&amp;" "&amp;dim_sca_labor_rate!$D15&amp;" "&amp;dim_sca_labor_rate!$E15&amp;"|"&amp;dim_sca_labor_rate!$H15</f>
        <v>C000015128 Computer Assisted Design Draftsperson|3</v>
      </c>
      <c r="G15" s="72" t="s">
        <v>907</v>
      </c>
      <c r="H15" s="72">
        <v>3.0</v>
      </c>
      <c r="I15" s="76">
        <v>29.05</v>
      </c>
      <c r="J15" s="76">
        <v>72.9155</v>
      </c>
      <c r="K15" s="76">
        <v>70.01050000000001</v>
      </c>
    </row>
    <row r="16">
      <c r="A16" s="72" t="s">
        <v>9</v>
      </c>
      <c r="B16" s="72" t="s">
        <v>920</v>
      </c>
      <c r="C16" s="72" t="s">
        <v>921</v>
      </c>
      <c r="D16" s="72" t="s">
        <v>922</v>
      </c>
      <c r="E16" s="72" t="s">
        <v>923</v>
      </c>
      <c r="F16" s="72" t="str">
        <f>dim_sca_labor_rate!$A16&amp;" "&amp;dim_sca_labor_rate!$D16&amp;" "&amp;dim_sca_labor_rate!$E16&amp;"|"&amp;dim_sca_labor_rate!$H16</f>
        <v>C000015128 Field Engineer P.E.|</v>
      </c>
      <c r="G16" s="72"/>
      <c r="H16" s="72"/>
      <c r="I16" s="76">
        <v>68.46</v>
      </c>
      <c r="J16" s="76">
        <v>171.83459999999997</v>
      </c>
      <c r="K16" s="76">
        <v>164.9886</v>
      </c>
    </row>
    <row r="17">
      <c r="A17" s="72" t="s">
        <v>9</v>
      </c>
      <c r="B17" s="72" t="s">
        <v>924</v>
      </c>
      <c r="C17" s="72" t="s">
        <v>925</v>
      </c>
      <c r="D17" s="72" t="s">
        <v>875</v>
      </c>
      <c r="E17" s="72" t="s">
        <v>876</v>
      </c>
      <c r="F17" s="72" t="str">
        <f>dim_sca_labor_rate!$A17&amp;" "&amp;dim_sca_labor_rate!$D17&amp;" "&amp;dim_sca_labor_rate!$E17&amp;"|"&amp;dim_sca_labor_rate!$H17</f>
        <v>C000015128 Lead Inspector|7</v>
      </c>
      <c r="G17" s="72" t="s">
        <v>905</v>
      </c>
      <c r="H17" s="72">
        <v>7.0</v>
      </c>
      <c r="I17" s="76">
        <v>37.34</v>
      </c>
      <c r="J17" s="76">
        <v>93.7234</v>
      </c>
      <c r="K17" s="76">
        <v>89.98940000000002</v>
      </c>
    </row>
    <row r="18">
      <c r="A18" s="72" t="s">
        <v>9</v>
      </c>
      <c r="B18" s="72" t="s">
        <v>926</v>
      </c>
      <c r="C18" s="72" t="s">
        <v>925</v>
      </c>
      <c r="D18" s="72" t="s">
        <v>875</v>
      </c>
      <c r="E18" s="72" t="s">
        <v>876</v>
      </c>
      <c r="F18" s="72" t="str">
        <f>dim_sca_labor_rate!$A18&amp;" "&amp;dim_sca_labor_rate!$D18&amp;" "&amp;dim_sca_labor_rate!$E18&amp;"|"&amp;dim_sca_labor_rate!$H18</f>
        <v>C000015128 Lead Inspector|3</v>
      </c>
      <c r="G18" s="72" t="s">
        <v>907</v>
      </c>
      <c r="H18" s="72">
        <v>3.0</v>
      </c>
      <c r="I18" s="76">
        <v>31.12</v>
      </c>
      <c r="J18" s="76">
        <v>78.1112</v>
      </c>
      <c r="K18" s="76">
        <v>74.9992</v>
      </c>
    </row>
    <row r="19">
      <c r="A19" s="72" t="s">
        <v>9</v>
      </c>
      <c r="B19" s="72" t="s">
        <v>927</v>
      </c>
      <c r="C19" s="72" t="s">
        <v>928</v>
      </c>
      <c r="D19" s="72" t="s">
        <v>875</v>
      </c>
      <c r="E19" s="72" t="s">
        <v>877</v>
      </c>
      <c r="F19" s="72" t="str">
        <f>dim_sca_labor_rate!$A19&amp;" "&amp;dim_sca_labor_rate!$D19&amp;" "&amp;dim_sca_labor_rate!$E19&amp;"|"&amp;dim_sca_labor_rate!$H19</f>
        <v>C000015128 Lead Inspector / Risk Assessor|7</v>
      </c>
      <c r="G19" s="72" t="s">
        <v>905</v>
      </c>
      <c r="H19" s="72">
        <v>7.0</v>
      </c>
      <c r="I19" s="76">
        <v>45.64</v>
      </c>
      <c r="J19" s="76">
        <v>114.5564</v>
      </c>
      <c r="K19" s="76">
        <v>109.9924</v>
      </c>
    </row>
    <row r="20">
      <c r="A20" s="72" t="s">
        <v>9</v>
      </c>
      <c r="B20" s="72" t="s">
        <v>929</v>
      </c>
      <c r="C20" s="72" t="s">
        <v>928</v>
      </c>
      <c r="D20" s="72" t="s">
        <v>875</v>
      </c>
      <c r="E20" s="72" t="s">
        <v>877</v>
      </c>
      <c r="F20" s="72" t="str">
        <f>dim_sca_labor_rate!$A20&amp;" "&amp;dim_sca_labor_rate!$D20&amp;" "&amp;dim_sca_labor_rate!$E20&amp;"|"&amp;dim_sca_labor_rate!$H20</f>
        <v>C000015128 Lead Inspector / Risk Assessor|3</v>
      </c>
      <c r="G20" s="72" t="s">
        <v>907</v>
      </c>
      <c r="H20" s="72">
        <v>3.0</v>
      </c>
      <c r="I20" s="76">
        <v>39.42</v>
      </c>
      <c r="J20" s="76">
        <v>98.9442</v>
      </c>
      <c r="K20" s="76">
        <v>95.00220000000002</v>
      </c>
    </row>
    <row r="21" ht="15.75" customHeight="1">
      <c r="A21" s="72" t="s">
        <v>9</v>
      </c>
      <c r="B21" s="72" t="s">
        <v>930</v>
      </c>
      <c r="C21" s="72" t="s">
        <v>931</v>
      </c>
      <c r="D21" s="72" t="s">
        <v>875</v>
      </c>
      <c r="E21" s="72" t="s">
        <v>873</v>
      </c>
      <c r="F21" s="72" t="str">
        <f>dim_sca_labor_rate!$A21&amp;" "&amp;dim_sca_labor_rate!$D21&amp;" "&amp;dim_sca_labor_rate!$E21&amp;"|"&amp;dim_sca_labor_rate!$H21</f>
        <v>C000015128 Lead Project Designer|7</v>
      </c>
      <c r="G21" s="72" t="s">
        <v>905</v>
      </c>
      <c r="H21" s="72">
        <v>7.0</v>
      </c>
      <c r="I21" s="76">
        <v>41.49</v>
      </c>
      <c r="J21" s="76">
        <v>104.1399</v>
      </c>
      <c r="K21" s="76">
        <v>99.99090000000001</v>
      </c>
    </row>
    <row r="22" ht="15.75" customHeight="1">
      <c r="A22" s="72" t="s">
        <v>9</v>
      </c>
      <c r="B22" s="72" t="s">
        <v>932</v>
      </c>
      <c r="C22" s="72" t="s">
        <v>931</v>
      </c>
      <c r="D22" s="72" t="s">
        <v>875</v>
      </c>
      <c r="E22" s="72" t="s">
        <v>873</v>
      </c>
      <c r="F22" s="72" t="str">
        <f>dim_sca_labor_rate!$A22&amp;" "&amp;dim_sca_labor_rate!$D22&amp;" "&amp;dim_sca_labor_rate!$E22&amp;"|"&amp;dim_sca_labor_rate!$H22</f>
        <v>C000015128 Lead Project Designer|3</v>
      </c>
      <c r="G22" s="72" t="s">
        <v>907</v>
      </c>
      <c r="H22" s="72">
        <v>3.0</v>
      </c>
      <c r="I22" s="76">
        <v>31.12</v>
      </c>
      <c r="J22" s="76">
        <v>78.1112</v>
      </c>
      <c r="K22" s="76">
        <v>74.9992</v>
      </c>
    </row>
    <row r="23" ht="15.75" customHeight="1">
      <c r="A23" s="72" t="s">
        <v>9</v>
      </c>
      <c r="B23" s="72" t="s">
        <v>933</v>
      </c>
      <c r="C23" s="72" t="s">
        <v>934</v>
      </c>
      <c r="D23" s="72" t="s">
        <v>935</v>
      </c>
      <c r="E23" s="72" t="s">
        <v>936</v>
      </c>
      <c r="F23" s="72" t="str">
        <f>dim_sca_labor_rate!$A23&amp;" "&amp;dim_sca_labor_rate!$D23&amp;" "&amp;dim_sca_labor_rate!$E23&amp;"|"&amp;dim_sca_labor_rate!$H23</f>
        <v>C000015128 SSPC C3 Certified Lead Supervisor|7</v>
      </c>
      <c r="G23" s="72" t="s">
        <v>905</v>
      </c>
      <c r="H23" s="72">
        <v>7.0</v>
      </c>
      <c r="I23" s="76">
        <v>41.49</v>
      </c>
      <c r="J23" s="76">
        <v>104.1399</v>
      </c>
      <c r="K23" s="76">
        <v>99.99090000000001</v>
      </c>
    </row>
    <row r="24" ht="15.75" customHeight="1">
      <c r="A24" s="72" t="s">
        <v>9</v>
      </c>
      <c r="B24" s="72" t="s">
        <v>937</v>
      </c>
      <c r="C24" s="72" t="s">
        <v>934</v>
      </c>
      <c r="D24" s="72" t="s">
        <v>935</v>
      </c>
      <c r="E24" s="72" t="s">
        <v>936</v>
      </c>
      <c r="F24" s="72" t="str">
        <f>dim_sca_labor_rate!$A24&amp;" "&amp;dim_sca_labor_rate!$D24&amp;" "&amp;dim_sca_labor_rate!$E24&amp;"|"&amp;dim_sca_labor_rate!$H24</f>
        <v>C000015128 SSPC C3 Certified Lead Supervisor|3</v>
      </c>
      <c r="G24" s="72" t="s">
        <v>907</v>
      </c>
      <c r="H24" s="72">
        <v>3.0</v>
      </c>
      <c r="I24" s="76">
        <v>35.27</v>
      </c>
      <c r="J24" s="76">
        <v>88.5277</v>
      </c>
      <c r="K24" s="76">
        <v>85.00070000000001</v>
      </c>
    </row>
    <row r="25" ht="15.75" customHeight="1">
      <c r="A25" s="72" t="s">
        <v>9</v>
      </c>
      <c r="B25" s="72" t="s">
        <v>938</v>
      </c>
      <c r="C25" s="72" t="s">
        <v>939</v>
      </c>
      <c r="D25" s="72" t="s">
        <v>940</v>
      </c>
      <c r="E25" s="72" t="s">
        <v>903</v>
      </c>
      <c r="F25" s="72" t="str">
        <f>dim_sca_labor_rate!$A25&amp;" "&amp;dim_sca_labor_rate!$D25&amp;" "&amp;dim_sca_labor_rate!$E25&amp;"|"&amp;dim_sca_labor_rate!$H25</f>
        <v>C000015128 Mold Certified Industrial Hygienist|</v>
      </c>
      <c r="G25" s="72"/>
      <c r="H25" s="72"/>
      <c r="I25" s="76">
        <v>66.39</v>
      </c>
      <c r="J25" s="76">
        <v>166.63889999999998</v>
      </c>
      <c r="K25" s="76">
        <v>159.9999</v>
      </c>
    </row>
    <row r="26" ht="15.75" customHeight="1">
      <c r="A26" s="72" t="s">
        <v>9</v>
      </c>
      <c r="B26" s="72" t="s">
        <v>941</v>
      </c>
      <c r="C26" s="72" t="s">
        <v>942</v>
      </c>
      <c r="D26" s="72" t="s">
        <v>940</v>
      </c>
      <c r="E26" s="72" t="s">
        <v>943</v>
      </c>
      <c r="F26" s="72" t="str">
        <f>dim_sca_labor_rate!$A26&amp;" "&amp;dim_sca_labor_rate!$D26&amp;" "&amp;dim_sca_labor_rate!$E26&amp;"|"&amp;dim_sca_labor_rate!$H26</f>
        <v>C000015128 Mold Field Technician|3</v>
      </c>
      <c r="G26" s="72"/>
      <c r="H26" s="72">
        <v>3.0</v>
      </c>
      <c r="I26" s="76">
        <v>33.2</v>
      </c>
      <c r="J26" s="76">
        <v>83.332</v>
      </c>
      <c r="K26" s="76">
        <v>80.01200000000001</v>
      </c>
    </row>
    <row r="27" ht="15.75" customHeight="1">
      <c r="A27" s="72" t="s">
        <v>9</v>
      </c>
      <c r="B27" s="72" t="s">
        <v>944</v>
      </c>
      <c r="C27" s="72" t="s">
        <v>945</v>
      </c>
      <c r="D27" s="72" t="s">
        <v>940</v>
      </c>
      <c r="E27" s="72" t="s">
        <v>946</v>
      </c>
      <c r="F27" s="72" t="str">
        <f>dim_sca_labor_rate!$A27&amp;" "&amp;dim_sca_labor_rate!$D27&amp;" "&amp;dim_sca_labor_rate!$E27&amp;"|"&amp;dim_sca_labor_rate!$H27</f>
        <v>C000015128 Mold Program Director|15</v>
      </c>
      <c r="G27" s="72"/>
      <c r="H27" s="72">
        <v>15.0</v>
      </c>
      <c r="I27" s="76">
        <v>66.39</v>
      </c>
      <c r="J27" s="76">
        <v>166.63889999999998</v>
      </c>
      <c r="K27" s="76">
        <v>159.9999</v>
      </c>
    </row>
    <row r="28" ht="15.75" customHeight="1">
      <c r="A28" s="72" t="s">
        <v>9</v>
      </c>
      <c r="B28" s="72" t="s">
        <v>947</v>
      </c>
      <c r="C28" s="72" t="s">
        <v>948</v>
      </c>
      <c r="D28" s="72" t="s">
        <v>940</v>
      </c>
      <c r="E28" s="72" t="s">
        <v>874</v>
      </c>
      <c r="F28" s="72" t="str">
        <f>dim_sca_labor_rate!$A28&amp;" "&amp;dim_sca_labor_rate!$D28&amp;" "&amp;dim_sca_labor_rate!$E28&amp;"|"&amp;dim_sca_labor_rate!$H28</f>
        <v>C000015128 Mold Project Manager|7</v>
      </c>
      <c r="G28" s="72" t="s">
        <v>905</v>
      </c>
      <c r="H28" s="72">
        <v>7.0</v>
      </c>
      <c r="I28" s="76">
        <v>60.17</v>
      </c>
      <c r="J28" s="76">
        <v>151.0267</v>
      </c>
      <c r="K28" s="76">
        <v>145.0097</v>
      </c>
    </row>
    <row r="29" ht="15.75" customHeight="1">
      <c r="A29" s="72" t="s">
        <v>9</v>
      </c>
      <c r="B29" s="72" t="s">
        <v>949</v>
      </c>
      <c r="C29" s="72" t="s">
        <v>948</v>
      </c>
      <c r="D29" s="72" t="s">
        <v>940</v>
      </c>
      <c r="E29" s="72" t="s">
        <v>874</v>
      </c>
      <c r="F29" s="72" t="str">
        <f>dim_sca_labor_rate!$A29&amp;" "&amp;dim_sca_labor_rate!$D29&amp;" "&amp;dim_sca_labor_rate!$E29&amp;"|"&amp;dim_sca_labor_rate!$H29</f>
        <v>C000015128 Mold Project Manager|3</v>
      </c>
      <c r="G29" s="72" t="s">
        <v>907</v>
      </c>
      <c r="H29" s="72">
        <v>3.0</v>
      </c>
      <c r="I29" s="76">
        <v>45.64</v>
      </c>
      <c r="J29" s="76">
        <v>114.5564</v>
      </c>
      <c r="K29" s="76">
        <v>109.9924</v>
      </c>
    </row>
    <row r="30" ht="15.75" customHeight="1">
      <c r="A30" s="72" t="s">
        <v>9</v>
      </c>
      <c r="B30" s="72" t="s">
        <v>950</v>
      </c>
      <c r="C30" s="72" t="s">
        <v>951</v>
      </c>
      <c r="D30" s="72" t="s">
        <v>952</v>
      </c>
      <c r="E30" s="72" t="s">
        <v>903</v>
      </c>
      <c r="F30" s="72" t="str">
        <f>dim_sca_labor_rate!$A30&amp;" "&amp;dim_sca_labor_rate!$D30&amp;" "&amp;dim_sca_labor_rate!$E30&amp;"|"&amp;dim_sca_labor_rate!$H30</f>
        <v>C000015128 PCB Certified Industrial Hygienist|</v>
      </c>
      <c r="G30" s="72"/>
      <c r="H30" s="72"/>
      <c r="I30" s="76">
        <v>66.39</v>
      </c>
      <c r="J30" s="76">
        <v>166.63889999999998</v>
      </c>
      <c r="K30" s="76">
        <v>159.9999</v>
      </c>
    </row>
    <row r="31" ht="15.75" customHeight="1">
      <c r="A31" s="72" t="s">
        <v>9</v>
      </c>
      <c r="B31" s="72" t="s">
        <v>953</v>
      </c>
      <c r="C31" s="72" t="s">
        <v>954</v>
      </c>
      <c r="D31" s="72" t="s">
        <v>952</v>
      </c>
      <c r="E31" s="72" t="s">
        <v>943</v>
      </c>
      <c r="F31" s="72" t="str">
        <f>dim_sca_labor_rate!$A31&amp;" "&amp;dim_sca_labor_rate!$D31&amp;" "&amp;dim_sca_labor_rate!$E31&amp;"|"&amp;dim_sca_labor_rate!$H31</f>
        <v>C000015128 PCB Field Technician|7</v>
      </c>
      <c r="G31" s="72" t="s">
        <v>905</v>
      </c>
      <c r="H31" s="72">
        <v>7.0</v>
      </c>
      <c r="I31" s="76">
        <v>33.2</v>
      </c>
      <c r="J31" s="76">
        <v>83.332</v>
      </c>
      <c r="K31" s="76">
        <v>80.01200000000001</v>
      </c>
    </row>
    <row r="32" ht="15.75" customHeight="1">
      <c r="A32" s="72" t="s">
        <v>9</v>
      </c>
      <c r="B32" s="72" t="s">
        <v>955</v>
      </c>
      <c r="C32" s="72" t="s">
        <v>954</v>
      </c>
      <c r="D32" s="72" t="s">
        <v>952</v>
      </c>
      <c r="E32" s="72" t="s">
        <v>943</v>
      </c>
      <c r="F32" s="72" t="str">
        <f>dim_sca_labor_rate!$A32&amp;" "&amp;dim_sca_labor_rate!$D32&amp;" "&amp;dim_sca_labor_rate!$E32&amp;"|"&amp;dim_sca_labor_rate!$H32</f>
        <v>C000015128 PCB Field Technician|3</v>
      </c>
      <c r="G32" s="72" t="s">
        <v>907</v>
      </c>
      <c r="H32" s="72">
        <v>3.0</v>
      </c>
      <c r="I32" s="76">
        <v>31.12</v>
      </c>
      <c r="J32" s="76">
        <v>78.1112</v>
      </c>
      <c r="K32" s="76">
        <v>74.9992</v>
      </c>
    </row>
    <row r="33" ht="15.75" customHeight="1">
      <c r="A33" s="72" t="s">
        <v>9</v>
      </c>
      <c r="B33" s="72" t="s">
        <v>956</v>
      </c>
      <c r="C33" s="72" t="s">
        <v>957</v>
      </c>
      <c r="D33" s="72" t="s">
        <v>952</v>
      </c>
      <c r="E33" s="72" t="s">
        <v>946</v>
      </c>
      <c r="F33" s="72" t="str">
        <f>dim_sca_labor_rate!$A33&amp;" "&amp;dim_sca_labor_rate!$D33&amp;" "&amp;dim_sca_labor_rate!$E33&amp;"|"&amp;dim_sca_labor_rate!$H33</f>
        <v>C000015128 PCB Program Director|15</v>
      </c>
      <c r="G33" s="72"/>
      <c r="H33" s="72">
        <v>15.0</v>
      </c>
      <c r="I33" s="76">
        <v>68.46</v>
      </c>
      <c r="J33" s="76">
        <v>171.83459999999997</v>
      </c>
      <c r="K33" s="76">
        <v>164.9886</v>
      </c>
    </row>
    <row r="34" ht="15.75" customHeight="1">
      <c r="A34" s="72" t="s">
        <v>9</v>
      </c>
      <c r="B34" s="72" t="s">
        <v>958</v>
      </c>
      <c r="C34" s="72" t="s">
        <v>959</v>
      </c>
      <c r="D34" s="72" t="s">
        <v>952</v>
      </c>
      <c r="E34" s="72" t="s">
        <v>874</v>
      </c>
      <c r="F34" s="72" t="str">
        <f>dim_sca_labor_rate!$A34&amp;" "&amp;dim_sca_labor_rate!$D34&amp;" "&amp;dim_sca_labor_rate!$E34&amp;"|"&amp;dim_sca_labor_rate!$H34</f>
        <v>C000015128 PCB Project Manager|5</v>
      </c>
      <c r="G34" s="72"/>
      <c r="H34" s="72">
        <v>5.0</v>
      </c>
      <c r="I34" s="76">
        <v>58.09</v>
      </c>
      <c r="J34" s="76">
        <v>145.8059</v>
      </c>
      <c r="K34" s="76">
        <v>139.9969</v>
      </c>
    </row>
    <row r="35" ht="15.75" customHeight="1">
      <c r="A35" s="72" t="s">
        <v>7</v>
      </c>
      <c r="B35" s="72" t="s">
        <v>901</v>
      </c>
      <c r="C35" s="72" t="s">
        <v>902</v>
      </c>
      <c r="D35" s="72" t="s">
        <v>869</v>
      </c>
      <c r="E35" s="72" t="s">
        <v>903</v>
      </c>
      <c r="F35" s="72" t="str">
        <f>dim_sca_labor_rate!$A35&amp;" "&amp;dim_sca_labor_rate!$D35&amp;" "&amp;dim_sca_labor_rate!$E35&amp;"|"&amp;dim_sca_labor_rate!$H35</f>
        <v>C000015869 Asbestos Certified Industrial Hygienist|</v>
      </c>
      <c r="G35" s="72"/>
      <c r="H35" s="72"/>
      <c r="I35" s="76">
        <v>75.0</v>
      </c>
      <c r="J35" s="76">
        <v>206.25</v>
      </c>
      <c r="K35" s="76">
        <v>190.5</v>
      </c>
    </row>
    <row r="36" ht="15.75" customHeight="1">
      <c r="A36" s="72" t="s">
        <v>7</v>
      </c>
      <c r="B36" s="72" t="s">
        <v>904</v>
      </c>
      <c r="C36" s="72" t="s">
        <v>732</v>
      </c>
      <c r="D36" s="72" t="s">
        <v>869</v>
      </c>
      <c r="E36" s="72" t="s">
        <v>876</v>
      </c>
      <c r="F36" s="72" t="str">
        <f>dim_sca_labor_rate!$A36&amp;" "&amp;dim_sca_labor_rate!$D36&amp;" "&amp;dim_sca_labor_rate!$E36&amp;"|"&amp;dim_sca_labor_rate!$H36</f>
        <v>C000015869 Asbestos Inspector|7</v>
      </c>
      <c r="G36" s="72" t="s">
        <v>905</v>
      </c>
      <c r="H36" s="72">
        <v>7.0</v>
      </c>
      <c r="I36" s="76">
        <v>43.0</v>
      </c>
      <c r="J36" s="76">
        <v>118.25</v>
      </c>
      <c r="K36" s="76">
        <v>109.22</v>
      </c>
    </row>
    <row r="37" ht="15.75" customHeight="1">
      <c r="A37" s="72" t="s">
        <v>7</v>
      </c>
      <c r="B37" s="72" t="s">
        <v>906</v>
      </c>
      <c r="C37" s="72" t="s">
        <v>732</v>
      </c>
      <c r="D37" s="72" t="s">
        <v>869</v>
      </c>
      <c r="E37" s="72" t="s">
        <v>876</v>
      </c>
      <c r="F37" s="72" t="str">
        <f>dim_sca_labor_rate!$A37&amp;" "&amp;dim_sca_labor_rate!$D37&amp;" "&amp;dim_sca_labor_rate!$E37&amp;"|"&amp;dim_sca_labor_rate!$H37</f>
        <v>C000015869 Asbestos Inspector|3</v>
      </c>
      <c r="G37" s="72" t="s">
        <v>907</v>
      </c>
      <c r="H37" s="72">
        <v>3.0</v>
      </c>
      <c r="I37" s="76">
        <v>36.0</v>
      </c>
      <c r="J37" s="76">
        <v>99.0</v>
      </c>
      <c r="K37" s="76">
        <v>91.44</v>
      </c>
    </row>
    <row r="38" ht="15.75" customHeight="1">
      <c r="A38" s="72" t="s">
        <v>7</v>
      </c>
      <c r="B38" s="72" t="s">
        <v>908</v>
      </c>
      <c r="C38" s="72" t="s">
        <v>733</v>
      </c>
      <c r="D38" s="72" t="s">
        <v>869</v>
      </c>
      <c r="E38" s="72" t="s">
        <v>872</v>
      </c>
      <c r="F38" s="72" t="str">
        <f>dim_sca_labor_rate!$A38&amp;" "&amp;dim_sca_labor_rate!$D38&amp;" "&amp;dim_sca_labor_rate!$E38&amp;"|"&amp;dim_sca_labor_rate!$H38</f>
        <v>C000015869 Asbestos Investigator|7</v>
      </c>
      <c r="G38" s="72" t="s">
        <v>905</v>
      </c>
      <c r="H38" s="72">
        <v>7.0</v>
      </c>
      <c r="I38" s="76">
        <v>49.0</v>
      </c>
      <c r="J38" s="76">
        <v>134.75</v>
      </c>
      <c r="K38" s="76">
        <v>124.46000000000001</v>
      </c>
    </row>
    <row r="39" ht="15.75" customHeight="1">
      <c r="A39" s="72" t="s">
        <v>7</v>
      </c>
      <c r="B39" s="72" t="s">
        <v>909</v>
      </c>
      <c r="C39" s="72" t="s">
        <v>733</v>
      </c>
      <c r="D39" s="72" t="s">
        <v>869</v>
      </c>
      <c r="E39" s="72" t="s">
        <v>872</v>
      </c>
      <c r="F39" s="72" t="str">
        <f>dim_sca_labor_rate!$A39&amp;" "&amp;dim_sca_labor_rate!$D39&amp;" "&amp;dim_sca_labor_rate!$E39&amp;"|"&amp;dim_sca_labor_rate!$H39</f>
        <v>C000015869 Asbestos Investigator|3</v>
      </c>
      <c r="G39" s="72" t="s">
        <v>907</v>
      </c>
      <c r="H39" s="72">
        <v>3.0</v>
      </c>
      <c r="I39" s="76">
        <v>42.0</v>
      </c>
      <c r="J39" s="76">
        <v>115.5</v>
      </c>
      <c r="K39" s="76">
        <v>106.68</v>
      </c>
    </row>
    <row r="40" ht="15.75" customHeight="1">
      <c r="A40" s="72" t="s">
        <v>7</v>
      </c>
      <c r="B40" s="72" t="s">
        <v>910</v>
      </c>
      <c r="C40" s="72" t="s">
        <v>753</v>
      </c>
      <c r="D40" s="72" t="s">
        <v>869</v>
      </c>
      <c r="E40" s="72" t="s">
        <v>871</v>
      </c>
      <c r="F40" s="72" t="str">
        <f>dim_sca_labor_rate!$A40&amp;" "&amp;dim_sca_labor_rate!$D40&amp;" "&amp;dim_sca_labor_rate!$E40&amp;"|"&amp;dim_sca_labor_rate!$H40</f>
        <v>C000015869 Asbestos Air Testing|3</v>
      </c>
      <c r="G40" s="72" t="s">
        <v>907</v>
      </c>
      <c r="H40" s="72">
        <v>3.0</v>
      </c>
      <c r="I40" s="76">
        <v>36.0</v>
      </c>
      <c r="J40" s="76">
        <v>99.0</v>
      </c>
      <c r="K40" s="76">
        <v>91.44</v>
      </c>
    </row>
    <row r="41" ht="15.75" customHeight="1">
      <c r="A41" s="72" t="s">
        <v>7</v>
      </c>
      <c r="B41" s="72" t="s">
        <v>910</v>
      </c>
      <c r="C41" s="72" t="s">
        <v>753</v>
      </c>
      <c r="D41" s="72" t="s">
        <v>869</v>
      </c>
      <c r="E41" s="72" t="s">
        <v>871</v>
      </c>
      <c r="F41" s="72" t="str">
        <f>dim_sca_labor_rate!$A41&amp;" "&amp;dim_sca_labor_rate!$D41&amp;" "&amp;dim_sca_labor_rate!$E41&amp;"|"&amp;dim_sca_labor_rate!$H41</f>
        <v>C000015869 Asbestos Air Testing|7</v>
      </c>
      <c r="G41" s="72" t="s">
        <v>905</v>
      </c>
      <c r="H41" s="72">
        <v>7.0</v>
      </c>
      <c r="I41" s="76">
        <v>36.0</v>
      </c>
      <c r="J41" s="76">
        <v>99.0</v>
      </c>
      <c r="K41" s="76">
        <v>91.44</v>
      </c>
    </row>
    <row r="42" ht="15.75" customHeight="1">
      <c r="A42" s="72" t="s">
        <v>7</v>
      </c>
      <c r="B42" s="72" t="s">
        <v>911</v>
      </c>
      <c r="C42" s="72" t="s">
        <v>734</v>
      </c>
      <c r="D42" s="72" t="s">
        <v>869</v>
      </c>
      <c r="E42" s="72" t="s">
        <v>873</v>
      </c>
      <c r="F42" s="72" t="str">
        <f>dim_sca_labor_rate!$A42&amp;" "&amp;dim_sca_labor_rate!$D42&amp;" "&amp;dim_sca_labor_rate!$E42&amp;"|"&amp;dim_sca_labor_rate!$H42</f>
        <v>C000015869 Asbestos Project Designer|7</v>
      </c>
      <c r="G42" s="72" t="s">
        <v>905</v>
      </c>
      <c r="H42" s="72">
        <v>7.0</v>
      </c>
      <c r="I42" s="76">
        <v>55.0</v>
      </c>
      <c r="J42" s="76">
        <v>151.25</v>
      </c>
      <c r="K42" s="76">
        <v>139.7</v>
      </c>
    </row>
    <row r="43" ht="15.75" customHeight="1">
      <c r="A43" s="72" t="s">
        <v>7</v>
      </c>
      <c r="B43" s="72" t="s">
        <v>912</v>
      </c>
      <c r="C43" s="72" t="s">
        <v>734</v>
      </c>
      <c r="D43" s="72" t="s">
        <v>869</v>
      </c>
      <c r="E43" s="72" t="s">
        <v>873</v>
      </c>
      <c r="F43" s="72" t="str">
        <f>dim_sca_labor_rate!$A43&amp;" "&amp;dim_sca_labor_rate!$D43&amp;" "&amp;dim_sca_labor_rate!$E43&amp;"|"&amp;dim_sca_labor_rate!$H43</f>
        <v>C000015869 Asbestos Project Designer|3</v>
      </c>
      <c r="G43" s="72" t="s">
        <v>907</v>
      </c>
      <c r="H43" s="72">
        <v>3.0</v>
      </c>
      <c r="I43" s="76">
        <v>45.0</v>
      </c>
      <c r="J43" s="76">
        <v>123.75</v>
      </c>
      <c r="K43" s="76">
        <v>114.3</v>
      </c>
    </row>
    <row r="44" ht="15.75" customHeight="1">
      <c r="A44" s="72" t="s">
        <v>7</v>
      </c>
      <c r="B44" s="72" t="s">
        <v>913</v>
      </c>
      <c r="C44" s="72" t="s">
        <v>735</v>
      </c>
      <c r="D44" s="72" t="s">
        <v>869</v>
      </c>
      <c r="E44" s="72" t="s">
        <v>874</v>
      </c>
      <c r="F44" s="72" t="str">
        <f>dim_sca_labor_rate!$A44&amp;" "&amp;dim_sca_labor_rate!$D44&amp;" "&amp;dim_sca_labor_rate!$E44&amp;"|"&amp;dim_sca_labor_rate!$H44</f>
        <v>C000015869 Asbestos Project Manager|7</v>
      </c>
      <c r="G44" s="72" t="s">
        <v>905</v>
      </c>
      <c r="H44" s="72">
        <v>7.0</v>
      </c>
      <c r="I44" s="76">
        <v>61.0</v>
      </c>
      <c r="J44" s="76">
        <v>167.75</v>
      </c>
      <c r="K44" s="76">
        <v>154.94</v>
      </c>
    </row>
    <row r="45" ht="15.75" customHeight="1">
      <c r="A45" s="72" t="s">
        <v>7</v>
      </c>
      <c r="B45" s="72" t="s">
        <v>914</v>
      </c>
      <c r="C45" s="72" t="s">
        <v>735</v>
      </c>
      <c r="D45" s="72" t="s">
        <v>869</v>
      </c>
      <c r="E45" s="72" t="s">
        <v>874</v>
      </c>
      <c r="F45" s="72" t="str">
        <f>dim_sca_labor_rate!$A45&amp;" "&amp;dim_sca_labor_rate!$D45&amp;" "&amp;dim_sca_labor_rate!$E45&amp;"|"&amp;dim_sca_labor_rate!$H45</f>
        <v>C000015869 Asbestos Project Manager|3</v>
      </c>
      <c r="G45" s="72" t="s">
        <v>907</v>
      </c>
      <c r="H45" s="72">
        <v>3.0</v>
      </c>
      <c r="I45" s="76">
        <v>46.0</v>
      </c>
      <c r="J45" s="76">
        <v>126.5</v>
      </c>
      <c r="K45" s="76">
        <v>116.84</v>
      </c>
    </row>
    <row r="46" ht="15.75" customHeight="1">
      <c r="A46" s="72" t="s">
        <v>7</v>
      </c>
      <c r="B46" s="72" t="s">
        <v>915</v>
      </c>
      <c r="C46" s="72" t="s">
        <v>731</v>
      </c>
      <c r="D46" s="72" t="s">
        <v>869</v>
      </c>
      <c r="E46" s="72" t="s">
        <v>870</v>
      </c>
      <c r="F46" s="72" t="str">
        <f>dim_sca_labor_rate!$A46&amp;" "&amp;dim_sca_labor_rate!$D46&amp;" "&amp;dim_sca_labor_rate!$E46&amp;"|"&amp;dim_sca_labor_rate!$H46</f>
        <v>C000015869 Asbestos Project Monitor|7</v>
      </c>
      <c r="G46" s="72" t="s">
        <v>905</v>
      </c>
      <c r="H46" s="72">
        <v>7.0</v>
      </c>
      <c r="I46" s="76">
        <v>38.0</v>
      </c>
      <c r="J46" s="76">
        <v>104.5</v>
      </c>
      <c r="K46" s="76">
        <v>96.52</v>
      </c>
    </row>
    <row r="47" ht="15.75" customHeight="1">
      <c r="A47" s="72" t="s">
        <v>7</v>
      </c>
      <c r="B47" s="72" t="s">
        <v>915</v>
      </c>
      <c r="C47" s="72" t="s">
        <v>731</v>
      </c>
      <c r="D47" s="72" t="s">
        <v>869</v>
      </c>
      <c r="E47" s="72" t="s">
        <v>870</v>
      </c>
      <c r="F47" s="72" t="str">
        <f>dim_sca_labor_rate!$A47&amp;" "&amp;dim_sca_labor_rate!$D47&amp;" "&amp;dim_sca_labor_rate!$E47&amp;"|"&amp;dim_sca_labor_rate!$H47</f>
        <v>C000015869 Asbestos Project Monitor|3</v>
      </c>
      <c r="G47" s="72" t="s">
        <v>907</v>
      </c>
      <c r="H47" s="72">
        <v>3.0</v>
      </c>
      <c r="I47" s="76">
        <v>38.0</v>
      </c>
      <c r="J47" s="76">
        <v>104.5</v>
      </c>
      <c r="K47" s="76">
        <v>96.52</v>
      </c>
    </row>
    <row r="48" ht="15.75" customHeight="1">
      <c r="A48" s="72" t="s">
        <v>7</v>
      </c>
      <c r="B48" s="72" t="s">
        <v>916</v>
      </c>
      <c r="C48" s="72" t="s">
        <v>917</v>
      </c>
      <c r="D48" s="72" t="s">
        <v>918</v>
      </c>
      <c r="E48" s="72" t="s">
        <v>919</v>
      </c>
      <c r="F48" s="72" t="str">
        <f>dim_sca_labor_rate!$A48&amp;" "&amp;dim_sca_labor_rate!$D48&amp;" "&amp;dim_sca_labor_rate!$E48&amp;"|"&amp;dim_sca_labor_rate!$H48</f>
        <v>C000015869 Computer Assisted Design Draftsperson|3</v>
      </c>
      <c r="G48" s="72"/>
      <c r="H48" s="72">
        <v>3.0</v>
      </c>
      <c r="I48" s="76">
        <v>30.0</v>
      </c>
      <c r="J48" s="76">
        <v>82.5</v>
      </c>
      <c r="K48" s="76">
        <v>76.2</v>
      </c>
    </row>
    <row r="49" ht="15.75" customHeight="1">
      <c r="A49" s="72" t="s">
        <v>7</v>
      </c>
      <c r="B49" s="72" t="s">
        <v>920</v>
      </c>
      <c r="C49" s="72" t="s">
        <v>921</v>
      </c>
      <c r="D49" s="72" t="s">
        <v>922</v>
      </c>
      <c r="E49" s="72" t="s">
        <v>923</v>
      </c>
      <c r="F49" s="72" t="str">
        <f>dim_sca_labor_rate!$A49&amp;" "&amp;dim_sca_labor_rate!$D49&amp;" "&amp;dim_sca_labor_rate!$E49&amp;"|"&amp;dim_sca_labor_rate!$H49</f>
        <v>C000015869 Field Engineer P.E.|</v>
      </c>
      <c r="G49" s="72"/>
      <c r="H49" s="72"/>
      <c r="I49" s="76">
        <v>75.0</v>
      </c>
      <c r="J49" s="76">
        <v>206.25</v>
      </c>
      <c r="K49" s="76">
        <v>190.5</v>
      </c>
    </row>
    <row r="50" ht="15.75" customHeight="1">
      <c r="A50" s="72" t="s">
        <v>7</v>
      </c>
      <c r="B50" s="72" t="s">
        <v>924</v>
      </c>
      <c r="C50" s="72" t="s">
        <v>925</v>
      </c>
      <c r="D50" s="72" t="s">
        <v>875</v>
      </c>
      <c r="E50" s="72" t="s">
        <v>876</v>
      </c>
      <c r="F50" s="72" t="str">
        <f>dim_sca_labor_rate!$A50&amp;" "&amp;dim_sca_labor_rate!$D50&amp;" "&amp;dim_sca_labor_rate!$E50&amp;"|"&amp;dim_sca_labor_rate!$H50</f>
        <v>C000015869 Lead Inspector|7</v>
      </c>
      <c r="G50" s="72" t="s">
        <v>905</v>
      </c>
      <c r="H50" s="72">
        <v>7.0</v>
      </c>
      <c r="I50" s="76">
        <v>43.0</v>
      </c>
      <c r="J50" s="76">
        <v>118.25</v>
      </c>
      <c r="K50" s="76">
        <v>109.22</v>
      </c>
    </row>
    <row r="51" ht="15.75" customHeight="1">
      <c r="A51" s="72" t="s">
        <v>7</v>
      </c>
      <c r="B51" s="72" t="s">
        <v>926</v>
      </c>
      <c r="C51" s="72" t="s">
        <v>925</v>
      </c>
      <c r="D51" s="72" t="s">
        <v>875</v>
      </c>
      <c r="E51" s="72" t="s">
        <v>876</v>
      </c>
      <c r="F51" s="72" t="str">
        <f>dim_sca_labor_rate!$A51&amp;" "&amp;dim_sca_labor_rate!$D51&amp;" "&amp;dim_sca_labor_rate!$E51&amp;"|"&amp;dim_sca_labor_rate!$H51</f>
        <v>C000015869 Lead Inspector|3</v>
      </c>
      <c r="G51" s="72" t="s">
        <v>907</v>
      </c>
      <c r="H51" s="72">
        <v>3.0</v>
      </c>
      <c r="I51" s="76">
        <v>35.0</v>
      </c>
      <c r="J51" s="76">
        <v>96.25</v>
      </c>
      <c r="K51" s="76">
        <v>88.9</v>
      </c>
    </row>
    <row r="52" ht="15.75" customHeight="1">
      <c r="A52" s="72" t="s">
        <v>7</v>
      </c>
      <c r="B52" s="72" t="s">
        <v>927</v>
      </c>
      <c r="C52" s="72" t="s">
        <v>928</v>
      </c>
      <c r="D52" s="72" t="s">
        <v>875</v>
      </c>
      <c r="E52" s="72" t="s">
        <v>877</v>
      </c>
      <c r="F52" s="72" t="str">
        <f>dim_sca_labor_rate!$A52&amp;" "&amp;dim_sca_labor_rate!$D52&amp;" "&amp;dim_sca_labor_rate!$E52&amp;"|"&amp;dim_sca_labor_rate!$H52</f>
        <v>C000015869 Lead Inspector / Risk Assessor|7</v>
      </c>
      <c r="G52" s="72" t="s">
        <v>905</v>
      </c>
      <c r="H52" s="72">
        <v>7.0</v>
      </c>
      <c r="I52" s="76">
        <v>51.0</v>
      </c>
      <c r="J52" s="76">
        <v>140.25</v>
      </c>
      <c r="K52" s="76">
        <v>129.54</v>
      </c>
    </row>
    <row r="53" ht="15.75" customHeight="1">
      <c r="A53" s="72" t="s">
        <v>7</v>
      </c>
      <c r="B53" s="72" t="s">
        <v>929</v>
      </c>
      <c r="C53" s="72" t="s">
        <v>928</v>
      </c>
      <c r="D53" s="72" t="s">
        <v>875</v>
      </c>
      <c r="E53" s="72" t="s">
        <v>877</v>
      </c>
      <c r="F53" s="72" t="str">
        <f>dim_sca_labor_rate!$A53&amp;" "&amp;dim_sca_labor_rate!$D53&amp;" "&amp;dim_sca_labor_rate!$E53&amp;"|"&amp;dim_sca_labor_rate!$H53</f>
        <v>C000015869 Lead Inspector / Risk Assessor|3</v>
      </c>
      <c r="G53" s="72" t="s">
        <v>907</v>
      </c>
      <c r="H53" s="72">
        <v>3.0</v>
      </c>
      <c r="I53" s="76">
        <v>39.0</v>
      </c>
      <c r="J53" s="76">
        <v>107.25</v>
      </c>
      <c r="K53" s="76">
        <v>99.06</v>
      </c>
    </row>
    <row r="54" ht="15.75" customHeight="1">
      <c r="A54" s="72" t="s">
        <v>7</v>
      </c>
      <c r="B54" s="72" t="s">
        <v>930</v>
      </c>
      <c r="C54" s="72" t="s">
        <v>931</v>
      </c>
      <c r="D54" s="72" t="s">
        <v>875</v>
      </c>
      <c r="E54" s="72" t="s">
        <v>873</v>
      </c>
      <c r="F54" s="72" t="str">
        <f>dim_sca_labor_rate!$A54&amp;" "&amp;dim_sca_labor_rate!$D54&amp;" "&amp;dim_sca_labor_rate!$E54&amp;"|"&amp;dim_sca_labor_rate!$H54</f>
        <v>C000015869 Lead Project Designer|7</v>
      </c>
      <c r="G54" s="72" t="s">
        <v>905</v>
      </c>
      <c r="H54" s="72">
        <v>7.0</v>
      </c>
      <c r="I54" s="76">
        <v>50.0</v>
      </c>
      <c r="J54" s="76">
        <v>137.5</v>
      </c>
      <c r="K54" s="76">
        <v>127.0</v>
      </c>
    </row>
    <row r="55" ht="15.75" customHeight="1">
      <c r="A55" s="72" t="s">
        <v>7</v>
      </c>
      <c r="B55" s="72" t="s">
        <v>932</v>
      </c>
      <c r="C55" s="72" t="s">
        <v>931</v>
      </c>
      <c r="D55" s="72" t="s">
        <v>875</v>
      </c>
      <c r="E55" s="72" t="s">
        <v>873</v>
      </c>
      <c r="F55" s="72" t="str">
        <f>dim_sca_labor_rate!$A55&amp;" "&amp;dim_sca_labor_rate!$D55&amp;" "&amp;dim_sca_labor_rate!$E55&amp;"|"&amp;dim_sca_labor_rate!$H55</f>
        <v>C000015869 Lead Project Designer|3</v>
      </c>
      <c r="G55" s="72" t="s">
        <v>907</v>
      </c>
      <c r="H55" s="72">
        <v>3.0</v>
      </c>
      <c r="I55" s="76">
        <v>40.0</v>
      </c>
      <c r="J55" s="76">
        <v>110.0</v>
      </c>
      <c r="K55" s="76">
        <v>101.6</v>
      </c>
    </row>
    <row r="56" ht="15.75" customHeight="1">
      <c r="A56" s="72" t="s">
        <v>7</v>
      </c>
      <c r="B56" s="72" t="s">
        <v>933</v>
      </c>
      <c r="C56" s="72" t="s">
        <v>934</v>
      </c>
      <c r="D56" s="72" t="s">
        <v>935</v>
      </c>
      <c r="E56" s="72" t="s">
        <v>936</v>
      </c>
      <c r="F56" s="72" t="str">
        <f>dim_sca_labor_rate!$A56&amp;" "&amp;dim_sca_labor_rate!$D56&amp;" "&amp;dim_sca_labor_rate!$E56&amp;"|"&amp;dim_sca_labor_rate!$H56</f>
        <v>C000015869 SSPC C3 Certified Lead Supervisor|7</v>
      </c>
      <c r="G56" s="72" t="s">
        <v>905</v>
      </c>
      <c r="H56" s="72">
        <v>7.0</v>
      </c>
      <c r="I56" s="76">
        <v>45.0</v>
      </c>
      <c r="J56" s="76">
        <v>123.75</v>
      </c>
      <c r="K56" s="76">
        <v>114.3</v>
      </c>
    </row>
    <row r="57" ht="15.75" customHeight="1">
      <c r="A57" s="72" t="s">
        <v>7</v>
      </c>
      <c r="B57" s="72" t="s">
        <v>937</v>
      </c>
      <c r="C57" s="72" t="s">
        <v>934</v>
      </c>
      <c r="D57" s="72" t="s">
        <v>935</v>
      </c>
      <c r="E57" s="72" t="s">
        <v>936</v>
      </c>
      <c r="F57" s="72" t="str">
        <f>dim_sca_labor_rate!$A57&amp;" "&amp;dim_sca_labor_rate!$D57&amp;" "&amp;dim_sca_labor_rate!$E57&amp;"|"&amp;dim_sca_labor_rate!$H57</f>
        <v>C000015869 SSPC C3 Certified Lead Supervisor|3</v>
      </c>
      <c r="G57" s="72" t="s">
        <v>907</v>
      </c>
      <c r="H57" s="72">
        <v>3.0</v>
      </c>
      <c r="I57" s="76">
        <v>40.0</v>
      </c>
      <c r="J57" s="76">
        <v>110.0</v>
      </c>
      <c r="K57" s="76">
        <v>101.6</v>
      </c>
    </row>
    <row r="58" ht="15.75" customHeight="1">
      <c r="A58" s="72" t="s">
        <v>7</v>
      </c>
      <c r="B58" s="72" t="s">
        <v>938</v>
      </c>
      <c r="C58" s="72" t="s">
        <v>939</v>
      </c>
      <c r="D58" s="72" t="s">
        <v>940</v>
      </c>
      <c r="E58" s="72" t="s">
        <v>903</v>
      </c>
      <c r="F58" s="72" t="str">
        <f>dim_sca_labor_rate!$A58&amp;" "&amp;dim_sca_labor_rate!$D58&amp;" "&amp;dim_sca_labor_rate!$E58&amp;"|"&amp;dim_sca_labor_rate!$H58</f>
        <v>C000015869 Mold Certified Industrial Hygienist|</v>
      </c>
      <c r="G58" s="72"/>
      <c r="H58" s="72"/>
      <c r="I58" s="76">
        <v>50.0</v>
      </c>
      <c r="J58" s="76">
        <v>137.5</v>
      </c>
      <c r="K58" s="76">
        <v>127.0</v>
      </c>
    </row>
    <row r="59" ht="15.75" customHeight="1">
      <c r="A59" s="72" t="s">
        <v>7</v>
      </c>
      <c r="B59" s="72" t="s">
        <v>941</v>
      </c>
      <c r="C59" s="72" t="s">
        <v>942</v>
      </c>
      <c r="D59" s="72" t="s">
        <v>940</v>
      </c>
      <c r="E59" s="72" t="s">
        <v>943</v>
      </c>
      <c r="F59" s="72" t="str">
        <f>dim_sca_labor_rate!$A59&amp;" "&amp;dim_sca_labor_rate!$D59&amp;" "&amp;dim_sca_labor_rate!$E59&amp;"|"&amp;dim_sca_labor_rate!$H59</f>
        <v>C000015869 Mold Field Technician|3</v>
      </c>
      <c r="G59" s="72"/>
      <c r="H59" s="72">
        <v>3.0</v>
      </c>
      <c r="I59" s="76">
        <v>34.0</v>
      </c>
      <c r="J59" s="76">
        <v>93.5</v>
      </c>
      <c r="K59" s="76">
        <v>86.36</v>
      </c>
    </row>
    <row r="60" ht="15.75" customHeight="1">
      <c r="A60" s="72" t="s">
        <v>7</v>
      </c>
      <c r="B60" s="72" t="s">
        <v>944</v>
      </c>
      <c r="C60" s="72" t="s">
        <v>945</v>
      </c>
      <c r="D60" s="72" t="s">
        <v>940</v>
      </c>
      <c r="E60" s="72" t="s">
        <v>946</v>
      </c>
      <c r="F60" s="72" t="str">
        <f>dim_sca_labor_rate!$A60&amp;" "&amp;dim_sca_labor_rate!$D60&amp;" "&amp;dim_sca_labor_rate!$E60&amp;"|"&amp;dim_sca_labor_rate!$H60</f>
        <v>C000015869 Mold Program Director|15</v>
      </c>
      <c r="G60" s="72"/>
      <c r="H60" s="72">
        <v>15.0</v>
      </c>
      <c r="I60" s="76">
        <v>68.0</v>
      </c>
      <c r="J60" s="76">
        <v>187.0</v>
      </c>
      <c r="K60" s="76">
        <v>172.72</v>
      </c>
    </row>
    <row r="61" ht="15.75" customHeight="1">
      <c r="A61" s="72" t="s">
        <v>7</v>
      </c>
      <c r="B61" s="72" t="s">
        <v>947</v>
      </c>
      <c r="C61" s="72" t="s">
        <v>948</v>
      </c>
      <c r="D61" s="72" t="s">
        <v>940</v>
      </c>
      <c r="E61" s="72" t="s">
        <v>874</v>
      </c>
      <c r="F61" s="72" t="str">
        <f>dim_sca_labor_rate!$A61&amp;" "&amp;dim_sca_labor_rate!$D61&amp;" "&amp;dim_sca_labor_rate!$E61&amp;"|"&amp;dim_sca_labor_rate!$H61</f>
        <v>C000015869 Mold Project Manager|7</v>
      </c>
      <c r="G61" s="72" t="s">
        <v>905</v>
      </c>
      <c r="H61" s="72">
        <v>7.0</v>
      </c>
      <c r="I61" s="76">
        <v>50.0</v>
      </c>
      <c r="J61" s="76">
        <v>137.5</v>
      </c>
      <c r="K61" s="76">
        <v>127.0</v>
      </c>
    </row>
    <row r="62" ht="15.75" customHeight="1">
      <c r="A62" s="72" t="s">
        <v>7</v>
      </c>
      <c r="B62" s="72" t="s">
        <v>949</v>
      </c>
      <c r="C62" s="72" t="s">
        <v>948</v>
      </c>
      <c r="D62" s="72" t="s">
        <v>940</v>
      </c>
      <c r="E62" s="72" t="s">
        <v>874</v>
      </c>
      <c r="F62" s="72" t="str">
        <f>dim_sca_labor_rate!$A62&amp;" "&amp;dim_sca_labor_rate!$D62&amp;" "&amp;dim_sca_labor_rate!$E62&amp;"|"&amp;dim_sca_labor_rate!$H62</f>
        <v>C000015869 Mold Project Manager|3</v>
      </c>
      <c r="G62" s="72" t="s">
        <v>907</v>
      </c>
      <c r="H62" s="72">
        <v>3.0</v>
      </c>
      <c r="I62" s="76">
        <v>46.0</v>
      </c>
      <c r="J62" s="76">
        <v>126.5</v>
      </c>
      <c r="K62" s="76">
        <v>116.84</v>
      </c>
    </row>
    <row r="63" ht="15.75" customHeight="1">
      <c r="A63" s="72" t="s">
        <v>7</v>
      </c>
      <c r="B63" s="72" t="s">
        <v>950</v>
      </c>
      <c r="C63" s="72" t="s">
        <v>951</v>
      </c>
      <c r="D63" s="72" t="s">
        <v>952</v>
      </c>
      <c r="E63" s="72" t="s">
        <v>903</v>
      </c>
      <c r="F63" s="72" t="str">
        <f>dim_sca_labor_rate!$A63&amp;" "&amp;dim_sca_labor_rate!$D63&amp;" "&amp;dim_sca_labor_rate!$E63&amp;"|"&amp;dim_sca_labor_rate!$H63</f>
        <v>C000015869 PCB Certified Industrial Hygienist|</v>
      </c>
      <c r="G63" s="72"/>
      <c r="H63" s="72"/>
      <c r="I63" s="76">
        <v>75.0</v>
      </c>
      <c r="J63" s="76">
        <v>206.25</v>
      </c>
      <c r="K63" s="76">
        <v>190.5</v>
      </c>
    </row>
    <row r="64" ht="15.75" customHeight="1">
      <c r="A64" s="72" t="s">
        <v>7</v>
      </c>
      <c r="B64" s="72" t="s">
        <v>953</v>
      </c>
      <c r="C64" s="72" t="s">
        <v>954</v>
      </c>
      <c r="D64" s="72" t="s">
        <v>952</v>
      </c>
      <c r="E64" s="72" t="s">
        <v>943</v>
      </c>
      <c r="F64" s="72" t="str">
        <f>dim_sca_labor_rate!$A64&amp;" "&amp;dim_sca_labor_rate!$D64&amp;" "&amp;dim_sca_labor_rate!$E64&amp;"|"&amp;dim_sca_labor_rate!$H64</f>
        <v>C000015869 PCB Field Technician|7</v>
      </c>
      <c r="G64" s="72" t="s">
        <v>905</v>
      </c>
      <c r="H64" s="72">
        <v>7.0</v>
      </c>
      <c r="I64" s="76">
        <v>36.0</v>
      </c>
      <c r="J64" s="76">
        <v>99.0</v>
      </c>
      <c r="K64" s="76">
        <v>91.44</v>
      </c>
    </row>
    <row r="65" ht="15.75" customHeight="1">
      <c r="A65" s="72" t="s">
        <v>7</v>
      </c>
      <c r="B65" s="72" t="s">
        <v>955</v>
      </c>
      <c r="C65" s="72" t="s">
        <v>954</v>
      </c>
      <c r="D65" s="72" t="s">
        <v>952</v>
      </c>
      <c r="E65" s="72" t="s">
        <v>943</v>
      </c>
      <c r="F65" s="72" t="str">
        <f>dim_sca_labor_rate!$A65&amp;" "&amp;dim_sca_labor_rate!$D65&amp;" "&amp;dim_sca_labor_rate!$E65&amp;"|"&amp;dim_sca_labor_rate!$H65</f>
        <v>C000015869 PCB Field Technician|3</v>
      </c>
      <c r="G65" s="72" t="s">
        <v>907</v>
      </c>
      <c r="H65" s="72">
        <v>3.0</v>
      </c>
      <c r="I65" s="76">
        <v>31.0</v>
      </c>
      <c r="J65" s="76">
        <v>85.25</v>
      </c>
      <c r="K65" s="76">
        <v>78.74</v>
      </c>
    </row>
    <row r="66" ht="15.75" customHeight="1">
      <c r="A66" s="72" t="s">
        <v>7</v>
      </c>
      <c r="B66" s="72" t="s">
        <v>956</v>
      </c>
      <c r="C66" s="72" t="s">
        <v>957</v>
      </c>
      <c r="D66" s="72" t="s">
        <v>952</v>
      </c>
      <c r="E66" s="72" t="s">
        <v>946</v>
      </c>
      <c r="F66" s="72" t="str">
        <f>dim_sca_labor_rate!$A66&amp;" "&amp;dim_sca_labor_rate!$D66&amp;" "&amp;dim_sca_labor_rate!$E66&amp;"|"&amp;dim_sca_labor_rate!$H66</f>
        <v>C000015869 PCB Program Director|15</v>
      </c>
      <c r="G66" s="72"/>
      <c r="H66" s="72">
        <v>15.0</v>
      </c>
      <c r="I66" s="76">
        <v>65.0</v>
      </c>
      <c r="J66" s="76">
        <v>178.75</v>
      </c>
      <c r="K66" s="76">
        <v>165.1</v>
      </c>
    </row>
    <row r="67" ht="15.75" customHeight="1">
      <c r="A67" s="72" t="s">
        <v>7</v>
      </c>
      <c r="B67" s="72" t="s">
        <v>958</v>
      </c>
      <c r="C67" s="72" t="s">
        <v>959</v>
      </c>
      <c r="D67" s="72" t="s">
        <v>952</v>
      </c>
      <c r="E67" s="72" t="s">
        <v>874</v>
      </c>
      <c r="F67" s="72" t="str">
        <f>dim_sca_labor_rate!$A67&amp;" "&amp;dim_sca_labor_rate!$D67&amp;" "&amp;dim_sca_labor_rate!$E67&amp;"|"&amp;dim_sca_labor_rate!$H67</f>
        <v>C000015869 PCB Project Manager|5</v>
      </c>
      <c r="G67" s="72"/>
      <c r="H67" s="72">
        <v>5.0</v>
      </c>
      <c r="I67" s="76">
        <v>55.0</v>
      </c>
      <c r="J67" s="76">
        <v>151.25</v>
      </c>
      <c r="K67" s="76">
        <v>139.7</v>
      </c>
    </row>
    <row r="68" ht="15.75" customHeight="1">
      <c r="A68" s="72" t="s">
        <v>10</v>
      </c>
      <c r="B68" s="72" t="s">
        <v>901</v>
      </c>
      <c r="C68" s="72" t="s">
        <v>902</v>
      </c>
      <c r="D68" s="72" t="s">
        <v>869</v>
      </c>
      <c r="E68" s="72" t="s">
        <v>903</v>
      </c>
      <c r="F68" s="72" t="str">
        <f>dim_sca_labor_rate!$A68&amp;" "&amp;dim_sca_labor_rate!$D68&amp;" "&amp;dim_sca_labor_rate!$E68&amp;"|"&amp;dim_sca_labor_rate!$H68</f>
        <v>C000016435 Asbestos Certified Industrial Hygienist|</v>
      </c>
      <c r="G68" s="72"/>
      <c r="H68" s="72"/>
      <c r="I68" s="76">
        <v>77.0</v>
      </c>
      <c r="J68" s="76">
        <v>321.0</v>
      </c>
      <c r="K68" s="76">
        <v>225.61</v>
      </c>
    </row>
    <row r="69" ht="15.75" customHeight="1">
      <c r="A69" s="72" t="s">
        <v>10</v>
      </c>
      <c r="B69" s="72" t="s">
        <v>904</v>
      </c>
      <c r="C69" s="72" t="s">
        <v>732</v>
      </c>
      <c r="D69" s="72" t="s">
        <v>869</v>
      </c>
      <c r="E69" s="72" t="s">
        <v>876</v>
      </c>
      <c r="F69" s="72" t="str">
        <f>dim_sca_labor_rate!$A69&amp;" "&amp;dim_sca_labor_rate!$D69&amp;" "&amp;dim_sca_labor_rate!$E69&amp;"|"&amp;dim_sca_labor_rate!$H69</f>
        <v>C000016435 Asbestos Inspector|7</v>
      </c>
      <c r="G69" s="72" t="s">
        <v>905</v>
      </c>
      <c r="H69" s="72">
        <v>7.0</v>
      </c>
      <c r="I69" s="76">
        <v>55.0</v>
      </c>
      <c r="J69" s="76">
        <f>dim_sca_labor_rate!$I69*3</f>
        <v>165</v>
      </c>
      <c r="K69" s="76">
        <f>dim_sca_labor_rate!$I69*2.93</f>
        <v>161.15</v>
      </c>
    </row>
    <row r="70" ht="15.75" customHeight="1">
      <c r="A70" s="72" t="s">
        <v>10</v>
      </c>
      <c r="B70" s="72" t="s">
        <v>906</v>
      </c>
      <c r="C70" s="72" t="s">
        <v>732</v>
      </c>
      <c r="D70" s="72" t="s">
        <v>869</v>
      </c>
      <c r="E70" s="72" t="s">
        <v>876</v>
      </c>
      <c r="F70" s="72" t="str">
        <f>dim_sca_labor_rate!$A70&amp;" "&amp;dim_sca_labor_rate!$D70&amp;" "&amp;dim_sca_labor_rate!$E70&amp;"|"&amp;dim_sca_labor_rate!$H70</f>
        <v>C000016435 Asbestos Inspector|3</v>
      </c>
      <c r="G70" s="72" t="s">
        <v>907</v>
      </c>
      <c r="H70" s="72">
        <v>3.0</v>
      </c>
      <c r="I70" s="76">
        <v>44.0</v>
      </c>
      <c r="J70" s="76">
        <f>dim_sca_labor_rate!$I70*3</f>
        <v>132</v>
      </c>
      <c r="K70" s="76">
        <f>dim_sca_labor_rate!$I70*2.93</f>
        <v>128.92</v>
      </c>
    </row>
    <row r="71" ht="15.75" customHeight="1">
      <c r="A71" s="72" t="s">
        <v>10</v>
      </c>
      <c r="B71" s="72" t="s">
        <v>908</v>
      </c>
      <c r="C71" s="72" t="s">
        <v>733</v>
      </c>
      <c r="D71" s="72" t="s">
        <v>869</v>
      </c>
      <c r="E71" s="72" t="s">
        <v>872</v>
      </c>
      <c r="F71" s="72" t="str">
        <f>dim_sca_labor_rate!$A71&amp;" "&amp;dim_sca_labor_rate!$D71&amp;" "&amp;dim_sca_labor_rate!$E71&amp;"|"&amp;dim_sca_labor_rate!$H71</f>
        <v>C000016435 Asbestos Investigator|7</v>
      </c>
      <c r="G71" s="72" t="s">
        <v>905</v>
      </c>
      <c r="H71" s="72">
        <v>7.0</v>
      </c>
      <c r="I71" s="76">
        <v>67.0</v>
      </c>
      <c r="J71" s="76">
        <f>dim_sca_labor_rate!$I71*3</f>
        <v>201</v>
      </c>
      <c r="K71" s="76">
        <f>dim_sca_labor_rate!$I71*2.93</f>
        <v>196.31</v>
      </c>
    </row>
    <row r="72" ht="15.75" customHeight="1">
      <c r="A72" s="72" t="s">
        <v>10</v>
      </c>
      <c r="B72" s="72" t="s">
        <v>909</v>
      </c>
      <c r="C72" s="72" t="s">
        <v>733</v>
      </c>
      <c r="D72" s="72" t="s">
        <v>869</v>
      </c>
      <c r="E72" s="72" t="s">
        <v>872</v>
      </c>
      <c r="F72" s="72" t="str">
        <f>dim_sca_labor_rate!$A72&amp;" "&amp;dim_sca_labor_rate!$D72&amp;" "&amp;dim_sca_labor_rate!$E72&amp;"|"&amp;dim_sca_labor_rate!$H72</f>
        <v>C000016435 Asbestos Investigator|3</v>
      </c>
      <c r="G72" s="72" t="s">
        <v>907</v>
      </c>
      <c r="H72" s="72">
        <v>3.0</v>
      </c>
      <c r="I72" s="76">
        <v>60.0</v>
      </c>
      <c r="J72" s="76">
        <f>dim_sca_labor_rate!$I72*3</f>
        <v>180</v>
      </c>
      <c r="K72" s="76">
        <f>dim_sca_labor_rate!$I72*2.93</f>
        <v>175.8</v>
      </c>
    </row>
    <row r="73" ht="15.75" customHeight="1">
      <c r="A73" s="72" t="s">
        <v>10</v>
      </c>
      <c r="B73" s="72" t="s">
        <v>910</v>
      </c>
      <c r="C73" s="72" t="s">
        <v>753</v>
      </c>
      <c r="D73" s="72" t="s">
        <v>869</v>
      </c>
      <c r="E73" s="72" t="s">
        <v>871</v>
      </c>
      <c r="F73" s="72" t="str">
        <f>dim_sca_labor_rate!$A73&amp;" "&amp;dim_sca_labor_rate!$D73&amp;" "&amp;dim_sca_labor_rate!$E73&amp;"|"&amp;dim_sca_labor_rate!$H73</f>
        <v>C000016435 Asbestos Air Testing|3</v>
      </c>
      <c r="G73" s="72" t="s">
        <v>907</v>
      </c>
      <c r="H73" s="72">
        <v>3.0</v>
      </c>
      <c r="I73" s="76">
        <v>44.0</v>
      </c>
      <c r="J73" s="76">
        <f>dim_sca_labor_rate!$I73*3</f>
        <v>132</v>
      </c>
      <c r="K73" s="76">
        <f>dim_sca_labor_rate!$I73*2.93</f>
        <v>128.92</v>
      </c>
    </row>
    <row r="74" ht="15.75" customHeight="1">
      <c r="A74" s="72" t="s">
        <v>10</v>
      </c>
      <c r="B74" s="72" t="s">
        <v>910</v>
      </c>
      <c r="C74" s="72" t="s">
        <v>753</v>
      </c>
      <c r="D74" s="72" t="s">
        <v>869</v>
      </c>
      <c r="E74" s="72" t="s">
        <v>871</v>
      </c>
      <c r="F74" s="72" t="str">
        <f>dim_sca_labor_rate!$A74&amp;" "&amp;dim_sca_labor_rate!$D74&amp;" "&amp;dim_sca_labor_rate!$E74&amp;"|"&amp;dim_sca_labor_rate!$H74</f>
        <v>C000016435 Asbestos Air Testing|7</v>
      </c>
      <c r="G74" s="72" t="s">
        <v>905</v>
      </c>
      <c r="H74" s="72">
        <v>7.0</v>
      </c>
      <c r="I74" s="76">
        <v>44.0</v>
      </c>
      <c r="J74" s="76">
        <f>dim_sca_labor_rate!$I74*3</f>
        <v>132</v>
      </c>
      <c r="K74" s="76">
        <f>dim_sca_labor_rate!$I74*2.93</f>
        <v>128.92</v>
      </c>
    </row>
    <row r="75" ht="15.75" customHeight="1">
      <c r="A75" s="72" t="s">
        <v>10</v>
      </c>
      <c r="B75" s="72" t="s">
        <v>911</v>
      </c>
      <c r="C75" s="72" t="s">
        <v>734</v>
      </c>
      <c r="D75" s="72" t="s">
        <v>869</v>
      </c>
      <c r="E75" s="72" t="s">
        <v>873</v>
      </c>
      <c r="F75" s="72" t="str">
        <f>dim_sca_labor_rate!$A75&amp;" "&amp;dim_sca_labor_rate!$D75&amp;" "&amp;dim_sca_labor_rate!$E75&amp;"|"&amp;dim_sca_labor_rate!$H75</f>
        <v>C000016435 Asbestos Project Designer|7</v>
      </c>
      <c r="G75" s="72" t="s">
        <v>905</v>
      </c>
      <c r="H75" s="72">
        <v>7.0</v>
      </c>
      <c r="I75" s="76">
        <v>72.0</v>
      </c>
      <c r="J75" s="76">
        <f>dim_sca_labor_rate!$I75*3</f>
        <v>216</v>
      </c>
      <c r="K75" s="76">
        <f>dim_sca_labor_rate!$I75*2.93</f>
        <v>210.96</v>
      </c>
    </row>
    <row r="76" ht="15.75" customHeight="1">
      <c r="A76" s="72" t="s">
        <v>10</v>
      </c>
      <c r="B76" s="72" t="s">
        <v>912</v>
      </c>
      <c r="C76" s="72" t="s">
        <v>734</v>
      </c>
      <c r="D76" s="72" t="s">
        <v>869</v>
      </c>
      <c r="E76" s="72" t="s">
        <v>873</v>
      </c>
      <c r="F76" s="72" t="str">
        <f>dim_sca_labor_rate!$A76&amp;" "&amp;dim_sca_labor_rate!$D76&amp;" "&amp;dim_sca_labor_rate!$E76&amp;"|"&amp;dim_sca_labor_rate!$H76</f>
        <v>C000016435 Asbestos Project Designer|3</v>
      </c>
      <c r="G76" s="72" t="s">
        <v>907</v>
      </c>
      <c r="H76" s="72">
        <v>3.0</v>
      </c>
      <c r="I76" s="76">
        <v>63.0</v>
      </c>
      <c r="J76" s="76">
        <f>dim_sca_labor_rate!$I76*3</f>
        <v>189</v>
      </c>
      <c r="K76" s="76">
        <f>dim_sca_labor_rate!$I76*2.93</f>
        <v>184.59</v>
      </c>
    </row>
    <row r="77" ht="15.75" customHeight="1">
      <c r="A77" s="72" t="s">
        <v>10</v>
      </c>
      <c r="B77" s="72" t="s">
        <v>913</v>
      </c>
      <c r="C77" s="72" t="s">
        <v>735</v>
      </c>
      <c r="D77" s="72" t="s">
        <v>869</v>
      </c>
      <c r="E77" s="72" t="s">
        <v>874</v>
      </c>
      <c r="F77" s="72" t="str">
        <f>dim_sca_labor_rate!$A77&amp;" "&amp;dim_sca_labor_rate!$D77&amp;" "&amp;dim_sca_labor_rate!$E77&amp;"|"&amp;dim_sca_labor_rate!$H77</f>
        <v>C000016435 Asbestos Project Manager|7</v>
      </c>
      <c r="G77" s="72" t="s">
        <v>905</v>
      </c>
      <c r="H77" s="72">
        <v>7.0</v>
      </c>
      <c r="I77" s="76">
        <v>77.0</v>
      </c>
      <c r="J77" s="76">
        <f>dim_sca_labor_rate!$I77*3</f>
        <v>231</v>
      </c>
      <c r="K77" s="76">
        <f>dim_sca_labor_rate!$I77*2.93</f>
        <v>225.61</v>
      </c>
    </row>
    <row r="78" ht="15.75" customHeight="1">
      <c r="A78" s="72" t="s">
        <v>10</v>
      </c>
      <c r="B78" s="72" t="s">
        <v>914</v>
      </c>
      <c r="C78" s="72" t="s">
        <v>735</v>
      </c>
      <c r="D78" s="72" t="s">
        <v>869</v>
      </c>
      <c r="E78" s="72" t="s">
        <v>874</v>
      </c>
      <c r="F78" s="72" t="str">
        <f>dim_sca_labor_rate!$A78&amp;" "&amp;dim_sca_labor_rate!$D78&amp;" "&amp;dim_sca_labor_rate!$E78&amp;"|"&amp;dim_sca_labor_rate!$H78</f>
        <v>C000016435 Asbestos Project Manager|3</v>
      </c>
      <c r="G78" s="72" t="s">
        <v>907</v>
      </c>
      <c r="H78" s="72">
        <v>3.0</v>
      </c>
      <c r="I78" s="76">
        <v>67.0</v>
      </c>
      <c r="J78" s="76">
        <f>dim_sca_labor_rate!$I78*3</f>
        <v>201</v>
      </c>
      <c r="K78" s="76">
        <f>dim_sca_labor_rate!$I78*2.93</f>
        <v>196.31</v>
      </c>
    </row>
    <row r="79" ht="15.75" customHeight="1">
      <c r="A79" s="72" t="s">
        <v>10</v>
      </c>
      <c r="B79" s="72" t="s">
        <v>915</v>
      </c>
      <c r="C79" s="72" t="s">
        <v>731</v>
      </c>
      <c r="D79" s="72" t="s">
        <v>869</v>
      </c>
      <c r="E79" s="72" t="s">
        <v>870</v>
      </c>
      <c r="F79" s="72" t="str">
        <f>dim_sca_labor_rate!$A79&amp;" "&amp;dim_sca_labor_rate!$D79&amp;" "&amp;dim_sca_labor_rate!$E79&amp;"|"&amp;dim_sca_labor_rate!$H79</f>
        <v>C000016435 Asbestos Project Monitor|7</v>
      </c>
      <c r="G79" s="72" t="s">
        <v>905</v>
      </c>
      <c r="H79" s="72">
        <v>7.0</v>
      </c>
      <c r="I79" s="76">
        <v>48.0</v>
      </c>
      <c r="J79" s="76">
        <f>dim_sca_labor_rate!$I79*3</f>
        <v>144</v>
      </c>
      <c r="K79" s="76">
        <f>dim_sca_labor_rate!$I79*2.93</f>
        <v>140.64</v>
      </c>
    </row>
    <row r="80" ht="15.75" customHeight="1">
      <c r="A80" s="72" t="s">
        <v>10</v>
      </c>
      <c r="B80" s="72" t="s">
        <v>915</v>
      </c>
      <c r="C80" s="72" t="s">
        <v>731</v>
      </c>
      <c r="D80" s="72" t="s">
        <v>869</v>
      </c>
      <c r="E80" s="72" t="s">
        <v>870</v>
      </c>
      <c r="F80" s="72" t="str">
        <f>dim_sca_labor_rate!$A80&amp;" "&amp;dim_sca_labor_rate!$D80&amp;" "&amp;dim_sca_labor_rate!$E80&amp;"|"&amp;dim_sca_labor_rate!$H80</f>
        <v>C000016435 Asbestos Project Monitor|3</v>
      </c>
      <c r="G80" s="72" t="s">
        <v>907</v>
      </c>
      <c r="H80" s="72">
        <v>3.0</v>
      </c>
      <c r="I80" s="76">
        <v>48.0</v>
      </c>
      <c r="J80" s="76">
        <v>144.0</v>
      </c>
      <c r="K80" s="76">
        <v>140.64</v>
      </c>
    </row>
    <row r="81" ht="15.75" customHeight="1">
      <c r="A81" s="72" t="s">
        <v>10</v>
      </c>
      <c r="B81" s="72" t="s">
        <v>916</v>
      </c>
      <c r="C81" s="72" t="s">
        <v>917</v>
      </c>
      <c r="D81" s="72" t="s">
        <v>918</v>
      </c>
      <c r="E81" s="72" t="s">
        <v>919</v>
      </c>
      <c r="F81" s="72" t="str">
        <f>dim_sca_labor_rate!$A81&amp;" "&amp;dim_sca_labor_rate!$D81&amp;" "&amp;dim_sca_labor_rate!$E81&amp;"|"&amp;dim_sca_labor_rate!$H81</f>
        <v>C000016435 Computer Assisted Design Draftsperson|3</v>
      </c>
      <c r="G81" s="72"/>
      <c r="H81" s="72">
        <v>3.0</v>
      </c>
      <c r="I81" s="76">
        <v>39.0</v>
      </c>
      <c r="J81" s="76">
        <f>dim_sca_labor_rate!$I81*3</f>
        <v>117</v>
      </c>
      <c r="K81" s="76">
        <f>dim_sca_labor_rate!$I81*2.93</f>
        <v>114.27</v>
      </c>
    </row>
    <row r="82" ht="15.75" customHeight="1">
      <c r="A82" s="72" t="s">
        <v>10</v>
      </c>
      <c r="B82" s="72" t="s">
        <v>920</v>
      </c>
      <c r="C82" s="72" t="s">
        <v>921</v>
      </c>
      <c r="D82" s="72" t="s">
        <v>922</v>
      </c>
      <c r="E82" s="72" t="s">
        <v>923</v>
      </c>
      <c r="F82" s="72" t="str">
        <f>dim_sca_labor_rate!$A82&amp;" "&amp;dim_sca_labor_rate!$D82&amp;" "&amp;dim_sca_labor_rate!$E82&amp;"|"&amp;dim_sca_labor_rate!$H82</f>
        <v>C000016435 Field Engineer P.E.|</v>
      </c>
      <c r="G82" s="72"/>
      <c r="H82" s="72"/>
      <c r="I82" s="76">
        <v>85.0</v>
      </c>
      <c r="J82" s="76">
        <f>dim_sca_labor_rate!$I82*3</f>
        <v>255</v>
      </c>
      <c r="K82" s="76">
        <f>dim_sca_labor_rate!$I82*2.93</f>
        <v>249.05</v>
      </c>
    </row>
    <row r="83" ht="15.75" customHeight="1">
      <c r="A83" s="72" t="s">
        <v>10</v>
      </c>
      <c r="B83" s="72" t="s">
        <v>924</v>
      </c>
      <c r="C83" s="72" t="s">
        <v>925</v>
      </c>
      <c r="D83" s="72" t="s">
        <v>875</v>
      </c>
      <c r="E83" s="72" t="s">
        <v>876</v>
      </c>
      <c r="F83" s="72" t="str">
        <f>dim_sca_labor_rate!$A83&amp;" "&amp;dim_sca_labor_rate!$D83&amp;" "&amp;dim_sca_labor_rate!$E83&amp;"|"&amp;dim_sca_labor_rate!$H83</f>
        <v>C000016435 Lead Inspector|7</v>
      </c>
      <c r="G83" s="72" t="s">
        <v>905</v>
      </c>
      <c r="H83" s="72">
        <v>7.0</v>
      </c>
      <c r="I83" s="76">
        <v>55.0</v>
      </c>
      <c r="J83" s="76">
        <f>dim_sca_labor_rate!$I83*3</f>
        <v>165</v>
      </c>
      <c r="K83" s="76">
        <f>dim_sca_labor_rate!$I83*2.93</f>
        <v>161.15</v>
      </c>
    </row>
    <row r="84" ht="15.75" customHeight="1">
      <c r="A84" s="72" t="s">
        <v>10</v>
      </c>
      <c r="B84" s="72" t="s">
        <v>926</v>
      </c>
      <c r="C84" s="72" t="s">
        <v>925</v>
      </c>
      <c r="D84" s="72" t="s">
        <v>875</v>
      </c>
      <c r="E84" s="72" t="s">
        <v>876</v>
      </c>
      <c r="F84" s="72" t="str">
        <f>dim_sca_labor_rate!$A84&amp;" "&amp;dim_sca_labor_rate!$D84&amp;" "&amp;dim_sca_labor_rate!$E84&amp;"|"&amp;dim_sca_labor_rate!$H84</f>
        <v>C000016435 Lead Inspector|3</v>
      </c>
      <c r="G84" s="72" t="s">
        <v>907</v>
      </c>
      <c r="H84" s="72">
        <v>3.0</v>
      </c>
      <c r="I84" s="76">
        <v>45.0</v>
      </c>
      <c r="J84" s="76">
        <f>dim_sca_labor_rate!$I84*3</f>
        <v>135</v>
      </c>
      <c r="K84" s="76">
        <f>dim_sca_labor_rate!$I84*2.93</f>
        <v>131.85</v>
      </c>
    </row>
    <row r="85" ht="15.75" customHeight="1">
      <c r="A85" s="72" t="s">
        <v>10</v>
      </c>
      <c r="B85" s="72" t="s">
        <v>927</v>
      </c>
      <c r="C85" s="72" t="s">
        <v>928</v>
      </c>
      <c r="D85" s="72" t="s">
        <v>875</v>
      </c>
      <c r="E85" s="72" t="s">
        <v>877</v>
      </c>
      <c r="F85" s="72" t="str">
        <f>dim_sca_labor_rate!$A85&amp;" "&amp;dim_sca_labor_rate!$D85&amp;" "&amp;dim_sca_labor_rate!$E85&amp;"|"&amp;dim_sca_labor_rate!$H85</f>
        <v>C000016435 Lead Inspector / Risk Assessor|7</v>
      </c>
      <c r="G85" s="72" t="s">
        <v>905</v>
      </c>
      <c r="H85" s="72">
        <v>7.0</v>
      </c>
      <c r="I85" s="76">
        <v>61.0</v>
      </c>
      <c r="J85" s="76">
        <f>dim_sca_labor_rate!$I85*3</f>
        <v>183</v>
      </c>
      <c r="K85" s="76">
        <f>dim_sca_labor_rate!$I85*2.93</f>
        <v>178.73</v>
      </c>
    </row>
    <row r="86" ht="15.75" customHeight="1">
      <c r="A86" s="72" t="s">
        <v>10</v>
      </c>
      <c r="B86" s="72" t="s">
        <v>929</v>
      </c>
      <c r="C86" s="72" t="s">
        <v>928</v>
      </c>
      <c r="D86" s="72" t="s">
        <v>875</v>
      </c>
      <c r="E86" s="72" t="s">
        <v>877</v>
      </c>
      <c r="F86" s="72" t="str">
        <f>dim_sca_labor_rate!$A86&amp;" "&amp;dim_sca_labor_rate!$D86&amp;" "&amp;dim_sca_labor_rate!$E86&amp;"|"&amp;dim_sca_labor_rate!$H86</f>
        <v>C000016435 Lead Inspector / Risk Assessor|3</v>
      </c>
      <c r="G86" s="72" t="s">
        <v>907</v>
      </c>
      <c r="H86" s="72">
        <v>3.0</v>
      </c>
      <c r="I86" s="76">
        <v>61.0</v>
      </c>
      <c r="J86" s="76">
        <f>dim_sca_labor_rate!$I86*3</f>
        <v>183</v>
      </c>
      <c r="K86" s="76">
        <f>dim_sca_labor_rate!$I86*2.93</f>
        <v>178.73</v>
      </c>
    </row>
    <row r="87" ht="15.75" customHeight="1">
      <c r="A87" s="72" t="s">
        <v>10</v>
      </c>
      <c r="B87" s="72" t="s">
        <v>930</v>
      </c>
      <c r="C87" s="72" t="s">
        <v>931</v>
      </c>
      <c r="D87" s="72" t="s">
        <v>875</v>
      </c>
      <c r="E87" s="72" t="s">
        <v>873</v>
      </c>
      <c r="F87" s="72" t="str">
        <f>dim_sca_labor_rate!$A87&amp;" "&amp;dim_sca_labor_rate!$D87&amp;" "&amp;dim_sca_labor_rate!$E87&amp;"|"&amp;dim_sca_labor_rate!$H87</f>
        <v>C000016435 Lead Project Designer|7</v>
      </c>
      <c r="G87" s="72" t="s">
        <v>905</v>
      </c>
      <c r="H87" s="72">
        <v>7.0</v>
      </c>
      <c r="I87" s="76">
        <v>69.0</v>
      </c>
      <c r="J87" s="76">
        <f>dim_sca_labor_rate!$I87*3</f>
        <v>207</v>
      </c>
      <c r="K87" s="76">
        <f>dim_sca_labor_rate!$I87*2.93</f>
        <v>202.17</v>
      </c>
    </row>
    <row r="88" ht="15.75" customHeight="1">
      <c r="A88" s="72" t="s">
        <v>10</v>
      </c>
      <c r="B88" s="72" t="s">
        <v>932</v>
      </c>
      <c r="C88" s="72" t="s">
        <v>931</v>
      </c>
      <c r="D88" s="72" t="s">
        <v>875</v>
      </c>
      <c r="E88" s="72" t="s">
        <v>873</v>
      </c>
      <c r="F88" s="72" t="str">
        <f>dim_sca_labor_rate!$A88&amp;" "&amp;dim_sca_labor_rate!$D88&amp;" "&amp;dim_sca_labor_rate!$E88&amp;"|"&amp;dim_sca_labor_rate!$H88</f>
        <v>C000016435 Lead Project Designer|3</v>
      </c>
      <c r="G88" s="72" t="s">
        <v>907</v>
      </c>
      <c r="H88" s="72">
        <v>3.0</v>
      </c>
      <c r="I88" s="76">
        <v>47.0</v>
      </c>
      <c r="J88" s="76">
        <f>dim_sca_labor_rate!$I88*3</f>
        <v>141</v>
      </c>
      <c r="K88" s="76">
        <f>dim_sca_labor_rate!$I88*2.93</f>
        <v>137.71</v>
      </c>
    </row>
    <row r="89" ht="15.75" customHeight="1">
      <c r="A89" s="72" t="s">
        <v>10</v>
      </c>
      <c r="B89" s="72" t="s">
        <v>933</v>
      </c>
      <c r="C89" s="72" t="s">
        <v>934</v>
      </c>
      <c r="D89" s="72" t="s">
        <v>935</v>
      </c>
      <c r="E89" s="72" t="s">
        <v>936</v>
      </c>
      <c r="F89" s="72" t="str">
        <f>dim_sca_labor_rate!$A89&amp;" "&amp;dim_sca_labor_rate!$D89&amp;" "&amp;dim_sca_labor_rate!$E89&amp;"|"&amp;dim_sca_labor_rate!$H89</f>
        <v>C000016435 SSPC C3 Certified Lead Supervisor|7</v>
      </c>
      <c r="G89" s="72" t="s">
        <v>905</v>
      </c>
      <c r="H89" s="72">
        <v>7.0</v>
      </c>
      <c r="I89" s="76">
        <v>65.0</v>
      </c>
      <c r="J89" s="76">
        <f>dim_sca_labor_rate!$I89*3</f>
        <v>195</v>
      </c>
      <c r="K89" s="76">
        <f>dim_sca_labor_rate!$I89*2.93</f>
        <v>190.45</v>
      </c>
    </row>
    <row r="90" ht="15.75" customHeight="1">
      <c r="A90" s="72" t="s">
        <v>10</v>
      </c>
      <c r="B90" s="72" t="s">
        <v>937</v>
      </c>
      <c r="C90" s="72" t="s">
        <v>934</v>
      </c>
      <c r="D90" s="72" t="s">
        <v>935</v>
      </c>
      <c r="E90" s="72" t="s">
        <v>936</v>
      </c>
      <c r="F90" s="72" t="str">
        <f>dim_sca_labor_rate!$A90&amp;" "&amp;dim_sca_labor_rate!$D90&amp;" "&amp;dim_sca_labor_rate!$E90&amp;"|"&amp;dim_sca_labor_rate!$H90</f>
        <v>C000016435 SSPC C3 Certified Lead Supervisor|3</v>
      </c>
      <c r="G90" s="72" t="s">
        <v>907</v>
      </c>
      <c r="H90" s="72">
        <v>3.0</v>
      </c>
      <c r="I90" s="76">
        <v>50.0</v>
      </c>
      <c r="J90" s="76">
        <f>dim_sca_labor_rate!$I90*3</f>
        <v>150</v>
      </c>
      <c r="K90" s="76">
        <f>dim_sca_labor_rate!$I90*2.93</f>
        <v>146.5</v>
      </c>
    </row>
    <row r="91" ht="15.75" customHeight="1">
      <c r="A91" s="72" t="s">
        <v>10</v>
      </c>
      <c r="B91" s="72" t="s">
        <v>938</v>
      </c>
      <c r="C91" s="72" t="s">
        <v>939</v>
      </c>
      <c r="D91" s="72" t="s">
        <v>940</v>
      </c>
      <c r="E91" s="72" t="s">
        <v>903</v>
      </c>
      <c r="F91" s="72" t="str">
        <f>dim_sca_labor_rate!$A91&amp;" "&amp;dim_sca_labor_rate!$D91&amp;" "&amp;dim_sca_labor_rate!$E91&amp;"|"&amp;dim_sca_labor_rate!$H91</f>
        <v>C000016435 Mold Certified Industrial Hygienist|</v>
      </c>
      <c r="G91" s="72"/>
      <c r="H91" s="72"/>
      <c r="I91" s="76">
        <v>48.0</v>
      </c>
      <c r="J91" s="76">
        <f>dim_sca_labor_rate!$I91*3</f>
        <v>144</v>
      </c>
      <c r="K91" s="76">
        <f>dim_sca_labor_rate!$I91*2.93</f>
        <v>140.64</v>
      </c>
    </row>
    <row r="92" ht="15.75" customHeight="1">
      <c r="A92" s="72" t="s">
        <v>10</v>
      </c>
      <c r="B92" s="72" t="s">
        <v>941</v>
      </c>
      <c r="C92" s="72" t="s">
        <v>942</v>
      </c>
      <c r="D92" s="72" t="s">
        <v>940</v>
      </c>
      <c r="E92" s="72" t="s">
        <v>943</v>
      </c>
      <c r="F92" s="72" t="str">
        <f>dim_sca_labor_rate!$A92&amp;" "&amp;dim_sca_labor_rate!$D92&amp;" "&amp;dim_sca_labor_rate!$E92&amp;"|"&amp;dim_sca_labor_rate!$H92</f>
        <v>C000016435 Mold Field Technician|3</v>
      </c>
      <c r="G92" s="72"/>
      <c r="H92" s="72">
        <v>3.0</v>
      </c>
      <c r="I92" s="76">
        <v>42.0</v>
      </c>
      <c r="J92" s="76">
        <f>dim_sca_labor_rate!$I92*3</f>
        <v>126</v>
      </c>
      <c r="K92" s="76">
        <f>dim_sca_labor_rate!$I92*2.93</f>
        <v>123.06</v>
      </c>
    </row>
    <row r="93" ht="15.75" customHeight="1">
      <c r="A93" s="72" t="s">
        <v>10</v>
      </c>
      <c r="B93" s="72" t="s">
        <v>944</v>
      </c>
      <c r="C93" s="72" t="s">
        <v>945</v>
      </c>
      <c r="D93" s="72" t="s">
        <v>940</v>
      </c>
      <c r="E93" s="72" t="s">
        <v>946</v>
      </c>
      <c r="F93" s="72" t="str">
        <f>dim_sca_labor_rate!$A93&amp;" "&amp;dim_sca_labor_rate!$D93&amp;" "&amp;dim_sca_labor_rate!$E93&amp;"|"&amp;dim_sca_labor_rate!$H93</f>
        <v>C000016435 Mold Program Director|15</v>
      </c>
      <c r="G93" s="72"/>
      <c r="H93" s="72">
        <v>15.0</v>
      </c>
      <c r="I93" s="76">
        <v>85.0</v>
      </c>
      <c r="J93" s="76">
        <f>dim_sca_labor_rate!$I93*3</f>
        <v>255</v>
      </c>
      <c r="K93" s="76">
        <f>dim_sca_labor_rate!$I93*2.93</f>
        <v>249.05</v>
      </c>
    </row>
    <row r="94" ht="15.75" customHeight="1">
      <c r="A94" s="72" t="s">
        <v>10</v>
      </c>
      <c r="B94" s="72" t="s">
        <v>947</v>
      </c>
      <c r="C94" s="72" t="s">
        <v>948</v>
      </c>
      <c r="D94" s="72" t="s">
        <v>940</v>
      </c>
      <c r="E94" s="72" t="s">
        <v>874</v>
      </c>
      <c r="F94" s="72" t="str">
        <f>dim_sca_labor_rate!$A94&amp;" "&amp;dim_sca_labor_rate!$D94&amp;" "&amp;dim_sca_labor_rate!$E94&amp;"|"&amp;dim_sca_labor_rate!$H94</f>
        <v>C000016435 Mold Project Manager|7</v>
      </c>
      <c r="G94" s="72" t="s">
        <v>905</v>
      </c>
      <c r="H94" s="72">
        <v>7.0</v>
      </c>
      <c r="I94" s="76">
        <v>59.0</v>
      </c>
      <c r="J94" s="76">
        <f>dim_sca_labor_rate!$I94*3</f>
        <v>177</v>
      </c>
      <c r="K94" s="76">
        <f>dim_sca_labor_rate!$I94*2.93</f>
        <v>172.87</v>
      </c>
    </row>
    <row r="95" ht="15.75" customHeight="1">
      <c r="A95" s="72" t="s">
        <v>10</v>
      </c>
      <c r="B95" s="72" t="s">
        <v>949</v>
      </c>
      <c r="C95" s="72" t="s">
        <v>948</v>
      </c>
      <c r="D95" s="72" t="s">
        <v>940</v>
      </c>
      <c r="E95" s="72" t="s">
        <v>874</v>
      </c>
      <c r="F95" s="72" t="str">
        <f>dim_sca_labor_rate!$A95&amp;" "&amp;dim_sca_labor_rate!$D95&amp;" "&amp;dim_sca_labor_rate!$E95&amp;"|"&amp;dim_sca_labor_rate!$H95</f>
        <v>C000016435 Mold Project Manager|3</v>
      </c>
      <c r="G95" s="72" t="s">
        <v>907</v>
      </c>
      <c r="H95" s="72">
        <v>3.0</v>
      </c>
      <c r="I95" s="76">
        <v>75.0</v>
      </c>
      <c r="J95" s="76">
        <f>dim_sca_labor_rate!$I95*3</f>
        <v>225</v>
      </c>
      <c r="K95" s="76">
        <f>dim_sca_labor_rate!$I95*2.93</f>
        <v>219.75</v>
      </c>
    </row>
    <row r="96" ht="15.75" customHeight="1">
      <c r="A96" s="72" t="s">
        <v>10</v>
      </c>
      <c r="B96" s="72" t="s">
        <v>950</v>
      </c>
      <c r="C96" s="72" t="s">
        <v>951</v>
      </c>
      <c r="D96" s="72" t="s">
        <v>952</v>
      </c>
      <c r="E96" s="72" t="s">
        <v>903</v>
      </c>
      <c r="F96" s="72" t="str">
        <f>dim_sca_labor_rate!$A96&amp;" "&amp;dim_sca_labor_rate!$D96&amp;" "&amp;dim_sca_labor_rate!$E96&amp;"|"&amp;dim_sca_labor_rate!$H96</f>
        <v>C000016435 PCB Certified Industrial Hygienist|</v>
      </c>
      <c r="G96" s="72"/>
      <c r="H96" s="72"/>
      <c r="I96" s="76">
        <v>85.0</v>
      </c>
      <c r="J96" s="76">
        <f>dim_sca_labor_rate!$I96*3</f>
        <v>255</v>
      </c>
      <c r="K96" s="76">
        <f>dim_sca_labor_rate!$I96*2.93</f>
        <v>249.05</v>
      </c>
    </row>
    <row r="97" ht="15.75" customHeight="1">
      <c r="A97" s="72" t="s">
        <v>10</v>
      </c>
      <c r="B97" s="72" t="s">
        <v>953</v>
      </c>
      <c r="C97" s="72" t="s">
        <v>954</v>
      </c>
      <c r="D97" s="72" t="s">
        <v>952</v>
      </c>
      <c r="E97" s="72" t="s">
        <v>943</v>
      </c>
      <c r="F97" s="72" t="str">
        <f>dim_sca_labor_rate!$A97&amp;" "&amp;dim_sca_labor_rate!$D97&amp;" "&amp;dim_sca_labor_rate!$E97&amp;"|"&amp;dim_sca_labor_rate!$H97</f>
        <v>C000016435 PCB Field Technician|7</v>
      </c>
      <c r="G97" s="72" t="s">
        <v>905</v>
      </c>
      <c r="H97" s="72">
        <v>7.0</v>
      </c>
      <c r="I97" s="76">
        <v>50.0</v>
      </c>
      <c r="J97" s="76">
        <f>dim_sca_labor_rate!$I97*3</f>
        <v>150</v>
      </c>
      <c r="K97" s="76">
        <f>dim_sca_labor_rate!$I97*2.93</f>
        <v>146.5</v>
      </c>
    </row>
    <row r="98" ht="15.75" customHeight="1">
      <c r="A98" s="72" t="s">
        <v>10</v>
      </c>
      <c r="B98" s="72" t="s">
        <v>955</v>
      </c>
      <c r="C98" s="72" t="s">
        <v>954</v>
      </c>
      <c r="D98" s="72" t="s">
        <v>952</v>
      </c>
      <c r="E98" s="72" t="s">
        <v>943</v>
      </c>
      <c r="F98" s="72" t="str">
        <f>dim_sca_labor_rate!$A98&amp;" "&amp;dim_sca_labor_rate!$D98&amp;" "&amp;dim_sca_labor_rate!$E98&amp;"|"&amp;dim_sca_labor_rate!$H98</f>
        <v>C000016435 PCB Field Technician|3</v>
      </c>
      <c r="G98" s="72" t="s">
        <v>907</v>
      </c>
      <c r="H98" s="72">
        <v>3.0</v>
      </c>
      <c r="I98" s="76">
        <v>43.0</v>
      </c>
      <c r="J98" s="76">
        <f>dim_sca_labor_rate!$I98*3</f>
        <v>129</v>
      </c>
      <c r="K98" s="76">
        <f>dim_sca_labor_rate!$I98*2.93</f>
        <v>125.99</v>
      </c>
    </row>
    <row r="99" ht="15.75" customHeight="1">
      <c r="A99" s="72" t="s">
        <v>10</v>
      </c>
      <c r="B99" s="72" t="s">
        <v>956</v>
      </c>
      <c r="C99" s="72" t="s">
        <v>957</v>
      </c>
      <c r="D99" s="72" t="s">
        <v>952</v>
      </c>
      <c r="E99" s="72" t="s">
        <v>946</v>
      </c>
      <c r="F99" s="72" t="str">
        <f>dim_sca_labor_rate!$A99&amp;" "&amp;dim_sca_labor_rate!$D99&amp;" "&amp;dim_sca_labor_rate!$E99&amp;"|"&amp;dim_sca_labor_rate!$H99</f>
        <v>C000016435 PCB Program Director|15</v>
      </c>
      <c r="G99" s="72"/>
      <c r="H99" s="72">
        <v>15.0</v>
      </c>
      <c r="I99" s="76">
        <v>65.0</v>
      </c>
      <c r="J99" s="76">
        <f>dim_sca_labor_rate!$I99*3</f>
        <v>195</v>
      </c>
      <c r="K99" s="76">
        <f>dim_sca_labor_rate!$I99*2.93</f>
        <v>190.45</v>
      </c>
    </row>
    <row r="100" ht="15.75" customHeight="1">
      <c r="A100" s="72" t="s">
        <v>10</v>
      </c>
      <c r="B100" s="72" t="s">
        <v>958</v>
      </c>
      <c r="C100" s="72" t="s">
        <v>959</v>
      </c>
      <c r="D100" s="72" t="s">
        <v>952</v>
      </c>
      <c r="E100" s="72" t="s">
        <v>874</v>
      </c>
      <c r="F100" s="72" t="str">
        <f>dim_sca_labor_rate!$A100&amp;" "&amp;dim_sca_labor_rate!$D100&amp;" "&amp;dim_sca_labor_rate!$E100&amp;"|"&amp;dim_sca_labor_rate!$H100</f>
        <v>C000016435 PCB Project Manager|5</v>
      </c>
      <c r="G100" s="72"/>
      <c r="H100" s="72">
        <v>5.0</v>
      </c>
      <c r="I100" s="76">
        <v>80.0</v>
      </c>
      <c r="J100" s="76">
        <f>dim_sca_labor_rate!$I100*3</f>
        <v>240</v>
      </c>
      <c r="K100" s="76">
        <f>dim_sca_labor_rate!$I100*2.93</f>
        <v>234.4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23.25"/>
    <col customWidth="1" min="3" max="3" width="19.63"/>
    <col customWidth="1" min="4" max="4" width="41.13"/>
    <col customWidth="1" min="5" max="5" width="22.38"/>
    <col customWidth="1" min="6" max="6" width="17.75"/>
    <col customWidth="1" min="7" max="7" width="14.5"/>
    <col customWidth="1" min="8" max="8" width="14.63"/>
    <col customWidth="1" min="9" max="28" width="8.63"/>
  </cols>
  <sheetData>
    <row r="1">
      <c r="A1" s="72" t="s">
        <v>894</v>
      </c>
      <c r="B1" s="72" t="s">
        <v>866</v>
      </c>
      <c r="C1" s="98" t="s">
        <v>960</v>
      </c>
      <c r="D1" s="72" t="s">
        <v>961</v>
      </c>
      <c r="E1" s="72" t="s">
        <v>962</v>
      </c>
      <c r="F1" s="96" t="s">
        <v>963</v>
      </c>
      <c r="G1" s="96" t="s">
        <v>964</v>
      </c>
      <c r="H1" s="98" t="s">
        <v>102</v>
      </c>
    </row>
    <row r="2">
      <c r="A2" s="72" t="s">
        <v>869</v>
      </c>
      <c r="B2" s="72" t="s">
        <v>870</v>
      </c>
      <c r="C2" s="98">
        <v>7.0</v>
      </c>
      <c r="D2" s="72" t="str">
        <f>dim_labor_sca_map!$H2&amp;" "&amp;dim_labor_sca_map!$A2&amp;" "&amp;dim_labor_sca_map!$B2&amp;"|"&amp;dim_labor_sca_map!$C2</f>
        <v>C000015128 Asbestos Project Monitor|7</v>
      </c>
      <c r="E2" s="76">
        <f t="array" ref="E2">XLOOKUP(dim_labor_sca_map!$D2, dim_sca_labor_rate!$F$2:$F$100, dim_sca_labor_rate!$J$2:$J$100, 0, 0)</f>
        <v>88.5277</v>
      </c>
      <c r="F2" s="101">
        <f t="shared" ref="F2:F21" si="1">E2*2.41</f>
        <v>213.351757</v>
      </c>
      <c r="G2" s="101">
        <f t="shared" ref="G2:G58" si="2">F2-E2</f>
        <v>124.824057</v>
      </c>
      <c r="H2" s="98" t="s">
        <v>9</v>
      </c>
    </row>
    <row r="3">
      <c r="A3" s="72" t="s">
        <v>869</v>
      </c>
      <c r="B3" s="72" t="s">
        <v>870</v>
      </c>
      <c r="C3" s="98">
        <v>3.0</v>
      </c>
      <c r="D3" s="72" t="str">
        <f>dim_labor_sca_map!$H3&amp;" "&amp;dim_labor_sca_map!$A3&amp;" "&amp;dim_labor_sca_map!$B3&amp;"|"&amp;dim_labor_sca_map!$C3</f>
        <v>C000015128 Asbestos Project Monitor|3</v>
      </c>
      <c r="E3" s="76">
        <f t="array" ref="E3">XLOOKUP(dim_labor_sca_map!$D3, dim_sca_labor_rate!$F$2:$F$100, dim_sca_labor_rate!$J$2:$J$100, 0, 0)</f>
        <v>88.5277</v>
      </c>
      <c r="F3" s="101">
        <f t="shared" si="1"/>
        <v>213.351757</v>
      </c>
      <c r="G3" s="101">
        <f t="shared" si="2"/>
        <v>124.824057</v>
      </c>
      <c r="H3" s="98" t="s">
        <v>9</v>
      </c>
    </row>
    <row r="4">
      <c r="A4" s="97" t="s">
        <v>869</v>
      </c>
      <c r="B4" s="72" t="s">
        <v>871</v>
      </c>
      <c r="C4" s="98">
        <v>7.0</v>
      </c>
      <c r="D4" s="72" t="str">
        <f>dim_labor_sca_map!$H4&amp;" "&amp;dim_labor_sca_map!$A4&amp;" "&amp;dim_labor_sca_map!$B4&amp;"|"&amp;dim_labor_sca_map!$C4</f>
        <v>C000015128 Asbestos Air Testing|7</v>
      </c>
      <c r="E4" s="76">
        <f t="array" ref="E4">XLOOKUP(dim_labor_sca_map!$D4, dim_sca_labor_rate!$F$2:$F$100, dim_sca_labor_rate!$J$2:$J$100, 0, 0)</f>
        <v>83.332</v>
      </c>
      <c r="F4" s="101">
        <f t="shared" si="1"/>
        <v>200.83012</v>
      </c>
      <c r="G4" s="101">
        <f t="shared" si="2"/>
        <v>117.49812</v>
      </c>
      <c r="H4" s="98" t="s">
        <v>9</v>
      </c>
    </row>
    <row r="5">
      <c r="A5" s="97" t="s">
        <v>869</v>
      </c>
      <c r="B5" s="72" t="s">
        <v>871</v>
      </c>
      <c r="C5" s="98">
        <v>3.0</v>
      </c>
      <c r="D5" s="72" t="str">
        <f>dim_labor_sca_map!$H5&amp;" "&amp;dim_labor_sca_map!$A5&amp;" "&amp;dim_labor_sca_map!$B5&amp;"|"&amp;dim_labor_sca_map!$C5</f>
        <v>C000015128 Asbestos Air Testing|3</v>
      </c>
      <c r="E5" s="76">
        <f t="array" ref="E5">XLOOKUP(dim_labor_sca_map!$D5, dim_sca_labor_rate!$F$2:$F$100, dim_sca_labor_rate!$J$2:$J$100, 0, 0)</f>
        <v>83.332</v>
      </c>
      <c r="F5" s="101">
        <f t="shared" si="1"/>
        <v>200.83012</v>
      </c>
      <c r="G5" s="101">
        <f t="shared" si="2"/>
        <v>117.49812</v>
      </c>
      <c r="H5" s="98" t="s">
        <v>9</v>
      </c>
    </row>
    <row r="6">
      <c r="A6" s="97" t="s">
        <v>869</v>
      </c>
      <c r="B6" s="72" t="s">
        <v>872</v>
      </c>
      <c r="C6" s="98">
        <v>3.0</v>
      </c>
      <c r="D6" s="72" t="str">
        <f>dim_labor_sca_map!$H6&amp;" "&amp;dim_labor_sca_map!$A6&amp;" "&amp;dim_labor_sca_map!$B6&amp;"|"&amp;dim_labor_sca_map!$C6</f>
        <v>C000015128 Asbestos Investigator|3</v>
      </c>
      <c r="E6" s="76">
        <f t="array" ref="E6">XLOOKUP(dim_labor_sca_map!$D6, dim_sca_labor_rate!$F$2:$F$100, dim_sca_labor_rate!$J$2:$J$100, 0, 0)</f>
        <v>98.9442</v>
      </c>
      <c r="F6" s="101">
        <f t="shared" si="1"/>
        <v>238.455522</v>
      </c>
      <c r="G6" s="101">
        <f t="shared" si="2"/>
        <v>139.511322</v>
      </c>
      <c r="H6" s="98" t="s">
        <v>9</v>
      </c>
    </row>
    <row r="7">
      <c r="A7" s="97" t="s">
        <v>869</v>
      </c>
      <c r="B7" s="72" t="s">
        <v>873</v>
      </c>
      <c r="C7" s="98">
        <v>3.0</v>
      </c>
      <c r="D7" s="72" t="str">
        <f>dim_labor_sca_map!$H7&amp;" "&amp;dim_labor_sca_map!$A7&amp;" "&amp;dim_labor_sca_map!$B7&amp;"|"&amp;dim_labor_sca_map!$C7</f>
        <v>C000015128 Asbestos Project Designer|3</v>
      </c>
      <c r="E7" s="76">
        <f t="array" ref="E7">XLOOKUP(dim_labor_sca_map!$D7, dim_sca_labor_rate!$F$2:$F$100, dim_sca_labor_rate!$J$2:$J$100, 0, 0)</f>
        <v>93.7485</v>
      </c>
      <c r="F7" s="101">
        <f t="shared" si="1"/>
        <v>225.933885</v>
      </c>
      <c r="G7" s="101">
        <f t="shared" si="2"/>
        <v>132.185385</v>
      </c>
      <c r="H7" s="98" t="s">
        <v>9</v>
      </c>
    </row>
    <row r="8">
      <c r="A8" s="97" t="s">
        <v>869</v>
      </c>
      <c r="B8" s="72" t="s">
        <v>874</v>
      </c>
      <c r="C8" s="98">
        <v>3.0</v>
      </c>
      <c r="D8" s="72" t="str">
        <f>dim_labor_sca_map!$H8&amp;" "&amp;dim_labor_sca_map!$A8&amp;" "&amp;dim_labor_sca_map!$B8&amp;"|"&amp;dim_labor_sca_map!$C8</f>
        <v>C000015128 Asbestos Project Manager|3</v>
      </c>
      <c r="E8" s="76">
        <f t="array" ref="E8">XLOOKUP(dim_labor_sca_map!$D8, dim_sca_labor_rate!$F$2:$F$100, dim_sca_labor_rate!$J$2:$J$100, 0, 0)</f>
        <v>114.5564</v>
      </c>
      <c r="F8" s="101">
        <f t="shared" si="1"/>
        <v>276.080924</v>
      </c>
      <c r="G8" s="101">
        <f t="shared" si="2"/>
        <v>161.524524</v>
      </c>
      <c r="H8" s="98" t="s">
        <v>9</v>
      </c>
    </row>
    <row r="9">
      <c r="A9" s="97" t="s">
        <v>875</v>
      </c>
      <c r="B9" s="72" t="s">
        <v>876</v>
      </c>
      <c r="C9" s="98">
        <v>3.0</v>
      </c>
      <c r="D9" s="72" t="str">
        <f>dim_labor_sca_map!$H9&amp;" "&amp;dim_labor_sca_map!$A9&amp;" "&amp;dim_labor_sca_map!$B9&amp;"|"&amp;dim_labor_sca_map!$C9</f>
        <v>C000015128 Lead Inspector|3</v>
      </c>
      <c r="E9" s="76">
        <f t="array" ref="E9">XLOOKUP(dim_labor_sca_map!$D9, dim_sca_labor_rate!$F$2:$F$100, dim_sca_labor_rate!$J$2:$J$100, 0, 0)</f>
        <v>78.1112</v>
      </c>
      <c r="F9" s="101">
        <f t="shared" si="1"/>
        <v>188.247992</v>
      </c>
      <c r="G9" s="101">
        <f t="shared" si="2"/>
        <v>110.136792</v>
      </c>
      <c r="H9" s="98" t="s">
        <v>9</v>
      </c>
    </row>
    <row r="10">
      <c r="A10" s="97" t="s">
        <v>875</v>
      </c>
      <c r="B10" s="72" t="s">
        <v>877</v>
      </c>
      <c r="C10" s="98">
        <v>3.0</v>
      </c>
      <c r="D10" s="72" t="str">
        <f>dim_labor_sca_map!$H10&amp;" "&amp;dim_labor_sca_map!$A10&amp;" "&amp;dim_labor_sca_map!$B10&amp;"|"&amp;dim_labor_sca_map!$C10</f>
        <v>C000015128 Lead Inspector / Risk Assessor|3</v>
      </c>
      <c r="E10" s="76">
        <f t="array" ref="E10">XLOOKUP(dim_labor_sca_map!$D10, dim_sca_labor_rate!$F$2:$F$100, dim_sca_labor_rate!$J$2:$J$100, 0, 0)</f>
        <v>98.9442</v>
      </c>
      <c r="F10" s="101">
        <f t="shared" si="1"/>
        <v>238.455522</v>
      </c>
      <c r="G10" s="101">
        <f t="shared" si="2"/>
        <v>139.511322</v>
      </c>
      <c r="H10" s="98" t="s">
        <v>9</v>
      </c>
    </row>
    <row r="11">
      <c r="A11" s="97" t="s">
        <v>952</v>
      </c>
      <c r="B11" s="72" t="s">
        <v>943</v>
      </c>
      <c r="C11" s="98">
        <v>3.0</v>
      </c>
      <c r="D11" s="72" t="str">
        <f>dim_labor_sca_map!$H11&amp;" "&amp;dim_labor_sca_map!$A11&amp;" "&amp;dim_labor_sca_map!$B11&amp;"|"&amp;dim_labor_sca_map!$C11</f>
        <v>C000015128 PCB Field Technician|3</v>
      </c>
      <c r="E11" s="76">
        <f t="array" ref="E11">XLOOKUP(dim_labor_sca_map!$D11, dim_sca_labor_rate!$F$2:$F$100, dim_sca_labor_rate!$J$2:$J$100, 0, 0)</f>
        <v>78.1112</v>
      </c>
      <c r="F11" s="101">
        <f t="shared" si="1"/>
        <v>188.247992</v>
      </c>
      <c r="G11" s="101">
        <f t="shared" si="2"/>
        <v>110.136792</v>
      </c>
      <c r="H11" s="98" t="s">
        <v>9</v>
      </c>
    </row>
    <row r="12">
      <c r="A12" s="97" t="s">
        <v>869</v>
      </c>
      <c r="B12" s="72" t="s">
        <v>872</v>
      </c>
      <c r="C12" s="98">
        <v>7.0</v>
      </c>
      <c r="D12" s="72" t="str">
        <f>dim_labor_sca_map!$H12&amp;" "&amp;dim_labor_sca_map!$A12&amp;" "&amp;dim_labor_sca_map!$B12&amp;"|"&amp;dim_labor_sca_map!$C12</f>
        <v>C000015128 Asbestos Investigator|7</v>
      </c>
      <c r="E12" s="76">
        <f t="array" ref="E12">XLOOKUP(dim_labor_sca_map!$D12, dim_sca_labor_rate!$F$2:$F$100, dim_sca_labor_rate!$J$2:$J$100, 0, 0)</f>
        <v>114.5815</v>
      </c>
      <c r="F12" s="101">
        <f t="shared" si="1"/>
        <v>276.141415</v>
      </c>
      <c r="G12" s="101">
        <f t="shared" si="2"/>
        <v>161.559915</v>
      </c>
      <c r="H12" s="98" t="s">
        <v>9</v>
      </c>
    </row>
    <row r="13">
      <c r="A13" s="97" t="s">
        <v>869</v>
      </c>
      <c r="B13" s="72" t="s">
        <v>873</v>
      </c>
      <c r="C13" s="98">
        <v>7.0</v>
      </c>
      <c r="D13" s="72" t="str">
        <f>dim_labor_sca_map!$H13&amp;" "&amp;dim_labor_sca_map!$A13&amp;" "&amp;dim_labor_sca_map!$B13&amp;"|"&amp;dim_labor_sca_map!$C13</f>
        <v>C000015128 Asbestos Project Designer|7</v>
      </c>
      <c r="E13" s="76">
        <f t="array" ref="E13">XLOOKUP(dim_labor_sca_map!$D13, dim_sca_labor_rate!$F$2:$F$100, dim_sca_labor_rate!$J$2:$J$100, 0, 0)</f>
        <v>114.5815</v>
      </c>
      <c r="F13" s="101">
        <f t="shared" si="1"/>
        <v>276.141415</v>
      </c>
      <c r="G13" s="101">
        <f t="shared" si="2"/>
        <v>161.559915</v>
      </c>
      <c r="H13" s="98" t="s">
        <v>9</v>
      </c>
    </row>
    <row r="14">
      <c r="A14" s="97" t="s">
        <v>869</v>
      </c>
      <c r="B14" s="72" t="s">
        <v>874</v>
      </c>
      <c r="C14" s="98">
        <v>7.0</v>
      </c>
      <c r="D14" s="72" t="str">
        <f>dim_labor_sca_map!$H14&amp;" "&amp;dim_labor_sca_map!$A14&amp;" "&amp;dim_labor_sca_map!$B14&amp;"|"&amp;dim_labor_sca_map!$C14</f>
        <v>C000015128 Asbestos Project Manager|7</v>
      </c>
      <c r="E14" s="76">
        <f t="array" ref="E14">XLOOKUP(dim_labor_sca_map!$D14, dim_sca_labor_rate!$F$2:$F$100, dim_sca_labor_rate!$J$2:$J$100, 0, 0)</f>
        <v>145.831</v>
      </c>
      <c r="F14" s="101">
        <f t="shared" si="1"/>
        <v>351.45271</v>
      </c>
      <c r="G14" s="101">
        <f t="shared" si="2"/>
        <v>205.62171</v>
      </c>
      <c r="H14" s="98" t="s">
        <v>9</v>
      </c>
    </row>
    <row r="15">
      <c r="A15" s="97" t="s">
        <v>875</v>
      </c>
      <c r="B15" s="72" t="s">
        <v>876</v>
      </c>
      <c r="C15" s="98">
        <v>7.0</v>
      </c>
      <c r="D15" s="72" t="str">
        <f>dim_labor_sca_map!$H15&amp;" "&amp;dim_labor_sca_map!$A15&amp;" "&amp;dim_labor_sca_map!$B15&amp;"|"&amp;dim_labor_sca_map!$C15</f>
        <v>C000015128 Lead Inspector|7</v>
      </c>
      <c r="E15" s="76">
        <f t="array" ref="E15">XLOOKUP(dim_labor_sca_map!$D15, dim_sca_labor_rate!$F$2:$F$100, dim_sca_labor_rate!$J$2:$J$100, 0, 0)</f>
        <v>93.7234</v>
      </c>
      <c r="F15" s="101">
        <f t="shared" si="1"/>
        <v>225.873394</v>
      </c>
      <c r="G15" s="101">
        <f t="shared" si="2"/>
        <v>132.149994</v>
      </c>
      <c r="H15" s="98" t="s">
        <v>9</v>
      </c>
    </row>
    <row r="16">
      <c r="A16" s="97" t="s">
        <v>875</v>
      </c>
      <c r="B16" s="72" t="s">
        <v>877</v>
      </c>
      <c r="C16" s="98">
        <v>7.0</v>
      </c>
      <c r="D16" s="72" t="str">
        <f>dim_labor_sca_map!$H16&amp;" "&amp;dim_labor_sca_map!$A16&amp;" "&amp;dim_labor_sca_map!$B16&amp;"|"&amp;dim_labor_sca_map!$C16</f>
        <v>C000015128 Lead Inspector / Risk Assessor|7</v>
      </c>
      <c r="E16" s="76">
        <f t="array" ref="E16">XLOOKUP(dim_labor_sca_map!$D16, dim_sca_labor_rate!$F$2:$F$100, dim_sca_labor_rate!$J$2:$J$100, 0, 0)</f>
        <v>114.5564</v>
      </c>
      <c r="F16" s="101">
        <f t="shared" si="1"/>
        <v>276.080924</v>
      </c>
      <c r="G16" s="101">
        <f t="shared" si="2"/>
        <v>161.524524</v>
      </c>
      <c r="H16" s="98" t="s">
        <v>9</v>
      </c>
    </row>
    <row r="17">
      <c r="A17" s="97" t="s">
        <v>952</v>
      </c>
      <c r="B17" s="72" t="s">
        <v>943</v>
      </c>
      <c r="C17" s="98">
        <v>7.0</v>
      </c>
      <c r="D17" s="72" t="str">
        <f>dim_labor_sca_map!$H17&amp;" "&amp;dim_labor_sca_map!$A17&amp;" "&amp;dim_labor_sca_map!$B17&amp;"|"&amp;dim_labor_sca_map!$C17</f>
        <v>C000015128 PCB Field Technician|7</v>
      </c>
      <c r="E17" s="76">
        <f t="array" ref="E17">XLOOKUP(dim_labor_sca_map!$D17, dim_sca_labor_rate!$F$2:$F$100, dim_sca_labor_rate!$J$2:$J$100, 0, 0)</f>
        <v>83.332</v>
      </c>
      <c r="F17" s="101">
        <f t="shared" si="1"/>
        <v>200.83012</v>
      </c>
      <c r="G17" s="101">
        <f t="shared" si="2"/>
        <v>117.49812</v>
      </c>
      <c r="H17" s="98" t="s">
        <v>9</v>
      </c>
    </row>
    <row r="18">
      <c r="A18" s="97" t="s">
        <v>952</v>
      </c>
      <c r="B18" s="72" t="s">
        <v>943</v>
      </c>
      <c r="C18" s="98">
        <v>3.0</v>
      </c>
      <c r="D18" s="72" t="str">
        <f>dim_labor_sca_map!$H18&amp;" "&amp;dim_labor_sca_map!$A18&amp;" "&amp;dim_labor_sca_map!$B18&amp;"|"&amp;dim_labor_sca_map!$C18</f>
        <v>C000015128 PCB Field Technician|3</v>
      </c>
      <c r="E18" s="76">
        <f t="array" ref="E18">XLOOKUP(dim_labor_sca_map!$D18, dim_sca_labor_rate!$F$2:$F$100, dim_sca_labor_rate!$J$2:$J$100, 0, 0)</f>
        <v>78.1112</v>
      </c>
      <c r="F18" s="101">
        <f t="shared" si="1"/>
        <v>188.247992</v>
      </c>
      <c r="G18" s="101">
        <f t="shared" si="2"/>
        <v>110.136792</v>
      </c>
      <c r="H18" s="98" t="s">
        <v>9</v>
      </c>
    </row>
    <row r="19">
      <c r="A19" s="97" t="s">
        <v>869</v>
      </c>
      <c r="B19" s="72" t="s">
        <v>876</v>
      </c>
      <c r="C19" s="98">
        <v>3.0</v>
      </c>
      <c r="D19" s="72" t="str">
        <f>dim_labor_sca_map!$H19&amp;" "&amp;dim_labor_sca_map!$A19&amp;" "&amp;dim_labor_sca_map!$B19&amp;"|"&amp;dim_labor_sca_map!$C19</f>
        <v>C000015128 Asbestos Inspector|3</v>
      </c>
      <c r="E19" s="76">
        <f t="array" ref="E19">XLOOKUP(dim_labor_sca_map!$D19, dim_sca_labor_rate!$F$2:$F$100, dim_sca_labor_rate!$J$2:$J$100, 0, 0)</f>
        <v>88.5277</v>
      </c>
      <c r="F19" s="101">
        <f t="shared" si="1"/>
        <v>213.351757</v>
      </c>
      <c r="G19" s="101">
        <f t="shared" si="2"/>
        <v>124.824057</v>
      </c>
      <c r="H19" s="98" t="s">
        <v>9</v>
      </c>
    </row>
    <row r="20">
      <c r="A20" s="97" t="s">
        <v>869</v>
      </c>
      <c r="B20" s="72" t="s">
        <v>876</v>
      </c>
      <c r="C20" s="98">
        <v>7.0</v>
      </c>
      <c r="D20" s="72" t="str">
        <f>dim_labor_sca_map!$H20&amp;" "&amp;dim_labor_sca_map!$A20&amp;" "&amp;dim_labor_sca_map!$B20&amp;"|"&amp;dim_labor_sca_map!$C20</f>
        <v>C000015128 Asbestos Inspector|7</v>
      </c>
      <c r="E20" s="76">
        <f t="array" ref="E20">XLOOKUP(dim_labor_sca_map!$D20, dim_sca_labor_rate!$F$2:$F$100, dim_sca_labor_rate!$J$2:$J$100, 0, 0)</f>
        <v>98.9442</v>
      </c>
      <c r="F20" s="101">
        <f t="shared" si="1"/>
        <v>238.455522</v>
      </c>
      <c r="G20" s="101">
        <f t="shared" si="2"/>
        <v>139.511322</v>
      </c>
      <c r="H20" s="98" t="s">
        <v>9</v>
      </c>
    </row>
    <row r="21" ht="15.75" customHeight="1">
      <c r="A21" s="97" t="s">
        <v>869</v>
      </c>
      <c r="B21" s="72" t="s">
        <v>870</v>
      </c>
      <c r="C21" s="98">
        <v>7.0</v>
      </c>
      <c r="D21" s="72" t="str">
        <f>dim_labor_sca_map!$H21&amp;" "&amp;dim_labor_sca_map!$A21&amp;" "&amp;dim_labor_sca_map!$B21&amp;"|"&amp;dim_labor_sca_map!$C21</f>
        <v>C000015869 Asbestos Project Monitor|7</v>
      </c>
      <c r="E21" s="76">
        <f t="array" ref="E21">XLOOKUP(dim_labor_sca_map!$D21, dim_sca_labor_rate!$F$2:$F$100, dim_sca_labor_rate!$J$2:$J$100, 0, 0)</f>
        <v>104.5</v>
      </c>
      <c r="F21" s="101">
        <f t="shared" si="1"/>
        <v>251.845</v>
      </c>
      <c r="G21" s="101">
        <f t="shared" si="2"/>
        <v>147.345</v>
      </c>
      <c r="H21" s="98" t="s">
        <v>7</v>
      </c>
    </row>
    <row r="22" ht="15.75" customHeight="1">
      <c r="A22" s="97" t="s">
        <v>869</v>
      </c>
      <c r="B22" s="72" t="s">
        <v>870</v>
      </c>
      <c r="C22" s="98">
        <v>3.0</v>
      </c>
      <c r="D22" s="72" t="str">
        <f>dim_labor_sca_map!$H22&amp;" "&amp;dim_labor_sca_map!$A22&amp;" "&amp;dim_labor_sca_map!$B22&amp;"|"&amp;dim_labor_sca_map!$C22</f>
        <v>C000015869 Asbestos Project Monitor|3</v>
      </c>
      <c r="E22" s="76">
        <f t="array" ref="E22">XLOOKUP(dim_labor_sca_map!$D22, dim_sca_labor_rate!$F$2:$F$100, dim_sca_labor_rate!$J$2:$J$100, 0, 0)</f>
        <v>104.5</v>
      </c>
      <c r="F22" s="101">
        <f t="shared" ref="F22:F35" si="3">E22*2.54</f>
        <v>265.43</v>
      </c>
      <c r="G22" s="101">
        <f t="shared" si="2"/>
        <v>160.93</v>
      </c>
      <c r="H22" s="98" t="s">
        <v>7</v>
      </c>
    </row>
    <row r="23" ht="15.75" customHeight="1">
      <c r="A23" s="97" t="s">
        <v>869</v>
      </c>
      <c r="B23" s="72" t="s">
        <v>871</v>
      </c>
      <c r="C23" s="98">
        <v>3.0</v>
      </c>
      <c r="D23" s="72" t="str">
        <f>dim_labor_sca_map!$H23&amp;" "&amp;dim_labor_sca_map!$A23&amp;" "&amp;dim_labor_sca_map!$B23&amp;"|"&amp;dim_labor_sca_map!$C23</f>
        <v>C000015869 Asbestos Air Testing|3</v>
      </c>
      <c r="E23" s="76">
        <f t="array" ref="E23">XLOOKUP(dim_labor_sca_map!$D23, dim_sca_labor_rate!$F$2:$F$100, dim_sca_labor_rate!$J$2:$J$100, 0, 0)</f>
        <v>99</v>
      </c>
      <c r="F23" s="101">
        <f t="shared" si="3"/>
        <v>251.46</v>
      </c>
      <c r="G23" s="101">
        <f t="shared" si="2"/>
        <v>152.46</v>
      </c>
      <c r="H23" s="98" t="s">
        <v>7</v>
      </c>
    </row>
    <row r="24" ht="15.75" customHeight="1">
      <c r="A24" s="97" t="s">
        <v>869</v>
      </c>
      <c r="B24" s="72" t="s">
        <v>871</v>
      </c>
      <c r="C24" s="98">
        <v>7.0</v>
      </c>
      <c r="D24" s="72" t="str">
        <f>dim_labor_sca_map!$H24&amp;" "&amp;dim_labor_sca_map!$A24&amp;" "&amp;dim_labor_sca_map!$B24&amp;"|"&amp;dim_labor_sca_map!$C24</f>
        <v>C000015869 Asbestos Air Testing|7</v>
      </c>
      <c r="E24" s="76">
        <f t="array" ref="E24">XLOOKUP(dim_labor_sca_map!$D24, dim_sca_labor_rate!$F$2:$F$100, dim_sca_labor_rate!$J$2:$J$100, 0, 0)</f>
        <v>99</v>
      </c>
      <c r="F24" s="101">
        <f t="shared" si="3"/>
        <v>251.46</v>
      </c>
      <c r="G24" s="101">
        <f t="shared" si="2"/>
        <v>152.46</v>
      </c>
      <c r="H24" s="98" t="s">
        <v>7</v>
      </c>
    </row>
    <row r="25" ht="15.75" customHeight="1">
      <c r="A25" s="97" t="s">
        <v>869</v>
      </c>
      <c r="B25" s="72" t="s">
        <v>872</v>
      </c>
      <c r="C25" s="98">
        <v>3.0</v>
      </c>
      <c r="D25" s="72" t="str">
        <f>dim_labor_sca_map!$H25&amp;" "&amp;dim_labor_sca_map!$A25&amp;" "&amp;dim_labor_sca_map!$B25&amp;"|"&amp;dim_labor_sca_map!$C25</f>
        <v>C000015869 Asbestos Investigator|3</v>
      </c>
      <c r="E25" s="76">
        <f t="array" ref="E25">XLOOKUP(dim_labor_sca_map!$D25, dim_sca_labor_rate!$F$2:$F$100, dim_sca_labor_rate!$J$2:$J$100, 0, 0)</f>
        <v>115.5</v>
      </c>
      <c r="F25" s="101">
        <f t="shared" si="3"/>
        <v>293.37</v>
      </c>
      <c r="G25" s="101">
        <f t="shared" si="2"/>
        <v>177.87</v>
      </c>
      <c r="H25" s="98" t="s">
        <v>7</v>
      </c>
    </row>
    <row r="26" ht="15.75" customHeight="1">
      <c r="A26" s="97" t="s">
        <v>869</v>
      </c>
      <c r="B26" s="72" t="s">
        <v>873</v>
      </c>
      <c r="C26" s="98">
        <v>3.0</v>
      </c>
      <c r="D26" s="72" t="str">
        <f>dim_labor_sca_map!$H26&amp;" "&amp;dim_labor_sca_map!$A26&amp;" "&amp;dim_labor_sca_map!$B26&amp;"|"&amp;dim_labor_sca_map!$C26</f>
        <v>C000015869 Asbestos Project Designer|3</v>
      </c>
      <c r="E26" s="76">
        <f t="array" ref="E26">XLOOKUP(dim_labor_sca_map!$D26, dim_sca_labor_rate!$F$2:$F$100, dim_sca_labor_rate!$J$2:$J$100, 0, 0)</f>
        <v>123.75</v>
      </c>
      <c r="F26" s="101">
        <f t="shared" si="3"/>
        <v>314.325</v>
      </c>
      <c r="G26" s="101">
        <f t="shared" si="2"/>
        <v>190.575</v>
      </c>
      <c r="H26" s="98" t="s">
        <v>7</v>
      </c>
    </row>
    <row r="27" ht="15.75" customHeight="1">
      <c r="A27" s="97" t="s">
        <v>869</v>
      </c>
      <c r="B27" s="72" t="s">
        <v>874</v>
      </c>
      <c r="C27" s="98">
        <v>3.0</v>
      </c>
      <c r="D27" s="72" t="str">
        <f>dim_labor_sca_map!$H27&amp;" "&amp;dim_labor_sca_map!$A27&amp;" "&amp;dim_labor_sca_map!$B27&amp;"|"&amp;dim_labor_sca_map!$C27</f>
        <v>C000015869 Asbestos Project Manager|3</v>
      </c>
      <c r="E27" s="76">
        <f t="array" ref="E27">XLOOKUP(dim_labor_sca_map!$D27, dim_sca_labor_rate!$F$2:$F$100, dim_sca_labor_rate!$J$2:$J$100, 0, 0)</f>
        <v>126.5</v>
      </c>
      <c r="F27" s="101">
        <f t="shared" si="3"/>
        <v>321.31</v>
      </c>
      <c r="G27" s="101">
        <f t="shared" si="2"/>
        <v>194.81</v>
      </c>
      <c r="H27" s="98" t="s">
        <v>7</v>
      </c>
    </row>
    <row r="28" ht="15.75" customHeight="1">
      <c r="A28" s="97" t="s">
        <v>875</v>
      </c>
      <c r="B28" s="72" t="s">
        <v>876</v>
      </c>
      <c r="C28" s="98">
        <v>3.0</v>
      </c>
      <c r="D28" s="72" t="str">
        <f>dim_labor_sca_map!$H28&amp;" "&amp;dim_labor_sca_map!$A28&amp;" "&amp;dim_labor_sca_map!$B28&amp;"|"&amp;dim_labor_sca_map!$C28</f>
        <v>C000015869 Lead Inspector|3</v>
      </c>
      <c r="E28" s="76">
        <f t="array" ref="E28">XLOOKUP(dim_labor_sca_map!$D28, dim_sca_labor_rate!$F$2:$F$100, dim_sca_labor_rate!$J$2:$J$100, 0, 0)</f>
        <v>96.25</v>
      </c>
      <c r="F28" s="101">
        <f t="shared" si="3"/>
        <v>244.475</v>
      </c>
      <c r="G28" s="101">
        <f t="shared" si="2"/>
        <v>148.225</v>
      </c>
      <c r="H28" s="98" t="s">
        <v>7</v>
      </c>
    </row>
    <row r="29" ht="15.75" customHeight="1">
      <c r="A29" s="97" t="s">
        <v>875</v>
      </c>
      <c r="B29" s="72" t="s">
        <v>877</v>
      </c>
      <c r="C29" s="98">
        <v>3.0</v>
      </c>
      <c r="D29" s="72" t="str">
        <f>dim_labor_sca_map!$H29&amp;" "&amp;dim_labor_sca_map!$A29&amp;" "&amp;dim_labor_sca_map!$B29&amp;"|"&amp;dim_labor_sca_map!$C29</f>
        <v>C000015869 Lead Inspector / Risk Assessor|3</v>
      </c>
      <c r="E29" s="76">
        <f t="array" ref="E29">XLOOKUP(dim_labor_sca_map!$D29, dim_sca_labor_rate!$F$2:$F$100, dim_sca_labor_rate!$J$2:$J$100, 0, 0)</f>
        <v>107.25</v>
      </c>
      <c r="F29" s="101">
        <f t="shared" si="3"/>
        <v>272.415</v>
      </c>
      <c r="G29" s="101">
        <f t="shared" si="2"/>
        <v>165.165</v>
      </c>
      <c r="H29" s="98" t="s">
        <v>7</v>
      </c>
    </row>
    <row r="30" ht="15.75" customHeight="1">
      <c r="A30" s="97" t="s">
        <v>952</v>
      </c>
      <c r="B30" s="72" t="s">
        <v>943</v>
      </c>
      <c r="C30" s="98">
        <v>3.0</v>
      </c>
      <c r="D30" s="72" t="str">
        <f>dim_labor_sca_map!$H30&amp;" "&amp;dim_labor_sca_map!$A30&amp;" "&amp;dim_labor_sca_map!$B30&amp;"|"&amp;dim_labor_sca_map!$C30</f>
        <v>C000015869 PCB Field Technician|3</v>
      </c>
      <c r="E30" s="76">
        <f t="array" ref="E30">XLOOKUP(dim_labor_sca_map!$D30, dim_sca_labor_rate!$F$2:$F$100, dim_sca_labor_rate!$J$2:$J$100, 0, 0)</f>
        <v>85.25</v>
      </c>
      <c r="F30" s="101">
        <f t="shared" si="3"/>
        <v>216.535</v>
      </c>
      <c r="G30" s="101">
        <f t="shared" si="2"/>
        <v>131.285</v>
      </c>
      <c r="H30" s="98" t="s">
        <v>7</v>
      </c>
    </row>
    <row r="31" ht="15.75" customHeight="1">
      <c r="A31" s="97" t="s">
        <v>869</v>
      </c>
      <c r="B31" s="72" t="s">
        <v>872</v>
      </c>
      <c r="C31" s="98">
        <v>7.0</v>
      </c>
      <c r="D31" s="72" t="str">
        <f>dim_labor_sca_map!$H31&amp;" "&amp;dim_labor_sca_map!$A31&amp;" "&amp;dim_labor_sca_map!$B31&amp;"|"&amp;dim_labor_sca_map!$C31</f>
        <v>C000015869 Asbestos Investigator|7</v>
      </c>
      <c r="E31" s="76">
        <f t="array" ref="E31">XLOOKUP(dim_labor_sca_map!$D31, dim_sca_labor_rate!$F$2:$F$100, dim_sca_labor_rate!$J$2:$J$100, 0, 0)</f>
        <v>134.75</v>
      </c>
      <c r="F31" s="101">
        <f t="shared" si="3"/>
        <v>342.265</v>
      </c>
      <c r="G31" s="101">
        <f t="shared" si="2"/>
        <v>207.515</v>
      </c>
      <c r="H31" s="98" t="s">
        <v>7</v>
      </c>
    </row>
    <row r="32" ht="15.75" customHeight="1">
      <c r="A32" s="97" t="s">
        <v>869</v>
      </c>
      <c r="B32" s="72" t="s">
        <v>873</v>
      </c>
      <c r="C32" s="98">
        <v>7.0</v>
      </c>
      <c r="D32" s="72" t="str">
        <f>dim_labor_sca_map!$H32&amp;" "&amp;dim_labor_sca_map!$A32&amp;" "&amp;dim_labor_sca_map!$B32&amp;"|"&amp;dim_labor_sca_map!$C32</f>
        <v>C000015869 Asbestos Project Designer|7</v>
      </c>
      <c r="E32" s="76">
        <f t="array" ref="E32">XLOOKUP(dim_labor_sca_map!$D32, dim_sca_labor_rate!$F$2:$F$100, dim_sca_labor_rate!$J$2:$J$100, 0, 0)</f>
        <v>151.25</v>
      </c>
      <c r="F32" s="101">
        <f t="shared" si="3"/>
        <v>384.175</v>
      </c>
      <c r="G32" s="101">
        <f t="shared" si="2"/>
        <v>232.925</v>
      </c>
      <c r="H32" s="98" t="s">
        <v>7</v>
      </c>
    </row>
    <row r="33" ht="15.75" customHeight="1">
      <c r="A33" s="97" t="s">
        <v>869</v>
      </c>
      <c r="B33" s="72" t="s">
        <v>874</v>
      </c>
      <c r="C33" s="98">
        <v>7.0</v>
      </c>
      <c r="D33" s="72" t="str">
        <f>dim_labor_sca_map!$H33&amp;" "&amp;dim_labor_sca_map!$A33&amp;" "&amp;dim_labor_sca_map!$B33&amp;"|"&amp;dim_labor_sca_map!$C33</f>
        <v>C000015869 Asbestos Project Manager|7</v>
      </c>
      <c r="E33" s="76">
        <f t="array" ref="E33">XLOOKUP(dim_labor_sca_map!$D33, dim_sca_labor_rate!$F$2:$F$100, dim_sca_labor_rate!$J$2:$J$100, 0, 0)</f>
        <v>167.75</v>
      </c>
      <c r="F33" s="101">
        <f t="shared" si="3"/>
        <v>426.085</v>
      </c>
      <c r="G33" s="101">
        <f t="shared" si="2"/>
        <v>258.335</v>
      </c>
      <c r="H33" s="98" t="s">
        <v>7</v>
      </c>
    </row>
    <row r="34" ht="15.75" customHeight="1">
      <c r="A34" s="97" t="s">
        <v>875</v>
      </c>
      <c r="B34" s="72" t="s">
        <v>876</v>
      </c>
      <c r="C34" s="98">
        <v>7.0</v>
      </c>
      <c r="D34" s="72" t="str">
        <f>dim_labor_sca_map!$H34&amp;" "&amp;dim_labor_sca_map!$A34&amp;" "&amp;dim_labor_sca_map!$B34&amp;"|"&amp;dim_labor_sca_map!$C34</f>
        <v>C000015869 Lead Inspector|7</v>
      </c>
      <c r="E34" s="76">
        <f t="array" ref="E34">XLOOKUP(dim_labor_sca_map!$D34, dim_sca_labor_rate!$F$2:$F$100, dim_sca_labor_rate!$J$2:$J$100, 0, 0)</f>
        <v>118.25</v>
      </c>
      <c r="F34" s="101">
        <f t="shared" si="3"/>
        <v>300.355</v>
      </c>
      <c r="G34" s="101">
        <f t="shared" si="2"/>
        <v>182.105</v>
      </c>
      <c r="H34" s="98" t="s">
        <v>7</v>
      </c>
    </row>
    <row r="35" ht="15.75" customHeight="1">
      <c r="A35" s="97" t="s">
        <v>875</v>
      </c>
      <c r="B35" s="72" t="s">
        <v>877</v>
      </c>
      <c r="C35" s="98">
        <v>7.0</v>
      </c>
      <c r="D35" s="72" t="str">
        <f>dim_labor_sca_map!$H35&amp;" "&amp;dim_labor_sca_map!$A35&amp;" "&amp;dim_labor_sca_map!$B35&amp;"|"&amp;dim_labor_sca_map!$C35</f>
        <v>C000015869 Lead Inspector / Risk Assessor|7</v>
      </c>
      <c r="E35" s="76">
        <f t="array" ref="E35">XLOOKUP(dim_labor_sca_map!$D35, dim_sca_labor_rate!$F$2:$F$100, dim_sca_labor_rate!$J$2:$J$100, 0, 0)</f>
        <v>140.25</v>
      </c>
      <c r="F35" s="101">
        <f t="shared" si="3"/>
        <v>356.235</v>
      </c>
      <c r="G35" s="101">
        <f t="shared" si="2"/>
        <v>215.985</v>
      </c>
      <c r="H35" s="98" t="s">
        <v>7</v>
      </c>
    </row>
    <row r="36" ht="15.75" customHeight="1">
      <c r="A36" s="97" t="s">
        <v>952</v>
      </c>
      <c r="B36" s="72" t="s">
        <v>943</v>
      </c>
      <c r="C36" s="98">
        <v>7.0</v>
      </c>
      <c r="D36" s="72" t="str">
        <f>dim_labor_sca_map!$H36&amp;" "&amp;dim_labor_sca_map!$A36&amp;" "&amp;dim_labor_sca_map!$B36&amp;"|"&amp;dim_labor_sca_map!$C36</f>
        <v>C000015869 PCB Field Technician|7</v>
      </c>
      <c r="E36" s="76">
        <f t="array" ref="E36">XLOOKUP(dim_labor_sca_map!$D36, dim_sca_labor_rate!$F$2:$F$100, dim_sca_labor_rate!$J$2:$J$100, 0, 0)</f>
        <v>99</v>
      </c>
      <c r="F36" s="101">
        <f t="shared" ref="F36:F39" si="4">E36*2.41</f>
        <v>238.59</v>
      </c>
      <c r="G36" s="101">
        <f t="shared" si="2"/>
        <v>139.59</v>
      </c>
      <c r="H36" s="98" t="s">
        <v>7</v>
      </c>
    </row>
    <row r="37" ht="15.75" customHeight="1">
      <c r="A37" s="97" t="s">
        <v>952</v>
      </c>
      <c r="B37" s="72" t="s">
        <v>943</v>
      </c>
      <c r="C37" s="98">
        <v>3.0</v>
      </c>
      <c r="D37" s="72" t="str">
        <f>dim_labor_sca_map!$H37&amp;" "&amp;dim_labor_sca_map!$A37&amp;" "&amp;dim_labor_sca_map!$B37&amp;"|"&amp;dim_labor_sca_map!$C37</f>
        <v>C000015869 PCB Field Technician|3</v>
      </c>
      <c r="E37" s="76">
        <f t="array" ref="E37">XLOOKUP(dim_labor_sca_map!$D37, dim_sca_labor_rate!$F$2:$F$100, dim_sca_labor_rate!$J$2:$J$100, 0, 0)</f>
        <v>85.25</v>
      </c>
      <c r="F37" s="101">
        <f t="shared" si="4"/>
        <v>205.4525</v>
      </c>
      <c r="G37" s="101">
        <f t="shared" si="2"/>
        <v>120.2025</v>
      </c>
      <c r="H37" s="98" t="s">
        <v>7</v>
      </c>
    </row>
    <row r="38" ht="15.75" customHeight="1">
      <c r="A38" s="97" t="s">
        <v>869</v>
      </c>
      <c r="B38" s="72" t="s">
        <v>876</v>
      </c>
      <c r="C38" s="98">
        <v>3.0</v>
      </c>
      <c r="D38" s="72" t="str">
        <f>dim_labor_sca_map!$H38&amp;" "&amp;dim_labor_sca_map!$A38&amp;" "&amp;dim_labor_sca_map!$B38&amp;"|"&amp;dim_labor_sca_map!$C38</f>
        <v>C000015869 Asbestos Inspector|3</v>
      </c>
      <c r="E38" s="76">
        <f t="array" ref="E38">XLOOKUP(dim_labor_sca_map!$D38, dim_sca_labor_rate!$F$2:$F$100, dim_sca_labor_rate!$J$2:$J$100, 0, 0)</f>
        <v>99</v>
      </c>
      <c r="F38" s="101">
        <f t="shared" si="4"/>
        <v>238.59</v>
      </c>
      <c r="G38" s="101">
        <f t="shared" si="2"/>
        <v>139.59</v>
      </c>
      <c r="H38" s="98" t="s">
        <v>7</v>
      </c>
    </row>
    <row r="39" ht="15.75" customHeight="1">
      <c r="A39" s="97" t="s">
        <v>869</v>
      </c>
      <c r="B39" s="72" t="s">
        <v>876</v>
      </c>
      <c r="C39" s="98">
        <v>7.0</v>
      </c>
      <c r="D39" s="72" t="str">
        <f>dim_labor_sca_map!$H39&amp;" "&amp;dim_labor_sca_map!$A39&amp;" "&amp;dim_labor_sca_map!$B39&amp;"|"&amp;dim_labor_sca_map!$C39</f>
        <v>C000015869 Asbestos Inspector|7</v>
      </c>
      <c r="E39" s="76">
        <f t="array" ref="E39">XLOOKUP(dim_labor_sca_map!$D39, dim_sca_labor_rate!$F$2:$F$100, dim_sca_labor_rate!$J$2:$J$100, 0, 0)</f>
        <v>118.25</v>
      </c>
      <c r="F39" s="101">
        <f t="shared" si="4"/>
        <v>284.9825</v>
      </c>
      <c r="G39" s="101">
        <f t="shared" si="2"/>
        <v>166.7325</v>
      </c>
      <c r="H39" s="98" t="s">
        <v>7</v>
      </c>
    </row>
    <row r="40" ht="15.75" customHeight="1">
      <c r="A40" s="97" t="s">
        <v>869</v>
      </c>
      <c r="B40" s="72" t="s">
        <v>870</v>
      </c>
      <c r="C40" s="98">
        <v>3.0</v>
      </c>
      <c r="D40" s="72" t="str">
        <f>dim_labor_sca_map!$H40&amp;" "&amp;dim_labor_sca_map!$A40&amp;" "&amp;dim_labor_sca_map!$B40&amp;"|"&amp;dim_labor_sca_map!$C40</f>
        <v>C000016435 Asbestos Project Monitor|3</v>
      </c>
      <c r="E40" s="76">
        <f t="array" ref="E40">XLOOKUP(dim_labor_sca_map!$D40, dim_sca_labor_rate!$F$2:$F$100, dim_sca_labor_rate!$J$2:$J$100, 0, 0)</f>
        <v>144</v>
      </c>
      <c r="F40" s="101">
        <f t="shared" ref="F40:F58" si="5">E40*2.93</f>
        <v>421.92</v>
      </c>
      <c r="G40" s="101">
        <f t="shared" si="2"/>
        <v>277.92</v>
      </c>
      <c r="H40" s="98" t="s">
        <v>10</v>
      </c>
    </row>
    <row r="41" ht="15.75" customHeight="1">
      <c r="A41" s="97" t="s">
        <v>869</v>
      </c>
      <c r="B41" s="72" t="s">
        <v>870</v>
      </c>
      <c r="C41" s="98">
        <v>7.0</v>
      </c>
      <c r="D41" s="72" t="str">
        <f>dim_labor_sca_map!$H41&amp;" "&amp;dim_labor_sca_map!$A41&amp;" "&amp;dim_labor_sca_map!$B41&amp;"|"&amp;dim_labor_sca_map!$C41</f>
        <v>C000016435 Asbestos Project Monitor|7</v>
      </c>
      <c r="E41" s="76">
        <f t="array" ref="E41">XLOOKUP(dim_labor_sca_map!$D41, dim_sca_labor_rate!$F$2:$F$100, dim_sca_labor_rate!$J$2:$J$100, 0, 0)</f>
        <v>144</v>
      </c>
      <c r="F41" s="101">
        <f t="shared" si="5"/>
        <v>421.92</v>
      </c>
      <c r="G41" s="101">
        <f t="shared" si="2"/>
        <v>277.92</v>
      </c>
      <c r="H41" s="98" t="s">
        <v>10</v>
      </c>
    </row>
    <row r="42" ht="15.75" customHeight="1">
      <c r="A42" s="97" t="s">
        <v>869</v>
      </c>
      <c r="B42" s="72" t="s">
        <v>871</v>
      </c>
      <c r="C42" s="98">
        <v>3.0</v>
      </c>
      <c r="D42" s="72" t="str">
        <f>dim_labor_sca_map!$H42&amp;" "&amp;dim_labor_sca_map!$A42&amp;" "&amp;dim_labor_sca_map!$B42&amp;"|"&amp;dim_labor_sca_map!$C42</f>
        <v>C000016435 Asbestos Air Testing|3</v>
      </c>
      <c r="E42" s="76">
        <f t="array" ref="E42">XLOOKUP(dim_labor_sca_map!$D42, dim_sca_labor_rate!$F$2:$F$100, dim_sca_labor_rate!$J$2:$J$100, 0, 0)</f>
        <v>132</v>
      </c>
      <c r="F42" s="101">
        <f t="shared" si="5"/>
        <v>386.76</v>
      </c>
      <c r="G42" s="101">
        <f t="shared" si="2"/>
        <v>254.76</v>
      </c>
      <c r="H42" s="98" t="s">
        <v>10</v>
      </c>
    </row>
    <row r="43" ht="15.75" customHeight="1">
      <c r="A43" s="97" t="s">
        <v>869</v>
      </c>
      <c r="B43" s="72" t="s">
        <v>871</v>
      </c>
      <c r="C43" s="98">
        <v>7.0</v>
      </c>
      <c r="D43" s="72" t="str">
        <f>dim_labor_sca_map!$H43&amp;" "&amp;dim_labor_sca_map!$A43&amp;" "&amp;dim_labor_sca_map!$B43&amp;"|"&amp;dim_labor_sca_map!$C43</f>
        <v>C000016435 Asbestos Air Testing|7</v>
      </c>
      <c r="E43" s="76">
        <f t="array" ref="E43">XLOOKUP(dim_labor_sca_map!$D43, dim_sca_labor_rate!$F$2:$F$100, dim_sca_labor_rate!$J$2:$J$100, 0, 0)</f>
        <v>132</v>
      </c>
      <c r="F43" s="101">
        <f t="shared" si="5"/>
        <v>386.76</v>
      </c>
      <c r="G43" s="101">
        <f t="shared" si="2"/>
        <v>254.76</v>
      </c>
      <c r="H43" s="98" t="s">
        <v>10</v>
      </c>
    </row>
    <row r="44" ht="15.75" customHeight="1">
      <c r="A44" s="97" t="s">
        <v>869</v>
      </c>
      <c r="B44" s="72" t="s">
        <v>872</v>
      </c>
      <c r="C44" s="98">
        <v>3.0</v>
      </c>
      <c r="D44" s="72" t="str">
        <f>dim_labor_sca_map!$H44&amp;" "&amp;dim_labor_sca_map!$A44&amp;" "&amp;dim_labor_sca_map!$B44&amp;"|"&amp;dim_labor_sca_map!$C44</f>
        <v>C000016435 Asbestos Investigator|3</v>
      </c>
      <c r="E44" s="76">
        <f t="array" ref="E44">XLOOKUP(dim_labor_sca_map!$D44, dim_sca_labor_rate!$F$2:$F$100, dim_sca_labor_rate!$J$2:$J$100, 0, 0)</f>
        <v>180</v>
      </c>
      <c r="F44" s="101">
        <f t="shared" si="5"/>
        <v>527.4</v>
      </c>
      <c r="G44" s="101">
        <f t="shared" si="2"/>
        <v>347.4</v>
      </c>
      <c r="H44" s="98" t="s">
        <v>10</v>
      </c>
    </row>
    <row r="45" ht="15.75" customHeight="1">
      <c r="A45" s="97" t="s">
        <v>869</v>
      </c>
      <c r="B45" s="72" t="s">
        <v>873</v>
      </c>
      <c r="C45" s="98">
        <v>3.0</v>
      </c>
      <c r="D45" s="72" t="str">
        <f>dim_labor_sca_map!$H45&amp;" "&amp;dim_labor_sca_map!$A45&amp;" "&amp;dim_labor_sca_map!$B45&amp;"|"&amp;dim_labor_sca_map!$C45</f>
        <v>C000016435 Asbestos Project Designer|3</v>
      </c>
      <c r="E45" s="76">
        <f t="array" ref="E45">XLOOKUP(dim_labor_sca_map!$D45, dim_sca_labor_rate!$F$2:$F$100, dim_sca_labor_rate!$J$2:$J$100, 0, 0)</f>
        <v>189</v>
      </c>
      <c r="F45" s="101">
        <f t="shared" si="5"/>
        <v>553.77</v>
      </c>
      <c r="G45" s="101">
        <f t="shared" si="2"/>
        <v>364.77</v>
      </c>
      <c r="H45" s="98" t="s">
        <v>10</v>
      </c>
    </row>
    <row r="46" ht="15.75" customHeight="1">
      <c r="A46" s="97" t="s">
        <v>869</v>
      </c>
      <c r="B46" s="72" t="s">
        <v>874</v>
      </c>
      <c r="C46" s="98">
        <v>3.0</v>
      </c>
      <c r="D46" s="72" t="str">
        <f>dim_labor_sca_map!$H46&amp;" "&amp;dim_labor_sca_map!$A46&amp;" "&amp;dim_labor_sca_map!$B46&amp;"|"&amp;dim_labor_sca_map!$C46</f>
        <v>C000016435 Asbestos Project Manager|3</v>
      </c>
      <c r="E46" s="76">
        <f t="array" ref="E46">XLOOKUP(dim_labor_sca_map!$D46, dim_sca_labor_rate!$F$2:$F$100, dim_sca_labor_rate!$J$2:$J$100, 0, 0)</f>
        <v>201</v>
      </c>
      <c r="F46" s="101">
        <f t="shared" si="5"/>
        <v>588.93</v>
      </c>
      <c r="G46" s="101">
        <f t="shared" si="2"/>
        <v>387.93</v>
      </c>
      <c r="H46" s="98" t="s">
        <v>10</v>
      </c>
    </row>
    <row r="47" ht="15.75" customHeight="1">
      <c r="A47" s="97" t="s">
        <v>875</v>
      </c>
      <c r="B47" s="72" t="s">
        <v>876</v>
      </c>
      <c r="C47" s="98">
        <v>3.0</v>
      </c>
      <c r="D47" s="72" t="str">
        <f>dim_labor_sca_map!$H47&amp;" "&amp;dim_labor_sca_map!$A47&amp;" "&amp;dim_labor_sca_map!$B47&amp;"|"&amp;dim_labor_sca_map!$C47</f>
        <v>C000016435 Lead Inspector|3</v>
      </c>
      <c r="E47" s="76">
        <f t="array" ref="E47">XLOOKUP(dim_labor_sca_map!$D47, dim_sca_labor_rate!$F$2:$F$100, dim_sca_labor_rate!$J$2:$J$100, 0, 0)</f>
        <v>135</v>
      </c>
      <c r="F47" s="101">
        <f t="shared" si="5"/>
        <v>395.55</v>
      </c>
      <c r="G47" s="101">
        <f t="shared" si="2"/>
        <v>260.55</v>
      </c>
      <c r="H47" s="98" t="s">
        <v>10</v>
      </c>
    </row>
    <row r="48" ht="15.75" customHeight="1">
      <c r="A48" s="97" t="s">
        <v>875</v>
      </c>
      <c r="B48" s="72" t="s">
        <v>877</v>
      </c>
      <c r="C48" s="98">
        <v>3.0</v>
      </c>
      <c r="D48" s="72" t="str">
        <f>dim_labor_sca_map!$H48&amp;" "&amp;dim_labor_sca_map!$A48&amp;" "&amp;dim_labor_sca_map!$B48&amp;"|"&amp;dim_labor_sca_map!$C48</f>
        <v>C000016435 Lead Inspector / Risk Assessor|3</v>
      </c>
      <c r="E48" s="76">
        <f t="array" ref="E48">XLOOKUP(dim_labor_sca_map!$D48, dim_sca_labor_rate!$F$2:$F$100, dim_sca_labor_rate!$J$2:$J$100, 0, 0)</f>
        <v>183</v>
      </c>
      <c r="F48" s="101">
        <f t="shared" si="5"/>
        <v>536.19</v>
      </c>
      <c r="G48" s="101">
        <f t="shared" si="2"/>
        <v>353.19</v>
      </c>
      <c r="H48" s="98" t="s">
        <v>10</v>
      </c>
    </row>
    <row r="49" ht="15.75" customHeight="1">
      <c r="A49" s="97" t="s">
        <v>952</v>
      </c>
      <c r="B49" s="72" t="s">
        <v>943</v>
      </c>
      <c r="C49" s="98">
        <v>3.0</v>
      </c>
      <c r="D49" s="72" t="str">
        <f>dim_labor_sca_map!$H49&amp;" "&amp;dim_labor_sca_map!$A49&amp;" "&amp;dim_labor_sca_map!$B49&amp;"|"&amp;dim_labor_sca_map!$C49</f>
        <v>C000016435 PCB Field Technician|3</v>
      </c>
      <c r="E49" s="76">
        <f t="array" ref="E49">XLOOKUP(dim_labor_sca_map!$D49, dim_sca_labor_rate!$F$2:$F$100, dim_sca_labor_rate!$J$2:$J$100, 0, 0)</f>
        <v>129</v>
      </c>
      <c r="F49" s="101">
        <f t="shared" si="5"/>
        <v>377.97</v>
      </c>
      <c r="G49" s="101">
        <f t="shared" si="2"/>
        <v>248.97</v>
      </c>
      <c r="H49" s="98" t="s">
        <v>10</v>
      </c>
    </row>
    <row r="50" ht="15.75" customHeight="1">
      <c r="A50" s="97" t="s">
        <v>869</v>
      </c>
      <c r="B50" s="72" t="s">
        <v>872</v>
      </c>
      <c r="C50" s="98">
        <v>7.0</v>
      </c>
      <c r="D50" s="72" t="str">
        <f>dim_labor_sca_map!$H50&amp;" "&amp;dim_labor_sca_map!$A50&amp;" "&amp;dim_labor_sca_map!$B50&amp;"|"&amp;dim_labor_sca_map!$C50</f>
        <v>C000016435 Asbestos Investigator|7</v>
      </c>
      <c r="E50" s="76">
        <f t="array" ref="E50">XLOOKUP(dim_labor_sca_map!$D50, dim_sca_labor_rate!$F$2:$F$100, dim_sca_labor_rate!$J$2:$J$100, 0, 0)</f>
        <v>201</v>
      </c>
      <c r="F50" s="101">
        <f t="shared" si="5"/>
        <v>588.93</v>
      </c>
      <c r="G50" s="101">
        <f t="shared" si="2"/>
        <v>387.93</v>
      </c>
      <c r="H50" s="98" t="s">
        <v>10</v>
      </c>
    </row>
    <row r="51" ht="15.75" customHeight="1">
      <c r="A51" s="97" t="s">
        <v>869</v>
      </c>
      <c r="B51" s="72" t="s">
        <v>873</v>
      </c>
      <c r="C51" s="98">
        <v>7.0</v>
      </c>
      <c r="D51" s="72" t="str">
        <f>dim_labor_sca_map!$H51&amp;" "&amp;dim_labor_sca_map!$A51&amp;" "&amp;dim_labor_sca_map!$B51&amp;"|"&amp;dim_labor_sca_map!$C51</f>
        <v>C000016435 Asbestos Project Designer|7</v>
      </c>
      <c r="E51" s="76">
        <f t="array" ref="E51">XLOOKUP(dim_labor_sca_map!$D51, dim_sca_labor_rate!$F$2:$F$100, dim_sca_labor_rate!$J$2:$J$100, 0, 0)</f>
        <v>216</v>
      </c>
      <c r="F51" s="101">
        <f t="shared" si="5"/>
        <v>632.88</v>
      </c>
      <c r="G51" s="101">
        <f t="shared" si="2"/>
        <v>416.88</v>
      </c>
      <c r="H51" s="98" t="s">
        <v>10</v>
      </c>
    </row>
    <row r="52" ht="15.75" customHeight="1">
      <c r="A52" s="97" t="s">
        <v>869</v>
      </c>
      <c r="B52" s="72" t="s">
        <v>874</v>
      </c>
      <c r="C52" s="98">
        <v>7.0</v>
      </c>
      <c r="D52" s="72" t="str">
        <f>dim_labor_sca_map!$H52&amp;" "&amp;dim_labor_sca_map!$A52&amp;" "&amp;dim_labor_sca_map!$B52&amp;"|"&amp;dim_labor_sca_map!$C52</f>
        <v>C000016435 Asbestos Project Manager|7</v>
      </c>
      <c r="E52" s="76">
        <f t="array" ref="E52">XLOOKUP(dim_labor_sca_map!$D52, dim_sca_labor_rate!$F$2:$F$100, dim_sca_labor_rate!$J$2:$J$100, 0, 0)</f>
        <v>231</v>
      </c>
      <c r="F52" s="101">
        <f t="shared" si="5"/>
        <v>676.83</v>
      </c>
      <c r="G52" s="101">
        <f t="shared" si="2"/>
        <v>445.83</v>
      </c>
      <c r="H52" s="98" t="s">
        <v>10</v>
      </c>
    </row>
    <row r="53" ht="15.75" customHeight="1">
      <c r="A53" s="97" t="s">
        <v>875</v>
      </c>
      <c r="B53" s="72" t="s">
        <v>876</v>
      </c>
      <c r="C53" s="98">
        <v>7.0</v>
      </c>
      <c r="D53" s="72" t="str">
        <f>dim_labor_sca_map!$H53&amp;" "&amp;dim_labor_sca_map!$A53&amp;" "&amp;dim_labor_sca_map!$B53&amp;"|"&amp;dim_labor_sca_map!$C53</f>
        <v>C000016435 Lead Inspector|7</v>
      </c>
      <c r="E53" s="76">
        <f t="array" ref="E53">XLOOKUP(dim_labor_sca_map!$D53, dim_sca_labor_rate!$F$2:$F$100, dim_sca_labor_rate!$J$2:$J$100, 0, 0)</f>
        <v>165</v>
      </c>
      <c r="F53" s="101">
        <f t="shared" si="5"/>
        <v>483.45</v>
      </c>
      <c r="G53" s="101">
        <f t="shared" si="2"/>
        <v>318.45</v>
      </c>
      <c r="H53" s="98" t="s">
        <v>10</v>
      </c>
    </row>
    <row r="54" ht="15.75" customHeight="1">
      <c r="A54" s="97" t="s">
        <v>875</v>
      </c>
      <c r="B54" s="72" t="s">
        <v>877</v>
      </c>
      <c r="C54" s="98">
        <v>7.0</v>
      </c>
      <c r="D54" s="72" t="str">
        <f>dim_labor_sca_map!$H54&amp;" "&amp;dim_labor_sca_map!$A54&amp;" "&amp;dim_labor_sca_map!$B54&amp;"|"&amp;dim_labor_sca_map!$C54</f>
        <v>C000016435 Lead Inspector / Risk Assessor|7</v>
      </c>
      <c r="E54" s="76">
        <f t="array" ref="E54">XLOOKUP(dim_labor_sca_map!$D54, dim_sca_labor_rate!$F$2:$F$100, dim_sca_labor_rate!$J$2:$J$100, 0, 0)</f>
        <v>183</v>
      </c>
      <c r="F54" s="101">
        <f t="shared" si="5"/>
        <v>536.19</v>
      </c>
      <c r="G54" s="101">
        <f t="shared" si="2"/>
        <v>353.19</v>
      </c>
      <c r="H54" s="98" t="s">
        <v>10</v>
      </c>
    </row>
    <row r="55" ht="15.75" customHeight="1">
      <c r="A55" s="97" t="s">
        <v>952</v>
      </c>
      <c r="B55" s="72" t="s">
        <v>943</v>
      </c>
      <c r="C55" s="98">
        <v>7.0</v>
      </c>
      <c r="D55" s="72" t="str">
        <f>dim_labor_sca_map!$H55&amp;" "&amp;dim_labor_sca_map!$A55&amp;" "&amp;dim_labor_sca_map!$B55&amp;"|"&amp;dim_labor_sca_map!$C55</f>
        <v>C000016435 PCB Field Technician|7</v>
      </c>
      <c r="E55" s="76">
        <f t="array" ref="E55">XLOOKUP(dim_labor_sca_map!$D55, dim_sca_labor_rate!$F$2:$F$100, dim_sca_labor_rate!$J$2:$J$100, 0, 0)</f>
        <v>150</v>
      </c>
      <c r="F55" s="101">
        <f t="shared" si="5"/>
        <v>439.5</v>
      </c>
      <c r="G55" s="101">
        <f t="shared" si="2"/>
        <v>289.5</v>
      </c>
      <c r="H55" s="98" t="s">
        <v>10</v>
      </c>
    </row>
    <row r="56" ht="15.75" customHeight="1">
      <c r="A56" s="97" t="s">
        <v>952</v>
      </c>
      <c r="B56" s="72" t="s">
        <v>943</v>
      </c>
      <c r="C56" s="98">
        <v>3.0</v>
      </c>
      <c r="D56" s="72" t="str">
        <f>dim_labor_sca_map!$H56&amp;" "&amp;dim_labor_sca_map!$A56&amp;" "&amp;dim_labor_sca_map!$B56&amp;"|"&amp;dim_labor_sca_map!$C56</f>
        <v>C000016435 PCB Field Technician|3</v>
      </c>
      <c r="E56" s="76">
        <f t="array" ref="E56">XLOOKUP(dim_labor_sca_map!$D56, dim_sca_labor_rate!$F$2:$F$100, dim_sca_labor_rate!$J$2:$J$100, 0, 0)</f>
        <v>129</v>
      </c>
      <c r="F56" s="101">
        <f t="shared" si="5"/>
        <v>377.97</v>
      </c>
      <c r="G56" s="101">
        <f t="shared" si="2"/>
        <v>248.97</v>
      </c>
      <c r="H56" s="98" t="s">
        <v>10</v>
      </c>
    </row>
    <row r="57" ht="15.75" customHeight="1">
      <c r="A57" s="97" t="s">
        <v>869</v>
      </c>
      <c r="B57" s="72" t="s">
        <v>876</v>
      </c>
      <c r="C57" s="98">
        <v>3.0</v>
      </c>
      <c r="D57" s="72" t="str">
        <f>dim_labor_sca_map!$H57&amp;" "&amp;dim_labor_sca_map!$A57&amp;" "&amp;dim_labor_sca_map!$B57&amp;"|"&amp;dim_labor_sca_map!$C57</f>
        <v>C000016435 Asbestos Inspector|3</v>
      </c>
      <c r="E57" s="76">
        <f t="array" ref="E57">XLOOKUP(dim_labor_sca_map!$D57, dim_sca_labor_rate!$F$2:$F$100, dim_sca_labor_rate!$J$2:$J$100, 0, 0)</f>
        <v>132</v>
      </c>
      <c r="F57" s="101">
        <f t="shared" si="5"/>
        <v>386.76</v>
      </c>
      <c r="G57" s="101">
        <f t="shared" si="2"/>
        <v>254.76</v>
      </c>
      <c r="H57" s="98" t="s">
        <v>10</v>
      </c>
    </row>
    <row r="58" ht="15.75" customHeight="1">
      <c r="A58" s="97" t="s">
        <v>869</v>
      </c>
      <c r="B58" s="72" t="s">
        <v>876</v>
      </c>
      <c r="C58" s="98">
        <v>7.0</v>
      </c>
      <c r="D58" s="72" t="str">
        <f>dim_labor_sca_map!$H58&amp;" "&amp;dim_labor_sca_map!$A58&amp;" "&amp;dim_labor_sca_map!$B58&amp;"|"&amp;dim_labor_sca_map!$C58</f>
        <v>C000016435 Asbestos Inspector|7</v>
      </c>
      <c r="E58" s="76">
        <f t="array" ref="E58">XLOOKUP(dim_labor_sca_map!$D58, dim_sca_labor_rate!$F$2:$F$100, dim_sca_labor_rate!$J$2:$J$100, 0, 0)</f>
        <v>165</v>
      </c>
      <c r="F58" s="101">
        <f t="shared" si="5"/>
        <v>483.45</v>
      </c>
      <c r="G58" s="101">
        <f t="shared" si="2"/>
        <v>318.45</v>
      </c>
      <c r="H58" s="98" t="s">
        <v>10</v>
      </c>
    </row>
    <row r="59" ht="15.75" customHeight="1">
      <c r="C59" s="85"/>
      <c r="F59" s="85"/>
      <c r="G59" s="85"/>
      <c r="H59" s="85"/>
    </row>
    <row r="60" ht="15.75" customHeight="1">
      <c r="C60" s="85"/>
      <c r="F60" s="85"/>
      <c r="G60" s="85"/>
      <c r="H60" s="85"/>
    </row>
    <row r="61" ht="15.75" customHeight="1">
      <c r="C61" s="85"/>
      <c r="F61" s="85"/>
      <c r="G61" s="85"/>
      <c r="H61" s="85"/>
    </row>
    <row r="62" ht="15.75" customHeight="1">
      <c r="C62" s="85"/>
      <c r="F62" s="85"/>
      <c r="G62" s="85"/>
      <c r="H62" s="85"/>
    </row>
    <row r="63" ht="15.75" customHeight="1">
      <c r="C63" s="85"/>
      <c r="F63" s="85"/>
      <c r="G63" s="85"/>
      <c r="H63" s="85"/>
    </row>
    <row r="64" ht="15.75" customHeight="1">
      <c r="C64" s="85"/>
      <c r="F64" s="85"/>
      <c r="G64" s="85"/>
      <c r="H64" s="85"/>
    </row>
    <row r="65" ht="15.75" customHeight="1">
      <c r="C65" s="85"/>
      <c r="F65" s="85"/>
      <c r="G65" s="85"/>
      <c r="H65" s="85"/>
    </row>
    <row r="66" ht="15.75" customHeight="1">
      <c r="C66" s="85"/>
      <c r="F66" s="85"/>
      <c r="G66" s="85"/>
      <c r="H66" s="85"/>
    </row>
    <row r="67" ht="15.75" customHeight="1">
      <c r="C67" s="85"/>
      <c r="F67" s="85"/>
      <c r="G67" s="85"/>
      <c r="H67" s="85"/>
    </row>
    <row r="68" ht="15.75" customHeight="1">
      <c r="C68" s="85"/>
      <c r="F68" s="85"/>
      <c r="G68" s="85"/>
      <c r="H68" s="85"/>
    </row>
    <row r="69" ht="15.75" customHeight="1">
      <c r="C69" s="85"/>
      <c r="F69" s="85"/>
      <c r="G69" s="85"/>
      <c r="H69" s="85"/>
    </row>
    <row r="70" ht="15.75" customHeight="1">
      <c r="C70" s="85"/>
      <c r="F70" s="85"/>
      <c r="G70" s="85"/>
      <c r="H70" s="85"/>
    </row>
    <row r="71" ht="15.75" customHeight="1">
      <c r="C71" s="85"/>
      <c r="F71" s="85"/>
      <c r="G71" s="85"/>
      <c r="H71" s="85"/>
    </row>
    <row r="72" ht="15.75" customHeight="1">
      <c r="C72" s="85"/>
      <c r="F72" s="85"/>
      <c r="G72" s="85"/>
      <c r="H72" s="85"/>
    </row>
    <row r="73" ht="15.75" customHeight="1">
      <c r="C73" s="85"/>
      <c r="F73" s="85"/>
      <c r="G73" s="85"/>
      <c r="H73" s="85"/>
    </row>
    <row r="74" ht="15.75" customHeight="1">
      <c r="C74" s="85"/>
      <c r="F74" s="85"/>
      <c r="G74" s="85"/>
      <c r="H74" s="85"/>
    </row>
    <row r="75" ht="15.75" customHeight="1">
      <c r="C75" s="85"/>
      <c r="F75" s="85"/>
      <c r="G75" s="85"/>
      <c r="H75" s="85"/>
    </row>
    <row r="76" ht="15.75" customHeight="1">
      <c r="C76" s="85"/>
      <c r="F76" s="85"/>
      <c r="G76" s="85"/>
      <c r="H76" s="85"/>
    </row>
    <row r="77" ht="15.75" customHeight="1">
      <c r="C77" s="85"/>
      <c r="F77" s="85"/>
      <c r="G77" s="85"/>
      <c r="H77" s="85"/>
    </row>
    <row r="78" ht="15.75" customHeight="1">
      <c r="C78" s="85"/>
      <c r="F78" s="85"/>
      <c r="G78" s="85"/>
      <c r="H78" s="85"/>
    </row>
    <row r="79" ht="15.75" customHeight="1">
      <c r="C79" s="85"/>
      <c r="F79" s="85"/>
      <c r="G79" s="85"/>
      <c r="H79" s="85"/>
    </row>
    <row r="80" ht="15.75" customHeight="1">
      <c r="C80" s="85"/>
      <c r="F80" s="85"/>
      <c r="G80" s="85"/>
      <c r="H80" s="85"/>
    </row>
    <row r="81" ht="15.75" customHeight="1">
      <c r="C81" s="85"/>
      <c r="F81" s="85"/>
      <c r="G81" s="85"/>
      <c r="H81" s="85"/>
    </row>
    <row r="82" ht="15.75" customHeight="1">
      <c r="C82" s="85"/>
      <c r="F82" s="85"/>
      <c r="G82" s="85"/>
      <c r="H82" s="85"/>
    </row>
    <row r="83" ht="15.75" customHeight="1">
      <c r="C83" s="85"/>
      <c r="F83" s="85"/>
      <c r="G83" s="85"/>
      <c r="H83" s="85"/>
    </row>
    <row r="84" ht="15.75" customHeight="1">
      <c r="C84" s="85"/>
      <c r="F84" s="85"/>
      <c r="G84" s="85"/>
      <c r="H84" s="85"/>
    </row>
    <row r="85" ht="15.75" customHeight="1">
      <c r="C85" s="85"/>
      <c r="F85" s="85"/>
      <c r="G85" s="85"/>
      <c r="H85" s="85"/>
    </row>
    <row r="86" ht="15.75" customHeight="1">
      <c r="C86" s="85"/>
      <c r="F86" s="85"/>
      <c r="G86" s="85"/>
      <c r="H86" s="85"/>
    </row>
    <row r="87" ht="15.75" customHeight="1">
      <c r="C87" s="85"/>
      <c r="F87" s="85"/>
      <c r="G87" s="85"/>
      <c r="H87" s="85"/>
    </row>
    <row r="88" ht="15.75" customHeight="1">
      <c r="C88" s="85"/>
      <c r="F88" s="85"/>
      <c r="G88" s="85"/>
      <c r="H88" s="85"/>
    </row>
    <row r="89" ht="15.75" customHeight="1">
      <c r="C89" s="85"/>
      <c r="F89" s="85"/>
      <c r="G89" s="85"/>
      <c r="H89" s="85"/>
    </row>
    <row r="90" ht="15.75" customHeight="1">
      <c r="C90" s="85"/>
      <c r="F90" s="85"/>
      <c r="G90" s="85"/>
      <c r="H90" s="85"/>
    </row>
    <row r="91" ht="15.75" customHeight="1">
      <c r="C91" s="85"/>
      <c r="F91" s="85"/>
      <c r="G91" s="85"/>
      <c r="H91" s="85"/>
    </row>
    <row r="92" ht="15.75" customHeight="1">
      <c r="C92" s="85"/>
      <c r="F92" s="85"/>
      <c r="G92" s="85"/>
      <c r="H92" s="85"/>
    </row>
    <row r="93" ht="15.75" customHeight="1">
      <c r="C93" s="85"/>
      <c r="F93" s="85"/>
      <c r="G93" s="85"/>
      <c r="H93" s="85"/>
    </row>
    <row r="94" ht="15.75" customHeight="1">
      <c r="C94" s="85"/>
      <c r="F94" s="85"/>
      <c r="G94" s="85"/>
      <c r="H94" s="85"/>
    </row>
    <row r="95" ht="15.75" customHeight="1">
      <c r="C95" s="85"/>
      <c r="F95" s="85"/>
      <c r="G95" s="85"/>
      <c r="H95" s="85"/>
    </row>
    <row r="96" ht="15.75" customHeight="1">
      <c r="C96" s="85"/>
      <c r="F96" s="85"/>
      <c r="G96" s="85"/>
      <c r="H96" s="85"/>
    </row>
    <row r="97" ht="15.75" customHeight="1">
      <c r="C97" s="85"/>
      <c r="F97" s="85"/>
      <c r="G97" s="85"/>
      <c r="H97" s="85"/>
    </row>
    <row r="98" ht="15.75" customHeight="1">
      <c r="C98" s="85"/>
      <c r="F98" s="85"/>
      <c r="G98" s="85"/>
      <c r="H98" s="85"/>
    </row>
    <row r="99" ht="15.75" customHeight="1">
      <c r="C99" s="85"/>
      <c r="F99" s="85"/>
      <c r="G99" s="85"/>
      <c r="H99" s="85"/>
    </row>
    <row r="100" ht="15.75" customHeight="1">
      <c r="C100" s="85"/>
      <c r="F100" s="85"/>
      <c r="G100" s="85"/>
      <c r="H100" s="85"/>
    </row>
    <row r="101" ht="15.75" customHeight="1">
      <c r="C101" s="85"/>
      <c r="F101" s="85"/>
      <c r="G101" s="85"/>
      <c r="H101" s="85"/>
    </row>
    <row r="102" ht="15.75" customHeight="1">
      <c r="C102" s="85"/>
      <c r="F102" s="85"/>
      <c r="G102" s="85"/>
      <c r="H102" s="85"/>
    </row>
    <row r="103" ht="15.75" customHeight="1">
      <c r="C103" s="85"/>
      <c r="F103" s="85"/>
      <c r="G103" s="85"/>
      <c r="H103" s="85"/>
    </row>
    <row r="104" ht="15.75" customHeight="1">
      <c r="C104" s="85"/>
      <c r="F104" s="85"/>
      <c r="G104" s="85"/>
      <c r="H104" s="85"/>
    </row>
    <row r="105" ht="15.75" customHeight="1">
      <c r="C105" s="85"/>
      <c r="F105" s="85"/>
      <c r="G105" s="85"/>
      <c r="H105" s="85"/>
    </row>
    <row r="106" ht="15.75" customHeight="1">
      <c r="C106" s="85"/>
      <c r="F106" s="85"/>
      <c r="G106" s="85"/>
      <c r="H106" s="85"/>
    </row>
    <row r="107" ht="15.75" customHeight="1">
      <c r="C107" s="85"/>
      <c r="F107" s="85"/>
      <c r="G107" s="85"/>
      <c r="H107" s="85"/>
    </row>
    <row r="108" ht="15.75" customHeight="1">
      <c r="C108" s="85"/>
      <c r="F108" s="85"/>
      <c r="G108" s="85"/>
      <c r="H108" s="85"/>
    </row>
    <row r="109" ht="15.75" customHeight="1">
      <c r="C109" s="85"/>
      <c r="F109" s="85"/>
      <c r="G109" s="85"/>
      <c r="H109" s="85"/>
    </row>
    <row r="110" ht="15.75" customHeight="1">
      <c r="C110" s="85"/>
      <c r="F110" s="85"/>
      <c r="G110" s="85"/>
      <c r="H110" s="85"/>
    </row>
    <row r="111" ht="15.75" customHeight="1">
      <c r="C111" s="85"/>
      <c r="F111" s="85"/>
      <c r="G111" s="85"/>
      <c r="H111" s="85"/>
    </row>
    <row r="112" ht="15.75" customHeight="1">
      <c r="C112" s="85"/>
      <c r="F112" s="85"/>
      <c r="G112" s="85"/>
      <c r="H112" s="85"/>
    </row>
    <row r="113" ht="15.75" customHeight="1">
      <c r="C113" s="85"/>
      <c r="F113" s="85"/>
      <c r="G113" s="85"/>
      <c r="H113" s="85"/>
    </row>
    <row r="114" ht="15.75" customHeight="1">
      <c r="C114" s="85"/>
      <c r="F114" s="85"/>
      <c r="G114" s="85"/>
      <c r="H114" s="85"/>
    </row>
    <row r="115" ht="15.75" customHeight="1">
      <c r="C115" s="85"/>
      <c r="F115" s="85"/>
      <c r="G115" s="85"/>
      <c r="H115" s="85"/>
    </row>
    <row r="116" ht="15.75" customHeight="1">
      <c r="C116" s="85"/>
      <c r="F116" s="85"/>
      <c r="G116" s="85"/>
      <c r="H116" s="85"/>
    </row>
    <row r="117" ht="15.75" customHeight="1">
      <c r="C117" s="85"/>
      <c r="F117" s="85"/>
      <c r="G117" s="85"/>
      <c r="H117" s="85"/>
    </row>
    <row r="118" ht="15.75" customHeight="1">
      <c r="C118" s="85"/>
      <c r="F118" s="85"/>
      <c r="G118" s="85"/>
      <c r="H118" s="85"/>
    </row>
    <row r="119" ht="15.75" customHeight="1">
      <c r="C119" s="85"/>
      <c r="F119" s="85"/>
      <c r="G119" s="85"/>
      <c r="H119" s="85"/>
    </row>
    <row r="120" ht="15.75" customHeight="1">
      <c r="C120" s="85"/>
      <c r="F120" s="85"/>
      <c r="G120" s="85"/>
      <c r="H120" s="85"/>
    </row>
    <row r="121" ht="15.75" customHeight="1">
      <c r="C121" s="85"/>
      <c r="F121" s="85"/>
      <c r="G121" s="85"/>
      <c r="H121" s="85"/>
    </row>
    <row r="122" ht="15.75" customHeight="1">
      <c r="C122" s="85"/>
      <c r="F122" s="85"/>
      <c r="G122" s="85"/>
      <c r="H122" s="85"/>
    </row>
    <row r="123" ht="15.75" customHeight="1">
      <c r="C123" s="85"/>
      <c r="F123" s="85"/>
      <c r="G123" s="85"/>
      <c r="H123" s="85"/>
    </row>
    <row r="124" ht="15.75" customHeight="1">
      <c r="C124" s="85"/>
      <c r="F124" s="85"/>
      <c r="G124" s="85"/>
      <c r="H124" s="85"/>
    </row>
    <row r="125" ht="15.75" customHeight="1">
      <c r="C125" s="85"/>
      <c r="F125" s="85"/>
      <c r="G125" s="85"/>
      <c r="H125" s="85"/>
    </row>
    <row r="126" ht="15.75" customHeight="1">
      <c r="C126" s="85"/>
      <c r="F126" s="85"/>
      <c r="G126" s="85"/>
      <c r="H126" s="85"/>
    </row>
    <row r="127" ht="15.75" customHeight="1">
      <c r="C127" s="85"/>
      <c r="F127" s="85"/>
      <c r="G127" s="85"/>
      <c r="H127" s="85"/>
    </row>
    <row r="128" ht="15.75" customHeight="1">
      <c r="C128" s="85"/>
      <c r="F128" s="85"/>
      <c r="G128" s="85"/>
      <c r="H128" s="85"/>
    </row>
    <row r="129" ht="15.75" customHeight="1">
      <c r="C129" s="85"/>
      <c r="F129" s="85"/>
      <c r="G129" s="85"/>
      <c r="H129" s="85"/>
    </row>
    <row r="130" ht="15.75" customHeight="1">
      <c r="C130" s="85"/>
      <c r="F130" s="85"/>
      <c r="G130" s="85"/>
      <c r="H130" s="85"/>
    </row>
    <row r="131" ht="15.75" customHeight="1">
      <c r="C131" s="85"/>
      <c r="F131" s="85"/>
      <c r="G131" s="85"/>
      <c r="H131" s="85"/>
    </row>
    <row r="132" ht="15.75" customHeight="1">
      <c r="C132" s="85"/>
      <c r="F132" s="85"/>
      <c r="G132" s="85"/>
      <c r="H132" s="85"/>
    </row>
    <row r="133" ht="15.75" customHeight="1">
      <c r="C133" s="85"/>
      <c r="F133" s="85"/>
      <c r="G133" s="85"/>
      <c r="H133" s="85"/>
    </row>
    <row r="134" ht="15.75" customHeight="1">
      <c r="C134" s="85"/>
      <c r="F134" s="85"/>
      <c r="G134" s="85"/>
      <c r="H134" s="85"/>
    </row>
    <row r="135" ht="15.75" customHeight="1">
      <c r="C135" s="85"/>
      <c r="F135" s="85"/>
      <c r="G135" s="85"/>
      <c r="H135" s="85"/>
    </row>
    <row r="136" ht="15.75" customHeight="1">
      <c r="C136" s="85"/>
      <c r="F136" s="85"/>
      <c r="G136" s="85"/>
      <c r="H136" s="85"/>
    </row>
    <row r="137" ht="15.75" customHeight="1">
      <c r="C137" s="85"/>
      <c r="F137" s="85"/>
      <c r="G137" s="85"/>
      <c r="H137" s="85"/>
    </row>
    <row r="138" ht="15.75" customHeight="1">
      <c r="C138" s="85"/>
      <c r="F138" s="85"/>
      <c r="G138" s="85"/>
      <c r="H138" s="85"/>
    </row>
    <row r="139" ht="15.75" customHeight="1">
      <c r="C139" s="85"/>
      <c r="F139" s="85"/>
      <c r="G139" s="85"/>
      <c r="H139" s="85"/>
    </row>
    <row r="140" ht="15.75" customHeight="1">
      <c r="C140" s="85"/>
      <c r="F140" s="85"/>
      <c r="G140" s="85"/>
      <c r="H140" s="85"/>
    </row>
    <row r="141" ht="15.75" customHeight="1">
      <c r="C141" s="85"/>
      <c r="F141" s="85"/>
      <c r="G141" s="85"/>
      <c r="H141" s="85"/>
    </row>
    <row r="142" ht="15.75" customHeight="1">
      <c r="C142" s="85"/>
      <c r="F142" s="85"/>
      <c r="G142" s="85"/>
      <c r="H142" s="85"/>
    </row>
    <row r="143" ht="15.75" customHeight="1">
      <c r="C143" s="85"/>
      <c r="F143" s="85"/>
      <c r="G143" s="85"/>
      <c r="H143" s="85"/>
    </row>
    <row r="144" ht="15.75" customHeight="1">
      <c r="C144" s="85"/>
      <c r="F144" s="85"/>
      <c r="G144" s="85"/>
      <c r="H144" s="85"/>
    </row>
    <row r="145" ht="15.75" customHeight="1">
      <c r="C145" s="85"/>
      <c r="F145" s="85"/>
      <c r="G145" s="85"/>
      <c r="H145" s="85"/>
    </row>
    <row r="146" ht="15.75" customHeight="1">
      <c r="C146" s="85"/>
      <c r="F146" s="85"/>
      <c r="G146" s="85"/>
      <c r="H146" s="85"/>
    </row>
    <row r="147" ht="15.75" customHeight="1">
      <c r="C147" s="85"/>
      <c r="F147" s="85"/>
      <c r="G147" s="85"/>
      <c r="H147" s="85"/>
    </row>
    <row r="148" ht="15.75" customHeight="1">
      <c r="C148" s="85"/>
      <c r="F148" s="85"/>
      <c r="G148" s="85"/>
      <c r="H148" s="85"/>
    </row>
    <row r="149" ht="15.75" customHeight="1">
      <c r="C149" s="85"/>
      <c r="F149" s="85"/>
      <c r="G149" s="85"/>
      <c r="H149" s="85"/>
    </row>
    <row r="150" ht="15.75" customHeight="1">
      <c r="C150" s="85"/>
      <c r="F150" s="85"/>
      <c r="G150" s="85"/>
      <c r="H150" s="85"/>
    </row>
    <row r="151" ht="15.75" customHeight="1">
      <c r="C151" s="85"/>
      <c r="F151" s="85"/>
      <c r="G151" s="85"/>
      <c r="H151" s="85"/>
    </row>
    <row r="152" ht="15.75" customHeight="1">
      <c r="C152" s="85"/>
      <c r="F152" s="85"/>
      <c r="G152" s="85"/>
      <c r="H152" s="85"/>
    </row>
    <row r="153" ht="15.75" customHeight="1">
      <c r="C153" s="85"/>
      <c r="F153" s="85"/>
      <c r="G153" s="85"/>
      <c r="H153" s="85"/>
    </row>
    <row r="154" ht="15.75" customHeight="1">
      <c r="C154" s="85"/>
      <c r="F154" s="85"/>
      <c r="G154" s="85"/>
      <c r="H154" s="85"/>
    </row>
    <row r="155" ht="15.75" customHeight="1">
      <c r="C155" s="85"/>
      <c r="F155" s="85"/>
      <c r="G155" s="85"/>
      <c r="H155" s="85"/>
    </row>
    <row r="156" ht="15.75" customHeight="1">
      <c r="C156" s="85"/>
      <c r="F156" s="85"/>
      <c r="G156" s="85"/>
      <c r="H156" s="85"/>
    </row>
    <row r="157" ht="15.75" customHeight="1">
      <c r="C157" s="85"/>
      <c r="F157" s="85"/>
      <c r="G157" s="85"/>
      <c r="H157" s="85"/>
    </row>
    <row r="158" ht="15.75" customHeight="1">
      <c r="C158" s="85"/>
      <c r="F158" s="85"/>
      <c r="G158" s="85"/>
      <c r="H158" s="85"/>
    </row>
    <row r="159" ht="15.75" customHeight="1">
      <c r="C159" s="85"/>
      <c r="F159" s="85"/>
      <c r="G159" s="85"/>
      <c r="H159" s="85"/>
    </row>
    <row r="160" ht="15.75" customHeight="1">
      <c r="C160" s="85"/>
      <c r="F160" s="85"/>
      <c r="G160" s="85"/>
      <c r="H160" s="85"/>
    </row>
    <row r="161" ht="15.75" customHeight="1">
      <c r="C161" s="85"/>
      <c r="F161" s="85"/>
      <c r="G161" s="85"/>
      <c r="H161" s="85"/>
    </row>
    <row r="162" ht="15.75" customHeight="1">
      <c r="C162" s="85"/>
      <c r="F162" s="85"/>
      <c r="G162" s="85"/>
      <c r="H162" s="85"/>
    </row>
    <row r="163" ht="15.75" customHeight="1">
      <c r="C163" s="85"/>
      <c r="F163" s="85"/>
      <c r="G163" s="85"/>
      <c r="H163" s="85"/>
    </row>
    <row r="164" ht="15.75" customHeight="1">
      <c r="C164" s="85"/>
      <c r="F164" s="85"/>
      <c r="G164" s="85"/>
      <c r="H164" s="85"/>
    </row>
    <row r="165" ht="15.75" customHeight="1">
      <c r="C165" s="85"/>
      <c r="F165" s="85"/>
      <c r="G165" s="85"/>
      <c r="H165" s="85"/>
    </row>
    <row r="166" ht="15.75" customHeight="1">
      <c r="C166" s="85"/>
      <c r="F166" s="85"/>
      <c r="G166" s="85"/>
      <c r="H166" s="85"/>
    </row>
    <row r="167" ht="15.75" customHeight="1">
      <c r="C167" s="85"/>
      <c r="F167" s="85"/>
      <c r="G167" s="85"/>
      <c r="H167" s="85"/>
    </row>
    <row r="168" ht="15.75" customHeight="1">
      <c r="C168" s="85"/>
      <c r="F168" s="85"/>
      <c r="G168" s="85"/>
      <c r="H168" s="85"/>
    </row>
    <row r="169" ht="15.75" customHeight="1">
      <c r="C169" s="85"/>
      <c r="F169" s="85"/>
      <c r="G169" s="85"/>
      <c r="H169" s="85"/>
    </row>
    <row r="170" ht="15.75" customHeight="1">
      <c r="C170" s="85"/>
      <c r="F170" s="85"/>
      <c r="G170" s="85"/>
      <c r="H170" s="85"/>
    </row>
    <row r="171" ht="15.75" customHeight="1">
      <c r="C171" s="85"/>
      <c r="F171" s="85"/>
      <c r="G171" s="85"/>
      <c r="H171" s="85"/>
    </row>
    <row r="172" ht="15.75" customHeight="1">
      <c r="C172" s="85"/>
      <c r="F172" s="85"/>
      <c r="G172" s="85"/>
      <c r="H172" s="85"/>
    </row>
    <row r="173" ht="15.75" customHeight="1">
      <c r="C173" s="85"/>
      <c r="F173" s="85"/>
      <c r="G173" s="85"/>
      <c r="H173" s="85"/>
    </row>
    <row r="174" ht="15.75" customHeight="1">
      <c r="C174" s="85"/>
      <c r="F174" s="85"/>
      <c r="G174" s="85"/>
      <c r="H174" s="85"/>
    </row>
    <row r="175" ht="15.75" customHeight="1">
      <c r="C175" s="85"/>
      <c r="F175" s="85"/>
      <c r="G175" s="85"/>
      <c r="H175" s="85"/>
    </row>
    <row r="176" ht="15.75" customHeight="1">
      <c r="C176" s="85"/>
      <c r="F176" s="85"/>
      <c r="G176" s="85"/>
      <c r="H176" s="85"/>
    </row>
    <row r="177" ht="15.75" customHeight="1">
      <c r="C177" s="85"/>
      <c r="F177" s="85"/>
      <c r="G177" s="85"/>
      <c r="H177" s="85"/>
    </row>
    <row r="178" ht="15.75" customHeight="1">
      <c r="C178" s="85"/>
      <c r="F178" s="85"/>
      <c r="G178" s="85"/>
      <c r="H178" s="85"/>
    </row>
    <row r="179" ht="15.75" customHeight="1">
      <c r="C179" s="85"/>
      <c r="F179" s="85"/>
      <c r="G179" s="85"/>
      <c r="H179" s="85"/>
    </row>
    <row r="180" ht="15.75" customHeight="1">
      <c r="C180" s="85"/>
      <c r="F180" s="85"/>
      <c r="G180" s="85"/>
      <c r="H180" s="85"/>
    </row>
    <row r="181" ht="15.75" customHeight="1">
      <c r="C181" s="85"/>
      <c r="F181" s="85"/>
      <c r="G181" s="85"/>
      <c r="H181" s="85"/>
    </row>
    <row r="182" ht="15.75" customHeight="1">
      <c r="C182" s="85"/>
      <c r="F182" s="85"/>
      <c r="G182" s="85"/>
      <c r="H182" s="85"/>
    </row>
    <row r="183" ht="15.75" customHeight="1">
      <c r="C183" s="85"/>
      <c r="F183" s="85"/>
      <c r="G183" s="85"/>
      <c r="H183" s="85"/>
    </row>
    <row r="184" ht="15.75" customHeight="1">
      <c r="C184" s="85"/>
      <c r="F184" s="85"/>
      <c r="G184" s="85"/>
      <c r="H184" s="85"/>
    </row>
    <row r="185" ht="15.75" customHeight="1">
      <c r="C185" s="85"/>
      <c r="F185" s="85"/>
      <c r="G185" s="85"/>
      <c r="H185" s="85"/>
    </row>
    <row r="186" ht="15.75" customHeight="1">
      <c r="C186" s="85"/>
      <c r="F186" s="85"/>
      <c r="G186" s="85"/>
      <c r="H186" s="85"/>
    </row>
    <row r="187" ht="15.75" customHeight="1">
      <c r="C187" s="85"/>
      <c r="F187" s="85"/>
      <c r="G187" s="85"/>
      <c r="H187" s="85"/>
    </row>
    <row r="188" ht="15.75" customHeight="1">
      <c r="C188" s="85"/>
      <c r="F188" s="85"/>
      <c r="G188" s="85"/>
      <c r="H188" s="85"/>
    </row>
    <row r="189" ht="15.75" customHeight="1">
      <c r="C189" s="85"/>
      <c r="F189" s="85"/>
      <c r="G189" s="85"/>
      <c r="H189" s="85"/>
    </row>
    <row r="190" ht="15.75" customHeight="1">
      <c r="C190" s="85"/>
      <c r="F190" s="85"/>
      <c r="G190" s="85"/>
      <c r="H190" s="85"/>
    </row>
    <row r="191" ht="15.75" customHeight="1">
      <c r="C191" s="85"/>
      <c r="F191" s="85"/>
      <c r="G191" s="85"/>
      <c r="H191" s="85"/>
    </row>
    <row r="192" ht="15.75" customHeight="1">
      <c r="C192" s="85"/>
      <c r="F192" s="85"/>
      <c r="G192" s="85"/>
      <c r="H192" s="85"/>
    </row>
    <row r="193" ht="15.75" customHeight="1">
      <c r="C193" s="85"/>
      <c r="F193" s="85"/>
      <c r="G193" s="85"/>
      <c r="H193" s="85"/>
    </row>
    <row r="194" ht="15.75" customHeight="1">
      <c r="C194" s="85"/>
      <c r="F194" s="85"/>
      <c r="G194" s="85"/>
      <c r="H194" s="85"/>
    </row>
    <row r="195" ht="15.75" customHeight="1">
      <c r="C195" s="85"/>
      <c r="F195" s="85"/>
      <c r="G195" s="85"/>
      <c r="H195" s="85"/>
    </row>
    <row r="196" ht="15.75" customHeight="1">
      <c r="C196" s="85"/>
      <c r="F196" s="85"/>
      <c r="G196" s="85"/>
      <c r="H196" s="85"/>
    </row>
    <row r="197" ht="15.75" customHeight="1">
      <c r="C197" s="85"/>
      <c r="F197" s="85"/>
      <c r="G197" s="85"/>
      <c r="H197" s="85"/>
    </row>
    <row r="198" ht="15.75" customHeight="1">
      <c r="C198" s="85"/>
      <c r="F198" s="85"/>
      <c r="G198" s="85"/>
      <c r="H198" s="85"/>
    </row>
    <row r="199" ht="15.75" customHeight="1">
      <c r="C199" s="85"/>
      <c r="F199" s="85"/>
      <c r="G199" s="85"/>
      <c r="H199" s="85"/>
    </row>
    <row r="200" ht="15.75" customHeight="1">
      <c r="C200" s="85"/>
      <c r="F200" s="85"/>
      <c r="G200" s="85"/>
      <c r="H200" s="85"/>
    </row>
    <row r="201" ht="15.75" customHeight="1">
      <c r="C201" s="85"/>
      <c r="F201" s="85"/>
      <c r="G201" s="85"/>
      <c r="H201" s="85"/>
    </row>
    <row r="202" ht="15.75" customHeight="1">
      <c r="C202" s="85"/>
      <c r="F202" s="85"/>
      <c r="G202" s="85"/>
      <c r="H202" s="85"/>
    </row>
    <row r="203" ht="15.75" customHeight="1">
      <c r="C203" s="85"/>
      <c r="F203" s="85"/>
      <c r="G203" s="85"/>
      <c r="H203" s="85"/>
    </row>
    <row r="204" ht="15.75" customHeight="1">
      <c r="C204" s="85"/>
      <c r="F204" s="85"/>
      <c r="G204" s="85"/>
      <c r="H204" s="85"/>
    </row>
    <row r="205" ht="15.75" customHeight="1">
      <c r="C205" s="85"/>
      <c r="F205" s="85"/>
      <c r="G205" s="85"/>
      <c r="H205" s="85"/>
    </row>
    <row r="206" ht="15.75" customHeight="1">
      <c r="C206" s="85"/>
      <c r="F206" s="85"/>
      <c r="G206" s="85"/>
      <c r="H206" s="85"/>
    </row>
    <row r="207" ht="15.75" customHeight="1">
      <c r="C207" s="85"/>
      <c r="F207" s="85"/>
      <c r="G207" s="85"/>
      <c r="H207" s="85"/>
    </row>
    <row r="208" ht="15.75" customHeight="1">
      <c r="C208" s="85"/>
      <c r="F208" s="85"/>
      <c r="G208" s="85"/>
      <c r="H208" s="85"/>
    </row>
    <row r="209" ht="15.75" customHeight="1">
      <c r="C209" s="85"/>
      <c r="F209" s="85"/>
      <c r="G209" s="85"/>
      <c r="H209" s="85"/>
    </row>
    <row r="210" ht="15.75" customHeight="1">
      <c r="C210" s="85"/>
      <c r="F210" s="85"/>
      <c r="G210" s="85"/>
      <c r="H210" s="85"/>
    </row>
    <row r="211" ht="15.75" customHeight="1">
      <c r="C211" s="85"/>
      <c r="F211" s="85"/>
      <c r="G211" s="85"/>
      <c r="H211" s="85"/>
    </row>
    <row r="212" ht="15.75" customHeight="1">
      <c r="C212" s="85"/>
      <c r="F212" s="85"/>
      <c r="G212" s="85"/>
      <c r="H212" s="85"/>
    </row>
    <row r="213" ht="15.75" customHeight="1">
      <c r="C213" s="85"/>
      <c r="F213" s="85"/>
      <c r="G213" s="85"/>
      <c r="H213" s="85"/>
    </row>
    <row r="214" ht="15.75" customHeight="1">
      <c r="C214" s="85"/>
      <c r="F214" s="85"/>
      <c r="G214" s="85"/>
      <c r="H214" s="85"/>
    </row>
    <row r="215" ht="15.75" customHeight="1">
      <c r="C215" s="85"/>
      <c r="F215" s="85"/>
      <c r="G215" s="85"/>
      <c r="H215" s="85"/>
    </row>
    <row r="216" ht="15.75" customHeight="1">
      <c r="C216" s="85"/>
      <c r="F216" s="85"/>
      <c r="G216" s="85"/>
      <c r="H216" s="85"/>
    </row>
    <row r="217" ht="15.75" customHeight="1">
      <c r="C217" s="85"/>
      <c r="F217" s="85"/>
      <c r="G217" s="85"/>
      <c r="H217" s="85"/>
    </row>
    <row r="218" ht="15.75" customHeight="1">
      <c r="C218" s="85"/>
      <c r="F218" s="85"/>
      <c r="G218" s="85"/>
      <c r="H218" s="85"/>
    </row>
    <row r="219" ht="15.75" customHeight="1">
      <c r="C219" s="85"/>
      <c r="F219" s="85"/>
      <c r="G219" s="85"/>
      <c r="H219" s="85"/>
    </row>
    <row r="220" ht="15.75" customHeight="1">
      <c r="C220" s="85"/>
      <c r="F220" s="85"/>
      <c r="G220" s="85"/>
      <c r="H220" s="85"/>
    </row>
    <row r="221" ht="15.75" customHeight="1">
      <c r="C221" s="85"/>
      <c r="F221" s="85"/>
      <c r="G221" s="85"/>
      <c r="H221" s="85"/>
    </row>
    <row r="222" ht="15.75" customHeight="1">
      <c r="C222" s="85"/>
      <c r="F222" s="85"/>
      <c r="G222" s="85"/>
      <c r="H222" s="85"/>
    </row>
    <row r="223" ht="15.75" customHeight="1">
      <c r="C223" s="85"/>
      <c r="F223" s="85"/>
      <c r="G223" s="85"/>
      <c r="H223" s="85"/>
    </row>
    <row r="224" ht="15.75" customHeight="1">
      <c r="C224" s="85"/>
      <c r="F224" s="85"/>
      <c r="G224" s="85"/>
      <c r="H224" s="85"/>
    </row>
    <row r="225" ht="15.75" customHeight="1">
      <c r="C225" s="85"/>
      <c r="F225" s="85"/>
      <c r="G225" s="85"/>
      <c r="H225" s="85"/>
    </row>
    <row r="226" ht="15.75" customHeight="1">
      <c r="C226" s="85"/>
      <c r="F226" s="85"/>
      <c r="G226" s="85"/>
      <c r="H226" s="85"/>
    </row>
    <row r="227" ht="15.75" customHeight="1">
      <c r="C227" s="85"/>
      <c r="F227" s="85"/>
      <c r="G227" s="85"/>
      <c r="H227" s="85"/>
    </row>
    <row r="228" ht="15.75" customHeight="1">
      <c r="C228" s="85"/>
      <c r="F228" s="85"/>
      <c r="G228" s="85"/>
      <c r="H228" s="85"/>
    </row>
    <row r="229" ht="15.75" customHeight="1">
      <c r="C229" s="85"/>
      <c r="F229" s="85"/>
      <c r="G229" s="85"/>
      <c r="H229" s="85"/>
    </row>
    <row r="230" ht="15.75" customHeight="1">
      <c r="C230" s="85"/>
      <c r="F230" s="85"/>
      <c r="G230" s="85"/>
      <c r="H230" s="85"/>
    </row>
    <row r="231" ht="15.75" customHeight="1">
      <c r="C231" s="85"/>
      <c r="F231" s="85"/>
      <c r="G231" s="85"/>
      <c r="H231" s="85"/>
    </row>
    <row r="232" ht="15.75" customHeight="1">
      <c r="C232" s="85"/>
      <c r="F232" s="85"/>
      <c r="G232" s="85"/>
      <c r="H232" s="85"/>
    </row>
    <row r="233" ht="15.75" customHeight="1">
      <c r="C233" s="85"/>
      <c r="F233" s="85"/>
      <c r="G233" s="85"/>
      <c r="H233" s="85"/>
    </row>
    <row r="234" ht="15.75" customHeight="1">
      <c r="C234" s="85"/>
      <c r="F234" s="85"/>
      <c r="G234" s="85"/>
      <c r="H234" s="85"/>
    </row>
    <row r="235" ht="15.75" customHeight="1">
      <c r="C235" s="85"/>
      <c r="F235" s="85"/>
      <c r="G235" s="85"/>
      <c r="H235" s="85"/>
    </row>
    <row r="236" ht="15.75" customHeight="1">
      <c r="C236" s="85"/>
      <c r="F236" s="85"/>
      <c r="G236" s="85"/>
      <c r="H236" s="85"/>
    </row>
    <row r="237" ht="15.75" customHeight="1">
      <c r="C237" s="85"/>
      <c r="F237" s="85"/>
      <c r="G237" s="85"/>
      <c r="H237" s="85"/>
    </row>
    <row r="238" ht="15.75" customHeight="1">
      <c r="C238" s="85"/>
      <c r="F238" s="85"/>
      <c r="G238" s="85"/>
      <c r="H238" s="85"/>
    </row>
    <row r="239" ht="15.75" customHeight="1">
      <c r="C239" s="85"/>
      <c r="F239" s="85"/>
      <c r="G239" s="85"/>
      <c r="H239" s="85"/>
    </row>
    <row r="240" ht="15.75" customHeight="1">
      <c r="C240" s="85"/>
      <c r="F240" s="85"/>
      <c r="G240" s="85"/>
      <c r="H240" s="85"/>
    </row>
    <row r="241" ht="15.75" customHeight="1">
      <c r="C241" s="85"/>
      <c r="F241" s="85"/>
      <c r="G241" s="85"/>
      <c r="H241" s="85"/>
    </row>
    <row r="242" ht="15.75" customHeight="1">
      <c r="C242" s="85"/>
      <c r="F242" s="85"/>
      <c r="G242" s="85"/>
      <c r="H242" s="85"/>
    </row>
    <row r="243" ht="15.75" customHeight="1">
      <c r="C243" s="85"/>
      <c r="F243" s="85"/>
      <c r="G243" s="85"/>
      <c r="H243" s="85"/>
    </row>
    <row r="244" ht="15.75" customHeight="1">
      <c r="C244" s="85"/>
      <c r="F244" s="85"/>
      <c r="G244" s="85"/>
      <c r="H244" s="85"/>
    </row>
    <row r="245" ht="15.75" customHeight="1">
      <c r="C245" s="85"/>
      <c r="F245" s="85"/>
      <c r="G245" s="85"/>
      <c r="H245" s="85"/>
    </row>
    <row r="246" ht="15.75" customHeight="1">
      <c r="C246" s="85"/>
      <c r="F246" s="85"/>
      <c r="G246" s="85"/>
      <c r="H246" s="85"/>
    </row>
    <row r="247" ht="15.75" customHeight="1">
      <c r="C247" s="85"/>
      <c r="F247" s="85"/>
      <c r="G247" s="85"/>
      <c r="H247" s="85"/>
    </row>
    <row r="248" ht="15.75" customHeight="1">
      <c r="C248" s="85"/>
      <c r="F248" s="85"/>
      <c r="G248" s="85"/>
      <c r="H248" s="85"/>
    </row>
    <row r="249" ht="15.75" customHeight="1">
      <c r="C249" s="85"/>
      <c r="F249" s="85"/>
      <c r="G249" s="85"/>
      <c r="H249" s="85"/>
    </row>
    <row r="250" ht="15.75" customHeight="1">
      <c r="C250" s="85"/>
      <c r="F250" s="85"/>
      <c r="G250" s="85"/>
      <c r="H250" s="85"/>
    </row>
    <row r="251" ht="15.75" customHeight="1">
      <c r="C251" s="85"/>
      <c r="F251" s="85"/>
      <c r="G251" s="85"/>
      <c r="H251" s="85"/>
    </row>
    <row r="252" ht="15.75" customHeight="1">
      <c r="C252" s="85"/>
      <c r="F252" s="85"/>
      <c r="G252" s="85"/>
      <c r="H252" s="85"/>
    </row>
    <row r="253" ht="15.75" customHeight="1">
      <c r="C253" s="85"/>
      <c r="F253" s="85"/>
      <c r="G253" s="85"/>
      <c r="H253" s="85"/>
    </row>
    <row r="254" ht="15.75" customHeight="1">
      <c r="C254" s="85"/>
      <c r="F254" s="85"/>
      <c r="G254" s="85"/>
      <c r="H254" s="85"/>
    </row>
    <row r="255" ht="15.75" customHeight="1">
      <c r="C255" s="85"/>
      <c r="F255" s="85"/>
      <c r="G255" s="85"/>
      <c r="H255" s="85"/>
    </row>
    <row r="256" ht="15.75" customHeight="1">
      <c r="C256" s="85"/>
      <c r="F256" s="85"/>
      <c r="G256" s="85"/>
      <c r="H256" s="85"/>
    </row>
    <row r="257" ht="15.75" customHeight="1">
      <c r="C257" s="85"/>
      <c r="F257" s="85"/>
      <c r="G257" s="85"/>
      <c r="H257" s="85"/>
    </row>
    <row r="258" ht="15.75" customHeight="1">
      <c r="C258" s="85"/>
      <c r="F258" s="85"/>
      <c r="G258" s="85"/>
      <c r="H258" s="85"/>
    </row>
    <row r="259" ht="15.75" customHeight="1">
      <c r="C259" s="85"/>
      <c r="F259" s="85"/>
      <c r="G259" s="85"/>
      <c r="H259" s="85"/>
    </row>
    <row r="260" ht="15.75" customHeight="1">
      <c r="C260" s="85"/>
      <c r="F260" s="85"/>
      <c r="G260" s="85"/>
      <c r="H260" s="85"/>
    </row>
    <row r="261" ht="15.75" customHeight="1">
      <c r="C261" s="85"/>
      <c r="F261" s="85"/>
      <c r="G261" s="85"/>
      <c r="H261" s="85"/>
    </row>
    <row r="262" ht="15.75" customHeight="1">
      <c r="C262" s="85"/>
      <c r="F262" s="85"/>
      <c r="G262" s="85"/>
      <c r="H262" s="85"/>
    </row>
    <row r="263" ht="15.75" customHeight="1">
      <c r="C263" s="85"/>
      <c r="F263" s="85"/>
      <c r="G263" s="85"/>
      <c r="H263" s="85"/>
    </row>
    <row r="264" ht="15.75" customHeight="1">
      <c r="C264" s="85"/>
      <c r="F264" s="85"/>
      <c r="G264" s="85"/>
      <c r="H264" s="85"/>
    </row>
    <row r="265" ht="15.75" customHeight="1">
      <c r="C265" s="85"/>
      <c r="F265" s="85"/>
      <c r="G265" s="85"/>
      <c r="H265" s="85"/>
    </row>
    <row r="266" ht="15.75" customHeight="1">
      <c r="C266" s="85"/>
      <c r="F266" s="85"/>
      <c r="G266" s="85"/>
      <c r="H266" s="85"/>
    </row>
    <row r="267" ht="15.75" customHeight="1">
      <c r="C267" s="85"/>
      <c r="F267" s="85"/>
      <c r="G267" s="85"/>
      <c r="H267" s="85"/>
    </row>
    <row r="268" ht="15.75" customHeight="1">
      <c r="C268" s="85"/>
      <c r="F268" s="85"/>
      <c r="G268" s="85"/>
      <c r="H268" s="85"/>
    </row>
    <row r="269" ht="15.75" customHeight="1">
      <c r="C269" s="85"/>
      <c r="F269" s="85"/>
      <c r="G269" s="85"/>
      <c r="H269" s="85"/>
    </row>
    <row r="270" ht="15.75" customHeight="1">
      <c r="C270" s="85"/>
      <c r="F270" s="85"/>
      <c r="G270" s="85"/>
      <c r="H270" s="85"/>
    </row>
    <row r="271" ht="15.75" customHeight="1">
      <c r="C271" s="85"/>
      <c r="F271" s="85"/>
      <c r="G271" s="85"/>
      <c r="H271" s="85"/>
    </row>
    <row r="272" ht="15.75" customHeight="1">
      <c r="C272" s="85"/>
      <c r="F272" s="85"/>
      <c r="G272" s="85"/>
      <c r="H272" s="85"/>
    </row>
    <row r="273" ht="15.75" customHeight="1">
      <c r="C273" s="85"/>
      <c r="F273" s="85"/>
      <c r="G273" s="85"/>
      <c r="H273" s="85"/>
    </row>
    <row r="274" ht="15.75" customHeight="1">
      <c r="C274" s="85"/>
      <c r="F274" s="85"/>
      <c r="G274" s="85"/>
      <c r="H274" s="85"/>
    </row>
    <row r="275" ht="15.75" customHeight="1">
      <c r="C275" s="85"/>
      <c r="F275" s="85"/>
      <c r="G275" s="85"/>
      <c r="H275" s="85"/>
    </row>
    <row r="276" ht="15.75" customHeight="1">
      <c r="C276" s="85"/>
      <c r="F276" s="85"/>
      <c r="G276" s="85"/>
      <c r="H276" s="85"/>
    </row>
    <row r="277" ht="15.75" customHeight="1">
      <c r="C277" s="85"/>
      <c r="F277" s="85"/>
      <c r="G277" s="85"/>
      <c r="H277" s="85"/>
    </row>
    <row r="278" ht="15.75" customHeight="1">
      <c r="C278" s="85"/>
      <c r="F278" s="85"/>
      <c r="G278" s="85"/>
      <c r="H278" s="85"/>
    </row>
    <row r="279" ht="15.75" customHeight="1">
      <c r="C279" s="85"/>
      <c r="F279" s="85"/>
      <c r="G279" s="85"/>
      <c r="H279" s="85"/>
    </row>
    <row r="280" ht="15.75" customHeight="1">
      <c r="C280" s="85"/>
      <c r="F280" s="85"/>
      <c r="G280" s="85"/>
      <c r="H280" s="85"/>
    </row>
    <row r="281" ht="15.75" customHeight="1">
      <c r="C281" s="85"/>
      <c r="F281" s="85"/>
      <c r="G281" s="85"/>
      <c r="H281" s="85"/>
    </row>
    <row r="282" ht="15.75" customHeight="1">
      <c r="C282" s="85"/>
      <c r="F282" s="85"/>
      <c r="G282" s="85"/>
      <c r="H282" s="85"/>
    </row>
    <row r="283" ht="15.75" customHeight="1">
      <c r="C283" s="85"/>
      <c r="F283" s="85"/>
      <c r="G283" s="85"/>
      <c r="H283" s="85"/>
    </row>
    <row r="284" ht="15.75" customHeight="1">
      <c r="C284" s="85"/>
      <c r="F284" s="85"/>
      <c r="G284" s="85"/>
      <c r="H284" s="85"/>
    </row>
    <row r="285" ht="15.75" customHeight="1">
      <c r="C285" s="85"/>
      <c r="F285" s="85"/>
      <c r="G285" s="85"/>
      <c r="H285" s="85"/>
    </row>
    <row r="286" ht="15.75" customHeight="1">
      <c r="C286" s="85"/>
      <c r="F286" s="85"/>
      <c r="G286" s="85"/>
      <c r="H286" s="85"/>
    </row>
    <row r="287" ht="15.75" customHeight="1">
      <c r="C287" s="85"/>
      <c r="F287" s="85"/>
      <c r="G287" s="85"/>
      <c r="H287" s="85"/>
    </row>
    <row r="288" ht="15.75" customHeight="1">
      <c r="C288" s="85"/>
      <c r="F288" s="85"/>
      <c r="G288" s="85"/>
      <c r="H288" s="85"/>
    </row>
    <row r="289" ht="15.75" customHeight="1">
      <c r="C289" s="85"/>
      <c r="F289" s="85"/>
      <c r="G289" s="85"/>
      <c r="H289" s="85"/>
    </row>
    <row r="290" ht="15.75" customHeight="1">
      <c r="C290" s="85"/>
      <c r="F290" s="85"/>
      <c r="G290" s="85"/>
      <c r="H290" s="85"/>
    </row>
    <row r="291" ht="15.75" customHeight="1">
      <c r="C291" s="85"/>
      <c r="F291" s="85"/>
      <c r="G291" s="85"/>
      <c r="H291" s="85"/>
    </row>
    <row r="292" ht="15.75" customHeight="1">
      <c r="C292" s="85"/>
      <c r="F292" s="85"/>
      <c r="G292" s="85"/>
      <c r="H292" s="85"/>
    </row>
    <row r="293" ht="15.75" customHeight="1">
      <c r="C293" s="85"/>
      <c r="F293" s="85"/>
      <c r="G293" s="85"/>
      <c r="H293" s="85"/>
    </row>
    <row r="294" ht="15.75" customHeight="1">
      <c r="C294" s="85"/>
      <c r="F294" s="85"/>
      <c r="G294" s="85"/>
      <c r="H294" s="85"/>
    </row>
    <row r="295" ht="15.75" customHeight="1">
      <c r="C295" s="85"/>
      <c r="F295" s="85"/>
      <c r="G295" s="85"/>
      <c r="H295" s="85"/>
    </row>
    <row r="296" ht="15.75" customHeight="1">
      <c r="C296" s="85"/>
      <c r="F296" s="85"/>
      <c r="G296" s="85"/>
      <c r="H296" s="85"/>
    </row>
    <row r="297" ht="15.75" customHeight="1">
      <c r="C297" s="85"/>
      <c r="F297" s="85"/>
      <c r="G297" s="85"/>
      <c r="H297" s="85"/>
    </row>
    <row r="298" ht="15.75" customHeight="1">
      <c r="C298" s="85"/>
      <c r="F298" s="85"/>
      <c r="G298" s="85"/>
      <c r="H298" s="85"/>
    </row>
    <row r="299" ht="15.75" customHeight="1">
      <c r="C299" s="85"/>
      <c r="F299" s="85"/>
      <c r="G299" s="85"/>
      <c r="H299" s="85"/>
    </row>
    <row r="300" ht="15.75" customHeight="1">
      <c r="C300" s="85"/>
      <c r="F300" s="85"/>
      <c r="G300" s="85"/>
      <c r="H300" s="85"/>
    </row>
    <row r="301" ht="15.75" customHeight="1">
      <c r="C301" s="85"/>
      <c r="F301" s="85"/>
      <c r="G301" s="85"/>
      <c r="H301" s="85"/>
    </row>
    <row r="302" ht="15.75" customHeight="1">
      <c r="C302" s="85"/>
      <c r="F302" s="85"/>
      <c r="G302" s="85"/>
      <c r="H302" s="85"/>
    </row>
    <row r="303" ht="15.75" customHeight="1">
      <c r="C303" s="85"/>
      <c r="F303" s="85"/>
      <c r="G303" s="85"/>
      <c r="H303" s="85"/>
    </row>
    <row r="304" ht="15.75" customHeight="1">
      <c r="C304" s="85"/>
      <c r="F304" s="85"/>
      <c r="G304" s="85"/>
      <c r="H304" s="85"/>
    </row>
    <row r="305" ht="15.75" customHeight="1">
      <c r="C305" s="85"/>
      <c r="F305" s="85"/>
      <c r="G305" s="85"/>
      <c r="H305" s="85"/>
    </row>
    <row r="306" ht="15.75" customHeight="1">
      <c r="C306" s="85"/>
      <c r="F306" s="85"/>
      <c r="G306" s="85"/>
      <c r="H306" s="85"/>
    </row>
    <row r="307" ht="15.75" customHeight="1">
      <c r="C307" s="85"/>
      <c r="F307" s="85"/>
      <c r="G307" s="85"/>
      <c r="H307" s="85"/>
    </row>
    <row r="308" ht="15.75" customHeight="1">
      <c r="C308" s="85"/>
      <c r="F308" s="85"/>
      <c r="G308" s="85"/>
      <c r="H308" s="85"/>
    </row>
    <row r="309" ht="15.75" customHeight="1">
      <c r="C309" s="85"/>
      <c r="F309" s="85"/>
      <c r="G309" s="85"/>
      <c r="H309" s="85"/>
    </row>
    <row r="310" ht="15.75" customHeight="1">
      <c r="C310" s="85"/>
      <c r="F310" s="85"/>
      <c r="G310" s="85"/>
      <c r="H310" s="85"/>
    </row>
    <row r="311" ht="15.75" customHeight="1">
      <c r="C311" s="85"/>
      <c r="F311" s="85"/>
      <c r="G311" s="85"/>
      <c r="H311" s="85"/>
    </row>
    <row r="312" ht="15.75" customHeight="1">
      <c r="C312" s="85"/>
      <c r="F312" s="85"/>
      <c r="G312" s="85"/>
      <c r="H312" s="85"/>
    </row>
    <row r="313" ht="15.75" customHeight="1">
      <c r="C313" s="85"/>
      <c r="F313" s="85"/>
      <c r="G313" s="85"/>
      <c r="H313" s="85"/>
    </row>
    <row r="314" ht="15.75" customHeight="1">
      <c r="C314" s="85"/>
      <c r="F314" s="85"/>
      <c r="G314" s="85"/>
      <c r="H314" s="85"/>
    </row>
    <row r="315" ht="15.75" customHeight="1">
      <c r="C315" s="85"/>
      <c r="F315" s="85"/>
      <c r="G315" s="85"/>
      <c r="H315" s="85"/>
    </row>
    <row r="316" ht="15.75" customHeight="1">
      <c r="C316" s="85"/>
      <c r="F316" s="85"/>
      <c r="G316" s="85"/>
      <c r="H316" s="85"/>
    </row>
    <row r="317" ht="15.75" customHeight="1">
      <c r="C317" s="85"/>
      <c r="F317" s="85"/>
      <c r="G317" s="85"/>
      <c r="H317" s="85"/>
    </row>
    <row r="318" ht="15.75" customHeight="1">
      <c r="C318" s="85"/>
      <c r="F318" s="85"/>
      <c r="G318" s="85"/>
      <c r="H318" s="85"/>
    </row>
    <row r="319" ht="15.75" customHeight="1">
      <c r="C319" s="85"/>
      <c r="F319" s="85"/>
      <c r="G319" s="85"/>
      <c r="H319" s="85"/>
    </row>
    <row r="320" ht="15.75" customHeight="1">
      <c r="C320" s="85"/>
      <c r="F320" s="85"/>
      <c r="G320" s="85"/>
      <c r="H320" s="85"/>
    </row>
    <row r="321" ht="15.75" customHeight="1">
      <c r="C321" s="85"/>
      <c r="F321" s="85"/>
      <c r="G321" s="85"/>
      <c r="H321" s="85"/>
    </row>
    <row r="322" ht="15.75" customHeight="1">
      <c r="C322" s="85"/>
      <c r="F322" s="85"/>
      <c r="G322" s="85"/>
      <c r="H322" s="85"/>
    </row>
    <row r="323" ht="15.75" customHeight="1">
      <c r="C323" s="85"/>
      <c r="F323" s="85"/>
      <c r="G323" s="85"/>
      <c r="H323" s="85"/>
    </row>
    <row r="324" ht="15.75" customHeight="1">
      <c r="C324" s="85"/>
      <c r="F324" s="85"/>
      <c r="G324" s="85"/>
      <c r="H324" s="85"/>
    </row>
    <row r="325" ht="15.75" customHeight="1">
      <c r="C325" s="85"/>
      <c r="F325" s="85"/>
      <c r="G325" s="85"/>
      <c r="H325" s="85"/>
    </row>
    <row r="326" ht="15.75" customHeight="1">
      <c r="C326" s="85"/>
      <c r="F326" s="85"/>
      <c r="G326" s="85"/>
      <c r="H326" s="85"/>
    </row>
    <row r="327" ht="15.75" customHeight="1">
      <c r="C327" s="85"/>
      <c r="F327" s="85"/>
      <c r="G327" s="85"/>
      <c r="H327" s="85"/>
    </row>
    <row r="328" ht="15.75" customHeight="1">
      <c r="C328" s="85"/>
      <c r="F328" s="85"/>
      <c r="G328" s="85"/>
      <c r="H328" s="85"/>
    </row>
    <row r="329" ht="15.75" customHeight="1">
      <c r="C329" s="85"/>
      <c r="F329" s="85"/>
      <c r="G329" s="85"/>
      <c r="H329" s="85"/>
    </row>
    <row r="330" ht="15.75" customHeight="1">
      <c r="C330" s="85"/>
      <c r="F330" s="85"/>
      <c r="G330" s="85"/>
      <c r="H330" s="85"/>
    </row>
    <row r="331" ht="15.75" customHeight="1">
      <c r="C331" s="85"/>
      <c r="F331" s="85"/>
      <c r="G331" s="85"/>
      <c r="H331" s="85"/>
    </row>
    <row r="332" ht="15.75" customHeight="1">
      <c r="C332" s="85"/>
      <c r="F332" s="85"/>
      <c r="G332" s="85"/>
      <c r="H332" s="85"/>
    </row>
    <row r="333" ht="15.75" customHeight="1">
      <c r="C333" s="85"/>
      <c r="F333" s="85"/>
      <c r="G333" s="85"/>
      <c r="H333" s="85"/>
    </row>
    <row r="334" ht="15.75" customHeight="1">
      <c r="C334" s="85"/>
      <c r="F334" s="85"/>
      <c r="G334" s="85"/>
      <c r="H334" s="85"/>
    </row>
    <row r="335" ht="15.75" customHeight="1">
      <c r="C335" s="85"/>
      <c r="F335" s="85"/>
      <c r="G335" s="85"/>
      <c r="H335" s="85"/>
    </row>
    <row r="336" ht="15.75" customHeight="1">
      <c r="C336" s="85"/>
      <c r="F336" s="85"/>
      <c r="G336" s="85"/>
      <c r="H336" s="85"/>
    </row>
    <row r="337" ht="15.75" customHeight="1">
      <c r="C337" s="85"/>
      <c r="F337" s="85"/>
      <c r="G337" s="85"/>
      <c r="H337" s="85"/>
    </row>
    <row r="338" ht="15.75" customHeight="1">
      <c r="C338" s="85"/>
      <c r="F338" s="85"/>
      <c r="G338" s="85"/>
      <c r="H338" s="85"/>
    </row>
    <row r="339" ht="15.75" customHeight="1">
      <c r="C339" s="85"/>
      <c r="F339" s="85"/>
      <c r="G339" s="85"/>
      <c r="H339" s="85"/>
    </row>
    <row r="340" ht="15.75" customHeight="1">
      <c r="C340" s="85"/>
      <c r="F340" s="85"/>
      <c r="G340" s="85"/>
      <c r="H340" s="85"/>
    </row>
    <row r="341" ht="15.75" customHeight="1">
      <c r="C341" s="85"/>
      <c r="F341" s="85"/>
      <c r="G341" s="85"/>
      <c r="H341" s="85"/>
    </row>
    <row r="342" ht="15.75" customHeight="1">
      <c r="C342" s="85"/>
      <c r="F342" s="85"/>
      <c r="G342" s="85"/>
      <c r="H342" s="85"/>
    </row>
    <row r="343" ht="15.75" customHeight="1">
      <c r="C343" s="85"/>
      <c r="F343" s="85"/>
      <c r="G343" s="85"/>
      <c r="H343" s="85"/>
    </row>
    <row r="344" ht="15.75" customHeight="1">
      <c r="C344" s="85"/>
      <c r="F344" s="85"/>
      <c r="G344" s="85"/>
      <c r="H344" s="85"/>
    </row>
    <row r="345" ht="15.75" customHeight="1">
      <c r="C345" s="85"/>
      <c r="F345" s="85"/>
      <c r="G345" s="85"/>
      <c r="H345" s="85"/>
    </row>
    <row r="346" ht="15.75" customHeight="1">
      <c r="C346" s="85"/>
      <c r="F346" s="85"/>
      <c r="G346" s="85"/>
      <c r="H346" s="85"/>
    </row>
    <row r="347" ht="15.75" customHeight="1">
      <c r="C347" s="85"/>
      <c r="F347" s="85"/>
      <c r="G347" s="85"/>
      <c r="H347" s="85"/>
    </row>
    <row r="348" ht="15.75" customHeight="1">
      <c r="C348" s="85"/>
      <c r="F348" s="85"/>
      <c r="G348" s="85"/>
      <c r="H348" s="85"/>
    </row>
    <row r="349" ht="15.75" customHeight="1">
      <c r="C349" s="85"/>
      <c r="F349" s="85"/>
      <c r="G349" s="85"/>
      <c r="H349" s="85"/>
    </row>
    <row r="350" ht="15.75" customHeight="1">
      <c r="C350" s="85"/>
      <c r="F350" s="85"/>
      <c r="G350" s="85"/>
      <c r="H350" s="85"/>
    </row>
    <row r="351" ht="15.75" customHeight="1">
      <c r="C351" s="85"/>
      <c r="F351" s="85"/>
      <c r="G351" s="85"/>
      <c r="H351" s="85"/>
    </row>
    <row r="352" ht="15.75" customHeight="1">
      <c r="C352" s="85"/>
      <c r="F352" s="85"/>
      <c r="G352" s="85"/>
      <c r="H352" s="85"/>
    </row>
    <row r="353" ht="15.75" customHeight="1">
      <c r="C353" s="85"/>
      <c r="F353" s="85"/>
      <c r="G353" s="85"/>
      <c r="H353" s="85"/>
    </row>
    <row r="354" ht="15.75" customHeight="1">
      <c r="C354" s="85"/>
      <c r="F354" s="85"/>
      <c r="G354" s="85"/>
      <c r="H354" s="85"/>
    </row>
    <row r="355" ht="15.75" customHeight="1">
      <c r="C355" s="85"/>
      <c r="F355" s="85"/>
      <c r="G355" s="85"/>
      <c r="H355" s="85"/>
    </row>
    <row r="356" ht="15.75" customHeight="1">
      <c r="C356" s="85"/>
      <c r="F356" s="85"/>
      <c r="G356" s="85"/>
      <c r="H356" s="85"/>
    </row>
    <row r="357" ht="15.75" customHeight="1">
      <c r="C357" s="85"/>
      <c r="F357" s="85"/>
      <c r="G357" s="85"/>
      <c r="H357" s="85"/>
    </row>
    <row r="358" ht="15.75" customHeight="1">
      <c r="C358" s="85"/>
      <c r="F358" s="85"/>
      <c r="G358" s="85"/>
      <c r="H358" s="85"/>
    </row>
    <row r="359" ht="15.75" customHeight="1">
      <c r="C359" s="85"/>
      <c r="F359" s="85"/>
      <c r="G359" s="85"/>
      <c r="H359" s="85"/>
    </row>
    <row r="360" ht="15.75" customHeight="1">
      <c r="C360" s="85"/>
      <c r="F360" s="85"/>
      <c r="G360" s="85"/>
      <c r="H360" s="85"/>
    </row>
    <row r="361" ht="15.75" customHeight="1">
      <c r="C361" s="85"/>
      <c r="F361" s="85"/>
      <c r="G361" s="85"/>
      <c r="H361" s="85"/>
    </row>
    <row r="362" ht="15.75" customHeight="1">
      <c r="C362" s="85"/>
      <c r="F362" s="85"/>
      <c r="G362" s="85"/>
      <c r="H362" s="85"/>
    </row>
    <row r="363" ht="15.75" customHeight="1">
      <c r="C363" s="85"/>
      <c r="F363" s="85"/>
      <c r="G363" s="85"/>
      <c r="H363" s="85"/>
    </row>
    <row r="364" ht="15.75" customHeight="1">
      <c r="C364" s="85"/>
      <c r="F364" s="85"/>
      <c r="G364" s="85"/>
      <c r="H364" s="85"/>
    </row>
    <row r="365" ht="15.75" customHeight="1">
      <c r="C365" s="85"/>
      <c r="F365" s="85"/>
      <c r="G365" s="85"/>
      <c r="H365" s="85"/>
    </row>
    <row r="366" ht="15.75" customHeight="1">
      <c r="C366" s="85"/>
      <c r="F366" s="85"/>
      <c r="G366" s="85"/>
      <c r="H366" s="85"/>
    </row>
    <row r="367" ht="15.75" customHeight="1">
      <c r="C367" s="85"/>
      <c r="F367" s="85"/>
      <c r="G367" s="85"/>
      <c r="H367" s="85"/>
    </row>
    <row r="368" ht="15.75" customHeight="1">
      <c r="C368" s="85"/>
      <c r="F368" s="85"/>
      <c r="G368" s="85"/>
      <c r="H368" s="85"/>
    </row>
    <row r="369" ht="15.75" customHeight="1">
      <c r="C369" s="85"/>
      <c r="F369" s="85"/>
      <c r="G369" s="85"/>
      <c r="H369" s="85"/>
    </row>
    <row r="370" ht="15.75" customHeight="1">
      <c r="C370" s="85"/>
      <c r="F370" s="85"/>
      <c r="G370" s="85"/>
      <c r="H370" s="85"/>
    </row>
    <row r="371" ht="15.75" customHeight="1">
      <c r="C371" s="85"/>
      <c r="F371" s="85"/>
      <c r="G371" s="85"/>
      <c r="H371" s="85"/>
    </row>
    <row r="372" ht="15.75" customHeight="1">
      <c r="C372" s="85"/>
      <c r="F372" s="85"/>
      <c r="G372" s="85"/>
      <c r="H372" s="85"/>
    </row>
    <row r="373" ht="15.75" customHeight="1">
      <c r="C373" s="85"/>
      <c r="F373" s="85"/>
      <c r="G373" s="85"/>
      <c r="H373" s="85"/>
    </row>
    <row r="374" ht="15.75" customHeight="1">
      <c r="C374" s="85"/>
      <c r="F374" s="85"/>
      <c r="G374" s="85"/>
      <c r="H374" s="85"/>
    </row>
    <row r="375" ht="15.75" customHeight="1">
      <c r="C375" s="85"/>
      <c r="F375" s="85"/>
      <c r="G375" s="85"/>
      <c r="H375" s="85"/>
    </row>
    <row r="376" ht="15.75" customHeight="1">
      <c r="C376" s="85"/>
      <c r="F376" s="85"/>
      <c r="G376" s="85"/>
      <c r="H376" s="85"/>
    </row>
    <row r="377" ht="15.75" customHeight="1">
      <c r="C377" s="85"/>
      <c r="F377" s="85"/>
      <c r="G377" s="85"/>
      <c r="H377" s="85"/>
    </row>
    <row r="378" ht="15.75" customHeight="1">
      <c r="C378" s="85"/>
      <c r="F378" s="85"/>
      <c r="G378" s="85"/>
      <c r="H378" s="85"/>
    </row>
    <row r="379" ht="15.75" customHeight="1">
      <c r="C379" s="85"/>
      <c r="F379" s="85"/>
      <c r="G379" s="85"/>
      <c r="H379" s="85"/>
    </row>
    <row r="380" ht="15.75" customHeight="1">
      <c r="C380" s="85"/>
      <c r="F380" s="85"/>
      <c r="G380" s="85"/>
      <c r="H380" s="85"/>
    </row>
    <row r="381" ht="15.75" customHeight="1">
      <c r="C381" s="85"/>
      <c r="F381" s="85"/>
      <c r="G381" s="85"/>
      <c r="H381" s="85"/>
    </row>
    <row r="382" ht="15.75" customHeight="1">
      <c r="C382" s="85"/>
      <c r="F382" s="85"/>
      <c r="G382" s="85"/>
      <c r="H382" s="85"/>
    </row>
    <row r="383" ht="15.75" customHeight="1">
      <c r="C383" s="85"/>
      <c r="F383" s="85"/>
      <c r="G383" s="85"/>
      <c r="H383" s="85"/>
    </row>
    <row r="384" ht="15.75" customHeight="1">
      <c r="C384" s="85"/>
      <c r="F384" s="85"/>
      <c r="G384" s="85"/>
      <c r="H384" s="85"/>
    </row>
    <row r="385" ht="15.75" customHeight="1">
      <c r="C385" s="85"/>
      <c r="F385" s="85"/>
      <c r="G385" s="85"/>
      <c r="H385" s="85"/>
    </row>
    <row r="386" ht="15.75" customHeight="1">
      <c r="C386" s="85"/>
      <c r="F386" s="85"/>
      <c r="G386" s="85"/>
      <c r="H386" s="85"/>
    </row>
    <row r="387" ht="15.75" customHeight="1">
      <c r="C387" s="85"/>
      <c r="F387" s="85"/>
      <c r="G387" s="85"/>
      <c r="H387" s="85"/>
    </row>
    <row r="388" ht="15.75" customHeight="1">
      <c r="C388" s="85"/>
      <c r="F388" s="85"/>
      <c r="G388" s="85"/>
      <c r="H388" s="85"/>
    </row>
    <row r="389" ht="15.75" customHeight="1">
      <c r="C389" s="85"/>
      <c r="F389" s="85"/>
      <c r="G389" s="85"/>
      <c r="H389" s="85"/>
    </row>
    <row r="390" ht="15.75" customHeight="1">
      <c r="C390" s="85"/>
      <c r="F390" s="85"/>
      <c r="G390" s="85"/>
      <c r="H390" s="85"/>
    </row>
    <row r="391" ht="15.75" customHeight="1">
      <c r="C391" s="85"/>
      <c r="F391" s="85"/>
      <c r="G391" s="85"/>
      <c r="H391" s="85"/>
    </row>
    <row r="392" ht="15.75" customHeight="1">
      <c r="C392" s="85"/>
      <c r="F392" s="85"/>
      <c r="G392" s="85"/>
      <c r="H392" s="85"/>
    </row>
    <row r="393" ht="15.75" customHeight="1">
      <c r="C393" s="85"/>
      <c r="F393" s="85"/>
      <c r="G393" s="85"/>
      <c r="H393" s="85"/>
    </row>
    <row r="394" ht="15.75" customHeight="1">
      <c r="C394" s="85"/>
      <c r="F394" s="85"/>
      <c r="G394" s="85"/>
      <c r="H394" s="85"/>
    </row>
    <row r="395" ht="15.75" customHeight="1">
      <c r="C395" s="85"/>
      <c r="F395" s="85"/>
      <c r="G395" s="85"/>
      <c r="H395" s="85"/>
    </row>
    <row r="396" ht="15.75" customHeight="1">
      <c r="C396" s="85"/>
      <c r="F396" s="85"/>
      <c r="G396" s="85"/>
      <c r="H396" s="85"/>
    </row>
    <row r="397" ht="15.75" customHeight="1">
      <c r="C397" s="85"/>
      <c r="F397" s="85"/>
      <c r="G397" s="85"/>
      <c r="H397" s="85"/>
    </row>
    <row r="398" ht="15.75" customHeight="1">
      <c r="C398" s="85"/>
      <c r="F398" s="85"/>
      <c r="G398" s="85"/>
      <c r="H398" s="85"/>
    </row>
    <row r="399" ht="15.75" customHeight="1">
      <c r="C399" s="85"/>
      <c r="F399" s="85"/>
      <c r="G399" s="85"/>
      <c r="H399" s="85"/>
    </row>
    <row r="400" ht="15.75" customHeight="1">
      <c r="C400" s="85"/>
      <c r="F400" s="85"/>
      <c r="G400" s="85"/>
      <c r="H400" s="85"/>
    </row>
    <row r="401" ht="15.75" customHeight="1">
      <c r="C401" s="85"/>
      <c r="F401" s="85"/>
      <c r="G401" s="85"/>
      <c r="H401" s="85"/>
    </row>
    <row r="402" ht="15.75" customHeight="1">
      <c r="C402" s="85"/>
      <c r="F402" s="85"/>
      <c r="G402" s="85"/>
      <c r="H402" s="85"/>
    </row>
    <row r="403" ht="15.75" customHeight="1">
      <c r="C403" s="85"/>
      <c r="F403" s="85"/>
      <c r="G403" s="85"/>
      <c r="H403" s="85"/>
    </row>
    <row r="404" ht="15.75" customHeight="1">
      <c r="C404" s="85"/>
      <c r="F404" s="85"/>
      <c r="G404" s="85"/>
      <c r="H404" s="85"/>
    </row>
    <row r="405" ht="15.75" customHeight="1">
      <c r="C405" s="85"/>
      <c r="F405" s="85"/>
      <c r="G405" s="85"/>
      <c r="H405" s="85"/>
    </row>
    <row r="406" ht="15.75" customHeight="1">
      <c r="C406" s="85"/>
      <c r="F406" s="85"/>
      <c r="G406" s="85"/>
      <c r="H406" s="85"/>
    </row>
    <row r="407" ht="15.75" customHeight="1">
      <c r="C407" s="85"/>
      <c r="F407" s="85"/>
      <c r="G407" s="85"/>
      <c r="H407" s="85"/>
    </row>
    <row r="408" ht="15.75" customHeight="1">
      <c r="C408" s="85"/>
      <c r="F408" s="85"/>
      <c r="G408" s="85"/>
      <c r="H408" s="85"/>
    </row>
    <row r="409" ht="15.75" customHeight="1">
      <c r="C409" s="85"/>
      <c r="F409" s="85"/>
      <c r="G409" s="85"/>
      <c r="H409" s="85"/>
    </row>
    <row r="410" ht="15.75" customHeight="1">
      <c r="C410" s="85"/>
      <c r="F410" s="85"/>
      <c r="G410" s="85"/>
      <c r="H410" s="85"/>
    </row>
    <row r="411" ht="15.75" customHeight="1">
      <c r="C411" s="85"/>
      <c r="F411" s="85"/>
      <c r="G411" s="85"/>
      <c r="H411" s="85"/>
    </row>
    <row r="412" ht="15.75" customHeight="1">
      <c r="C412" s="85"/>
      <c r="F412" s="85"/>
      <c r="G412" s="85"/>
      <c r="H412" s="85"/>
    </row>
    <row r="413" ht="15.75" customHeight="1">
      <c r="C413" s="85"/>
      <c r="F413" s="85"/>
      <c r="G413" s="85"/>
      <c r="H413" s="85"/>
    </row>
    <row r="414" ht="15.75" customHeight="1">
      <c r="C414" s="85"/>
      <c r="F414" s="85"/>
      <c r="G414" s="85"/>
      <c r="H414" s="85"/>
    </row>
    <row r="415" ht="15.75" customHeight="1">
      <c r="C415" s="85"/>
      <c r="F415" s="85"/>
      <c r="G415" s="85"/>
      <c r="H415" s="85"/>
    </row>
    <row r="416" ht="15.75" customHeight="1">
      <c r="C416" s="85"/>
      <c r="F416" s="85"/>
      <c r="G416" s="85"/>
      <c r="H416" s="85"/>
    </row>
    <row r="417" ht="15.75" customHeight="1">
      <c r="C417" s="85"/>
      <c r="F417" s="85"/>
      <c r="G417" s="85"/>
      <c r="H417" s="85"/>
    </row>
    <row r="418" ht="15.75" customHeight="1">
      <c r="C418" s="85"/>
      <c r="F418" s="85"/>
      <c r="G418" s="85"/>
      <c r="H418" s="85"/>
    </row>
    <row r="419" ht="15.75" customHeight="1">
      <c r="C419" s="85"/>
      <c r="F419" s="85"/>
      <c r="G419" s="85"/>
      <c r="H419" s="85"/>
    </row>
    <row r="420" ht="15.75" customHeight="1">
      <c r="C420" s="85"/>
      <c r="F420" s="85"/>
      <c r="G420" s="85"/>
      <c r="H420" s="85"/>
    </row>
    <row r="421" ht="15.75" customHeight="1">
      <c r="C421" s="85"/>
      <c r="F421" s="85"/>
      <c r="G421" s="85"/>
      <c r="H421" s="85"/>
    </row>
    <row r="422" ht="15.75" customHeight="1">
      <c r="C422" s="85"/>
      <c r="F422" s="85"/>
      <c r="G422" s="85"/>
      <c r="H422" s="85"/>
    </row>
    <row r="423" ht="15.75" customHeight="1">
      <c r="C423" s="85"/>
      <c r="F423" s="85"/>
      <c r="G423" s="85"/>
      <c r="H423" s="85"/>
    </row>
    <row r="424" ht="15.75" customHeight="1">
      <c r="C424" s="85"/>
      <c r="F424" s="85"/>
      <c r="G424" s="85"/>
      <c r="H424" s="85"/>
    </row>
    <row r="425" ht="15.75" customHeight="1">
      <c r="C425" s="85"/>
      <c r="F425" s="85"/>
      <c r="G425" s="85"/>
      <c r="H425" s="85"/>
    </row>
    <row r="426" ht="15.75" customHeight="1">
      <c r="C426" s="85"/>
      <c r="F426" s="85"/>
      <c r="G426" s="85"/>
      <c r="H426" s="85"/>
    </row>
    <row r="427" ht="15.75" customHeight="1">
      <c r="C427" s="85"/>
      <c r="F427" s="85"/>
      <c r="G427" s="85"/>
      <c r="H427" s="85"/>
    </row>
    <row r="428" ht="15.75" customHeight="1">
      <c r="C428" s="85"/>
      <c r="F428" s="85"/>
      <c r="G428" s="85"/>
      <c r="H428" s="85"/>
    </row>
    <row r="429" ht="15.75" customHeight="1">
      <c r="C429" s="85"/>
      <c r="F429" s="85"/>
      <c r="G429" s="85"/>
      <c r="H429" s="85"/>
    </row>
    <row r="430" ht="15.75" customHeight="1">
      <c r="C430" s="85"/>
      <c r="F430" s="85"/>
      <c r="G430" s="85"/>
      <c r="H430" s="85"/>
    </row>
    <row r="431" ht="15.75" customHeight="1">
      <c r="C431" s="85"/>
      <c r="F431" s="85"/>
      <c r="G431" s="85"/>
      <c r="H431" s="85"/>
    </row>
    <row r="432" ht="15.75" customHeight="1">
      <c r="C432" s="85"/>
      <c r="F432" s="85"/>
      <c r="G432" s="85"/>
      <c r="H432" s="85"/>
    </row>
    <row r="433" ht="15.75" customHeight="1">
      <c r="C433" s="85"/>
      <c r="F433" s="85"/>
      <c r="G433" s="85"/>
      <c r="H433" s="85"/>
    </row>
    <row r="434" ht="15.75" customHeight="1">
      <c r="C434" s="85"/>
      <c r="F434" s="85"/>
      <c r="G434" s="85"/>
      <c r="H434" s="85"/>
    </row>
    <row r="435" ht="15.75" customHeight="1">
      <c r="C435" s="85"/>
      <c r="F435" s="85"/>
      <c r="G435" s="85"/>
      <c r="H435" s="85"/>
    </row>
    <row r="436" ht="15.75" customHeight="1">
      <c r="C436" s="85"/>
      <c r="F436" s="85"/>
      <c r="G436" s="85"/>
      <c r="H436" s="85"/>
    </row>
    <row r="437" ht="15.75" customHeight="1">
      <c r="C437" s="85"/>
      <c r="F437" s="85"/>
      <c r="G437" s="85"/>
      <c r="H437" s="85"/>
    </row>
    <row r="438" ht="15.75" customHeight="1">
      <c r="C438" s="85"/>
      <c r="F438" s="85"/>
      <c r="G438" s="85"/>
      <c r="H438" s="85"/>
    </row>
    <row r="439" ht="15.75" customHeight="1">
      <c r="C439" s="85"/>
      <c r="F439" s="85"/>
      <c r="G439" s="85"/>
      <c r="H439" s="85"/>
    </row>
    <row r="440" ht="15.75" customHeight="1">
      <c r="C440" s="85"/>
      <c r="F440" s="85"/>
      <c r="G440" s="85"/>
      <c r="H440" s="85"/>
    </row>
    <row r="441" ht="15.75" customHeight="1">
      <c r="C441" s="85"/>
      <c r="F441" s="85"/>
      <c r="G441" s="85"/>
      <c r="H441" s="85"/>
    </row>
    <row r="442" ht="15.75" customHeight="1">
      <c r="C442" s="85"/>
      <c r="F442" s="85"/>
      <c r="G442" s="85"/>
      <c r="H442" s="85"/>
    </row>
    <row r="443" ht="15.75" customHeight="1">
      <c r="C443" s="85"/>
      <c r="F443" s="85"/>
      <c r="G443" s="85"/>
      <c r="H443" s="85"/>
    </row>
    <row r="444" ht="15.75" customHeight="1">
      <c r="C444" s="85"/>
      <c r="F444" s="85"/>
      <c r="G444" s="85"/>
      <c r="H444" s="85"/>
    </row>
    <row r="445" ht="15.75" customHeight="1">
      <c r="C445" s="85"/>
      <c r="F445" s="85"/>
      <c r="G445" s="85"/>
      <c r="H445" s="85"/>
    </row>
    <row r="446" ht="15.75" customHeight="1">
      <c r="C446" s="85"/>
      <c r="F446" s="85"/>
      <c r="G446" s="85"/>
      <c r="H446" s="85"/>
    </row>
    <row r="447" ht="15.75" customHeight="1">
      <c r="C447" s="85"/>
      <c r="F447" s="85"/>
      <c r="G447" s="85"/>
      <c r="H447" s="85"/>
    </row>
    <row r="448" ht="15.75" customHeight="1">
      <c r="C448" s="85"/>
      <c r="F448" s="85"/>
      <c r="G448" s="85"/>
      <c r="H448" s="85"/>
    </row>
    <row r="449" ht="15.75" customHeight="1">
      <c r="C449" s="85"/>
      <c r="F449" s="85"/>
      <c r="G449" s="85"/>
      <c r="H449" s="85"/>
    </row>
    <row r="450" ht="15.75" customHeight="1">
      <c r="C450" s="85"/>
      <c r="F450" s="85"/>
      <c r="G450" s="85"/>
      <c r="H450" s="85"/>
    </row>
    <row r="451" ht="15.75" customHeight="1">
      <c r="C451" s="85"/>
      <c r="F451" s="85"/>
      <c r="G451" s="85"/>
      <c r="H451" s="85"/>
    </row>
    <row r="452" ht="15.75" customHeight="1">
      <c r="C452" s="85"/>
      <c r="F452" s="85"/>
      <c r="G452" s="85"/>
      <c r="H452" s="85"/>
    </row>
    <row r="453" ht="15.75" customHeight="1">
      <c r="C453" s="85"/>
      <c r="F453" s="85"/>
      <c r="G453" s="85"/>
      <c r="H453" s="85"/>
    </row>
    <row r="454" ht="15.75" customHeight="1">
      <c r="C454" s="85"/>
      <c r="F454" s="85"/>
      <c r="G454" s="85"/>
      <c r="H454" s="85"/>
    </row>
    <row r="455" ht="15.75" customHeight="1">
      <c r="C455" s="85"/>
      <c r="F455" s="85"/>
      <c r="G455" s="85"/>
      <c r="H455" s="85"/>
    </row>
    <row r="456" ht="15.75" customHeight="1">
      <c r="C456" s="85"/>
      <c r="F456" s="85"/>
      <c r="G456" s="85"/>
      <c r="H456" s="85"/>
    </row>
    <row r="457" ht="15.75" customHeight="1">
      <c r="C457" s="85"/>
      <c r="F457" s="85"/>
      <c r="G457" s="85"/>
      <c r="H457" s="85"/>
    </row>
    <row r="458" ht="15.75" customHeight="1">
      <c r="C458" s="85"/>
      <c r="F458" s="85"/>
      <c r="G458" s="85"/>
      <c r="H458" s="85"/>
    </row>
    <row r="459" ht="15.75" customHeight="1">
      <c r="C459" s="85"/>
      <c r="F459" s="85"/>
      <c r="G459" s="85"/>
      <c r="H459" s="85"/>
    </row>
    <row r="460" ht="15.75" customHeight="1">
      <c r="C460" s="85"/>
      <c r="F460" s="85"/>
      <c r="G460" s="85"/>
      <c r="H460" s="85"/>
    </row>
    <row r="461" ht="15.75" customHeight="1">
      <c r="C461" s="85"/>
      <c r="F461" s="85"/>
      <c r="G461" s="85"/>
      <c r="H461" s="85"/>
    </row>
    <row r="462" ht="15.75" customHeight="1">
      <c r="C462" s="85"/>
      <c r="F462" s="85"/>
      <c r="G462" s="85"/>
      <c r="H462" s="85"/>
    </row>
    <row r="463" ht="15.75" customHeight="1">
      <c r="C463" s="85"/>
      <c r="F463" s="85"/>
      <c r="G463" s="85"/>
      <c r="H463" s="85"/>
    </row>
    <row r="464" ht="15.75" customHeight="1">
      <c r="C464" s="85"/>
      <c r="F464" s="85"/>
      <c r="G464" s="85"/>
      <c r="H464" s="85"/>
    </row>
    <row r="465" ht="15.75" customHeight="1">
      <c r="C465" s="85"/>
      <c r="F465" s="85"/>
      <c r="G465" s="85"/>
      <c r="H465" s="85"/>
    </row>
    <row r="466" ht="15.75" customHeight="1">
      <c r="C466" s="85"/>
      <c r="F466" s="85"/>
      <c r="G466" s="85"/>
      <c r="H466" s="85"/>
    </row>
    <row r="467" ht="15.75" customHeight="1">
      <c r="C467" s="85"/>
      <c r="F467" s="85"/>
      <c r="G467" s="85"/>
      <c r="H467" s="85"/>
    </row>
    <row r="468" ht="15.75" customHeight="1">
      <c r="C468" s="85"/>
      <c r="F468" s="85"/>
      <c r="G468" s="85"/>
      <c r="H468" s="85"/>
    </row>
    <row r="469" ht="15.75" customHeight="1">
      <c r="C469" s="85"/>
      <c r="F469" s="85"/>
      <c r="G469" s="85"/>
      <c r="H469" s="85"/>
    </row>
    <row r="470" ht="15.75" customHeight="1">
      <c r="C470" s="85"/>
      <c r="F470" s="85"/>
      <c r="G470" s="85"/>
      <c r="H470" s="85"/>
    </row>
    <row r="471" ht="15.75" customHeight="1">
      <c r="C471" s="85"/>
      <c r="F471" s="85"/>
      <c r="G471" s="85"/>
      <c r="H471" s="85"/>
    </row>
    <row r="472" ht="15.75" customHeight="1">
      <c r="C472" s="85"/>
      <c r="F472" s="85"/>
      <c r="G472" s="85"/>
      <c r="H472" s="85"/>
    </row>
    <row r="473" ht="15.75" customHeight="1">
      <c r="C473" s="85"/>
      <c r="F473" s="85"/>
      <c r="G473" s="85"/>
      <c r="H473" s="85"/>
    </row>
    <row r="474" ht="15.75" customHeight="1">
      <c r="C474" s="85"/>
      <c r="F474" s="85"/>
      <c r="G474" s="85"/>
      <c r="H474" s="85"/>
    </row>
    <row r="475" ht="15.75" customHeight="1">
      <c r="C475" s="85"/>
      <c r="F475" s="85"/>
      <c r="G475" s="85"/>
      <c r="H475" s="85"/>
    </row>
    <row r="476" ht="15.75" customHeight="1">
      <c r="C476" s="85"/>
      <c r="F476" s="85"/>
      <c r="G476" s="85"/>
      <c r="H476" s="85"/>
    </row>
    <row r="477" ht="15.75" customHeight="1">
      <c r="C477" s="85"/>
      <c r="F477" s="85"/>
      <c r="G477" s="85"/>
      <c r="H477" s="85"/>
    </row>
    <row r="478" ht="15.75" customHeight="1">
      <c r="C478" s="85"/>
      <c r="F478" s="85"/>
      <c r="G478" s="85"/>
      <c r="H478" s="85"/>
    </row>
    <row r="479" ht="15.75" customHeight="1">
      <c r="C479" s="85"/>
      <c r="F479" s="85"/>
      <c r="G479" s="85"/>
      <c r="H479" s="85"/>
    </row>
    <row r="480" ht="15.75" customHeight="1">
      <c r="C480" s="85"/>
      <c r="F480" s="85"/>
      <c r="G480" s="85"/>
      <c r="H480" s="85"/>
    </row>
    <row r="481" ht="15.75" customHeight="1">
      <c r="C481" s="85"/>
      <c r="F481" s="85"/>
      <c r="G481" s="85"/>
      <c r="H481" s="85"/>
    </row>
    <row r="482" ht="15.75" customHeight="1">
      <c r="C482" s="85"/>
      <c r="F482" s="85"/>
      <c r="G482" s="85"/>
      <c r="H482" s="85"/>
    </row>
    <row r="483" ht="15.75" customHeight="1">
      <c r="C483" s="85"/>
      <c r="F483" s="85"/>
      <c r="G483" s="85"/>
      <c r="H483" s="85"/>
    </row>
    <row r="484" ht="15.75" customHeight="1">
      <c r="C484" s="85"/>
      <c r="F484" s="85"/>
      <c r="G484" s="85"/>
      <c r="H484" s="85"/>
    </row>
    <row r="485" ht="15.75" customHeight="1">
      <c r="C485" s="85"/>
      <c r="F485" s="85"/>
      <c r="G485" s="85"/>
      <c r="H485" s="85"/>
    </row>
    <row r="486" ht="15.75" customHeight="1">
      <c r="C486" s="85"/>
      <c r="F486" s="85"/>
      <c r="G486" s="85"/>
      <c r="H486" s="85"/>
    </row>
    <row r="487" ht="15.75" customHeight="1">
      <c r="C487" s="85"/>
      <c r="F487" s="85"/>
      <c r="G487" s="85"/>
      <c r="H487" s="85"/>
    </row>
    <row r="488" ht="15.75" customHeight="1">
      <c r="C488" s="85"/>
      <c r="F488" s="85"/>
      <c r="G488" s="85"/>
      <c r="H488" s="85"/>
    </row>
    <row r="489" ht="15.75" customHeight="1">
      <c r="C489" s="85"/>
      <c r="F489" s="85"/>
      <c r="G489" s="85"/>
      <c r="H489" s="85"/>
    </row>
    <row r="490" ht="15.75" customHeight="1">
      <c r="C490" s="85"/>
      <c r="F490" s="85"/>
      <c r="G490" s="85"/>
      <c r="H490" s="85"/>
    </row>
    <row r="491" ht="15.75" customHeight="1">
      <c r="C491" s="85"/>
      <c r="F491" s="85"/>
      <c r="G491" s="85"/>
      <c r="H491" s="85"/>
    </row>
    <row r="492" ht="15.75" customHeight="1">
      <c r="C492" s="85"/>
      <c r="F492" s="85"/>
      <c r="G492" s="85"/>
      <c r="H492" s="85"/>
    </row>
    <row r="493" ht="15.75" customHeight="1">
      <c r="C493" s="85"/>
      <c r="F493" s="85"/>
      <c r="G493" s="85"/>
      <c r="H493" s="85"/>
    </row>
    <row r="494" ht="15.75" customHeight="1">
      <c r="C494" s="85"/>
      <c r="F494" s="85"/>
      <c r="G494" s="85"/>
      <c r="H494" s="85"/>
    </row>
    <row r="495" ht="15.75" customHeight="1">
      <c r="C495" s="85"/>
      <c r="F495" s="85"/>
      <c r="G495" s="85"/>
      <c r="H495" s="85"/>
    </row>
    <row r="496" ht="15.75" customHeight="1">
      <c r="C496" s="85"/>
      <c r="F496" s="85"/>
      <c r="G496" s="85"/>
      <c r="H496" s="85"/>
    </row>
    <row r="497" ht="15.75" customHeight="1">
      <c r="C497" s="85"/>
      <c r="F497" s="85"/>
      <c r="G497" s="85"/>
      <c r="H497" s="85"/>
    </row>
    <row r="498" ht="15.75" customHeight="1">
      <c r="C498" s="85"/>
      <c r="F498" s="85"/>
      <c r="G498" s="85"/>
      <c r="H498" s="85"/>
    </row>
    <row r="499" ht="15.75" customHeight="1">
      <c r="C499" s="85"/>
      <c r="F499" s="85"/>
      <c r="G499" s="85"/>
      <c r="H499" s="85"/>
    </row>
    <row r="500" ht="15.75" customHeight="1">
      <c r="C500" s="85"/>
      <c r="F500" s="85"/>
      <c r="G500" s="85"/>
      <c r="H500" s="85"/>
    </row>
    <row r="501" ht="15.75" customHeight="1">
      <c r="C501" s="85"/>
      <c r="F501" s="85"/>
      <c r="G501" s="85"/>
      <c r="H501" s="85"/>
    </row>
    <row r="502" ht="15.75" customHeight="1">
      <c r="C502" s="85"/>
      <c r="F502" s="85"/>
      <c r="G502" s="85"/>
      <c r="H502" s="85"/>
    </row>
    <row r="503" ht="15.75" customHeight="1">
      <c r="C503" s="85"/>
      <c r="F503" s="85"/>
      <c r="G503" s="85"/>
      <c r="H503" s="85"/>
    </row>
    <row r="504" ht="15.75" customHeight="1">
      <c r="C504" s="85"/>
      <c r="F504" s="85"/>
      <c r="G504" s="85"/>
      <c r="H504" s="85"/>
    </row>
    <row r="505" ht="15.75" customHeight="1">
      <c r="C505" s="85"/>
      <c r="F505" s="85"/>
      <c r="G505" s="85"/>
      <c r="H505" s="85"/>
    </row>
    <row r="506" ht="15.75" customHeight="1">
      <c r="C506" s="85"/>
      <c r="F506" s="85"/>
      <c r="G506" s="85"/>
      <c r="H506" s="85"/>
    </row>
    <row r="507" ht="15.75" customHeight="1">
      <c r="C507" s="85"/>
      <c r="F507" s="85"/>
      <c r="G507" s="85"/>
      <c r="H507" s="85"/>
    </row>
    <row r="508" ht="15.75" customHeight="1">
      <c r="C508" s="85"/>
      <c r="F508" s="85"/>
      <c r="G508" s="85"/>
      <c r="H508" s="85"/>
    </row>
    <row r="509" ht="15.75" customHeight="1">
      <c r="C509" s="85"/>
      <c r="F509" s="85"/>
      <c r="G509" s="85"/>
      <c r="H509" s="85"/>
    </row>
    <row r="510" ht="15.75" customHeight="1">
      <c r="C510" s="85"/>
      <c r="F510" s="85"/>
      <c r="G510" s="85"/>
      <c r="H510" s="85"/>
    </row>
    <row r="511" ht="15.75" customHeight="1">
      <c r="C511" s="85"/>
      <c r="F511" s="85"/>
      <c r="G511" s="85"/>
      <c r="H511" s="85"/>
    </row>
    <row r="512" ht="15.75" customHeight="1">
      <c r="C512" s="85"/>
      <c r="F512" s="85"/>
      <c r="G512" s="85"/>
      <c r="H512" s="85"/>
    </row>
    <row r="513" ht="15.75" customHeight="1">
      <c r="C513" s="85"/>
      <c r="F513" s="85"/>
      <c r="G513" s="85"/>
      <c r="H513" s="85"/>
    </row>
    <row r="514" ht="15.75" customHeight="1">
      <c r="C514" s="85"/>
      <c r="F514" s="85"/>
      <c r="G514" s="85"/>
      <c r="H514" s="85"/>
    </row>
    <row r="515" ht="15.75" customHeight="1">
      <c r="C515" s="85"/>
      <c r="F515" s="85"/>
      <c r="G515" s="85"/>
      <c r="H515" s="85"/>
    </row>
    <row r="516" ht="15.75" customHeight="1">
      <c r="C516" s="85"/>
      <c r="F516" s="85"/>
      <c r="G516" s="85"/>
      <c r="H516" s="85"/>
    </row>
    <row r="517" ht="15.75" customHeight="1">
      <c r="C517" s="85"/>
      <c r="F517" s="85"/>
      <c r="G517" s="85"/>
      <c r="H517" s="85"/>
    </row>
    <row r="518" ht="15.75" customHeight="1">
      <c r="C518" s="85"/>
      <c r="F518" s="85"/>
      <c r="G518" s="85"/>
      <c r="H518" s="85"/>
    </row>
    <row r="519" ht="15.75" customHeight="1">
      <c r="C519" s="85"/>
      <c r="F519" s="85"/>
      <c r="G519" s="85"/>
      <c r="H519" s="85"/>
    </row>
    <row r="520" ht="15.75" customHeight="1">
      <c r="C520" s="85"/>
      <c r="F520" s="85"/>
      <c r="G520" s="85"/>
      <c r="H520" s="85"/>
    </row>
    <row r="521" ht="15.75" customHeight="1">
      <c r="C521" s="85"/>
      <c r="F521" s="85"/>
      <c r="G521" s="85"/>
      <c r="H521" s="85"/>
    </row>
    <row r="522" ht="15.75" customHeight="1">
      <c r="C522" s="85"/>
      <c r="F522" s="85"/>
      <c r="G522" s="85"/>
      <c r="H522" s="85"/>
    </row>
    <row r="523" ht="15.75" customHeight="1">
      <c r="C523" s="85"/>
      <c r="F523" s="85"/>
      <c r="G523" s="85"/>
      <c r="H523" s="85"/>
    </row>
    <row r="524" ht="15.75" customHeight="1">
      <c r="C524" s="85"/>
      <c r="F524" s="85"/>
      <c r="G524" s="85"/>
      <c r="H524" s="85"/>
    </row>
    <row r="525" ht="15.75" customHeight="1">
      <c r="C525" s="85"/>
      <c r="F525" s="85"/>
      <c r="G525" s="85"/>
      <c r="H525" s="85"/>
    </row>
    <row r="526" ht="15.75" customHeight="1">
      <c r="C526" s="85"/>
      <c r="F526" s="85"/>
      <c r="G526" s="85"/>
      <c r="H526" s="85"/>
    </row>
    <row r="527" ht="15.75" customHeight="1">
      <c r="C527" s="85"/>
      <c r="F527" s="85"/>
      <c r="G527" s="85"/>
      <c r="H527" s="85"/>
    </row>
    <row r="528" ht="15.75" customHeight="1">
      <c r="C528" s="85"/>
      <c r="F528" s="85"/>
      <c r="G528" s="85"/>
      <c r="H528" s="85"/>
    </row>
    <row r="529" ht="15.75" customHeight="1">
      <c r="C529" s="85"/>
      <c r="F529" s="85"/>
      <c r="G529" s="85"/>
      <c r="H529" s="85"/>
    </row>
    <row r="530" ht="15.75" customHeight="1">
      <c r="C530" s="85"/>
      <c r="F530" s="85"/>
      <c r="G530" s="85"/>
      <c r="H530" s="85"/>
    </row>
    <row r="531" ht="15.75" customHeight="1">
      <c r="C531" s="85"/>
      <c r="F531" s="85"/>
      <c r="G531" s="85"/>
      <c r="H531" s="85"/>
    </row>
    <row r="532" ht="15.75" customHeight="1">
      <c r="C532" s="85"/>
      <c r="F532" s="85"/>
      <c r="G532" s="85"/>
      <c r="H532" s="85"/>
    </row>
    <row r="533" ht="15.75" customHeight="1">
      <c r="C533" s="85"/>
      <c r="F533" s="85"/>
      <c r="G533" s="85"/>
      <c r="H533" s="85"/>
    </row>
    <row r="534" ht="15.75" customHeight="1">
      <c r="C534" s="85"/>
      <c r="F534" s="85"/>
      <c r="G534" s="85"/>
      <c r="H534" s="85"/>
    </row>
    <row r="535" ht="15.75" customHeight="1">
      <c r="C535" s="85"/>
      <c r="F535" s="85"/>
      <c r="G535" s="85"/>
      <c r="H535" s="85"/>
    </row>
    <row r="536" ht="15.75" customHeight="1">
      <c r="C536" s="85"/>
      <c r="F536" s="85"/>
      <c r="G536" s="85"/>
      <c r="H536" s="85"/>
    </row>
    <row r="537" ht="15.75" customHeight="1">
      <c r="C537" s="85"/>
      <c r="F537" s="85"/>
      <c r="G537" s="85"/>
      <c r="H537" s="85"/>
    </row>
    <row r="538" ht="15.75" customHeight="1">
      <c r="C538" s="85"/>
      <c r="F538" s="85"/>
      <c r="G538" s="85"/>
      <c r="H538" s="85"/>
    </row>
    <row r="539" ht="15.75" customHeight="1">
      <c r="C539" s="85"/>
      <c r="F539" s="85"/>
      <c r="G539" s="85"/>
      <c r="H539" s="85"/>
    </row>
    <row r="540" ht="15.75" customHeight="1">
      <c r="C540" s="85"/>
      <c r="F540" s="85"/>
      <c r="G540" s="85"/>
      <c r="H540" s="85"/>
    </row>
    <row r="541" ht="15.75" customHeight="1">
      <c r="C541" s="85"/>
      <c r="F541" s="85"/>
      <c r="G541" s="85"/>
      <c r="H541" s="85"/>
    </row>
    <row r="542" ht="15.75" customHeight="1">
      <c r="C542" s="85"/>
      <c r="F542" s="85"/>
      <c r="G542" s="85"/>
      <c r="H542" s="85"/>
    </row>
    <row r="543" ht="15.75" customHeight="1">
      <c r="C543" s="85"/>
      <c r="F543" s="85"/>
      <c r="G543" s="85"/>
      <c r="H543" s="85"/>
    </row>
    <row r="544" ht="15.75" customHeight="1">
      <c r="C544" s="85"/>
      <c r="F544" s="85"/>
      <c r="G544" s="85"/>
      <c r="H544" s="85"/>
    </row>
    <row r="545" ht="15.75" customHeight="1">
      <c r="C545" s="85"/>
      <c r="F545" s="85"/>
      <c r="G545" s="85"/>
      <c r="H545" s="85"/>
    </row>
    <row r="546" ht="15.75" customHeight="1">
      <c r="C546" s="85"/>
      <c r="F546" s="85"/>
      <c r="G546" s="85"/>
      <c r="H546" s="85"/>
    </row>
    <row r="547" ht="15.75" customHeight="1">
      <c r="C547" s="85"/>
      <c r="F547" s="85"/>
      <c r="G547" s="85"/>
      <c r="H547" s="85"/>
    </row>
    <row r="548" ht="15.75" customHeight="1">
      <c r="C548" s="85"/>
      <c r="F548" s="85"/>
      <c r="G548" s="85"/>
      <c r="H548" s="85"/>
    </row>
    <row r="549" ht="15.75" customHeight="1">
      <c r="C549" s="85"/>
      <c r="F549" s="85"/>
      <c r="G549" s="85"/>
      <c r="H549" s="85"/>
    </row>
    <row r="550" ht="15.75" customHeight="1">
      <c r="C550" s="85"/>
      <c r="F550" s="85"/>
      <c r="G550" s="85"/>
      <c r="H550" s="85"/>
    </row>
    <row r="551" ht="15.75" customHeight="1">
      <c r="C551" s="85"/>
      <c r="F551" s="85"/>
      <c r="G551" s="85"/>
      <c r="H551" s="85"/>
    </row>
    <row r="552" ht="15.75" customHeight="1">
      <c r="C552" s="85"/>
      <c r="F552" s="85"/>
      <c r="G552" s="85"/>
      <c r="H552" s="85"/>
    </row>
    <row r="553" ht="15.75" customHeight="1">
      <c r="C553" s="85"/>
      <c r="F553" s="85"/>
      <c r="G553" s="85"/>
      <c r="H553" s="85"/>
    </row>
    <row r="554" ht="15.75" customHeight="1">
      <c r="C554" s="85"/>
      <c r="F554" s="85"/>
      <c r="G554" s="85"/>
      <c r="H554" s="85"/>
    </row>
    <row r="555" ht="15.75" customHeight="1">
      <c r="C555" s="85"/>
      <c r="F555" s="85"/>
      <c r="G555" s="85"/>
      <c r="H555" s="85"/>
    </row>
    <row r="556" ht="15.75" customHeight="1">
      <c r="C556" s="85"/>
      <c r="F556" s="85"/>
      <c r="G556" s="85"/>
      <c r="H556" s="85"/>
    </row>
    <row r="557" ht="15.75" customHeight="1">
      <c r="C557" s="85"/>
      <c r="F557" s="85"/>
      <c r="G557" s="85"/>
      <c r="H557" s="85"/>
    </row>
    <row r="558" ht="15.75" customHeight="1">
      <c r="C558" s="85"/>
      <c r="F558" s="85"/>
      <c r="G558" s="85"/>
      <c r="H558" s="85"/>
    </row>
    <row r="559" ht="15.75" customHeight="1">
      <c r="C559" s="85"/>
      <c r="F559" s="85"/>
      <c r="G559" s="85"/>
      <c r="H559" s="85"/>
    </row>
    <row r="560" ht="15.75" customHeight="1">
      <c r="C560" s="85"/>
      <c r="F560" s="85"/>
      <c r="G560" s="85"/>
      <c r="H560" s="85"/>
    </row>
    <row r="561" ht="15.75" customHeight="1">
      <c r="C561" s="85"/>
      <c r="F561" s="85"/>
      <c r="G561" s="85"/>
      <c r="H561" s="85"/>
    </row>
    <row r="562" ht="15.75" customHeight="1">
      <c r="C562" s="85"/>
      <c r="F562" s="85"/>
      <c r="G562" s="85"/>
      <c r="H562" s="85"/>
    </row>
    <row r="563" ht="15.75" customHeight="1">
      <c r="C563" s="85"/>
      <c r="F563" s="85"/>
      <c r="G563" s="85"/>
      <c r="H563" s="85"/>
    </row>
    <row r="564" ht="15.75" customHeight="1">
      <c r="C564" s="85"/>
      <c r="F564" s="85"/>
      <c r="G564" s="85"/>
      <c r="H564" s="85"/>
    </row>
    <row r="565" ht="15.75" customHeight="1">
      <c r="C565" s="85"/>
      <c r="F565" s="85"/>
      <c r="G565" s="85"/>
      <c r="H565" s="85"/>
    </row>
    <row r="566" ht="15.75" customHeight="1">
      <c r="C566" s="85"/>
      <c r="F566" s="85"/>
      <c r="G566" s="85"/>
      <c r="H566" s="85"/>
    </row>
    <row r="567" ht="15.75" customHeight="1">
      <c r="C567" s="85"/>
      <c r="F567" s="85"/>
      <c r="G567" s="85"/>
      <c r="H567" s="85"/>
    </row>
    <row r="568" ht="15.75" customHeight="1">
      <c r="C568" s="85"/>
      <c r="F568" s="85"/>
      <c r="G568" s="85"/>
      <c r="H568" s="85"/>
    </row>
    <row r="569" ht="15.75" customHeight="1">
      <c r="C569" s="85"/>
      <c r="F569" s="85"/>
      <c r="G569" s="85"/>
      <c r="H569" s="85"/>
    </row>
    <row r="570" ht="15.75" customHeight="1">
      <c r="C570" s="85"/>
      <c r="F570" s="85"/>
      <c r="G570" s="85"/>
      <c r="H570" s="85"/>
    </row>
    <row r="571" ht="15.75" customHeight="1">
      <c r="C571" s="85"/>
      <c r="F571" s="85"/>
      <c r="G571" s="85"/>
      <c r="H571" s="85"/>
    </row>
    <row r="572" ht="15.75" customHeight="1">
      <c r="C572" s="85"/>
      <c r="F572" s="85"/>
      <c r="G572" s="85"/>
      <c r="H572" s="85"/>
    </row>
    <row r="573" ht="15.75" customHeight="1">
      <c r="C573" s="85"/>
      <c r="F573" s="85"/>
      <c r="G573" s="85"/>
      <c r="H573" s="85"/>
    </row>
    <row r="574" ht="15.75" customHeight="1">
      <c r="C574" s="85"/>
      <c r="F574" s="85"/>
      <c r="G574" s="85"/>
      <c r="H574" s="85"/>
    </row>
    <row r="575" ht="15.75" customHeight="1">
      <c r="C575" s="85"/>
      <c r="F575" s="85"/>
      <c r="G575" s="85"/>
      <c r="H575" s="85"/>
    </row>
    <row r="576" ht="15.75" customHeight="1">
      <c r="C576" s="85"/>
      <c r="F576" s="85"/>
      <c r="G576" s="85"/>
      <c r="H576" s="85"/>
    </row>
    <row r="577" ht="15.75" customHeight="1">
      <c r="C577" s="85"/>
      <c r="F577" s="85"/>
      <c r="G577" s="85"/>
      <c r="H577" s="85"/>
    </row>
    <row r="578" ht="15.75" customHeight="1">
      <c r="C578" s="85"/>
      <c r="F578" s="85"/>
      <c r="G578" s="85"/>
      <c r="H578" s="85"/>
    </row>
    <row r="579" ht="15.75" customHeight="1">
      <c r="C579" s="85"/>
      <c r="F579" s="85"/>
      <c r="G579" s="85"/>
      <c r="H579" s="85"/>
    </row>
    <row r="580" ht="15.75" customHeight="1">
      <c r="C580" s="85"/>
      <c r="F580" s="85"/>
      <c r="G580" s="85"/>
      <c r="H580" s="85"/>
    </row>
    <row r="581" ht="15.75" customHeight="1">
      <c r="C581" s="85"/>
      <c r="F581" s="85"/>
      <c r="G581" s="85"/>
      <c r="H581" s="85"/>
    </row>
    <row r="582" ht="15.75" customHeight="1">
      <c r="C582" s="85"/>
      <c r="F582" s="85"/>
      <c r="G582" s="85"/>
      <c r="H582" s="85"/>
    </row>
    <row r="583" ht="15.75" customHeight="1">
      <c r="C583" s="85"/>
      <c r="F583" s="85"/>
      <c r="G583" s="85"/>
      <c r="H583" s="85"/>
    </row>
    <row r="584" ht="15.75" customHeight="1">
      <c r="C584" s="85"/>
      <c r="F584" s="85"/>
      <c r="G584" s="85"/>
      <c r="H584" s="85"/>
    </row>
    <row r="585" ht="15.75" customHeight="1">
      <c r="C585" s="85"/>
      <c r="F585" s="85"/>
      <c r="G585" s="85"/>
      <c r="H585" s="85"/>
    </row>
    <row r="586" ht="15.75" customHeight="1">
      <c r="C586" s="85"/>
      <c r="F586" s="85"/>
      <c r="G586" s="85"/>
      <c r="H586" s="85"/>
    </row>
    <row r="587" ht="15.75" customHeight="1">
      <c r="C587" s="85"/>
      <c r="F587" s="85"/>
      <c r="G587" s="85"/>
      <c r="H587" s="85"/>
    </row>
    <row r="588" ht="15.75" customHeight="1">
      <c r="C588" s="85"/>
      <c r="F588" s="85"/>
      <c r="G588" s="85"/>
      <c r="H588" s="85"/>
    </row>
    <row r="589" ht="15.75" customHeight="1">
      <c r="C589" s="85"/>
      <c r="F589" s="85"/>
      <c r="G589" s="85"/>
      <c r="H589" s="85"/>
    </row>
    <row r="590" ht="15.75" customHeight="1">
      <c r="C590" s="85"/>
      <c r="F590" s="85"/>
      <c r="G590" s="85"/>
      <c r="H590" s="85"/>
    </row>
    <row r="591" ht="15.75" customHeight="1">
      <c r="C591" s="85"/>
      <c r="F591" s="85"/>
      <c r="G591" s="85"/>
      <c r="H591" s="85"/>
    </row>
    <row r="592" ht="15.75" customHeight="1">
      <c r="C592" s="85"/>
      <c r="F592" s="85"/>
      <c r="G592" s="85"/>
      <c r="H592" s="85"/>
    </row>
    <row r="593" ht="15.75" customHeight="1">
      <c r="C593" s="85"/>
      <c r="F593" s="85"/>
      <c r="G593" s="85"/>
      <c r="H593" s="85"/>
    </row>
    <row r="594" ht="15.75" customHeight="1">
      <c r="C594" s="85"/>
      <c r="F594" s="85"/>
      <c r="G594" s="85"/>
      <c r="H594" s="85"/>
    </row>
    <row r="595" ht="15.75" customHeight="1">
      <c r="C595" s="85"/>
      <c r="F595" s="85"/>
      <c r="G595" s="85"/>
      <c r="H595" s="85"/>
    </row>
    <row r="596" ht="15.75" customHeight="1">
      <c r="C596" s="85"/>
      <c r="F596" s="85"/>
      <c r="G596" s="85"/>
      <c r="H596" s="85"/>
    </row>
    <row r="597" ht="15.75" customHeight="1">
      <c r="C597" s="85"/>
      <c r="F597" s="85"/>
      <c r="G597" s="85"/>
      <c r="H597" s="85"/>
    </row>
    <row r="598" ht="15.75" customHeight="1">
      <c r="C598" s="85"/>
      <c r="F598" s="85"/>
      <c r="G598" s="85"/>
      <c r="H598" s="85"/>
    </row>
    <row r="599" ht="15.75" customHeight="1">
      <c r="C599" s="85"/>
      <c r="F599" s="85"/>
      <c r="G599" s="85"/>
      <c r="H599" s="85"/>
    </row>
    <row r="600" ht="15.75" customHeight="1">
      <c r="C600" s="85"/>
      <c r="F600" s="85"/>
      <c r="G600" s="85"/>
      <c r="H600" s="85"/>
    </row>
    <row r="601" ht="15.75" customHeight="1">
      <c r="C601" s="85"/>
      <c r="F601" s="85"/>
      <c r="G601" s="85"/>
      <c r="H601" s="85"/>
    </row>
    <row r="602" ht="15.75" customHeight="1">
      <c r="C602" s="85"/>
      <c r="F602" s="85"/>
      <c r="G602" s="85"/>
      <c r="H602" s="85"/>
    </row>
    <row r="603" ht="15.75" customHeight="1">
      <c r="C603" s="85"/>
      <c r="F603" s="85"/>
      <c r="G603" s="85"/>
      <c r="H603" s="85"/>
    </row>
    <row r="604" ht="15.75" customHeight="1">
      <c r="C604" s="85"/>
      <c r="F604" s="85"/>
      <c r="G604" s="85"/>
      <c r="H604" s="85"/>
    </row>
    <row r="605" ht="15.75" customHeight="1">
      <c r="C605" s="85"/>
      <c r="F605" s="85"/>
      <c r="G605" s="85"/>
      <c r="H605" s="85"/>
    </row>
    <row r="606" ht="15.75" customHeight="1">
      <c r="C606" s="85"/>
      <c r="F606" s="85"/>
      <c r="G606" s="85"/>
      <c r="H606" s="85"/>
    </row>
    <row r="607" ht="15.75" customHeight="1">
      <c r="C607" s="85"/>
      <c r="F607" s="85"/>
      <c r="G607" s="85"/>
      <c r="H607" s="85"/>
    </row>
    <row r="608" ht="15.75" customHeight="1">
      <c r="C608" s="85"/>
      <c r="F608" s="85"/>
      <c r="G608" s="85"/>
      <c r="H608" s="85"/>
    </row>
    <row r="609" ht="15.75" customHeight="1">
      <c r="C609" s="85"/>
      <c r="F609" s="85"/>
      <c r="G609" s="85"/>
      <c r="H609" s="85"/>
    </row>
    <row r="610" ht="15.75" customHeight="1">
      <c r="C610" s="85"/>
      <c r="F610" s="85"/>
      <c r="G610" s="85"/>
      <c r="H610" s="85"/>
    </row>
    <row r="611" ht="15.75" customHeight="1">
      <c r="C611" s="85"/>
      <c r="F611" s="85"/>
      <c r="G611" s="85"/>
      <c r="H611" s="85"/>
    </row>
    <row r="612" ht="15.75" customHeight="1">
      <c r="C612" s="85"/>
      <c r="F612" s="85"/>
      <c r="G612" s="85"/>
      <c r="H612" s="85"/>
    </row>
    <row r="613" ht="15.75" customHeight="1">
      <c r="C613" s="85"/>
      <c r="F613" s="85"/>
      <c r="G613" s="85"/>
      <c r="H613" s="85"/>
    </row>
    <row r="614" ht="15.75" customHeight="1">
      <c r="C614" s="85"/>
      <c r="F614" s="85"/>
      <c r="G614" s="85"/>
      <c r="H614" s="85"/>
    </row>
    <row r="615" ht="15.75" customHeight="1">
      <c r="C615" s="85"/>
      <c r="F615" s="85"/>
      <c r="G615" s="85"/>
      <c r="H615" s="85"/>
    </row>
    <row r="616" ht="15.75" customHeight="1">
      <c r="C616" s="85"/>
      <c r="F616" s="85"/>
      <c r="G616" s="85"/>
      <c r="H616" s="85"/>
    </row>
    <row r="617" ht="15.75" customHeight="1">
      <c r="C617" s="85"/>
      <c r="F617" s="85"/>
      <c r="G617" s="85"/>
      <c r="H617" s="85"/>
    </row>
    <row r="618" ht="15.75" customHeight="1">
      <c r="C618" s="85"/>
      <c r="F618" s="85"/>
      <c r="G618" s="85"/>
      <c r="H618" s="85"/>
    </row>
    <row r="619" ht="15.75" customHeight="1">
      <c r="C619" s="85"/>
      <c r="F619" s="85"/>
      <c r="G619" s="85"/>
      <c r="H619" s="85"/>
    </row>
    <row r="620" ht="15.75" customHeight="1">
      <c r="C620" s="85"/>
      <c r="F620" s="85"/>
      <c r="G620" s="85"/>
      <c r="H620" s="85"/>
    </row>
    <row r="621" ht="15.75" customHeight="1">
      <c r="C621" s="85"/>
      <c r="F621" s="85"/>
      <c r="G621" s="85"/>
      <c r="H621" s="85"/>
    </row>
    <row r="622" ht="15.75" customHeight="1">
      <c r="C622" s="85"/>
      <c r="F622" s="85"/>
      <c r="G622" s="85"/>
      <c r="H622" s="85"/>
    </row>
    <row r="623" ht="15.75" customHeight="1">
      <c r="C623" s="85"/>
      <c r="F623" s="85"/>
      <c r="G623" s="85"/>
      <c r="H623" s="85"/>
    </row>
    <row r="624" ht="15.75" customHeight="1">
      <c r="C624" s="85"/>
      <c r="F624" s="85"/>
      <c r="G624" s="85"/>
      <c r="H624" s="85"/>
    </row>
    <row r="625" ht="15.75" customHeight="1">
      <c r="C625" s="85"/>
      <c r="F625" s="85"/>
      <c r="G625" s="85"/>
      <c r="H625" s="85"/>
    </row>
    <row r="626" ht="15.75" customHeight="1">
      <c r="C626" s="85"/>
      <c r="F626" s="85"/>
      <c r="G626" s="85"/>
      <c r="H626" s="85"/>
    </row>
    <row r="627" ht="15.75" customHeight="1">
      <c r="C627" s="85"/>
      <c r="F627" s="85"/>
      <c r="G627" s="85"/>
      <c r="H627" s="85"/>
    </row>
    <row r="628" ht="15.75" customHeight="1">
      <c r="C628" s="85"/>
      <c r="F628" s="85"/>
      <c r="G628" s="85"/>
      <c r="H628" s="85"/>
    </row>
    <row r="629" ht="15.75" customHeight="1">
      <c r="C629" s="85"/>
      <c r="F629" s="85"/>
      <c r="G629" s="85"/>
      <c r="H629" s="85"/>
    </row>
    <row r="630" ht="15.75" customHeight="1">
      <c r="C630" s="85"/>
      <c r="F630" s="85"/>
      <c r="G630" s="85"/>
      <c r="H630" s="85"/>
    </row>
    <row r="631" ht="15.75" customHeight="1">
      <c r="C631" s="85"/>
      <c r="F631" s="85"/>
      <c r="G631" s="85"/>
      <c r="H631" s="85"/>
    </row>
    <row r="632" ht="15.75" customHeight="1">
      <c r="C632" s="85"/>
      <c r="F632" s="85"/>
      <c r="G632" s="85"/>
      <c r="H632" s="85"/>
    </row>
    <row r="633" ht="15.75" customHeight="1">
      <c r="C633" s="85"/>
      <c r="F633" s="85"/>
      <c r="G633" s="85"/>
      <c r="H633" s="85"/>
    </row>
    <row r="634" ht="15.75" customHeight="1">
      <c r="C634" s="85"/>
      <c r="F634" s="85"/>
      <c r="G634" s="85"/>
      <c r="H634" s="85"/>
    </row>
    <row r="635" ht="15.75" customHeight="1">
      <c r="C635" s="85"/>
      <c r="F635" s="85"/>
      <c r="G635" s="85"/>
      <c r="H635" s="85"/>
    </row>
    <row r="636" ht="15.75" customHeight="1">
      <c r="C636" s="85"/>
      <c r="F636" s="85"/>
      <c r="G636" s="85"/>
      <c r="H636" s="85"/>
    </row>
    <row r="637" ht="15.75" customHeight="1">
      <c r="C637" s="85"/>
      <c r="F637" s="85"/>
      <c r="G637" s="85"/>
      <c r="H637" s="85"/>
    </row>
    <row r="638" ht="15.75" customHeight="1">
      <c r="C638" s="85"/>
      <c r="F638" s="85"/>
      <c r="G638" s="85"/>
      <c r="H638" s="85"/>
    </row>
    <row r="639" ht="15.75" customHeight="1">
      <c r="C639" s="85"/>
      <c r="F639" s="85"/>
      <c r="G639" s="85"/>
      <c r="H639" s="85"/>
    </row>
    <row r="640" ht="15.75" customHeight="1">
      <c r="C640" s="85"/>
      <c r="F640" s="85"/>
      <c r="G640" s="85"/>
      <c r="H640" s="85"/>
    </row>
    <row r="641" ht="15.75" customHeight="1">
      <c r="C641" s="85"/>
      <c r="F641" s="85"/>
      <c r="G641" s="85"/>
      <c r="H641" s="85"/>
    </row>
    <row r="642" ht="15.75" customHeight="1">
      <c r="C642" s="85"/>
      <c r="F642" s="85"/>
      <c r="G642" s="85"/>
      <c r="H642" s="85"/>
    </row>
    <row r="643" ht="15.75" customHeight="1">
      <c r="C643" s="85"/>
      <c r="F643" s="85"/>
      <c r="G643" s="85"/>
      <c r="H643" s="85"/>
    </row>
    <row r="644" ht="15.75" customHeight="1">
      <c r="C644" s="85"/>
      <c r="F644" s="85"/>
      <c r="G644" s="85"/>
      <c r="H644" s="85"/>
    </row>
    <row r="645" ht="15.75" customHeight="1">
      <c r="C645" s="85"/>
      <c r="F645" s="85"/>
      <c r="G645" s="85"/>
      <c r="H645" s="85"/>
    </row>
    <row r="646" ht="15.75" customHeight="1">
      <c r="C646" s="85"/>
      <c r="F646" s="85"/>
      <c r="G646" s="85"/>
      <c r="H646" s="85"/>
    </row>
    <row r="647" ht="15.75" customHeight="1">
      <c r="C647" s="85"/>
      <c r="F647" s="85"/>
      <c r="G647" s="85"/>
      <c r="H647" s="85"/>
    </row>
    <row r="648" ht="15.75" customHeight="1">
      <c r="C648" s="85"/>
      <c r="F648" s="85"/>
      <c r="G648" s="85"/>
      <c r="H648" s="85"/>
    </row>
    <row r="649" ht="15.75" customHeight="1">
      <c r="C649" s="85"/>
      <c r="F649" s="85"/>
      <c r="G649" s="85"/>
      <c r="H649" s="85"/>
    </row>
    <row r="650" ht="15.75" customHeight="1">
      <c r="C650" s="85"/>
      <c r="F650" s="85"/>
      <c r="G650" s="85"/>
      <c r="H650" s="85"/>
    </row>
    <row r="651" ht="15.75" customHeight="1">
      <c r="C651" s="85"/>
      <c r="F651" s="85"/>
      <c r="G651" s="85"/>
      <c r="H651" s="85"/>
    </row>
    <row r="652" ht="15.75" customHeight="1">
      <c r="C652" s="85"/>
      <c r="F652" s="85"/>
      <c r="G652" s="85"/>
      <c r="H652" s="85"/>
    </row>
    <row r="653" ht="15.75" customHeight="1">
      <c r="C653" s="85"/>
      <c r="F653" s="85"/>
      <c r="G653" s="85"/>
      <c r="H653" s="85"/>
    </row>
    <row r="654" ht="15.75" customHeight="1">
      <c r="C654" s="85"/>
      <c r="F654" s="85"/>
      <c r="G654" s="85"/>
      <c r="H654" s="85"/>
    </row>
    <row r="655" ht="15.75" customHeight="1">
      <c r="C655" s="85"/>
      <c r="F655" s="85"/>
      <c r="G655" s="85"/>
      <c r="H655" s="85"/>
    </row>
    <row r="656" ht="15.75" customHeight="1">
      <c r="C656" s="85"/>
      <c r="F656" s="85"/>
      <c r="G656" s="85"/>
      <c r="H656" s="85"/>
    </row>
    <row r="657" ht="15.75" customHeight="1">
      <c r="C657" s="85"/>
      <c r="F657" s="85"/>
      <c r="G657" s="85"/>
      <c r="H657" s="85"/>
    </row>
    <row r="658" ht="15.75" customHeight="1">
      <c r="C658" s="85"/>
      <c r="F658" s="85"/>
      <c r="G658" s="85"/>
      <c r="H658" s="85"/>
    </row>
    <row r="659" ht="15.75" customHeight="1">
      <c r="C659" s="85"/>
      <c r="F659" s="85"/>
      <c r="G659" s="85"/>
      <c r="H659" s="85"/>
    </row>
    <row r="660" ht="15.75" customHeight="1">
      <c r="C660" s="85"/>
      <c r="F660" s="85"/>
      <c r="G660" s="85"/>
      <c r="H660" s="85"/>
    </row>
    <row r="661" ht="15.75" customHeight="1">
      <c r="C661" s="85"/>
      <c r="F661" s="85"/>
      <c r="G661" s="85"/>
      <c r="H661" s="85"/>
    </row>
    <row r="662" ht="15.75" customHeight="1">
      <c r="C662" s="85"/>
      <c r="F662" s="85"/>
      <c r="G662" s="85"/>
      <c r="H662" s="85"/>
    </row>
    <row r="663" ht="15.75" customHeight="1">
      <c r="C663" s="85"/>
      <c r="F663" s="85"/>
      <c r="G663" s="85"/>
      <c r="H663" s="85"/>
    </row>
    <row r="664" ht="15.75" customHeight="1">
      <c r="C664" s="85"/>
      <c r="F664" s="85"/>
      <c r="G664" s="85"/>
      <c r="H664" s="85"/>
    </row>
    <row r="665" ht="15.75" customHeight="1">
      <c r="C665" s="85"/>
      <c r="F665" s="85"/>
      <c r="G665" s="85"/>
      <c r="H665" s="85"/>
    </row>
    <row r="666" ht="15.75" customHeight="1">
      <c r="C666" s="85"/>
      <c r="F666" s="85"/>
      <c r="G666" s="85"/>
      <c r="H666" s="85"/>
    </row>
    <row r="667" ht="15.75" customHeight="1">
      <c r="C667" s="85"/>
      <c r="F667" s="85"/>
      <c r="G667" s="85"/>
      <c r="H667" s="85"/>
    </row>
    <row r="668" ht="15.75" customHeight="1">
      <c r="C668" s="85"/>
      <c r="F668" s="85"/>
      <c r="G668" s="85"/>
      <c r="H668" s="85"/>
    </row>
    <row r="669" ht="15.75" customHeight="1">
      <c r="C669" s="85"/>
      <c r="F669" s="85"/>
      <c r="G669" s="85"/>
      <c r="H669" s="85"/>
    </row>
    <row r="670" ht="15.75" customHeight="1">
      <c r="C670" s="85"/>
      <c r="F670" s="85"/>
      <c r="G670" s="85"/>
      <c r="H670" s="85"/>
    </row>
    <row r="671" ht="15.75" customHeight="1">
      <c r="C671" s="85"/>
      <c r="F671" s="85"/>
      <c r="G671" s="85"/>
      <c r="H671" s="85"/>
    </row>
    <row r="672" ht="15.75" customHeight="1">
      <c r="C672" s="85"/>
      <c r="F672" s="85"/>
      <c r="G672" s="85"/>
      <c r="H672" s="85"/>
    </row>
    <row r="673" ht="15.75" customHeight="1">
      <c r="C673" s="85"/>
      <c r="F673" s="85"/>
      <c r="G673" s="85"/>
      <c r="H673" s="85"/>
    </row>
    <row r="674" ht="15.75" customHeight="1">
      <c r="C674" s="85"/>
      <c r="F674" s="85"/>
      <c r="G674" s="85"/>
      <c r="H674" s="85"/>
    </row>
    <row r="675" ht="15.75" customHeight="1">
      <c r="C675" s="85"/>
      <c r="F675" s="85"/>
      <c r="G675" s="85"/>
      <c r="H675" s="85"/>
    </row>
    <row r="676" ht="15.75" customHeight="1">
      <c r="C676" s="85"/>
      <c r="F676" s="85"/>
      <c r="G676" s="85"/>
      <c r="H676" s="85"/>
    </row>
    <row r="677" ht="15.75" customHeight="1">
      <c r="C677" s="85"/>
      <c r="F677" s="85"/>
      <c r="G677" s="85"/>
      <c r="H677" s="85"/>
    </row>
    <row r="678" ht="15.75" customHeight="1">
      <c r="C678" s="85"/>
      <c r="F678" s="85"/>
      <c r="G678" s="85"/>
      <c r="H678" s="85"/>
    </row>
    <row r="679" ht="15.75" customHeight="1">
      <c r="C679" s="85"/>
      <c r="F679" s="85"/>
      <c r="G679" s="85"/>
      <c r="H679" s="85"/>
    </row>
    <row r="680" ht="15.75" customHeight="1">
      <c r="C680" s="85"/>
      <c r="F680" s="85"/>
      <c r="G680" s="85"/>
      <c r="H680" s="85"/>
    </row>
    <row r="681" ht="15.75" customHeight="1">
      <c r="C681" s="85"/>
      <c r="F681" s="85"/>
      <c r="G681" s="85"/>
      <c r="H681" s="85"/>
    </row>
    <row r="682" ht="15.75" customHeight="1">
      <c r="C682" s="85"/>
      <c r="F682" s="85"/>
      <c r="G682" s="85"/>
      <c r="H682" s="85"/>
    </row>
    <row r="683" ht="15.75" customHeight="1">
      <c r="C683" s="85"/>
      <c r="F683" s="85"/>
      <c r="G683" s="85"/>
      <c r="H683" s="85"/>
    </row>
    <row r="684" ht="15.75" customHeight="1">
      <c r="C684" s="85"/>
      <c r="F684" s="85"/>
      <c r="G684" s="85"/>
      <c r="H684" s="85"/>
    </row>
    <row r="685" ht="15.75" customHeight="1">
      <c r="C685" s="85"/>
      <c r="F685" s="85"/>
      <c r="G685" s="85"/>
      <c r="H685" s="85"/>
    </row>
    <row r="686" ht="15.75" customHeight="1">
      <c r="C686" s="85"/>
      <c r="F686" s="85"/>
      <c r="G686" s="85"/>
      <c r="H686" s="85"/>
    </row>
    <row r="687" ht="15.75" customHeight="1">
      <c r="C687" s="85"/>
      <c r="F687" s="85"/>
      <c r="G687" s="85"/>
      <c r="H687" s="85"/>
    </row>
    <row r="688" ht="15.75" customHeight="1">
      <c r="C688" s="85"/>
      <c r="F688" s="85"/>
      <c r="G688" s="85"/>
      <c r="H688" s="85"/>
    </row>
    <row r="689" ht="15.75" customHeight="1">
      <c r="C689" s="85"/>
      <c r="F689" s="85"/>
      <c r="G689" s="85"/>
      <c r="H689" s="85"/>
    </row>
    <row r="690" ht="15.75" customHeight="1">
      <c r="C690" s="85"/>
      <c r="F690" s="85"/>
      <c r="G690" s="85"/>
      <c r="H690" s="85"/>
    </row>
    <row r="691" ht="15.75" customHeight="1">
      <c r="C691" s="85"/>
      <c r="F691" s="85"/>
      <c r="G691" s="85"/>
      <c r="H691" s="85"/>
    </row>
    <row r="692" ht="15.75" customHeight="1">
      <c r="C692" s="85"/>
      <c r="F692" s="85"/>
      <c r="G692" s="85"/>
      <c r="H692" s="85"/>
    </row>
    <row r="693" ht="15.75" customHeight="1">
      <c r="C693" s="85"/>
      <c r="F693" s="85"/>
      <c r="G693" s="85"/>
      <c r="H693" s="85"/>
    </row>
    <row r="694" ht="15.75" customHeight="1">
      <c r="C694" s="85"/>
      <c r="F694" s="85"/>
      <c r="G694" s="85"/>
      <c r="H694" s="85"/>
    </row>
    <row r="695" ht="15.75" customHeight="1">
      <c r="C695" s="85"/>
      <c r="F695" s="85"/>
      <c r="G695" s="85"/>
      <c r="H695" s="85"/>
    </row>
    <row r="696" ht="15.75" customHeight="1">
      <c r="C696" s="85"/>
      <c r="F696" s="85"/>
      <c r="G696" s="85"/>
      <c r="H696" s="85"/>
    </row>
    <row r="697" ht="15.75" customHeight="1">
      <c r="C697" s="85"/>
      <c r="F697" s="85"/>
      <c r="G697" s="85"/>
      <c r="H697" s="85"/>
    </row>
    <row r="698" ht="15.75" customHeight="1">
      <c r="C698" s="85"/>
      <c r="F698" s="85"/>
      <c r="G698" s="85"/>
      <c r="H698" s="85"/>
    </row>
    <row r="699" ht="15.75" customHeight="1">
      <c r="C699" s="85"/>
      <c r="F699" s="85"/>
      <c r="G699" s="85"/>
      <c r="H699" s="85"/>
    </row>
    <row r="700" ht="15.75" customHeight="1">
      <c r="C700" s="85"/>
      <c r="F700" s="85"/>
      <c r="G700" s="85"/>
      <c r="H700" s="85"/>
    </row>
    <row r="701" ht="15.75" customHeight="1">
      <c r="C701" s="85"/>
      <c r="F701" s="85"/>
      <c r="G701" s="85"/>
      <c r="H701" s="85"/>
    </row>
    <row r="702" ht="15.75" customHeight="1">
      <c r="C702" s="85"/>
      <c r="F702" s="85"/>
      <c r="G702" s="85"/>
      <c r="H702" s="85"/>
    </row>
    <row r="703" ht="15.75" customHeight="1">
      <c r="C703" s="85"/>
      <c r="F703" s="85"/>
      <c r="G703" s="85"/>
      <c r="H703" s="85"/>
    </row>
    <row r="704" ht="15.75" customHeight="1">
      <c r="C704" s="85"/>
      <c r="F704" s="85"/>
      <c r="G704" s="85"/>
      <c r="H704" s="85"/>
    </row>
    <row r="705" ht="15.75" customHeight="1">
      <c r="C705" s="85"/>
      <c r="F705" s="85"/>
      <c r="G705" s="85"/>
      <c r="H705" s="85"/>
    </row>
    <row r="706" ht="15.75" customHeight="1">
      <c r="C706" s="85"/>
      <c r="F706" s="85"/>
      <c r="G706" s="85"/>
      <c r="H706" s="85"/>
    </row>
    <row r="707" ht="15.75" customHeight="1">
      <c r="C707" s="85"/>
      <c r="F707" s="85"/>
      <c r="G707" s="85"/>
      <c r="H707" s="85"/>
    </row>
    <row r="708" ht="15.75" customHeight="1">
      <c r="C708" s="85"/>
      <c r="F708" s="85"/>
      <c r="G708" s="85"/>
      <c r="H708" s="85"/>
    </row>
    <row r="709" ht="15.75" customHeight="1">
      <c r="C709" s="85"/>
      <c r="F709" s="85"/>
      <c r="G709" s="85"/>
      <c r="H709" s="85"/>
    </row>
    <row r="710" ht="15.75" customHeight="1">
      <c r="C710" s="85"/>
      <c r="F710" s="85"/>
      <c r="G710" s="85"/>
      <c r="H710" s="85"/>
    </row>
    <row r="711" ht="15.75" customHeight="1">
      <c r="C711" s="85"/>
      <c r="F711" s="85"/>
      <c r="G711" s="85"/>
      <c r="H711" s="85"/>
    </row>
    <row r="712" ht="15.75" customHeight="1">
      <c r="C712" s="85"/>
      <c r="F712" s="85"/>
      <c r="G712" s="85"/>
      <c r="H712" s="85"/>
    </row>
    <row r="713" ht="15.75" customHeight="1">
      <c r="C713" s="85"/>
      <c r="F713" s="85"/>
      <c r="G713" s="85"/>
      <c r="H713" s="85"/>
    </row>
    <row r="714" ht="15.75" customHeight="1">
      <c r="C714" s="85"/>
      <c r="F714" s="85"/>
      <c r="G714" s="85"/>
      <c r="H714" s="85"/>
    </row>
    <row r="715" ht="15.75" customHeight="1">
      <c r="C715" s="85"/>
      <c r="F715" s="85"/>
      <c r="G715" s="85"/>
      <c r="H715" s="85"/>
    </row>
    <row r="716" ht="15.75" customHeight="1">
      <c r="C716" s="85"/>
      <c r="F716" s="85"/>
      <c r="G716" s="85"/>
      <c r="H716" s="85"/>
    </row>
    <row r="717" ht="15.75" customHeight="1">
      <c r="C717" s="85"/>
      <c r="F717" s="85"/>
      <c r="G717" s="85"/>
      <c r="H717" s="85"/>
    </row>
    <row r="718" ht="15.75" customHeight="1">
      <c r="C718" s="85"/>
      <c r="F718" s="85"/>
      <c r="G718" s="85"/>
      <c r="H718" s="85"/>
    </row>
    <row r="719" ht="15.75" customHeight="1">
      <c r="C719" s="85"/>
      <c r="F719" s="85"/>
      <c r="G719" s="85"/>
      <c r="H719" s="85"/>
    </row>
    <row r="720" ht="15.75" customHeight="1">
      <c r="C720" s="85"/>
      <c r="F720" s="85"/>
      <c r="G720" s="85"/>
      <c r="H720" s="85"/>
    </row>
    <row r="721" ht="15.75" customHeight="1">
      <c r="C721" s="85"/>
      <c r="F721" s="85"/>
      <c r="G721" s="85"/>
      <c r="H721" s="85"/>
    </row>
    <row r="722" ht="15.75" customHeight="1">
      <c r="C722" s="85"/>
      <c r="F722" s="85"/>
      <c r="G722" s="85"/>
      <c r="H722" s="85"/>
    </row>
    <row r="723" ht="15.75" customHeight="1">
      <c r="C723" s="85"/>
      <c r="F723" s="85"/>
      <c r="G723" s="85"/>
      <c r="H723" s="85"/>
    </row>
    <row r="724" ht="15.75" customHeight="1">
      <c r="C724" s="85"/>
      <c r="F724" s="85"/>
      <c r="G724" s="85"/>
      <c r="H724" s="85"/>
    </row>
    <row r="725" ht="15.75" customHeight="1">
      <c r="C725" s="85"/>
      <c r="F725" s="85"/>
      <c r="G725" s="85"/>
      <c r="H725" s="85"/>
    </row>
    <row r="726" ht="15.75" customHeight="1">
      <c r="C726" s="85"/>
      <c r="F726" s="85"/>
      <c r="G726" s="85"/>
      <c r="H726" s="85"/>
    </row>
    <row r="727" ht="15.75" customHeight="1">
      <c r="C727" s="85"/>
      <c r="F727" s="85"/>
      <c r="G727" s="85"/>
      <c r="H727" s="85"/>
    </row>
    <row r="728" ht="15.75" customHeight="1">
      <c r="C728" s="85"/>
      <c r="F728" s="85"/>
      <c r="G728" s="85"/>
      <c r="H728" s="85"/>
    </row>
    <row r="729" ht="15.75" customHeight="1">
      <c r="C729" s="85"/>
      <c r="F729" s="85"/>
      <c r="G729" s="85"/>
      <c r="H729" s="85"/>
    </row>
    <row r="730" ht="15.75" customHeight="1">
      <c r="C730" s="85"/>
      <c r="F730" s="85"/>
      <c r="G730" s="85"/>
      <c r="H730" s="85"/>
    </row>
    <row r="731" ht="15.75" customHeight="1">
      <c r="C731" s="85"/>
      <c r="F731" s="85"/>
      <c r="G731" s="85"/>
      <c r="H731" s="85"/>
    </row>
    <row r="732" ht="15.75" customHeight="1">
      <c r="C732" s="85"/>
      <c r="F732" s="85"/>
      <c r="G732" s="85"/>
      <c r="H732" s="85"/>
    </row>
    <row r="733" ht="15.75" customHeight="1">
      <c r="C733" s="85"/>
      <c r="F733" s="85"/>
      <c r="G733" s="85"/>
      <c r="H733" s="85"/>
    </row>
    <row r="734" ht="15.75" customHeight="1">
      <c r="C734" s="85"/>
      <c r="F734" s="85"/>
      <c r="G734" s="85"/>
      <c r="H734" s="85"/>
    </row>
    <row r="735" ht="15.75" customHeight="1">
      <c r="C735" s="85"/>
      <c r="F735" s="85"/>
      <c r="G735" s="85"/>
      <c r="H735" s="85"/>
    </row>
    <row r="736" ht="15.75" customHeight="1">
      <c r="C736" s="85"/>
      <c r="F736" s="85"/>
      <c r="G736" s="85"/>
      <c r="H736" s="85"/>
    </row>
    <row r="737" ht="15.75" customHeight="1">
      <c r="C737" s="85"/>
      <c r="F737" s="85"/>
      <c r="G737" s="85"/>
      <c r="H737" s="85"/>
    </row>
    <row r="738" ht="15.75" customHeight="1">
      <c r="C738" s="85"/>
      <c r="F738" s="85"/>
      <c r="G738" s="85"/>
      <c r="H738" s="85"/>
    </row>
    <row r="739" ht="15.75" customHeight="1">
      <c r="C739" s="85"/>
      <c r="F739" s="85"/>
      <c r="G739" s="85"/>
      <c r="H739" s="85"/>
    </row>
    <row r="740" ht="15.75" customHeight="1">
      <c r="C740" s="85"/>
      <c r="F740" s="85"/>
      <c r="G740" s="85"/>
      <c r="H740" s="85"/>
    </row>
    <row r="741" ht="15.75" customHeight="1">
      <c r="C741" s="85"/>
      <c r="F741" s="85"/>
      <c r="G741" s="85"/>
      <c r="H741" s="85"/>
    </row>
    <row r="742" ht="15.75" customHeight="1">
      <c r="C742" s="85"/>
      <c r="F742" s="85"/>
      <c r="G742" s="85"/>
      <c r="H742" s="85"/>
    </row>
    <row r="743" ht="15.75" customHeight="1">
      <c r="C743" s="85"/>
      <c r="F743" s="85"/>
      <c r="G743" s="85"/>
      <c r="H743" s="85"/>
    </row>
    <row r="744" ht="15.75" customHeight="1">
      <c r="C744" s="85"/>
      <c r="F744" s="85"/>
      <c r="G744" s="85"/>
      <c r="H744" s="85"/>
    </row>
    <row r="745" ht="15.75" customHeight="1">
      <c r="C745" s="85"/>
      <c r="F745" s="85"/>
      <c r="G745" s="85"/>
      <c r="H745" s="85"/>
    </row>
    <row r="746" ht="15.75" customHeight="1">
      <c r="C746" s="85"/>
      <c r="F746" s="85"/>
      <c r="G746" s="85"/>
      <c r="H746" s="85"/>
    </row>
    <row r="747" ht="15.75" customHeight="1">
      <c r="C747" s="85"/>
      <c r="F747" s="85"/>
      <c r="G747" s="85"/>
      <c r="H747" s="85"/>
    </row>
    <row r="748" ht="15.75" customHeight="1">
      <c r="C748" s="85"/>
      <c r="F748" s="85"/>
      <c r="G748" s="85"/>
      <c r="H748" s="85"/>
    </row>
    <row r="749" ht="15.75" customHeight="1">
      <c r="C749" s="85"/>
      <c r="F749" s="85"/>
      <c r="G749" s="85"/>
      <c r="H749" s="85"/>
    </row>
    <row r="750" ht="15.75" customHeight="1">
      <c r="C750" s="85"/>
      <c r="F750" s="85"/>
      <c r="G750" s="85"/>
      <c r="H750" s="85"/>
    </row>
    <row r="751" ht="15.75" customHeight="1">
      <c r="C751" s="85"/>
      <c r="F751" s="85"/>
      <c r="G751" s="85"/>
      <c r="H751" s="85"/>
    </row>
    <row r="752" ht="15.75" customHeight="1">
      <c r="C752" s="85"/>
      <c r="F752" s="85"/>
      <c r="G752" s="85"/>
      <c r="H752" s="85"/>
    </row>
    <row r="753" ht="15.75" customHeight="1">
      <c r="C753" s="85"/>
      <c r="F753" s="85"/>
      <c r="G753" s="85"/>
      <c r="H753" s="85"/>
    </row>
    <row r="754" ht="15.75" customHeight="1">
      <c r="C754" s="85"/>
      <c r="F754" s="85"/>
      <c r="G754" s="85"/>
      <c r="H754" s="85"/>
    </row>
    <row r="755" ht="15.75" customHeight="1">
      <c r="C755" s="85"/>
      <c r="F755" s="85"/>
      <c r="G755" s="85"/>
      <c r="H755" s="85"/>
    </row>
    <row r="756" ht="15.75" customHeight="1">
      <c r="C756" s="85"/>
      <c r="F756" s="85"/>
      <c r="G756" s="85"/>
      <c r="H756" s="85"/>
    </row>
    <row r="757" ht="15.75" customHeight="1">
      <c r="C757" s="85"/>
      <c r="F757" s="85"/>
      <c r="G757" s="85"/>
      <c r="H757" s="85"/>
    </row>
    <row r="758" ht="15.75" customHeight="1">
      <c r="C758" s="85"/>
      <c r="F758" s="85"/>
      <c r="G758" s="85"/>
      <c r="H758" s="85"/>
    </row>
    <row r="759" ht="15.75" customHeight="1">
      <c r="C759" s="85"/>
      <c r="F759" s="85"/>
      <c r="G759" s="85"/>
      <c r="H759" s="85"/>
    </row>
    <row r="760" ht="15.75" customHeight="1">
      <c r="C760" s="85"/>
      <c r="F760" s="85"/>
      <c r="G760" s="85"/>
      <c r="H760" s="85"/>
    </row>
    <row r="761" ht="15.75" customHeight="1">
      <c r="C761" s="85"/>
      <c r="F761" s="85"/>
      <c r="G761" s="85"/>
      <c r="H761" s="85"/>
    </row>
    <row r="762" ht="15.75" customHeight="1">
      <c r="C762" s="85"/>
      <c r="F762" s="85"/>
      <c r="G762" s="85"/>
      <c r="H762" s="85"/>
    </row>
    <row r="763" ht="15.75" customHeight="1">
      <c r="C763" s="85"/>
      <c r="F763" s="85"/>
      <c r="G763" s="85"/>
      <c r="H763" s="85"/>
    </row>
    <row r="764" ht="15.75" customHeight="1">
      <c r="C764" s="85"/>
      <c r="F764" s="85"/>
      <c r="G764" s="85"/>
      <c r="H764" s="85"/>
    </row>
    <row r="765" ht="15.75" customHeight="1">
      <c r="C765" s="85"/>
      <c r="F765" s="85"/>
      <c r="G765" s="85"/>
      <c r="H765" s="85"/>
    </row>
    <row r="766" ht="15.75" customHeight="1">
      <c r="C766" s="85"/>
      <c r="F766" s="85"/>
      <c r="G766" s="85"/>
      <c r="H766" s="85"/>
    </row>
    <row r="767" ht="15.75" customHeight="1">
      <c r="C767" s="85"/>
      <c r="F767" s="85"/>
      <c r="G767" s="85"/>
      <c r="H767" s="85"/>
    </row>
    <row r="768" ht="15.75" customHeight="1">
      <c r="C768" s="85"/>
      <c r="F768" s="85"/>
      <c r="G768" s="85"/>
      <c r="H768" s="85"/>
    </row>
    <row r="769" ht="15.75" customHeight="1">
      <c r="C769" s="85"/>
      <c r="F769" s="85"/>
      <c r="G769" s="85"/>
      <c r="H769" s="85"/>
    </row>
    <row r="770" ht="15.75" customHeight="1">
      <c r="C770" s="85"/>
      <c r="F770" s="85"/>
      <c r="G770" s="85"/>
      <c r="H770" s="85"/>
    </row>
    <row r="771" ht="15.75" customHeight="1">
      <c r="C771" s="85"/>
      <c r="F771" s="85"/>
      <c r="G771" s="85"/>
      <c r="H771" s="85"/>
    </row>
    <row r="772" ht="15.75" customHeight="1">
      <c r="C772" s="85"/>
      <c r="F772" s="85"/>
      <c r="G772" s="85"/>
      <c r="H772" s="85"/>
    </row>
    <row r="773" ht="15.75" customHeight="1">
      <c r="C773" s="85"/>
      <c r="F773" s="85"/>
      <c r="G773" s="85"/>
      <c r="H773" s="85"/>
    </row>
    <row r="774" ht="15.75" customHeight="1">
      <c r="C774" s="85"/>
      <c r="F774" s="85"/>
      <c r="G774" s="85"/>
      <c r="H774" s="85"/>
    </row>
    <row r="775" ht="15.75" customHeight="1">
      <c r="C775" s="85"/>
      <c r="F775" s="85"/>
      <c r="G775" s="85"/>
      <c r="H775" s="85"/>
    </row>
    <row r="776" ht="15.75" customHeight="1">
      <c r="C776" s="85"/>
      <c r="F776" s="85"/>
      <c r="G776" s="85"/>
      <c r="H776" s="85"/>
    </row>
    <row r="777" ht="15.75" customHeight="1">
      <c r="C777" s="85"/>
      <c r="F777" s="85"/>
      <c r="G777" s="85"/>
      <c r="H777" s="85"/>
    </row>
    <row r="778" ht="15.75" customHeight="1">
      <c r="C778" s="85"/>
      <c r="F778" s="85"/>
      <c r="G778" s="85"/>
      <c r="H778" s="85"/>
    </row>
    <row r="779" ht="15.75" customHeight="1">
      <c r="C779" s="85"/>
      <c r="F779" s="85"/>
      <c r="G779" s="85"/>
      <c r="H779" s="85"/>
    </row>
    <row r="780" ht="15.75" customHeight="1">
      <c r="C780" s="85"/>
      <c r="F780" s="85"/>
      <c r="G780" s="85"/>
      <c r="H780" s="85"/>
    </row>
    <row r="781" ht="15.75" customHeight="1">
      <c r="C781" s="85"/>
      <c r="F781" s="85"/>
      <c r="G781" s="85"/>
      <c r="H781" s="85"/>
    </row>
    <row r="782" ht="15.75" customHeight="1">
      <c r="C782" s="85"/>
      <c r="F782" s="85"/>
      <c r="G782" s="85"/>
      <c r="H782" s="85"/>
    </row>
    <row r="783" ht="15.75" customHeight="1">
      <c r="C783" s="85"/>
      <c r="F783" s="85"/>
      <c r="G783" s="85"/>
      <c r="H783" s="85"/>
    </row>
    <row r="784" ht="15.75" customHeight="1">
      <c r="C784" s="85"/>
      <c r="F784" s="85"/>
      <c r="G784" s="85"/>
      <c r="H784" s="85"/>
    </row>
    <row r="785" ht="15.75" customHeight="1">
      <c r="C785" s="85"/>
      <c r="F785" s="85"/>
      <c r="G785" s="85"/>
      <c r="H785" s="85"/>
    </row>
    <row r="786" ht="15.75" customHeight="1">
      <c r="C786" s="85"/>
      <c r="F786" s="85"/>
      <c r="G786" s="85"/>
      <c r="H786" s="85"/>
    </row>
    <row r="787" ht="15.75" customHeight="1">
      <c r="C787" s="85"/>
      <c r="F787" s="85"/>
      <c r="G787" s="85"/>
      <c r="H787" s="85"/>
    </row>
    <row r="788" ht="15.75" customHeight="1">
      <c r="C788" s="85"/>
      <c r="F788" s="85"/>
      <c r="G788" s="85"/>
      <c r="H788" s="85"/>
    </row>
    <row r="789" ht="15.75" customHeight="1">
      <c r="C789" s="85"/>
      <c r="F789" s="85"/>
      <c r="G789" s="85"/>
      <c r="H789" s="85"/>
    </row>
    <row r="790" ht="15.75" customHeight="1">
      <c r="C790" s="85"/>
      <c r="F790" s="85"/>
      <c r="G790" s="85"/>
      <c r="H790" s="85"/>
    </row>
    <row r="791" ht="15.75" customHeight="1">
      <c r="C791" s="85"/>
      <c r="F791" s="85"/>
      <c r="G791" s="85"/>
      <c r="H791" s="85"/>
    </row>
    <row r="792" ht="15.75" customHeight="1">
      <c r="C792" s="85"/>
      <c r="F792" s="85"/>
      <c r="G792" s="85"/>
      <c r="H792" s="85"/>
    </row>
    <row r="793" ht="15.75" customHeight="1">
      <c r="C793" s="85"/>
      <c r="F793" s="85"/>
      <c r="G793" s="85"/>
      <c r="H793" s="85"/>
    </row>
    <row r="794" ht="15.75" customHeight="1">
      <c r="C794" s="85"/>
      <c r="F794" s="85"/>
      <c r="G794" s="85"/>
      <c r="H794" s="85"/>
    </row>
    <row r="795" ht="15.75" customHeight="1">
      <c r="C795" s="85"/>
      <c r="F795" s="85"/>
      <c r="G795" s="85"/>
      <c r="H795" s="85"/>
    </row>
    <row r="796" ht="15.75" customHeight="1">
      <c r="C796" s="85"/>
      <c r="F796" s="85"/>
      <c r="G796" s="85"/>
      <c r="H796" s="85"/>
    </row>
    <row r="797" ht="15.75" customHeight="1">
      <c r="C797" s="85"/>
      <c r="F797" s="85"/>
      <c r="G797" s="85"/>
      <c r="H797" s="85"/>
    </row>
    <row r="798" ht="15.75" customHeight="1">
      <c r="C798" s="85"/>
      <c r="F798" s="85"/>
      <c r="G798" s="85"/>
      <c r="H798" s="85"/>
    </row>
    <row r="799" ht="15.75" customHeight="1">
      <c r="C799" s="85"/>
      <c r="F799" s="85"/>
      <c r="G799" s="85"/>
      <c r="H799" s="85"/>
    </row>
    <row r="800" ht="15.75" customHeight="1">
      <c r="C800" s="85"/>
      <c r="F800" s="85"/>
      <c r="G800" s="85"/>
      <c r="H800" s="85"/>
    </row>
    <row r="801" ht="15.75" customHeight="1">
      <c r="C801" s="85"/>
      <c r="F801" s="85"/>
      <c r="G801" s="85"/>
      <c r="H801" s="85"/>
    </row>
    <row r="802" ht="15.75" customHeight="1">
      <c r="C802" s="85"/>
      <c r="F802" s="85"/>
      <c r="G802" s="85"/>
      <c r="H802" s="85"/>
    </row>
    <row r="803" ht="15.75" customHeight="1">
      <c r="C803" s="85"/>
      <c r="F803" s="85"/>
      <c r="G803" s="85"/>
      <c r="H803" s="85"/>
    </row>
    <row r="804" ht="15.75" customHeight="1">
      <c r="C804" s="85"/>
      <c r="F804" s="85"/>
      <c r="G804" s="85"/>
      <c r="H804" s="85"/>
    </row>
    <row r="805" ht="15.75" customHeight="1">
      <c r="C805" s="85"/>
      <c r="F805" s="85"/>
      <c r="G805" s="85"/>
      <c r="H805" s="85"/>
    </row>
    <row r="806" ht="15.75" customHeight="1">
      <c r="C806" s="85"/>
      <c r="F806" s="85"/>
      <c r="G806" s="85"/>
      <c r="H806" s="85"/>
    </row>
    <row r="807" ht="15.75" customHeight="1">
      <c r="C807" s="85"/>
      <c r="F807" s="85"/>
      <c r="G807" s="85"/>
      <c r="H807" s="85"/>
    </row>
    <row r="808" ht="15.75" customHeight="1">
      <c r="C808" s="85"/>
      <c r="F808" s="85"/>
      <c r="G808" s="85"/>
      <c r="H808" s="85"/>
    </row>
    <row r="809" ht="15.75" customHeight="1">
      <c r="C809" s="85"/>
      <c r="F809" s="85"/>
      <c r="G809" s="85"/>
      <c r="H809" s="85"/>
    </row>
    <row r="810" ht="15.75" customHeight="1">
      <c r="C810" s="85"/>
      <c r="F810" s="85"/>
      <c r="G810" s="85"/>
      <c r="H810" s="85"/>
    </row>
    <row r="811" ht="15.75" customHeight="1">
      <c r="C811" s="85"/>
      <c r="F811" s="85"/>
      <c r="G811" s="85"/>
      <c r="H811" s="85"/>
    </row>
    <row r="812" ht="15.75" customHeight="1">
      <c r="C812" s="85"/>
      <c r="F812" s="85"/>
      <c r="G812" s="85"/>
      <c r="H812" s="85"/>
    </row>
    <row r="813" ht="15.75" customHeight="1">
      <c r="C813" s="85"/>
      <c r="F813" s="85"/>
      <c r="G813" s="85"/>
      <c r="H813" s="85"/>
    </row>
    <row r="814" ht="15.75" customHeight="1">
      <c r="C814" s="85"/>
      <c r="F814" s="85"/>
      <c r="G814" s="85"/>
      <c r="H814" s="85"/>
    </row>
    <row r="815" ht="15.75" customHeight="1">
      <c r="C815" s="85"/>
      <c r="F815" s="85"/>
      <c r="G815" s="85"/>
      <c r="H815" s="85"/>
    </row>
    <row r="816" ht="15.75" customHeight="1">
      <c r="C816" s="85"/>
      <c r="F816" s="85"/>
      <c r="G816" s="85"/>
      <c r="H816" s="85"/>
    </row>
    <row r="817" ht="15.75" customHeight="1">
      <c r="C817" s="85"/>
      <c r="F817" s="85"/>
      <c r="G817" s="85"/>
      <c r="H817" s="85"/>
    </row>
    <row r="818" ht="15.75" customHeight="1">
      <c r="C818" s="85"/>
      <c r="F818" s="85"/>
      <c r="G818" s="85"/>
      <c r="H818" s="85"/>
    </row>
    <row r="819" ht="15.75" customHeight="1">
      <c r="C819" s="85"/>
      <c r="F819" s="85"/>
      <c r="G819" s="85"/>
      <c r="H819" s="85"/>
    </row>
    <row r="820" ht="15.75" customHeight="1">
      <c r="C820" s="85"/>
      <c r="F820" s="85"/>
      <c r="G820" s="85"/>
      <c r="H820" s="85"/>
    </row>
    <row r="821" ht="15.75" customHeight="1">
      <c r="C821" s="85"/>
      <c r="F821" s="85"/>
      <c r="G821" s="85"/>
      <c r="H821" s="85"/>
    </row>
    <row r="822" ht="15.75" customHeight="1">
      <c r="C822" s="85"/>
      <c r="F822" s="85"/>
      <c r="G822" s="85"/>
      <c r="H822" s="85"/>
    </row>
    <row r="823" ht="15.75" customHeight="1">
      <c r="C823" s="85"/>
      <c r="F823" s="85"/>
      <c r="G823" s="85"/>
      <c r="H823" s="85"/>
    </row>
    <row r="824" ht="15.75" customHeight="1">
      <c r="C824" s="85"/>
      <c r="F824" s="85"/>
      <c r="G824" s="85"/>
      <c r="H824" s="85"/>
    </row>
    <row r="825" ht="15.75" customHeight="1">
      <c r="C825" s="85"/>
      <c r="F825" s="85"/>
      <c r="G825" s="85"/>
      <c r="H825" s="85"/>
    </row>
    <row r="826" ht="15.75" customHeight="1">
      <c r="C826" s="85"/>
      <c r="F826" s="85"/>
      <c r="G826" s="85"/>
      <c r="H826" s="85"/>
    </row>
    <row r="827" ht="15.75" customHeight="1">
      <c r="C827" s="85"/>
      <c r="F827" s="85"/>
      <c r="G827" s="85"/>
      <c r="H827" s="85"/>
    </row>
    <row r="828" ht="15.75" customHeight="1">
      <c r="C828" s="85"/>
      <c r="F828" s="85"/>
      <c r="G828" s="85"/>
      <c r="H828" s="85"/>
    </row>
    <row r="829" ht="15.75" customHeight="1">
      <c r="C829" s="85"/>
      <c r="F829" s="85"/>
      <c r="G829" s="85"/>
      <c r="H829" s="85"/>
    </row>
    <row r="830" ht="15.75" customHeight="1">
      <c r="C830" s="85"/>
      <c r="F830" s="85"/>
      <c r="G830" s="85"/>
      <c r="H830" s="85"/>
    </row>
    <row r="831" ht="15.75" customHeight="1">
      <c r="C831" s="85"/>
      <c r="F831" s="85"/>
      <c r="G831" s="85"/>
      <c r="H831" s="85"/>
    </row>
    <row r="832" ht="15.75" customHeight="1">
      <c r="C832" s="85"/>
      <c r="F832" s="85"/>
      <c r="G832" s="85"/>
      <c r="H832" s="85"/>
    </row>
    <row r="833" ht="15.75" customHeight="1">
      <c r="C833" s="85"/>
      <c r="F833" s="85"/>
      <c r="G833" s="85"/>
      <c r="H833" s="85"/>
    </row>
    <row r="834" ht="15.75" customHeight="1">
      <c r="C834" s="85"/>
      <c r="F834" s="85"/>
      <c r="G834" s="85"/>
      <c r="H834" s="85"/>
    </row>
    <row r="835" ht="15.75" customHeight="1">
      <c r="C835" s="85"/>
      <c r="F835" s="85"/>
      <c r="G835" s="85"/>
      <c r="H835" s="85"/>
    </row>
    <row r="836" ht="15.75" customHeight="1">
      <c r="C836" s="85"/>
      <c r="F836" s="85"/>
      <c r="G836" s="85"/>
      <c r="H836" s="85"/>
    </row>
    <row r="837" ht="15.75" customHeight="1">
      <c r="C837" s="85"/>
      <c r="F837" s="85"/>
      <c r="G837" s="85"/>
      <c r="H837" s="85"/>
    </row>
    <row r="838" ht="15.75" customHeight="1">
      <c r="C838" s="85"/>
      <c r="F838" s="85"/>
      <c r="G838" s="85"/>
      <c r="H838" s="85"/>
    </row>
    <row r="839" ht="15.75" customHeight="1">
      <c r="C839" s="85"/>
      <c r="F839" s="85"/>
      <c r="G839" s="85"/>
      <c r="H839" s="85"/>
    </row>
    <row r="840" ht="15.75" customHeight="1">
      <c r="C840" s="85"/>
      <c r="F840" s="85"/>
      <c r="G840" s="85"/>
      <c r="H840" s="85"/>
    </row>
    <row r="841" ht="15.75" customHeight="1">
      <c r="C841" s="85"/>
      <c r="F841" s="85"/>
      <c r="G841" s="85"/>
      <c r="H841" s="85"/>
    </row>
    <row r="842" ht="15.75" customHeight="1">
      <c r="C842" s="85"/>
      <c r="F842" s="85"/>
      <c r="G842" s="85"/>
      <c r="H842" s="85"/>
    </row>
    <row r="843" ht="15.75" customHeight="1">
      <c r="C843" s="85"/>
      <c r="F843" s="85"/>
      <c r="G843" s="85"/>
      <c r="H843" s="85"/>
    </row>
    <row r="844" ht="15.75" customHeight="1">
      <c r="C844" s="85"/>
      <c r="F844" s="85"/>
      <c r="G844" s="85"/>
      <c r="H844" s="85"/>
    </row>
    <row r="845" ht="15.75" customHeight="1">
      <c r="C845" s="85"/>
      <c r="F845" s="85"/>
      <c r="G845" s="85"/>
      <c r="H845" s="85"/>
    </row>
    <row r="846" ht="15.75" customHeight="1">
      <c r="C846" s="85"/>
      <c r="F846" s="85"/>
      <c r="G846" s="85"/>
      <c r="H846" s="85"/>
    </row>
    <row r="847" ht="15.75" customHeight="1">
      <c r="C847" s="85"/>
      <c r="F847" s="85"/>
      <c r="G847" s="85"/>
      <c r="H847" s="85"/>
    </row>
    <row r="848" ht="15.75" customHeight="1">
      <c r="C848" s="85"/>
      <c r="F848" s="85"/>
      <c r="G848" s="85"/>
      <c r="H848" s="85"/>
    </row>
    <row r="849" ht="15.75" customHeight="1">
      <c r="C849" s="85"/>
      <c r="F849" s="85"/>
      <c r="G849" s="85"/>
      <c r="H849" s="85"/>
    </row>
    <row r="850" ht="15.75" customHeight="1">
      <c r="C850" s="85"/>
      <c r="F850" s="85"/>
      <c r="G850" s="85"/>
      <c r="H850" s="85"/>
    </row>
    <row r="851" ht="15.75" customHeight="1">
      <c r="C851" s="85"/>
      <c r="F851" s="85"/>
      <c r="G851" s="85"/>
      <c r="H851" s="85"/>
    </row>
    <row r="852" ht="15.75" customHeight="1">
      <c r="C852" s="85"/>
      <c r="F852" s="85"/>
      <c r="G852" s="85"/>
      <c r="H852" s="85"/>
    </row>
    <row r="853" ht="15.75" customHeight="1">
      <c r="C853" s="85"/>
      <c r="F853" s="85"/>
      <c r="G853" s="85"/>
      <c r="H853" s="85"/>
    </row>
    <row r="854" ht="15.75" customHeight="1">
      <c r="C854" s="85"/>
      <c r="F854" s="85"/>
      <c r="G854" s="85"/>
      <c r="H854" s="85"/>
    </row>
    <row r="855" ht="15.75" customHeight="1">
      <c r="C855" s="85"/>
      <c r="F855" s="85"/>
      <c r="G855" s="85"/>
      <c r="H855" s="85"/>
    </row>
    <row r="856" ht="15.75" customHeight="1">
      <c r="C856" s="85"/>
      <c r="F856" s="85"/>
      <c r="G856" s="85"/>
      <c r="H856" s="85"/>
    </row>
    <row r="857" ht="15.75" customHeight="1">
      <c r="C857" s="85"/>
      <c r="F857" s="85"/>
      <c r="G857" s="85"/>
      <c r="H857" s="85"/>
    </row>
    <row r="858" ht="15.75" customHeight="1">
      <c r="C858" s="85"/>
      <c r="F858" s="85"/>
      <c r="G858" s="85"/>
      <c r="H858" s="85"/>
    </row>
    <row r="859" ht="15.75" customHeight="1">
      <c r="C859" s="85"/>
      <c r="F859" s="85"/>
      <c r="G859" s="85"/>
      <c r="H859" s="85"/>
    </row>
    <row r="860" ht="15.75" customHeight="1">
      <c r="C860" s="85"/>
      <c r="F860" s="85"/>
      <c r="G860" s="85"/>
      <c r="H860" s="85"/>
    </row>
    <row r="861" ht="15.75" customHeight="1">
      <c r="C861" s="85"/>
      <c r="F861" s="85"/>
      <c r="G861" s="85"/>
      <c r="H861" s="85"/>
    </row>
    <row r="862" ht="15.75" customHeight="1">
      <c r="C862" s="85"/>
      <c r="F862" s="85"/>
      <c r="G862" s="85"/>
      <c r="H862" s="85"/>
    </row>
    <row r="863" ht="15.75" customHeight="1">
      <c r="C863" s="85"/>
      <c r="F863" s="85"/>
      <c r="G863" s="85"/>
      <c r="H863" s="85"/>
    </row>
    <row r="864" ht="15.75" customHeight="1">
      <c r="C864" s="85"/>
      <c r="F864" s="85"/>
      <c r="G864" s="85"/>
      <c r="H864" s="85"/>
    </row>
    <row r="865" ht="15.75" customHeight="1">
      <c r="C865" s="85"/>
      <c r="F865" s="85"/>
      <c r="G865" s="85"/>
      <c r="H865" s="85"/>
    </row>
    <row r="866" ht="15.75" customHeight="1">
      <c r="C866" s="85"/>
      <c r="F866" s="85"/>
      <c r="G866" s="85"/>
      <c r="H866" s="85"/>
    </row>
    <row r="867" ht="15.75" customHeight="1">
      <c r="C867" s="85"/>
      <c r="F867" s="85"/>
      <c r="G867" s="85"/>
      <c r="H867" s="85"/>
    </row>
    <row r="868" ht="15.75" customHeight="1">
      <c r="C868" s="85"/>
      <c r="F868" s="85"/>
      <c r="G868" s="85"/>
      <c r="H868" s="85"/>
    </row>
    <row r="869" ht="15.75" customHeight="1">
      <c r="C869" s="85"/>
      <c r="F869" s="85"/>
      <c r="G869" s="85"/>
      <c r="H869" s="85"/>
    </row>
    <row r="870" ht="15.75" customHeight="1">
      <c r="C870" s="85"/>
      <c r="F870" s="85"/>
      <c r="G870" s="85"/>
      <c r="H870" s="85"/>
    </row>
    <row r="871" ht="15.75" customHeight="1">
      <c r="C871" s="85"/>
      <c r="F871" s="85"/>
      <c r="G871" s="85"/>
      <c r="H871" s="85"/>
    </row>
    <row r="872" ht="15.75" customHeight="1">
      <c r="C872" s="85"/>
      <c r="F872" s="85"/>
      <c r="G872" s="85"/>
      <c r="H872" s="85"/>
    </row>
    <row r="873" ht="15.75" customHeight="1">
      <c r="C873" s="85"/>
      <c r="F873" s="85"/>
      <c r="G873" s="85"/>
      <c r="H873" s="85"/>
    </row>
    <row r="874" ht="15.75" customHeight="1">
      <c r="C874" s="85"/>
      <c r="F874" s="85"/>
      <c r="G874" s="85"/>
      <c r="H874" s="85"/>
    </row>
    <row r="875" ht="15.75" customHeight="1">
      <c r="C875" s="85"/>
      <c r="F875" s="85"/>
      <c r="G875" s="85"/>
      <c r="H875" s="85"/>
    </row>
    <row r="876" ht="15.75" customHeight="1">
      <c r="C876" s="85"/>
      <c r="F876" s="85"/>
      <c r="G876" s="85"/>
      <c r="H876" s="85"/>
    </row>
    <row r="877" ht="15.75" customHeight="1">
      <c r="C877" s="85"/>
      <c r="F877" s="85"/>
      <c r="G877" s="85"/>
      <c r="H877" s="85"/>
    </row>
    <row r="878" ht="15.75" customHeight="1">
      <c r="C878" s="85"/>
      <c r="F878" s="85"/>
      <c r="G878" s="85"/>
      <c r="H878" s="85"/>
    </row>
    <row r="879" ht="15.75" customHeight="1">
      <c r="C879" s="85"/>
      <c r="F879" s="85"/>
      <c r="G879" s="85"/>
      <c r="H879" s="85"/>
    </row>
    <row r="880" ht="15.75" customHeight="1">
      <c r="C880" s="85"/>
      <c r="F880" s="85"/>
      <c r="G880" s="85"/>
      <c r="H880" s="85"/>
    </row>
    <row r="881" ht="15.75" customHeight="1">
      <c r="C881" s="85"/>
      <c r="F881" s="85"/>
      <c r="G881" s="85"/>
      <c r="H881" s="85"/>
    </row>
    <row r="882" ht="15.75" customHeight="1">
      <c r="C882" s="85"/>
      <c r="F882" s="85"/>
      <c r="G882" s="85"/>
      <c r="H882" s="85"/>
    </row>
    <row r="883" ht="15.75" customHeight="1">
      <c r="C883" s="85"/>
      <c r="F883" s="85"/>
      <c r="G883" s="85"/>
      <c r="H883" s="85"/>
    </row>
    <row r="884" ht="15.75" customHeight="1">
      <c r="C884" s="85"/>
      <c r="F884" s="85"/>
      <c r="G884" s="85"/>
      <c r="H884" s="85"/>
    </row>
    <row r="885" ht="15.75" customHeight="1">
      <c r="C885" s="85"/>
      <c r="F885" s="85"/>
      <c r="G885" s="85"/>
      <c r="H885" s="85"/>
    </row>
    <row r="886" ht="15.75" customHeight="1">
      <c r="C886" s="85"/>
      <c r="F886" s="85"/>
      <c r="G886" s="85"/>
      <c r="H886" s="85"/>
    </row>
    <row r="887" ht="15.75" customHeight="1">
      <c r="C887" s="85"/>
      <c r="F887" s="85"/>
      <c r="G887" s="85"/>
      <c r="H887" s="85"/>
    </row>
    <row r="888" ht="15.75" customHeight="1">
      <c r="C888" s="85"/>
      <c r="F888" s="85"/>
      <c r="G888" s="85"/>
      <c r="H888" s="85"/>
    </row>
    <row r="889" ht="15.75" customHeight="1">
      <c r="C889" s="85"/>
      <c r="F889" s="85"/>
      <c r="G889" s="85"/>
      <c r="H889" s="85"/>
    </row>
    <row r="890" ht="15.75" customHeight="1">
      <c r="C890" s="85"/>
      <c r="F890" s="85"/>
      <c r="G890" s="85"/>
      <c r="H890" s="85"/>
    </row>
    <row r="891" ht="15.75" customHeight="1">
      <c r="C891" s="85"/>
      <c r="F891" s="85"/>
      <c r="G891" s="85"/>
      <c r="H891" s="85"/>
    </row>
    <row r="892" ht="15.75" customHeight="1">
      <c r="C892" s="85"/>
      <c r="F892" s="85"/>
      <c r="G892" s="85"/>
      <c r="H892" s="85"/>
    </row>
    <row r="893" ht="15.75" customHeight="1">
      <c r="C893" s="85"/>
      <c r="F893" s="85"/>
      <c r="G893" s="85"/>
      <c r="H893" s="85"/>
    </row>
    <row r="894" ht="15.75" customHeight="1">
      <c r="C894" s="85"/>
      <c r="F894" s="85"/>
      <c r="G894" s="85"/>
      <c r="H894" s="85"/>
    </row>
    <row r="895" ht="15.75" customHeight="1">
      <c r="C895" s="85"/>
      <c r="F895" s="85"/>
      <c r="G895" s="85"/>
      <c r="H895" s="85"/>
    </row>
    <row r="896" ht="15.75" customHeight="1">
      <c r="C896" s="85"/>
      <c r="F896" s="85"/>
      <c r="G896" s="85"/>
      <c r="H896" s="85"/>
    </row>
    <row r="897" ht="15.75" customHeight="1">
      <c r="C897" s="85"/>
      <c r="F897" s="85"/>
      <c r="G897" s="85"/>
      <c r="H897" s="85"/>
    </row>
    <row r="898" ht="15.75" customHeight="1">
      <c r="C898" s="85"/>
      <c r="F898" s="85"/>
      <c r="G898" s="85"/>
      <c r="H898" s="85"/>
    </row>
    <row r="899" ht="15.75" customHeight="1">
      <c r="C899" s="85"/>
      <c r="F899" s="85"/>
      <c r="G899" s="85"/>
      <c r="H899" s="85"/>
    </row>
    <row r="900" ht="15.75" customHeight="1">
      <c r="C900" s="85"/>
      <c r="F900" s="85"/>
      <c r="G900" s="85"/>
      <c r="H900" s="85"/>
    </row>
    <row r="901" ht="15.75" customHeight="1">
      <c r="C901" s="85"/>
      <c r="F901" s="85"/>
      <c r="G901" s="85"/>
      <c r="H901" s="85"/>
    </row>
    <row r="902" ht="15.75" customHeight="1">
      <c r="C902" s="85"/>
      <c r="F902" s="85"/>
      <c r="G902" s="85"/>
      <c r="H902" s="85"/>
    </row>
    <row r="903" ht="15.75" customHeight="1">
      <c r="C903" s="85"/>
      <c r="F903" s="85"/>
      <c r="G903" s="85"/>
      <c r="H903" s="85"/>
    </row>
    <row r="904" ht="15.75" customHeight="1">
      <c r="C904" s="85"/>
      <c r="F904" s="85"/>
      <c r="G904" s="85"/>
      <c r="H904" s="85"/>
    </row>
    <row r="905" ht="15.75" customHeight="1">
      <c r="C905" s="85"/>
      <c r="F905" s="85"/>
      <c r="G905" s="85"/>
      <c r="H905" s="85"/>
    </row>
    <row r="906" ht="15.75" customHeight="1">
      <c r="C906" s="85"/>
      <c r="F906" s="85"/>
      <c r="G906" s="85"/>
      <c r="H906" s="85"/>
    </row>
    <row r="907" ht="15.75" customHeight="1">
      <c r="C907" s="85"/>
      <c r="F907" s="85"/>
      <c r="G907" s="85"/>
      <c r="H907" s="85"/>
    </row>
    <row r="908" ht="15.75" customHeight="1">
      <c r="C908" s="85"/>
      <c r="F908" s="85"/>
      <c r="G908" s="85"/>
      <c r="H908" s="85"/>
    </row>
    <row r="909" ht="15.75" customHeight="1">
      <c r="C909" s="85"/>
      <c r="F909" s="85"/>
      <c r="G909" s="85"/>
      <c r="H909" s="85"/>
    </row>
    <row r="910" ht="15.75" customHeight="1">
      <c r="C910" s="85"/>
      <c r="F910" s="85"/>
      <c r="G910" s="85"/>
      <c r="H910" s="85"/>
    </row>
    <row r="911" ht="15.75" customHeight="1">
      <c r="C911" s="85"/>
      <c r="F911" s="85"/>
      <c r="G911" s="85"/>
      <c r="H911" s="85"/>
    </row>
    <row r="912" ht="15.75" customHeight="1">
      <c r="C912" s="85"/>
      <c r="F912" s="85"/>
      <c r="G912" s="85"/>
      <c r="H912" s="85"/>
    </row>
    <row r="913" ht="15.75" customHeight="1">
      <c r="C913" s="85"/>
      <c r="F913" s="85"/>
      <c r="G913" s="85"/>
      <c r="H913" s="85"/>
    </row>
    <row r="914" ht="15.75" customHeight="1">
      <c r="C914" s="85"/>
      <c r="F914" s="85"/>
      <c r="G914" s="85"/>
      <c r="H914" s="85"/>
    </row>
    <row r="915" ht="15.75" customHeight="1">
      <c r="C915" s="85"/>
      <c r="F915" s="85"/>
      <c r="G915" s="85"/>
      <c r="H915" s="85"/>
    </row>
    <row r="916" ht="15.75" customHeight="1">
      <c r="C916" s="85"/>
      <c r="F916" s="85"/>
      <c r="G916" s="85"/>
      <c r="H916" s="85"/>
    </row>
    <row r="917" ht="15.75" customHeight="1">
      <c r="C917" s="85"/>
      <c r="F917" s="85"/>
      <c r="G917" s="85"/>
      <c r="H917" s="85"/>
    </row>
    <row r="918" ht="15.75" customHeight="1">
      <c r="C918" s="85"/>
      <c r="F918" s="85"/>
      <c r="G918" s="85"/>
      <c r="H918" s="85"/>
    </row>
    <row r="919" ht="15.75" customHeight="1">
      <c r="C919" s="85"/>
      <c r="F919" s="85"/>
      <c r="G919" s="85"/>
      <c r="H919" s="85"/>
    </row>
    <row r="920" ht="15.75" customHeight="1">
      <c r="C920" s="85"/>
      <c r="F920" s="85"/>
      <c r="G920" s="85"/>
      <c r="H920" s="85"/>
    </row>
    <row r="921" ht="15.75" customHeight="1">
      <c r="C921" s="85"/>
      <c r="F921" s="85"/>
      <c r="G921" s="85"/>
      <c r="H921" s="85"/>
    </row>
    <row r="922" ht="15.75" customHeight="1">
      <c r="C922" s="85"/>
      <c r="F922" s="85"/>
      <c r="G922" s="85"/>
      <c r="H922" s="85"/>
    </row>
    <row r="923" ht="15.75" customHeight="1">
      <c r="C923" s="85"/>
      <c r="F923" s="85"/>
      <c r="G923" s="85"/>
      <c r="H923" s="85"/>
    </row>
    <row r="924" ht="15.75" customHeight="1">
      <c r="C924" s="85"/>
      <c r="F924" s="85"/>
      <c r="G924" s="85"/>
      <c r="H924" s="85"/>
    </row>
    <row r="925" ht="15.75" customHeight="1">
      <c r="C925" s="85"/>
      <c r="F925" s="85"/>
      <c r="G925" s="85"/>
      <c r="H925" s="85"/>
    </row>
    <row r="926" ht="15.75" customHeight="1">
      <c r="C926" s="85"/>
      <c r="F926" s="85"/>
      <c r="G926" s="85"/>
      <c r="H926" s="85"/>
    </row>
    <row r="927" ht="15.75" customHeight="1">
      <c r="C927" s="85"/>
      <c r="F927" s="85"/>
      <c r="G927" s="85"/>
      <c r="H927" s="85"/>
    </row>
    <row r="928" ht="15.75" customHeight="1">
      <c r="C928" s="85"/>
      <c r="F928" s="85"/>
      <c r="G928" s="85"/>
      <c r="H928" s="85"/>
    </row>
    <row r="929" ht="15.75" customHeight="1">
      <c r="C929" s="85"/>
      <c r="F929" s="85"/>
      <c r="G929" s="85"/>
      <c r="H929" s="85"/>
    </row>
    <row r="930" ht="15.75" customHeight="1">
      <c r="C930" s="85"/>
      <c r="F930" s="85"/>
      <c r="G930" s="85"/>
      <c r="H930" s="85"/>
    </row>
    <row r="931" ht="15.75" customHeight="1">
      <c r="C931" s="85"/>
      <c r="F931" s="85"/>
      <c r="G931" s="85"/>
      <c r="H931" s="85"/>
    </row>
    <row r="932" ht="15.75" customHeight="1">
      <c r="C932" s="85"/>
      <c r="F932" s="85"/>
      <c r="G932" s="85"/>
      <c r="H932" s="85"/>
    </row>
    <row r="933" ht="15.75" customHeight="1">
      <c r="C933" s="85"/>
      <c r="F933" s="85"/>
      <c r="G933" s="85"/>
      <c r="H933" s="85"/>
    </row>
    <row r="934" ht="15.75" customHeight="1">
      <c r="C934" s="85"/>
      <c r="F934" s="85"/>
      <c r="G934" s="85"/>
      <c r="H934" s="85"/>
    </row>
    <row r="935" ht="15.75" customHeight="1">
      <c r="C935" s="85"/>
      <c r="F935" s="85"/>
      <c r="G935" s="85"/>
      <c r="H935" s="85"/>
    </row>
    <row r="936" ht="15.75" customHeight="1">
      <c r="C936" s="85"/>
      <c r="F936" s="85"/>
      <c r="G936" s="85"/>
      <c r="H936" s="85"/>
    </row>
    <row r="937" ht="15.75" customHeight="1">
      <c r="C937" s="85"/>
      <c r="F937" s="85"/>
      <c r="G937" s="85"/>
      <c r="H937" s="85"/>
    </row>
    <row r="938" ht="15.75" customHeight="1">
      <c r="C938" s="85"/>
      <c r="F938" s="85"/>
      <c r="G938" s="85"/>
      <c r="H938" s="85"/>
    </row>
    <row r="939" ht="15.75" customHeight="1">
      <c r="C939" s="85"/>
      <c r="F939" s="85"/>
      <c r="G939" s="85"/>
      <c r="H939" s="85"/>
    </row>
    <row r="940" ht="15.75" customHeight="1">
      <c r="C940" s="85"/>
      <c r="F940" s="85"/>
      <c r="G940" s="85"/>
      <c r="H940" s="85"/>
    </row>
    <row r="941" ht="15.75" customHeight="1">
      <c r="C941" s="85"/>
      <c r="F941" s="85"/>
      <c r="G941" s="85"/>
      <c r="H941" s="85"/>
    </row>
    <row r="942" ht="15.75" customHeight="1">
      <c r="C942" s="85"/>
      <c r="F942" s="85"/>
      <c r="G942" s="85"/>
      <c r="H942" s="85"/>
    </row>
    <row r="943" ht="15.75" customHeight="1">
      <c r="C943" s="85"/>
      <c r="F943" s="85"/>
      <c r="G943" s="85"/>
      <c r="H943" s="85"/>
    </row>
    <row r="944" ht="15.75" customHeight="1">
      <c r="C944" s="85"/>
      <c r="F944" s="85"/>
      <c r="G944" s="85"/>
      <c r="H944" s="85"/>
    </row>
    <row r="945" ht="15.75" customHeight="1">
      <c r="C945" s="85"/>
      <c r="F945" s="85"/>
      <c r="G945" s="85"/>
      <c r="H945" s="85"/>
    </row>
    <row r="946" ht="15.75" customHeight="1">
      <c r="C946" s="85"/>
      <c r="F946" s="85"/>
      <c r="G946" s="85"/>
      <c r="H946" s="85"/>
    </row>
    <row r="947" ht="15.75" customHeight="1">
      <c r="C947" s="85"/>
      <c r="F947" s="85"/>
      <c r="G947" s="85"/>
      <c r="H947" s="85"/>
    </row>
    <row r="948" ht="15.75" customHeight="1">
      <c r="C948" s="85"/>
      <c r="F948" s="85"/>
      <c r="G948" s="85"/>
      <c r="H948" s="85"/>
    </row>
    <row r="949" ht="15.75" customHeight="1">
      <c r="C949" s="85"/>
      <c r="F949" s="85"/>
      <c r="G949" s="85"/>
      <c r="H949" s="85"/>
    </row>
    <row r="950" ht="15.75" customHeight="1">
      <c r="C950" s="85"/>
      <c r="F950" s="85"/>
      <c r="G950" s="85"/>
      <c r="H950" s="85"/>
    </row>
    <row r="951" ht="15.75" customHeight="1">
      <c r="C951" s="85"/>
      <c r="F951" s="85"/>
      <c r="G951" s="85"/>
      <c r="H951" s="85"/>
    </row>
    <row r="952" ht="15.75" customHeight="1">
      <c r="C952" s="85"/>
      <c r="F952" s="85"/>
      <c r="G952" s="85"/>
      <c r="H952" s="85"/>
    </row>
    <row r="953" ht="15.75" customHeight="1">
      <c r="C953" s="85"/>
      <c r="F953" s="85"/>
      <c r="G953" s="85"/>
      <c r="H953" s="85"/>
    </row>
    <row r="954" ht="15.75" customHeight="1">
      <c r="C954" s="85"/>
      <c r="F954" s="85"/>
      <c r="G954" s="85"/>
      <c r="H954" s="85"/>
    </row>
    <row r="955" ht="15.75" customHeight="1">
      <c r="C955" s="85"/>
      <c r="F955" s="85"/>
      <c r="G955" s="85"/>
      <c r="H955" s="85"/>
    </row>
    <row r="956" ht="15.75" customHeight="1">
      <c r="C956" s="85"/>
      <c r="F956" s="85"/>
      <c r="G956" s="85"/>
      <c r="H956" s="85"/>
    </row>
    <row r="957" ht="15.75" customHeight="1">
      <c r="C957" s="85"/>
      <c r="F957" s="85"/>
      <c r="G957" s="85"/>
      <c r="H957" s="85"/>
    </row>
    <row r="958" ht="15.75" customHeight="1">
      <c r="C958" s="85"/>
      <c r="F958" s="85"/>
      <c r="G958" s="85"/>
      <c r="H958" s="85"/>
    </row>
    <row r="959" ht="15.75" customHeight="1">
      <c r="C959" s="85"/>
      <c r="F959" s="85"/>
      <c r="G959" s="85"/>
      <c r="H959" s="85"/>
    </row>
    <row r="960" ht="15.75" customHeight="1">
      <c r="C960" s="85"/>
      <c r="F960" s="85"/>
      <c r="G960" s="85"/>
      <c r="H960" s="85"/>
    </row>
    <row r="961" ht="15.75" customHeight="1">
      <c r="C961" s="85"/>
      <c r="F961" s="85"/>
      <c r="G961" s="85"/>
      <c r="H961" s="85"/>
    </row>
    <row r="962" ht="15.75" customHeight="1">
      <c r="C962" s="85"/>
      <c r="F962" s="85"/>
      <c r="G962" s="85"/>
      <c r="H962" s="85"/>
    </row>
    <row r="963" ht="15.75" customHeight="1">
      <c r="C963" s="85"/>
      <c r="F963" s="85"/>
      <c r="G963" s="85"/>
      <c r="H963" s="85"/>
    </row>
    <row r="964" ht="15.75" customHeight="1">
      <c r="C964" s="85"/>
      <c r="F964" s="85"/>
      <c r="G964" s="85"/>
      <c r="H964" s="85"/>
    </row>
    <row r="965" ht="15.75" customHeight="1">
      <c r="C965" s="85"/>
      <c r="F965" s="85"/>
      <c r="G965" s="85"/>
      <c r="H965" s="85"/>
    </row>
    <row r="966" ht="15.75" customHeight="1">
      <c r="C966" s="85"/>
      <c r="F966" s="85"/>
      <c r="G966" s="85"/>
      <c r="H966" s="85"/>
    </row>
    <row r="967" ht="15.75" customHeight="1">
      <c r="C967" s="85"/>
      <c r="F967" s="85"/>
      <c r="G967" s="85"/>
      <c r="H967" s="85"/>
    </row>
    <row r="968" ht="15.75" customHeight="1">
      <c r="C968" s="85"/>
      <c r="F968" s="85"/>
      <c r="G968" s="85"/>
      <c r="H968" s="85"/>
    </row>
    <row r="969" ht="15.75" customHeight="1">
      <c r="C969" s="85"/>
      <c r="F969" s="85"/>
      <c r="G969" s="85"/>
      <c r="H969" s="85"/>
    </row>
    <row r="970" ht="15.75" customHeight="1">
      <c r="C970" s="85"/>
      <c r="F970" s="85"/>
      <c r="G970" s="85"/>
      <c r="H970" s="85"/>
    </row>
    <row r="971" ht="15.75" customHeight="1">
      <c r="C971" s="85"/>
      <c r="F971" s="85"/>
      <c r="G971" s="85"/>
      <c r="H971" s="85"/>
    </row>
    <row r="972" ht="15.75" customHeight="1">
      <c r="C972" s="85"/>
      <c r="F972" s="85"/>
      <c r="G972" s="85"/>
      <c r="H972" s="85"/>
    </row>
    <row r="973" ht="15.75" customHeight="1">
      <c r="C973" s="85"/>
      <c r="F973" s="85"/>
      <c r="G973" s="85"/>
      <c r="H973" s="85"/>
    </row>
    <row r="974" ht="15.75" customHeight="1">
      <c r="C974" s="85"/>
      <c r="F974" s="85"/>
      <c r="G974" s="85"/>
      <c r="H974" s="85"/>
    </row>
    <row r="975" ht="15.75" customHeight="1">
      <c r="C975" s="85"/>
      <c r="F975" s="85"/>
      <c r="G975" s="85"/>
      <c r="H975" s="85"/>
    </row>
    <row r="976" ht="15.75" customHeight="1">
      <c r="C976" s="85"/>
      <c r="F976" s="85"/>
      <c r="G976" s="85"/>
      <c r="H976" s="85"/>
    </row>
    <row r="977" ht="15.75" customHeight="1">
      <c r="C977" s="85"/>
      <c r="F977" s="85"/>
      <c r="G977" s="85"/>
      <c r="H977" s="85"/>
    </row>
    <row r="978" ht="15.75" customHeight="1">
      <c r="C978" s="85"/>
      <c r="F978" s="85"/>
      <c r="G978" s="85"/>
      <c r="H978" s="85"/>
    </row>
    <row r="979" ht="15.75" customHeight="1">
      <c r="C979" s="85"/>
      <c r="F979" s="85"/>
      <c r="G979" s="85"/>
      <c r="H979" s="85"/>
    </row>
    <row r="980" ht="15.75" customHeight="1">
      <c r="C980" s="85"/>
      <c r="F980" s="85"/>
      <c r="G980" s="85"/>
      <c r="H980" s="85"/>
    </row>
    <row r="981" ht="15.75" customHeight="1">
      <c r="C981" s="85"/>
      <c r="F981" s="85"/>
      <c r="G981" s="85"/>
      <c r="H981" s="85"/>
    </row>
    <row r="982" ht="15.75" customHeight="1">
      <c r="C982" s="85"/>
      <c r="F982" s="85"/>
      <c r="G982" s="85"/>
      <c r="H982" s="85"/>
    </row>
    <row r="983" ht="15.75" customHeight="1">
      <c r="C983" s="85"/>
      <c r="F983" s="85"/>
      <c r="G983" s="85"/>
      <c r="H983" s="85"/>
    </row>
    <row r="984" ht="15.75" customHeight="1">
      <c r="C984" s="85"/>
      <c r="F984" s="85"/>
      <c r="G984" s="85"/>
      <c r="H984" s="85"/>
    </row>
    <row r="985" ht="15.75" customHeight="1">
      <c r="C985" s="85"/>
      <c r="F985" s="85"/>
      <c r="G985" s="85"/>
      <c r="H985" s="85"/>
    </row>
    <row r="986" ht="15.75" customHeight="1">
      <c r="C986" s="85"/>
      <c r="F986" s="85"/>
      <c r="G986" s="85"/>
      <c r="H986" s="85"/>
    </row>
    <row r="987" ht="15.75" customHeight="1">
      <c r="C987" s="85"/>
      <c r="F987" s="85"/>
      <c r="G987" s="85"/>
      <c r="H987" s="85"/>
    </row>
    <row r="988" ht="15.75" customHeight="1">
      <c r="C988" s="85"/>
      <c r="F988" s="85"/>
      <c r="G988" s="85"/>
      <c r="H988" s="85"/>
    </row>
    <row r="989" ht="15.75" customHeight="1">
      <c r="C989" s="85"/>
      <c r="F989" s="85"/>
      <c r="G989" s="85"/>
      <c r="H989" s="85"/>
    </row>
    <row r="990" ht="15.75" customHeight="1">
      <c r="C990" s="85"/>
      <c r="F990" s="85"/>
      <c r="G990" s="85"/>
      <c r="H990" s="85"/>
    </row>
    <row r="991" ht="15.75" customHeight="1">
      <c r="C991" s="85"/>
      <c r="F991" s="85"/>
      <c r="G991" s="85"/>
      <c r="H991" s="85"/>
    </row>
    <row r="992" ht="15.75" customHeight="1">
      <c r="C992" s="85"/>
      <c r="F992" s="85"/>
      <c r="G992" s="85"/>
      <c r="H992" s="85"/>
    </row>
    <row r="993" ht="15.75" customHeight="1">
      <c r="C993" s="85"/>
      <c r="F993" s="85"/>
      <c r="G993" s="85"/>
      <c r="H993" s="85"/>
    </row>
    <row r="994" ht="15.75" customHeight="1">
      <c r="C994" s="85"/>
      <c r="F994" s="85"/>
      <c r="G994" s="85"/>
      <c r="H994" s="85"/>
    </row>
    <row r="995" ht="15.75" customHeight="1">
      <c r="C995" s="85"/>
      <c r="F995" s="85"/>
      <c r="G995" s="85"/>
      <c r="H995" s="85"/>
    </row>
    <row r="996" ht="15.75" customHeight="1">
      <c r="C996" s="85"/>
      <c r="F996" s="85"/>
      <c r="G996" s="85"/>
      <c r="H996" s="85"/>
    </row>
    <row r="997" ht="15.75" customHeight="1">
      <c r="C997" s="85"/>
      <c r="F997" s="85"/>
      <c r="G997" s="85"/>
      <c r="H997" s="85"/>
    </row>
    <row r="998" ht="15.75" customHeight="1">
      <c r="C998" s="85"/>
      <c r="F998" s="85"/>
      <c r="G998" s="85"/>
      <c r="H998" s="85"/>
    </row>
    <row r="999" ht="15.75" customHeight="1">
      <c r="C999" s="85"/>
      <c r="F999" s="85"/>
      <c r="G999" s="85"/>
      <c r="H999" s="85"/>
    </row>
    <row r="1000" ht="15.75" customHeight="1">
      <c r="C1000" s="85"/>
      <c r="F1000" s="85"/>
      <c r="G1000" s="85"/>
      <c r="H1000" s="85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2.75"/>
    <col customWidth="1" min="3" max="3" width="37.38"/>
    <col customWidth="1" min="4" max="4" width="19.13"/>
    <col customWidth="1" min="5" max="5" width="71.63"/>
    <col customWidth="1" min="6" max="6" width="12.0"/>
    <col customWidth="1" min="7" max="7" width="14.38"/>
    <col customWidth="1" min="8" max="8" width="28.88"/>
    <col customWidth="1" min="9" max="26" width="8.63"/>
  </cols>
  <sheetData>
    <row r="1">
      <c r="A1" s="72" t="s">
        <v>102</v>
      </c>
      <c r="B1" s="102" t="s">
        <v>965</v>
      </c>
      <c r="C1" s="102" t="s">
        <v>966</v>
      </c>
      <c r="D1" s="102" t="s">
        <v>967</v>
      </c>
      <c r="E1" s="102" t="s">
        <v>968</v>
      </c>
      <c r="F1" s="102" t="s">
        <v>969</v>
      </c>
      <c r="G1" s="102" t="s">
        <v>970</v>
      </c>
      <c r="H1" s="102" t="s">
        <v>971</v>
      </c>
    </row>
    <row r="2">
      <c r="A2" s="72" t="s">
        <v>9</v>
      </c>
      <c r="B2" s="72" t="s">
        <v>972</v>
      </c>
      <c r="C2" s="72" t="str">
        <f>TRIM(dim_lab_sca_rates!$A2&amp;"|"&amp;dim_lab_sca_rates!$D2&amp;"|"&amp;dim_lab_sca_rates!$F2)</f>
        <v>C000015128|Amph|10 Day</v>
      </c>
      <c r="D2" s="72" t="s">
        <v>973</v>
      </c>
      <c r="E2" s="72" t="s">
        <v>974</v>
      </c>
      <c r="F2" s="72" t="s">
        <v>975</v>
      </c>
      <c r="G2" s="76">
        <v>275.0</v>
      </c>
      <c r="H2" s="72" t="str">
        <f>dim_lab_sca_rates!$A2&amp;"|"&amp;dim_lab_sca_rates!$B2&amp;"|"&amp;dim_lab_sca_rates!$F2</f>
        <v>C000015128|LMPACM56|10 Day</v>
      </c>
    </row>
    <row r="3">
      <c r="A3" s="72" t="s">
        <v>9</v>
      </c>
      <c r="B3" s="72" t="s">
        <v>972</v>
      </c>
      <c r="C3" s="72" t="str">
        <f>TRIM(dim_lab_sca_rates!$A3&amp;"|"&amp;dim_lab_sca_rates!$D3&amp;"|"&amp;dim_lab_sca_rates!$F3)</f>
        <v>C000015128|Amph|2 Day</v>
      </c>
      <c r="D3" s="72" t="s">
        <v>973</v>
      </c>
      <c r="E3" s="72" t="s">
        <v>974</v>
      </c>
      <c r="F3" s="72" t="s">
        <v>976</v>
      </c>
      <c r="G3" s="76">
        <v>550.0</v>
      </c>
      <c r="H3" s="72" t="str">
        <f>dim_lab_sca_rates!$A3&amp;"|"&amp;dim_lab_sca_rates!$B3&amp;"|"&amp;dim_lab_sca_rates!$F3</f>
        <v>C000015128|LMPACM56|2 Day</v>
      </c>
    </row>
    <row r="4">
      <c r="A4" s="72" t="s">
        <v>9</v>
      </c>
      <c r="B4" s="72" t="s">
        <v>972</v>
      </c>
      <c r="C4" s="72" t="str">
        <f>TRIM(dim_lab_sca_rates!$A4&amp;"|"&amp;dim_lab_sca_rates!$D4&amp;"|"&amp;dim_lab_sca_rates!$F4)</f>
        <v>C000015128|Amph|5 Day</v>
      </c>
      <c r="D4" s="72" t="s">
        <v>973</v>
      </c>
      <c r="E4" s="72" t="s">
        <v>974</v>
      </c>
      <c r="F4" s="72" t="s">
        <v>977</v>
      </c>
      <c r="G4" s="76">
        <v>375.0</v>
      </c>
      <c r="H4" s="72" t="str">
        <f>dim_lab_sca_rates!$A4&amp;"|"&amp;dim_lab_sca_rates!$B4&amp;"|"&amp;dim_lab_sca_rates!$F4</f>
        <v>C000015128|LMPACM56|5 Day</v>
      </c>
    </row>
    <row r="5">
      <c r="A5" s="72" t="s">
        <v>9</v>
      </c>
      <c r="B5" s="72" t="s">
        <v>978</v>
      </c>
      <c r="C5" s="72" t="str">
        <f>TRIM(dim_lab_sca_rates!$A5&amp;"|"&amp;dim_lab_sca_rates!$D5&amp;"|"&amp;dim_lab_sca_rates!$F5)</f>
        <v>C000015128|Chrys|2 Day</v>
      </c>
      <c r="D5" s="72" t="s">
        <v>979</v>
      </c>
      <c r="E5" s="72" t="s">
        <v>980</v>
      </c>
      <c r="F5" s="72" t="s">
        <v>976</v>
      </c>
      <c r="G5" s="76">
        <v>400.0</v>
      </c>
      <c r="H5" s="72" t="str">
        <f>dim_lab_sca_rates!$A5&amp;"|"&amp;dim_lab_sca_rates!$B5&amp;"|"&amp;dim_lab_sca_rates!$F5</f>
        <v>C000015128|LMPACM58|2 Day</v>
      </c>
    </row>
    <row r="6">
      <c r="A6" s="72" t="s">
        <v>9</v>
      </c>
      <c r="B6" s="72" t="s">
        <v>978</v>
      </c>
      <c r="C6" s="72" t="str">
        <f>TRIM(dim_lab_sca_rates!$A6&amp;"|"&amp;dim_lab_sca_rates!$D6&amp;"|"&amp;dim_lab_sca_rates!$F6)</f>
        <v>C000015128|Chrys|5 Day</v>
      </c>
      <c r="D6" s="72" t="s">
        <v>979</v>
      </c>
      <c r="E6" s="72" t="s">
        <v>980</v>
      </c>
      <c r="F6" s="72" t="s">
        <v>977</v>
      </c>
      <c r="G6" s="76">
        <v>310.0</v>
      </c>
      <c r="H6" s="72" t="str">
        <f>dim_lab_sca_rates!$A6&amp;"|"&amp;dim_lab_sca_rates!$B6&amp;"|"&amp;dim_lab_sca_rates!$F6</f>
        <v>C000015128|LMPACM58|5 Day</v>
      </c>
    </row>
    <row r="7">
      <c r="A7" s="72" t="s">
        <v>9</v>
      </c>
      <c r="B7" s="72" t="s">
        <v>978</v>
      </c>
      <c r="C7" s="72" t="str">
        <f>TRIM(dim_lab_sca_rates!$A7&amp;"|"&amp;dim_lab_sca_rates!$D7&amp;"|"&amp;dim_lab_sca_rates!$F7)</f>
        <v>C000015128|Chrys|10 Day</v>
      </c>
      <c r="D7" s="72" t="s">
        <v>979</v>
      </c>
      <c r="E7" s="72" t="s">
        <v>980</v>
      </c>
      <c r="F7" s="72" t="s">
        <v>975</v>
      </c>
      <c r="G7" s="76">
        <v>225.0</v>
      </c>
      <c r="H7" s="72" t="str">
        <f>dim_lab_sca_rates!$A7&amp;"|"&amp;dim_lab_sca_rates!$B7&amp;"|"&amp;dim_lab_sca_rates!$F7</f>
        <v>C000015128|LMPACM58|10 Day</v>
      </c>
    </row>
    <row r="8">
      <c r="A8" s="72" t="s">
        <v>9</v>
      </c>
      <c r="B8" s="72" t="s">
        <v>981</v>
      </c>
      <c r="C8" s="72" t="str">
        <f>TRIM(dim_lab_sca_rates!$A8&amp;"|"&amp;dim_lab_sca_rates!$D8&amp;"|"&amp;dim_lab_sca_rates!$F8)</f>
        <v>C000015128|PLM|1 Hr</v>
      </c>
      <c r="D8" s="72" t="s">
        <v>982</v>
      </c>
      <c r="E8" s="72" t="s">
        <v>983</v>
      </c>
      <c r="F8" s="72" t="s">
        <v>984</v>
      </c>
      <c r="G8" s="76">
        <v>30.0</v>
      </c>
      <c r="H8" s="72" t="str">
        <f>dim_lab_sca_rates!$A8&amp;"|"&amp;dim_lab_sca_rates!$B8&amp;"|"&amp;dim_lab_sca_rates!$F8</f>
        <v>C000015128|LMPACMC1|1 Hr</v>
      </c>
    </row>
    <row r="9">
      <c r="A9" s="72" t="s">
        <v>9</v>
      </c>
      <c r="B9" s="72" t="s">
        <v>981</v>
      </c>
      <c r="C9" s="72" t="str">
        <f>TRIM(dim_lab_sca_rates!$A9&amp;"|"&amp;dim_lab_sca_rates!$D9&amp;"|"&amp;dim_lab_sca_rates!$F9)</f>
        <v>C000015128|PLM|24 Hr</v>
      </c>
      <c r="D9" s="72" t="s">
        <v>982</v>
      </c>
      <c r="E9" s="72" t="s">
        <v>983</v>
      </c>
      <c r="F9" s="72" t="s">
        <v>985</v>
      </c>
      <c r="G9" s="76">
        <v>22.0</v>
      </c>
      <c r="H9" s="72" t="str">
        <f>dim_lab_sca_rates!$A9&amp;"|"&amp;dim_lab_sca_rates!$B9&amp;"|"&amp;dim_lab_sca_rates!$F9</f>
        <v>C000015128|LMPACMC1|24 Hr</v>
      </c>
    </row>
    <row r="10">
      <c r="A10" s="72" t="s">
        <v>9</v>
      </c>
      <c r="B10" s="72" t="s">
        <v>981</v>
      </c>
      <c r="C10" s="72" t="str">
        <f>TRIM(dim_lab_sca_rates!$A10&amp;"|"&amp;dim_lab_sca_rates!$D10&amp;"|"&amp;dim_lab_sca_rates!$F10)</f>
        <v>C000015128|PLM|6 Hr</v>
      </c>
      <c r="D10" s="72" t="s">
        <v>982</v>
      </c>
      <c r="E10" s="72" t="s">
        <v>983</v>
      </c>
      <c r="F10" s="72" t="s">
        <v>986</v>
      </c>
      <c r="G10" s="76">
        <v>25.0</v>
      </c>
      <c r="H10" s="72" t="str">
        <f>dim_lab_sca_rates!$A10&amp;"|"&amp;dim_lab_sca_rates!$B10&amp;"|"&amp;dim_lab_sca_rates!$F10</f>
        <v>C000015128|LMPACMC1|6 Hr</v>
      </c>
    </row>
    <row r="11">
      <c r="A11" s="72" t="s">
        <v>9</v>
      </c>
      <c r="B11" s="72" t="s">
        <v>987</v>
      </c>
      <c r="C11" s="72" t="str">
        <f>TRIM(dim_lab_sca_rates!$A11&amp;"|"&amp;dim_lab_sca_rates!$D11&amp;"|"&amp;dim_lab_sca_rates!$F11)</f>
        <v>C000015128|PCM|6 Hr</v>
      </c>
      <c r="D11" s="72" t="s">
        <v>988</v>
      </c>
      <c r="E11" s="72" t="s">
        <v>989</v>
      </c>
      <c r="F11" s="72" t="s">
        <v>986</v>
      </c>
      <c r="G11" s="76">
        <v>22.0</v>
      </c>
      <c r="H11" s="72" t="str">
        <f>dim_lab_sca_rates!$A11&amp;"|"&amp;dim_lab_sca_rates!$B11&amp;"|"&amp;dim_lab_sca_rates!$F11</f>
        <v>C000015128|LMPACMC2|6 Hr</v>
      </c>
    </row>
    <row r="12">
      <c r="A12" s="72" t="s">
        <v>9</v>
      </c>
      <c r="B12" s="72" t="s">
        <v>987</v>
      </c>
      <c r="C12" s="72" t="str">
        <f>TRIM(dim_lab_sca_rates!$A12&amp;"|"&amp;dim_lab_sca_rates!$D12&amp;"|"&amp;dim_lab_sca_rates!$F12)</f>
        <v>C000015128|PCM|1 Hr</v>
      </c>
      <c r="D12" s="72" t="s">
        <v>988</v>
      </c>
      <c r="E12" s="72" t="s">
        <v>989</v>
      </c>
      <c r="F12" s="72" t="s">
        <v>984</v>
      </c>
      <c r="G12" s="76">
        <v>25.0</v>
      </c>
      <c r="H12" s="72" t="str">
        <f>dim_lab_sca_rates!$A12&amp;"|"&amp;dim_lab_sca_rates!$B12&amp;"|"&amp;dim_lab_sca_rates!$F12</f>
        <v>C000015128|LMPACMC2|1 Hr</v>
      </c>
    </row>
    <row r="13">
      <c r="A13" s="72" t="s">
        <v>9</v>
      </c>
      <c r="B13" s="72" t="s">
        <v>987</v>
      </c>
      <c r="C13" s="72" t="str">
        <f>TRIM(dim_lab_sca_rates!$A13&amp;"|"&amp;dim_lab_sca_rates!$D13&amp;"|"&amp;dim_lab_sca_rates!$F13)</f>
        <v>C000015128|PCM|24 Hr</v>
      </c>
      <c r="D13" s="72" t="s">
        <v>988</v>
      </c>
      <c r="E13" s="72" t="s">
        <v>989</v>
      </c>
      <c r="F13" s="72" t="s">
        <v>985</v>
      </c>
      <c r="G13" s="76">
        <v>20.0</v>
      </c>
      <c r="H13" s="72" t="str">
        <f>dim_lab_sca_rates!$A13&amp;"|"&amp;dim_lab_sca_rates!$B13&amp;"|"&amp;dim_lab_sca_rates!$F13</f>
        <v>C000015128|LMPACMC2|24 Hr</v>
      </c>
    </row>
    <row r="14">
      <c r="A14" s="72" t="s">
        <v>9</v>
      </c>
      <c r="B14" s="72" t="s">
        <v>990</v>
      </c>
      <c r="C14" s="72" t="str">
        <f>TRIM(dim_lab_sca_rates!$A14&amp;"|"&amp;dim_lab_sca_rates!$D14&amp;"|"&amp;dim_lab_sca_rates!$F14)</f>
        <v>C000015128|TEM|3 Hr</v>
      </c>
      <c r="D14" s="72" t="s">
        <v>830</v>
      </c>
      <c r="E14" s="72" t="s">
        <v>991</v>
      </c>
      <c r="F14" s="72" t="s">
        <v>992</v>
      </c>
      <c r="G14" s="76">
        <v>145.0</v>
      </c>
      <c r="H14" s="72" t="str">
        <f>dim_lab_sca_rates!$A14&amp;"|"&amp;dim_lab_sca_rates!$B14&amp;"|"&amp;dim_lab_sca_rates!$F14</f>
        <v>C000015128|LMPACMC3|3 Hr</v>
      </c>
    </row>
    <row r="15">
      <c r="A15" s="72" t="s">
        <v>9</v>
      </c>
      <c r="B15" s="72" t="s">
        <v>990</v>
      </c>
      <c r="C15" s="72" t="str">
        <f>TRIM(dim_lab_sca_rates!$A15&amp;"|"&amp;dim_lab_sca_rates!$D15&amp;"|"&amp;dim_lab_sca_rates!$F15)</f>
        <v>C000015128|TEM|6 Hr</v>
      </c>
      <c r="D15" s="72" t="s">
        <v>830</v>
      </c>
      <c r="E15" s="72" t="s">
        <v>991</v>
      </c>
      <c r="F15" s="72" t="s">
        <v>986</v>
      </c>
      <c r="G15" s="76">
        <v>130.0</v>
      </c>
      <c r="H15" s="72" t="str">
        <f>dim_lab_sca_rates!$A15&amp;"|"&amp;dim_lab_sca_rates!$B15&amp;"|"&amp;dim_lab_sca_rates!$F15</f>
        <v>C000015128|LMPACMC3|6 Hr</v>
      </c>
    </row>
    <row r="16">
      <c r="A16" s="72" t="s">
        <v>9</v>
      </c>
      <c r="B16" s="72" t="s">
        <v>990</v>
      </c>
      <c r="C16" s="72" t="str">
        <f>TRIM(dim_lab_sca_rates!$A16&amp;"|"&amp;dim_lab_sca_rates!$D16&amp;"|"&amp;dim_lab_sca_rates!$F16)</f>
        <v>C000015128|TEM|24 Hr</v>
      </c>
      <c r="D16" s="72" t="s">
        <v>830</v>
      </c>
      <c r="E16" s="72" t="s">
        <v>991</v>
      </c>
      <c r="F16" s="72" t="s">
        <v>985</v>
      </c>
      <c r="G16" s="76">
        <v>100.0</v>
      </c>
      <c r="H16" s="72" t="str">
        <f>dim_lab_sca_rates!$A16&amp;"|"&amp;dim_lab_sca_rates!$B16&amp;"|"&amp;dim_lab_sca_rates!$F16</f>
        <v>C000015128|LMPACMC3|24 Hr</v>
      </c>
    </row>
    <row r="17">
      <c r="A17" s="72" t="s">
        <v>9</v>
      </c>
      <c r="B17" s="72" t="s">
        <v>993</v>
      </c>
      <c r="C17" s="72" t="str">
        <f>TRIM(dim_lab_sca_rates!$A17&amp;"|"&amp;dim_lab_sca_rates!$D17&amp;"|"&amp;dim_lab_sca_rates!$F17)</f>
        <v>C000015128|NOB-PLM|24 Hr</v>
      </c>
      <c r="D17" s="72" t="s">
        <v>994</v>
      </c>
      <c r="E17" s="72" t="s">
        <v>995</v>
      </c>
      <c r="F17" s="72" t="s">
        <v>985</v>
      </c>
      <c r="G17" s="76">
        <v>35.0</v>
      </c>
      <c r="H17" s="72" t="str">
        <f>dim_lab_sca_rates!$A17&amp;"|"&amp;dim_lab_sca_rates!$B17&amp;"|"&amp;dim_lab_sca_rates!$F17</f>
        <v>C000015128|LMPACMC4|24 Hr</v>
      </c>
    </row>
    <row r="18">
      <c r="A18" s="72" t="s">
        <v>9</v>
      </c>
      <c r="B18" s="72" t="s">
        <v>996</v>
      </c>
      <c r="C18" s="72" t="str">
        <f>TRIM(dim_lab_sca_rates!$A18&amp;"|"&amp;dim_lab_sca_rates!$D18&amp;"|"&amp;dim_lab_sca_rates!$F18)</f>
        <v>C000015128|NOB-TEM|24 Hr</v>
      </c>
      <c r="D18" s="72" t="s">
        <v>997</v>
      </c>
      <c r="E18" s="72" t="s">
        <v>998</v>
      </c>
      <c r="F18" s="72" t="s">
        <v>985</v>
      </c>
      <c r="G18" s="76">
        <v>70.0</v>
      </c>
      <c r="H18" s="72" t="str">
        <f>dim_lab_sca_rates!$A18&amp;"|"&amp;dim_lab_sca_rates!$B18&amp;"|"&amp;dim_lab_sca_rates!$F18</f>
        <v>C000015128|LMPACMC5|24 Hr</v>
      </c>
    </row>
    <row r="19">
      <c r="A19" s="72" t="s">
        <v>9</v>
      </c>
      <c r="B19" s="72" t="s">
        <v>999</v>
      </c>
      <c r="C19" s="72" t="str">
        <f>TRIM(dim_lab_sca_rates!$A19&amp;"|"&amp;dim_lab_sca_rates!$D19&amp;"|"&amp;dim_lab_sca_rates!$F19)</f>
        <v>C000015128|SLIDE PREP|0 Hr</v>
      </c>
      <c r="D19" s="72" t="s">
        <v>1000</v>
      </c>
      <c r="E19" s="72" t="s">
        <v>1001</v>
      </c>
      <c r="F19" s="72" t="s">
        <v>1002</v>
      </c>
      <c r="G19" s="76">
        <v>20.0</v>
      </c>
      <c r="H19" s="72" t="str">
        <f>dim_lab_sca_rates!$A19&amp;"|"&amp;dim_lab_sca_rates!$B19&amp;"|"&amp;dim_lab_sca_rates!$F19</f>
        <v>C000015128|LMPACMC6|0 Hr</v>
      </c>
    </row>
    <row r="20">
      <c r="A20" s="72" t="s">
        <v>9</v>
      </c>
      <c r="B20" s="72" t="s">
        <v>1003</v>
      </c>
      <c r="C20" s="72" t="str">
        <f>TRIM(dim_lab_sca_rates!$A20&amp;"|"&amp;dim_lab_sca_rates!$D20&amp;"|"&amp;dim_lab_sca_rates!$F20)</f>
        <v>C000015128|Paint Chip|48 Hr</v>
      </c>
      <c r="D20" s="72" t="s">
        <v>1004</v>
      </c>
      <c r="E20" s="72" t="s">
        <v>1005</v>
      </c>
      <c r="F20" s="72" t="s">
        <v>1006</v>
      </c>
      <c r="G20" s="76">
        <v>25.0</v>
      </c>
      <c r="H20" s="72" t="str">
        <f>dim_lab_sca_rates!$A20&amp;"|"&amp;dim_lab_sca_rates!$B20&amp;"|"&amp;dim_lab_sca_rates!$F20</f>
        <v>C000015128|LMPLBP54|48 Hr</v>
      </c>
    </row>
    <row r="21" ht="15.75" customHeight="1">
      <c r="A21" s="72" t="s">
        <v>9</v>
      </c>
      <c r="B21" s="72" t="s">
        <v>1003</v>
      </c>
      <c r="C21" s="72" t="str">
        <f>TRIM(dim_lab_sca_rates!$A21&amp;"|"&amp;dim_lab_sca_rates!$D21&amp;"|"&amp;dim_lab_sca_rates!$F21)</f>
        <v>C000015128|Paint Chip|24 Hr</v>
      </c>
      <c r="D21" s="72" t="s">
        <v>1004</v>
      </c>
      <c r="E21" s="72" t="s">
        <v>1005</v>
      </c>
      <c r="F21" s="72" t="s">
        <v>985</v>
      </c>
      <c r="G21" s="76">
        <v>28.75</v>
      </c>
      <c r="H21" s="72" t="str">
        <f>dim_lab_sca_rates!$A21&amp;"|"&amp;dim_lab_sca_rates!$B21&amp;"|"&amp;dim_lab_sca_rates!$F21</f>
        <v>C000015128|LMPLBP54|24 Hr</v>
      </c>
    </row>
    <row r="22" ht="15.75" customHeight="1">
      <c r="A22" s="72" t="s">
        <v>9</v>
      </c>
      <c r="B22" s="72" t="s">
        <v>1003</v>
      </c>
      <c r="C22" s="72" t="str">
        <f>TRIM(dim_lab_sca_rates!$A22&amp;"|"&amp;dim_lab_sca_rates!$D22&amp;"|"&amp;dim_lab_sca_rates!$F22)</f>
        <v>C000015128|Paint Chip|12 Hr</v>
      </c>
      <c r="D22" s="72" t="s">
        <v>1004</v>
      </c>
      <c r="E22" s="72" t="s">
        <v>1005</v>
      </c>
      <c r="F22" s="72" t="s">
        <v>1007</v>
      </c>
      <c r="G22" s="76">
        <v>30.0</v>
      </c>
      <c r="H22" s="72" t="str">
        <f>dim_lab_sca_rates!$A22&amp;"|"&amp;dim_lab_sca_rates!$B22&amp;"|"&amp;dim_lab_sca_rates!$F22</f>
        <v>C000015128|LMPLBP54|12 Hr</v>
      </c>
    </row>
    <row r="23" ht="15.75" customHeight="1">
      <c r="A23" s="72" t="s">
        <v>9</v>
      </c>
      <c r="B23" s="72" t="s">
        <v>1003</v>
      </c>
      <c r="C23" s="72" t="str">
        <f>TRIM(dim_lab_sca_rates!$A23&amp;"|"&amp;dim_lab_sca_rates!$D23&amp;"|"&amp;dim_lab_sca_rates!$F23)</f>
        <v>C000015128|Paint Chip|72 Hr</v>
      </c>
      <c r="D23" s="72" t="s">
        <v>1004</v>
      </c>
      <c r="E23" s="72" t="s">
        <v>1005</v>
      </c>
      <c r="F23" s="72" t="s">
        <v>1008</v>
      </c>
      <c r="G23" s="76">
        <v>22.5</v>
      </c>
      <c r="H23" s="72" t="str">
        <f>dim_lab_sca_rates!$A23&amp;"|"&amp;dim_lab_sca_rates!$B23&amp;"|"&amp;dim_lab_sca_rates!$F23</f>
        <v>C000015128|LMPLBP54|72 Hr</v>
      </c>
    </row>
    <row r="24" ht="15.75" customHeight="1">
      <c r="A24" s="72" t="s">
        <v>9</v>
      </c>
      <c r="B24" s="72" t="s">
        <v>1009</v>
      </c>
      <c r="C24" s="72" t="str">
        <f>TRIM(dim_lab_sca_rates!$A24&amp;"|"&amp;dim_lab_sca_rates!$D24&amp;"|"&amp;dim_lab_sca_rates!$F24)</f>
        <v>C000015128|LWS|12 Hr</v>
      </c>
      <c r="D24" s="72" t="s">
        <v>1010</v>
      </c>
      <c r="E24" s="72" t="s">
        <v>1011</v>
      </c>
      <c r="F24" s="72" t="s">
        <v>1007</v>
      </c>
      <c r="G24" s="76">
        <v>24.7</v>
      </c>
      <c r="H24" s="72" t="str">
        <f>dim_lab_sca_rates!$A24&amp;"|"&amp;dim_lab_sca_rates!$B24&amp;"|"&amp;dim_lab_sca_rates!$F24</f>
        <v>C000015128|LMPLBPC10|12 Hr</v>
      </c>
    </row>
    <row r="25" ht="15.75" customHeight="1">
      <c r="A25" s="72" t="s">
        <v>9</v>
      </c>
      <c r="B25" s="72" t="s">
        <v>1009</v>
      </c>
      <c r="C25" s="72" t="str">
        <f>TRIM(dim_lab_sca_rates!$A25&amp;"|"&amp;dim_lab_sca_rates!$D25&amp;"|"&amp;dim_lab_sca_rates!$F25)</f>
        <v>C000015128|LWS|24 Hr</v>
      </c>
      <c r="D25" s="72" t="s">
        <v>1010</v>
      </c>
      <c r="E25" s="72" t="s">
        <v>1011</v>
      </c>
      <c r="F25" s="72" t="s">
        <v>985</v>
      </c>
      <c r="G25" s="76">
        <v>23.4</v>
      </c>
      <c r="H25" s="72" t="str">
        <f>dim_lab_sca_rates!$A25&amp;"|"&amp;dim_lab_sca_rates!$B25&amp;"|"&amp;dim_lab_sca_rates!$F25</f>
        <v>C000015128|LMPLBPC10|24 Hr</v>
      </c>
    </row>
    <row r="26" ht="15.75" customHeight="1">
      <c r="A26" s="72" t="s">
        <v>9</v>
      </c>
      <c r="B26" s="72" t="s">
        <v>1009</v>
      </c>
      <c r="C26" s="72" t="str">
        <f>TRIM(dim_lab_sca_rates!$A26&amp;"|"&amp;dim_lab_sca_rates!$D26&amp;"|"&amp;dim_lab_sca_rates!$F26)</f>
        <v>C000015128|LWS|6 Hr</v>
      </c>
      <c r="D26" s="72" t="s">
        <v>1010</v>
      </c>
      <c r="E26" s="72" t="s">
        <v>1011</v>
      </c>
      <c r="F26" s="72" t="s">
        <v>986</v>
      </c>
      <c r="G26" s="76">
        <v>26.0</v>
      </c>
      <c r="H26" s="72" t="str">
        <f>dim_lab_sca_rates!$A26&amp;"|"&amp;dim_lab_sca_rates!$B26&amp;"|"&amp;dim_lab_sca_rates!$F26</f>
        <v>C000015128|LMPLBPC10|6 Hr</v>
      </c>
    </row>
    <row r="27" ht="15.75" customHeight="1">
      <c r="A27" s="72" t="s">
        <v>9</v>
      </c>
      <c r="B27" s="72" t="s">
        <v>1012</v>
      </c>
      <c r="C27" s="72" t="str">
        <f>TRIM(dim_lab_sca_rates!$A27&amp;"|"&amp;dim_lab_sca_rates!$D27&amp;"|"&amp;dim_lab_sca_rates!$F27)</f>
        <v>C000015128|Lead In Air|24 Hr</v>
      </c>
      <c r="D27" s="72" t="s">
        <v>1013</v>
      </c>
      <c r="E27" s="72" t="s">
        <v>1014</v>
      </c>
      <c r="F27" s="72" t="s">
        <v>985</v>
      </c>
      <c r="G27" s="76">
        <v>28.75</v>
      </c>
      <c r="H27" s="72" t="str">
        <f>dim_lab_sca_rates!$A27&amp;"|"&amp;dim_lab_sca_rates!$B27&amp;"|"&amp;dim_lab_sca_rates!$F27</f>
        <v>C000015128|LMPLBPC11|24 Hr</v>
      </c>
    </row>
    <row r="28" ht="15.75" customHeight="1">
      <c r="A28" s="72" t="s">
        <v>9</v>
      </c>
      <c r="B28" s="72" t="s">
        <v>1012</v>
      </c>
      <c r="C28" s="72" t="str">
        <f>TRIM(dim_lab_sca_rates!$A28&amp;"|"&amp;dim_lab_sca_rates!$D28&amp;"|"&amp;dim_lab_sca_rates!$F28)</f>
        <v>C000015128|Lead In Air|72 Hr</v>
      </c>
      <c r="D28" s="72" t="s">
        <v>1013</v>
      </c>
      <c r="E28" s="72" t="s">
        <v>1014</v>
      </c>
      <c r="F28" s="72" t="s">
        <v>1008</v>
      </c>
      <c r="G28" s="76">
        <v>22.5</v>
      </c>
      <c r="H28" s="72" t="str">
        <f>dim_lab_sca_rates!$A28&amp;"|"&amp;dim_lab_sca_rates!$B28&amp;"|"&amp;dim_lab_sca_rates!$F28</f>
        <v>C000015128|LMPLBPC11|72 Hr</v>
      </c>
    </row>
    <row r="29" ht="15.75" customHeight="1">
      <c r="A29" s="72" t="s">
        <v>9</v>
      </c>
      <c r="B29" s="72" t="s">
        <v>1012</v>
      </c>
      <c r="C29" s="72" t="str">
        <f>TRIM(dim_lab_sca_rates!$A29&amp;"|"&amp;dim_lab_sca_rates!$D29&amp;"|"&amp;dim_lab_sca_rates!$F29)</f>
        <v>C000015128|Lead In Air|48 Hr</v>
      </c>
      <c r="D29" s="72" t="s">
        <v>1013</v>
      </c>
      <c r="E29" s="72" t="s">
        <v>1014</v>
      </c>
      <c r="F29" s="72" t="s">
        <v>1006</v>
      </c>
      <c r="G29" s="76">
        <v>25.0</v>
      </c>
      <c r="H29" s="72" t="str">
        <f>dim_lab_sca_rates!$A29&amp;"|"&amp;dim_lab_sca_rates!$B29&amp;"|"&amp;dim_lab_sca_rates!$F29</f>
        <v>C000015128|LMPLBPC11|48 Hr</v>
      </c>
    </row>
    <row r="30" ht="15.75" customHeight="1">
      <c r="A30" s="72" t="s">
        <v>9</v>
      </c>
      <c r="B30" s="72" t="s">
        <v>1012</v>
      </c>
      <c r="C30" s="72" t="str">
        <f>TRIM(dim_lab_sca_rates!$A30&amp;"|"&amp;dim_lab_sca_rates!$D30&amp;"|"&amp;dim_lab_sca_rates!$F30)</f>
        <v>C000015128|Lead In Air|12 Hr</v>
      </c>
      <c r="D30" s="72" t="s">
        <v>1013</v>
      </c>
      <c r="E30" s="72" t="s">
        <v>1014</v>
      </c>
      <c r="F30" s="72" t="s">
        <v>1007</v>
      </c>
      <c r="G30" s="76">
        <v>30.0</v>
      </c>
      <c r="H30" s="72" t="str">
        <f>dim_lab_sca_rates!$A30&amp;"|"&amp;dim_lab_sca_rates!$B30&amp;"|"&amp;dim_lab_sca_rates!$F30</f>
        <v>C000015128|LMPLBPC11|12 Hr</v>
      </c>
    </row>
    <row r="31" ht="15.75" customHeight="1">
      <c r="A31" s="72" t="s">
        <v>9</v>
      </c>
      <c r="B31" s="72" t="s">
        <v>1015</v>
      </c>
      <c r="C31" s="72" t="str">
        <f>TRIM(dim_lab_sca_rates!$A31&amp;"|"&amp;dim_lab_sca_rates!$D31&amp;"|"&amp;dim_lab_sca_rates!$F31)</f>
        <v>C000015128|Lead In Soil|24 Hr</v>
      </c>
      <c r="D31" s="72" t="s">
        <v>1016</v>
      </c>
      <c r="E31" s="72" t="s">
        <v>1017</v>
      </c>
      <c r="F31" s="72" t="s">
        <v>985</v>
      </c>
      <c r="G31" s="76">
        <v>32.2</v>
      </c>
      <c r="H31" s="72" t="str">
        <f>dim_lab_sca_rates!$A31&amp;"|"&amp;dim_lab_sca_rates!$B31&amp;"|"&amp;dim_lab_sca_rates!$F31</f>
        <v>C000015128|LMPLBPC12|24 Hr</v>
      </c>
    </row>
    <row r="32" ht="15.75" customHeight="1">
      <c r="A32" s="72" t="s">
        <v>9</v>
      </c>
      <c r="B32" s="72" t="s">
        <v>1015</v>
      </c>
      <c r="C32" s="72" t="str">
        <f>TRIM(dim_lab_sca_rates!$A32&amp;"|"&amp;dim_lab_sca_rates!$D32&amp;"|"&amp;dim_lab_sca_rates!$F32)</f>
        <v>C000015128|Lead In Soil|12 Hr</v>
      </c>
      <c r="D32" s="72" t="s">
        <v>1016</v>
      </c>
      <c r="E32" s="72" t="s">
        <v>1017</v>
      </c>
      <c r="F32" s="72" t="s">
        <v>1007</v>
      </c>
      <c r="G32" s="76">
        <v>33.6</v>
      </c>
      <c r="H32" s="72" t="str">
        <f>dim_lab_sca_rates!$A32&amp;"|"&amp;dim_lab_sca_rates!$B32&amp;"|"&amp;dim_lab_sca_rates!$F32</f>
        <v>C000015128|LMPLBPC12|12 Hr</v>
      </c>
    </row>
    <row r="33" ht="15.75" customHeight="1">
      <c r="A33" s="72" t="s">
        <v>9</v>
      </c>
      <c r="B33" s="72" t="s">
        <v>1015</v>
      </c>
      <c r="C33" s="72" t="str">
        <f>TRIM(dim_lab_sca_rates!$A33&amp;"|"&amp;dim_lab_sca_rates!$D33&amp;"|"&amp;dim_lab_sca_rates!$F33)</f>
        <v>C000015128|Lead In Soil|72 Hr</v>
      </c>
      <c r="D33" s="72" t="s">
        <v>1016</v>
      </c>
      <c r="E33" s="72" t="s">
        <v>1017</v>
      </c>
      <c r="F33" s="72" t="s">
        <v>1008</v>
      </c>
      <c r="G33" s="76">
        <v>25.2</v>
      </c>
      <c r="H33" s="72" t="str">
        <f>dim_lab_sca_rates!$A33&amp;"|"&amp;dim_lab_sca_rates!$B33&amp;"|"&amp;dim_lab_sca_rates!$F33</f>
        <v>C000015128|LMPLBPC12|72 Hr</v>
      </c>
    </row>
    <row r="34" ht="15.75" customHeight="1">
      <c r="A34" s="72" t="s">
        <v>9</v>
      </c>
      <c r="B34" s="72" t="s">
        <v>1015</v>
      </c>
      <c r="C34" s="72" t="str">
        <f>TRIM(dim_lab_sca_rates!$A34&amp;"|"&amp;dim_lab_sca_rates!$D34&amp;"|"&amp;dim_lab_sca_rates!$F34)</f>
        <v>C000015128|Lead In Soil|48 Hr</v>
      </c>
      <c r="D34" s="72" t="s">
        <v>1016</v>
      </c>
      <c r="E34" s="72" t="s">
        <v>1017</v>
      </c>
      <c r="F34" s="72" t="s">
        <v>1006</v>
      </c>
      <c r="G34" s="76">
        <v>28.0</v>
      </c>
      <c r="H34" s="72" t="str">
        <f>dim_lab_sca_rates!$A34&amp;"|"&amp;dim_lab_sca_rates!$B34&amp;"|"&amp;dim_lab_sca_rates!$F34</f>
        <v>C000015128|LMPLBPC12|48 Hr</v>
      </c>
    </row>
    <row r="35" ht="15.75" customHeight="1">
      <c r="A35" s="72" t="s">
        <v>9</v>
      </c>
      <c r="B35" s="72" t="s">
        <v>1018</v>
      </c>
      <c r="C35" s="72" t="str">
        <f>TRIM(dim_lab_sca_rates!$A35&amp;"|"&amp;dim_lab_sca_rates!$D35&amp;"|"&amp;dim_lab_sca_rates!$F35)</f>
        <v>C000015128|TCLP|48 Hr</v>
      </c>
      <c r="D35" s="72" t="s">
        <v>1019</v>
      </c>
      <c r="E35" s="72" t="s">
        <v>1020</v>
      </c>
      <c r="F35" s="72" t="s">
        <v>1006</v>
      </c>
      <c r="G35" s="76">
        <v>1350.0</v>
      </c>
      <c r="H35" s="72" t="str">
        <f>dim_lab_sca_rates!$A35&amp;"|"&amp;dim_lab_sca_rates!$B35&amp;"|"&amp;dim_lab_sca_rates!$F35</f>
        <v>C000015128|LMPLBPC13|48 Hr</v>
      </c>
    </row>
    <row r="36" ht="15.75" customHeight="1">
      <c r="A36" s="72" t="s">
        <v>9</v>
      </c>
      <c r="B36" s="72" t="s">
        <v>1018</v>
      </c>
      <c r="C36" s="72" t="str">
        <f>TRIM(dim_lab_sca_rates!$A36&amp;"|"&amp;dim_lab_sca_rates!$D36&amp;"|"&amp;dim_lab_sca_rates!$F36)</f>
        <v>C000015128|TCLP|10 BD</v>
      </c>
      <c r="D36" s="72" t="s">
        <v>1019</v>
      </c>
      <c r="E36" s="72" t="s">
        <v>1020</v>
      </c>
      <c r="F36" s="72" t="s">
        <v>1021</v>
      </c>
      <c r="G36" s="76">
        <v>900.0</v>
      </c>
      <c r="H36" s="72" t="str">
        <f>dim_lab_sca_rates!$A36&amp;"|"&amp;dim_lab_sca_rates!$B36&amp;"|"&amp;dim_lab_sca_rates!$F36</f>
        <v>C000015128|LMPLBPC13|10 BD</v>
      </c>
    </row>
    <row r="37" ht="15.75" customHeight="1">
      <c r="A37" s="72" t="s">
        <v>9</v>
      </c>
      <c r="B37" s="72" t="s">
        <v>1018</v>
      </c>
      <c r="C37" s="72" t="str">
        <f>TRIM(dim_lab_sca_rates!$A37&amp;"|"&amp;dim_lab_sca_rates!$D37&amp;"|"&amp;dim_lab_sca_rates!$F37)</f>
        <v>C000015128|TCLP|5 Day</v>
      </c>
      <c r="D37" s="72" t="s">
        <v>1019</v>
      </c>
      <c r="E37" s="72" t="s">
        <v>1020</v>
      </c>
      <c r="F37" s="72" t="s">
        <v>977</v>
      </c>
      <c r="G37" s="76">
        <v>1000.0</v>
      </c>
      <c r="H37" s="72" t="str">
        <f>dim_lab_sca_rates!$A37&amp;"|"&amp;dim_lab_sca_rates!$B37&amp;"|"&amp;dim_lab_sca_rates!$F37</f>
        <v>C000015128|LMPLBPC13|5 Day</v>
      </c>
    </row>
    <row r="38" ht="15.75" customHeight="1">
      <c r="A38" s="72" t="s">
        <v>9</v>
      </c>
      <c r="B38" s="72" t="s">
        <v>1022</v>
      </c>
      <c r="C38" s="72" t="str">
        <f>TRIM(dim_lab_sca_rates!$A38&amp;"|"&amp;dim_lab_sca_rates!$D38&amp;"|"&amp;dim_lab_sca_rates!$F38)</f>
        <v>C000015128|RCRA|48 Hr</v>
      </c>
      <c r="D38" s="72" t="s">
        <v>1023</v>
      </c>
      <c r="E38" s="72" t="s">
        <v>1024</v>
      </c>
      <c r="F38" s="72" t="s">
        <v>1006</v>
      </c>
      <c r="G38" s="76">
        <v>290.25</v>
      </c>
      <c r="H38" s="72" t="str">
        <f>dim_lab_sca_rates!$A38&amp;"|"&amp;dim_lab_sca_rates!$B38&amp;"|"&amp;dim_lab_sca_rates!$F38</f>
        <v>C000015128|LMPLBPC14|48 Hr</v>
      </c>
    </row>
    <row r="39" ht="15.75" customHeight="1">
      <c r="A39" s="72" t="s">
        <v>9</v>
      </c>
      <c r="B39" s="72" t="s">
        <v>1022</v>
      </c>
      <c r="C39" s="72" t="str">
        <f>TRIM(dim_lab_sca_rates!$A39&amp;"|"&amp;dim_lab_sca_rates!$D39&amp;"|"&amp;dim_lab_sca_rates!$F39)</f>
        <v>C000015128|RCRA|5 Day</v>
      </c>
      <c r="D39" s="72" t="s">
        <v>1023</v>
      </c>
      <c r="E39" s="72" t="s">
        <v>1024</v>
      </c>
      <c r="F39" s="72" t="s">
        <v>977</v>
      </c>
      <c r="G39" s="76">
        <v>215.0</v>
      </c>
      <c r="H39" s="72" t="str">
        <f>dim_lab_sca_rates!$A39&amp;"|"&amp;dim_lab_sca_rates!$B39&amp;"|"&amp;dim_lab_sca_rates!$F39</f>
        <v>C000015128|LMPLBPC14|5 Day</v>
      </c>
    </row>
    <row r="40" ht="15.75" customHeight="1">
      <c r="A40" s="72" t="s">
        <v>9</v>
      </c>
      <c r="B40" s="72" t="s">
        <v>1022</v>
      </c>
      <c r="C40" s="72" t="str">
        <f>TRIM(dim_lab_sca_rates!$A40&amp;"|"&amp;dim_lab_sca_rates!$D40&amp;"|"&amp;dim_lab_sca_rates!$F40)</f>
        <v>C000015128|RCRA|10 BD</v>
      </c>
      <c r="D40" s="72" t="s">
        <v>1023</v>
      </c>
      <c r="E40" s="72" t="s">
        <v>1024</v>
      </c>
      <c r="F40" s="72" t="s">
        <v>1021</v>
      </c>
      <c r="G40" s="76">
        <v>193.5</v>
      </c>
      <c r="H40" s="72" t="str">
        <f>dim_lab_sca_rates!$A40&amp;"|"&amp;dim_lab_sca_rates!$B40&amp;"|"&amp;dim_lab_sca_rates!$F40</f>
        <v>C000015128|LMPLBPC14|10 BD</v>
      </c>
    </row>
    <row r="41" ht="15.75" customHeight="1">
      <c r="A41" s="72" t="s">
        <v>9</v>
      </c>
      <c r="B41" s="72" t="s">
        <v>1025</v>
      </c>
      <c r="C41" s="72" t="str">
        <f>TRIM(dim_lab_sca_rates!$A41&amp;"|"&amp;dim_lab_sca_rates!$D41&amp;"|"&amp;dim_lab_sca_rates!$F41)</f>
        <v>C000015128|Lead Only|48 Hr</v>
      </c>
      <c r="D41" s="72" t="s">
        <v>1026</v>
      </c>
      <c r="E41" s="72" t="s">
        <v>1026</v>
      </c>
      <c r="F41" s="72" t="s">
        <v>1006</v>
      </c>
      <c r="G41" s="76">
        <v>145.8</v>
      </c>
      <c r="H41" s="72" t="str">
        <f>dim_lab_sca_rates!$A41&amp;"|"&amp;dim_lab_sca_rates!$B41&amp;"|"&amp;dim_lab_sca_rates!$F41</f>
        <v>C000015128|LMPLBPC15|48 Hr</v>
      </c>
    </row>
    <row r="42" ht="15.75" customHeight="1">
      <c r="A42" s="72" t="s">
        <v>9</v>
      </c>
      <c r="B42" s="72" t="s">
        <v>1025</v>
      </c>
      <c r="C42" s="72" t="str">
        <f>TRIM(dim_lab_sca_rates!$A42&amp;"|"&amp;dim_lab_sca_rates!$D42&amp;"|"&amp;dim_lab_sca_rates!$F42)</f>
        <v>C000015128|Lead Only|5 Day</v>
      </c>
      <c r="D42" s="72" t="s">
        <v>1026</v>
      </c>
      <c r="E42" s="72" t="s">
        <v>1026</v>
      </c>
      <c r="F42" s="72" t="s">
        <v>977</v>
      </c>
      <c r="G42" s="76">
        <v>108.0</v>
      </c>
      <c r="H42" s="72" t="str">
        <f>dim_lab_sca_rates!$A42&amp;"|"&amp;dim_lab_sca_rates!$B42&amp;"|"&amp;dim_lab_sca_rates!$F42</f>
        <v>C000015128|LMPLBPC15|5 Day</v>
      </c>
    </row>
    <row r="43" ht="15.75" customHeight="1">
      <c r="A43" s="72" t="s">
        <v>9</v>
      </c>
      <c r="B43" s="72" t="s">
        <v>1025</v>
      </c>
      <c r="C43" s="72" t="str">
        <f>TRIM(dim_lab_sca_rates!$A43&amp;"|"&amp;dim_lab_sca_rates!$D43&amp;"|"&amp;dim_lab_sca_rates!$F43)</f>
        <v>C000015128|Lead Only|10 BD</v>
      </c>
      <c r="D43" s="72" t="s">
        <v>1026</v>
      </c>
      <c r="E43" s="72" t="s">
        <v>1026</v>
      </c>
      <c r="F43" s="72" t="s">
        <v>1021</v>
      </c>
      <c r="G43" s="76">
        <v>97.2</v>
      </c>
      <c r="H43" s="72" t="str">
        <f>dim_lab_sca_rates!$A43&amp;"|"&amp;dim_lab_sca_rates!$B43&amp;"|"&amp;dim_lab_sca_rates!$F43</f>
        <v>C000015128|LMPLBPC15|10 BD</v>
      </c>
    </row>
    <row r="44" ht="15.75" customHeight="1">
      <c r="A44" s="72" t="s">
        <v>9</v>
      </c>
      <c r="B44" s="72" t="s">
        <v>1027</v>
      </c>
      <c r="C44" s="72" t="str">
        <f>TRIM(dim_lab_sca_rates!$A44&amp;"|"&amp;dim_lab_sca_rates!$D44&amp;"|"&amp;dim_lab_sca_rates!$F44)</f>
        <v>C000015128|Semivolatile compounds|48 Hr</v>
      </c>
      <c r="D44" s="72" t="s">
        <v>1028</v>
      </c>
      <c r="E44" s="72" t="s">
        <v>1028</v>
      </c>
      <c r="F44" s="72" t="s">
        <v>1006</v>
      </c>
      <c r="G44" s="76">
        <v>337.5</v>
      </c>
      <c r="H44" s="72" t="str">
        <f>dim_lab_sca_rates!$A44&amp;"|"&amp;dim_lab_sca_rates!$B44&amp;"|"&amp;dim_lab_sca_rates!$F44</f>
        <v>C000015128|LMPLBPC16|48 Hr</v>
      </c>
    </row>
    <row r="45" ht="15.75" customHeight="1">
      <c r="A45" s="72" t="s">
        <v>9</v>
      </c>
      <c r="B45" s="72" t="s">
        <v>1027</v>
      </c>
      <c r="C45" s="72" t="str">
        <f>TRIM(dim_lab_sca_rates!$A45&amp;"|"&amp;dim_lab_sca_rates!$D45&amp;"|"&amp;dim_lab_sca_rates!$F45)</f>
        <v>C000015128|Semivolatile compounds|10 BD</v>
      </c>
      <c r="D45" s="72" t="s">
        <v>1028</v>
      </c>
      <c r="E45" s="72" t="s">
        <v>1028</v>
      </c>
      <c r="F45" s="72" t="s">
        <v>1021</v>
      </c>
      <c r="G45" s="76">
        <v>225.0</v>
      </c>
      <c r="H45" s="72" t="str">
        <f>dim_lab_sca_rates!$A45&amp;"|"&amp;dim_lab_sca_rates!$B45&amp;"|"&amp;dim_lab_sca_rates!$F45</f>
        <v>C000015128|LMPLBPC16|10 BD</v>
      </c>
    </row>
    <row r="46" ht="15.75" customHeight="1">
      <c r="A46" s="72" t="s">
        <v>9</v>
      </c>
      <c r="B46" s="72" t="s">
        <v>1027</v>
      </c>
      <c r="C46" s="72" t="str">
        <f>TRIM(dim_lab_sca_rates!$A46&amp;"|"&amp;dim_lab_sca_rates!$D46&amp;"|"&amp;dim_lab_sca_rates!$F46)</f>
        <v>C000015128|Semivolatile compounds|5 Day</v>
      </c>
      <c r="D46" s="72" t="s">
        <v>1028</v>
      </c>
      <c r="E46" s="72" t="s">
        <v>1028</v>
      </c>
      <c r="F46" s="72" t="s">
        <v>977</v>
      </c>
      <c r="G46" s="76">
        <v>250.0</v>
      </c>
      <c r="H46" s="72" t="str">
        <f>dim_lab_sca_rates!$A46&amp;"|"&amp;dim_lab_sca_rates!$B46&amp;"|"&amp;dim_lab_sca_rates!$F46</f>
        <v>C000015128|LMPLBPC16|5 Day</v>
      </c>
    </row>
    <row r="47" ht="15.75" customHeight="1">
      <c r="A47" s="72" t="s">
        <v>9</v>
      </c>
      <c r="B47" s="72" t="s">
        <v>1029</v>
      </c>
      <c r="C47" s="72" t="str">
        <f>TRIM(dim_lab_sca_rates!$A47&amp;"|"&amp;dim_lab_sca_rates!$D47&amp;"|"&amp;dim_lab_sca_rates!$F47)</f>
        <v>C000015128|Volatile compounds|48 Hr</v>
      </c>
      <c r="D47" s="72" t="s">
        <v>1030</v>
      </c>
      <c r="E47" s="72" t="s">
        <v>1030</v>
      </c>
      <c r="F47" s="72" t="s">
        <v>1006</v>
      </c>
      <c r="G47" s="76">
        <v>303.75</v>
      </c>
      <c r="H47" s="72" t="str">
        <f>dim_lab_sca_rates!$A47&amp;"|"&amp;dim_lab_sca_rates!$B47&amp;"|"&amp;dim_lab_sca_rates!$F47</f>
        <v>C000015128|LMPLBPC17|48 Hr</v>
      </c>
    </row>
    <row r="48" ht="15.75" customHeight="1">
      <c r="A48" s="72" t="s">
        <v>9</v>
      </c>
      <c r="B48" s="72" t="s">
        <v>1029</v>
      </c>
      <c r="C48" s="72" t="str">
        <f>TRIM(dim_lab_sca_rates!$A48&amp;"|"&amp;dim_lab_sca_rates!$D48&amp;"|"&amp;dim_lab_sca_rates!$F48)</f>
        <v>C000015128|Volatile compounds|10 BD</v>
      </c>
      <c r="D48" s="72" t="s">
        <v>1030</v>
      </c>
      <c r="E48" s="72" t="s">
        <v>1030</v>
      </c>
      <c r="F48" s="72" t="s">
        <v>1021</v>
      </c>
      <c r="G48" s="76">
        <v>202.5</v>
      </c>
      <c r="H48" s="72" t="str">
        <f>dim_lab_sca_rates!$A48&amp;"|"&amp;dim_lab_sca_rates!$B48&amp;"|"&amp;dim_lab_sca_rates!$F48</f>
        <v>C000015128|LMPLBPC17|10 BD</v>
      </c>
    </row>
    <row r="49" ht="15.75" customHeight="1">
      <c r="A49" s="72" t="s">
        <v>9</v>
      </c>
      <c r="B49" s="72" t="s">
        <v>1029</v>
      </c>
      <c r="C49" s="72" t="str">
        <f>TRIM(dim_lab_sca_rates!$A49&amp;"|"&amp;dim_lab_sca_rates!$D49&amp;"|"&amp;dim_lab_sca_rates!$F49)</f>
        <v>C000015128|Volatile compounds|5 Day</v>
      </c>
      <c r="D49" s="72" t="s">
        <v>1030</v>
      </c>
      <c r="E49" s="72" t="s">
        <v>1030</v>
      </c>
      <c r="F49" s="72" t="s">
        <v>977</v>
      </c>
      <c r="G49" s="76">
        <v>225.0</v>
      </c>
      <c r="H49" s="72" t="str">
        <f>dim_lab_sca_rates!$A49&amp;"|"&amp;dim_lab_sca_rates!$B49&amp;"|"&amp;dim_lab_sca_rates!$F49</f>
        <v>C000015128|LMPLBPC17|5 Day</v>
      </c>
    </row>
    <row r="50" ht="15.75" customHeight="1">
      <c r="A50" s="72" t="s">
        <v>9</v>
      </c>
      <c r="B50" s="72" t="s">
        <v>1031</v>
      </c>
      <c r="C50" s="72" t="str">
        <f>TRIM(dim_lab_sca_rates!$A50&amp;"|"&amp;dim_lab_sca_rates!$D50&amp;"|"&amp;dim_lab_sca_rates!$F50)</f>
        <v>C000015128|STARS volatile compounds|5 Day</v>
      </c>
      <c r="D50" s="72" t="s">
        <v>1032</v>
      </c>
      <c r="E50" s="72" t="s">
        <v>1032</v>
      </c>
      <c r="F50" s="72" t="s">
        <v>977</v>
      </c>
      <c r="G50" s="76">
        <v>180.0</v>
      </c>
      <c r="H50" s="72" t="str">
        <f>dim_lab_sca_rates!$A50&amp;"|"&amp;dim_lab_sca_rates!$B50&amp;"|"&amp;dim_lab_sca_rates!$F50</f>
        <v>C000015128|LMPLBPC18|5 Day</v>
      </c>
    </row>
    <row r="51" ht="15.75" customHeight="1">
      <c r="A51" s="72" t="s">
        <v>9</v>
      </c>
      <c r="B51" s="72" t="s">
        <v>1031</v>
      </c>
      <c r="C51" s="72" t="str">
        <f>TRIM(dim_lab_sca_rates!$A51&amp;"|"&amp;dim_lab_sca_rates!$D51&amp;"|"&amp;dim_lab_sca_rates!$F51)</f>
        <v>C000015128|STARS volatile compounds|10 BD</v>
      </c>
      <c r="D51" s="72" t="s">
        <v>1032</v>
      </c>
      <c r="E51" s="72" t="s">
        <v>1032</v>
      </c>
      <c r="F51" s="72" t="s">
        <v>1021</v>
      </c>
      <c r="G51" s="76">
        <v>162.0</v>
      </c>
      <c r="H51" s="72" t="str">
        <f>dim_lab_sca_rates!$A51&amp;"|"&amp;dim_lab_sca_rates!$B51&amp;"|"&amp;dim_lab_sca_rates!$F51</f>
        <v>C000015128|LMPLBPC18|10 BD</v>
      </c>
    </row>
    <row r="52" ht="15.75" customHeight="1">
      <c r="A52" s="72" t="s">
        <v>9</v>
      </c>
      <c r="B52" s="72" t="s">
        <v>1031</v>
      </c>
      <c r="C52" s="72" t="str">
        <f>TRIM(dim_lab_sca_rates!$A52&amp;"|"&amp;dim_lab_sca_rates!$D52&amp;"|"&amp;dim_lab_sca_rates!$F52)</f>
        <v>C000015128|STARS volatile compounds|48 Hr</v>
      </c>
      <c r="D52" s="72" t="s">
        <v>1032</v>
      </c>
      <c r="E52" s="72" t="s">
        <v>1032</v>
      </c>
      <c r="F52" s="72" t="s">
        <v>1006</v>
      </c>
      <c r="G52" s="76">
        <v>243.0</v>
      </c>
      <c r="H52" s="72" t="str">
        <f>dim_lab_sca_rates!$A52&amp;"|"&amp;dim_lab_sca_rates!$B52&amp;"|"&amp;dim_lab_sca_rates!$F52</f>
        <v>C000015128|LMPLBPC18|48 Hr</v>
      </c>
    </row>
    <row r="53" ht="15.75" customHeight="1">
      <c r="A53" s="72" t="s">
        <v>9</v>
      </c>
      <c r="B53" s="72" t="s">
        <v>1033</v>
      </c>
      <c r="C53" s="72" t="str">
        <f>TRIM(dim_lab_sca_rates!$A53&amp;"|"&amp;dim_lab_sca_rates!$D53&amp;"|"&amp;dim_lab_sca_rates!$F53)</f>
        <v>C000015128|STARS semivolatile compounds|48 Hr</v>
      </c>
      <c r="D53" s="72" t="s">
        <v>1034</v>
      </c>
      <c r="E53" s="72" t="s">
        <v>1034</v>
      </c>
      <c r="F53" s="72" t="s">
        <v>1006</v>
      </c>
      <c r="G53" s="76">
        <v>270.0</v>
      </c>
      <c r="H53" s="72" t="str">
        <f>dim_lab_sca_rates!$A53&amp;"|"&amp;dim_lab_sca_rates!$B53&amp;"|"&amp;dim_lab_sca_rates!$F53</f>
        <v>C000015128|LMPLBPC19|48 Hr</v>
      </c>
    </row>
    <row r="54" ht="15.75" customHeight="1">
      <c r="A54" s="72" t="s">
        <v>9</v>
      </c>
      <c r="B54" s="72" t="s">
        <v>1033</v>
      </c>
      <c r="C54" s="72" t="str">
        <f>TRIM(dim_lab_sca_rates!$A54&amp;"|"&amp;dim_lab_sca_rates!$D54&amp;"|"&amp;dim_lab_sca_rates!$F54)</f>
        <v>C000015128|STARS semivolatile compounds|5 Day</v>
      </c>
      <c r="D54" s="72" t="s">
        <v>1034</v>
      </c>
      <c r="E54" s="72" t="s">
        <v>1034</v>
      </c>
      <c r="F54" s="72" t="s">
        <v>977</v>
      </c>
      <c r="G54" s="76">
        <v>200.0</v>
      </c>
      <c r="H54" s="72" t="str">
        <f>dim_lab_sca_rates!$A54&amp;"|"&amp;dim_lab_sca_rates!$B54&amp;"|"&amp;dim_lab_sca_rates!$F54</f>
        <v>C000015128|LMPLBPC19|5 Day</v>
      </c>
    </row>
    <row r="55" ht="15.75" customHeight="1">
      <c r="A55" s="72" t="s">
        <v>9</v>
      </c>
      <c r="B55" s="72" t="s">
        <v>1033</v>
      </c>
      <c r="C55" s="72" t="str">
        <f>TRIM(dim_lab_sca_rates!$A55&amp;"|"&amp;dim_lab_sca_rates!$D55&amp;"|"&amp;dim_lab_sca_rates!$F55)</f>
        <v>C000015128|STARS semivolatile compounds|10 BD</v>
      </c>
      <c r="D55" s="72" t="s">
        <v>1034</v>
      </c>
      <c r="E55" s="72" t="s">
        <v>1034</v>
      </c>
      <c r="F55" s="72" t="s">
        <v>1021</v>
      </c>
      <c r="G55" s="76">
        <v>180.0</v>
      </c>
      <c r="H55" s="72" t="str">
        <f>dim_lab_sca_rates!$A55&amp;"|"&amp;dim_lab_sca_rates!$B55&amp;"|"&amp;dim_lab_sca_rates!$F55</f>
        <v>C000015128|LMPLBPC19|10 BD</v>
      </c>
    </row>
    <row r="56" ht="15.75" customHeight="1">
      <c r="A56" s="72" t="s">
        <v>9</v>
      </c>
      <c r="B56" s="72" t="s">
        <v>1035</v>
      </c>
      <c r="C56" s="72" t="str">
        <f>TRIM(dim_lab_sca_rates!$A56&amp;"|"&amp;dim_lab_sca_rates!$D56&amp;"|"&amp;dim_lab_sca_rates!$F56)</f>
        <v>C000015128|Pesticides|10 BD</v>
      </c>
      <c r="D56" s="72" t="s">
        <v>1036</v>
      </c>
      <c r="E56" s="72" t="s">
        <v>1036</v>
      </c>
      <c r="F56" s="72" t="s">
        <v>1021</v>
      </c>
      <c r="G56" s="76">
        <v>225.0</v>
      </c>
      <c r="H56" s="72" t="str">
        <f>dim_lab_sca_rates!$A56&amp;"|"&amp;dim_lab_sca_rates!$B56&amp;"|"&amp;dim_lab_sca_rates!$F56</f>
        <v>C000015128|LMPLBPC20|10 BD</v>
      </c>
    </row>
    <row r="57" ht="15.75" customHeight="1">
      <c r="A57" s="72" t="s">
        <v>9</v>
      </c>
      <c r="B57" s="72" t="s">
        <v>1035</v>
      </c>
      <c r="C57" s="72" t="str">
        <f>TRIM(dim_lab_sca_rates!$A57&amp;"|"&amp;dim_lab_sca_rates!$D57&amp;"|"&amp;dim_lab_sca_rates!$F57)</f>
        <v>C000015128|Pesticides|48 Hr</v>
      </c>
      <c r="D57" s="72" t="s">
        <v>1036</v>
      </c>
      <c r="E57" s="72" t="s">
        <v>1036</v>
      </c>
      <c r="F57" s="72" t="s">
        <v>1006</v>
      </c>
      <c r="G57" s="76">
        <v>337.5</v>
      </c>
      <c r="H57" s="72" t="str">
        <f>dim_lab_sca_rates!$A57&amp;"|"&amp;dim_lab_sca_rates!$B57&amp;"|"&amp;dim_lab_sca_rates!$F57</f>
        <v>C000015128|LMPLBPC20|48 Hr</v>
      </c>
    </row>
    <row r="58" ht="15.75" customHeight="1">
      <c r="A58" s="72" t="s">
        <v>9</v>
      </c>
      <c r="B58" s="72" t="s">
        <v>1035</v>
      </c>
      <c r="C58" s="72" t="str">
        <f>TRIM(dim_lab_sca_rates!$A58&amp;"|"&amp;dim_lab_sca_rates!$D58&amp;"|"&amp;dim_lab_sca_rates!$F58)</f>
        <v>C000015128|Pesticides|5 Day</v>
      </c>
      <c r="D58" s="72" t="s">
        <v>1036</v>
      </c>
      <c r="E58" s="72" t="s">
        <v>1036</v>
      </c>
      <c r="F58" s="72" t="s">
        <v>977</v>
      </c>
      <c r="G58" s="76">
        <v>250.0</v>
      </c>
      <c r="H58" s="72" t="str">
        <f>dim_lab_sca_rates!$A58&amp;"|"&amp;dim_lab_sca_rates!$B58&amp;"|"&amp;dim_lab_sca_rates!$F58</f>
        <v>C000015128|LMPLBPC20|5 Day</v>
      </c>
    </row>
    <row r="59" ht="15.75" customHeight="1">
      <c r="A59" s="72" t="s">
        <v>9</v>
      </c>
      <c r="B59" s="72" t="s">
        <v>1037</v>
      </c>
      <c r="C59" s="72" t="str">
        <f>TRIM(dim_lab_sca_rates!$A59&amp;"|"&amp;dim_lab_sca_rates!$D59&amp;"|"&amp;dim_lab_sca_rates!$F59)</f>
        <v>C000015128|Herbicides|48 Hr</v>
      </c>
      <c r="D59" s="72" t="s">
        <v>1038</v>
      </c>
      <c r="E59" s="72" t="s">
        <v>1038</v>
      </c>
      <c r="F59" s="72" t="s">
        <v>1006</v>
      </c>
      <c r="G59" s="76">
        <v>270.0</v>
      </c>
      <c r="H59" s="72" t="str">
        <f>dim_lab_sca_rates!$A59&amp;"|"&amp;dim_lab_sca_rates!$B59&amp;"|"&amp;dim_lab_sca_rates!$F59</f>
        <v>C000015128|LMPLBPC21|48 Hr</v>
      </c>
    </row>
    <row r="60" ht="15.75" customHeight="1">
      <c r="A60" s="72" t="s">
        <v>9</v>
      </c>
      <c r="B60" s="72" t="s">
        <v>1037</v>
      </c>
      <c r="C60" s="72" t="str">
        <f>TRIM(dim_lab_sca_rates!$A60&amp;"|"&amp;dim_lab_sca_rates!$D60&amp;"|"&amp;dim_lab_sca_rates!$F60)</f>
        <v>C000015128|Herbicides|5 Day</v>
      </c>
      <c r="D60" s="72" t="s">
        <v>1038</v>
      </c>
      <c r="E60" s="72" t="s">
        <v>1038</v>
      </c>
      <c r="F60" s="72" t="s">
        <v>977</v>
      </c>
      <c r="G60" s="76">
        <v>200.0</v>
      </c>
      <c r="H60" s="72" t="str">
        <f>dim_lab_sca_rates!$A60&amp;"|"&amp;dim_lab_sca_rates!$B60&amp;"|"&amp;dim_lab_sca_rates!$F60</f>
        <v>C000015128|LMPLBPC21|5 Day</v>
      </c>
    </row>
    <row r="61" ht="15.75" customHeight="1">
      <c r="A61" s="72" t="s">
        <v>9</v>
      </c>
      <c r="B61" s="72" t="s">
        <v>1037</v>
      </c>
      <c r="C61" s="72" t="str">
        <f>TRIM(dim_lab_sca_rates!$A61&amp;"|"&amp;dim_lab_sca_rates!$D61&amp;"|"&amp;dim_lab_sca_rates!$F61)</f>
        <v>C000015128|Herbicides|10 BD</v>
      </c>
      <c r="D61" s="72" t="s">
        <v>1038</v>
      </c>
      <c r="E61" s="72" t="s">
        <v>1038</v>
      </c>
      <c r="F61" s="72" t="s">
        <v>1021</v>
      </c>
      <c r="G61" s="76">
        <v>180.0</v>
      </c>
      <c r="H61" s="72" t="str">
        <f>dim_lab_sca_rates!$A61&amp;"|"&amp;dim_lab_sca_rates!$B61&amp;"|"&amp;dim_lab_sca_rates!$F61</f>
        <v>C000015128|LMPLBPC21|10 BD</v>
      </c>
    </row>
    <row r="62" ht="15.75" customHeight="1">
      <c r="A62" s="72" t="s">
        <v>9</v>
      </c>
      <c r="B62" s="72" t="s">
        <v>1039</v>
      </c>
      <c r="C62" s="72" t="str">
        <f>TRIM(dim_lab_sca_rates!$A62&amp;"|"&amp;dim_lab_sca_rates!$D62&amp;"|"&amp;dim_lab_sca_rates!$F62)</f>
        <v>C000015128|Reactivity|48 Hr</v>
      </c>
      <c r="D62" s="72" t="s">
        <v>1040</v>
      </c>
      <c r="E62" s="72" t="s">
        <v>1040</v>
      </c>
      <c r="F62" s="72" t="s">
        <v>1006</v>
      </c>
      <c r="G62" s="76">
        <v>162.0</v>
      </c>
      <c r="H62" s="72" t="str">
        <f>dim_lab_sca_rates!$A62&amp;"|"&amp;dim_lab_sca_rates!$B62&amp;"|"&amp;dim_lab_sca_rates!$F62</f>
        <v>C000015128|LMPLBPC22|48 Hr</v>
      </c>
    </row>
    <row r="63" ht="15.75" customHeight="1">
      <c r="A63" s="72" t="s">
        <v>9</v>
      </c>
      <c r="B63" s="72" t="s">
        <v>1039</v>
      </c>
      <c r="C63" s="72" t="str">
        <f>TRIM(dim_lab_sca_rates!$A63&amp;"|"&amp;dim_lab_sca_rates!$D63&amp;"|"&amp;dim_lab_sca_rates!$F63)</f>
        <v>C000015128|Reactivity|5 Day</v>
      </c>
      <c r="D63" s="72" t="s">
        <v>1040</v>
      </c>
      <c r="E63" s="72" t="s">
        <v>1040</v>
      </c>
      <c r="F63" s="72" t="s">
        <v>977</v>
      </c>
      <c r="G63" s="76">
        <v>120.0</v>
      </c>
      <c r="H63" s="72" t="str">
        <f>dim_lab_sca_rates!$A63&amp;"|"&amp;dim_lab_sca_rates!$B63&amp;"|"&amp;dim_lab_sca_rates!$F63</f>
        <v>C000015128|LMPLBPC22|5 Day</v>
      </c>
    </row>
    <row r="64" ht="15.75" customHeight="1">
      <c r="A64" s="72" t="s">
        <v>9</v>
      </c>
      <c r="B64" s="72" t="s">
        <v>1039</v>
      </c>
      <c r="C64" s="72" t="str">
        <f>TRIM(dim_lab_sca_rates!$A64&amp;"|"&amp;dim_lab_sca_rates!$D64&amp;"|"&amp;dim_lab_sca_rates!$F64)</f>
        <v>C000015128|Reactivity|10 BD</v>
      </c>
      <c r="D64" s="72" t="s">
        <v>1040</v>
      </c>
      <c r="E64" s="72" t="s">
        <v>1040</v>
      </c>
      <c r="F64" s="72" t="s">
        <v>1021</v>
      </c>
      <c r="G64" s="76">
        <v>108.0</v>
      </c>
      <c r="H64" s="72" t="str">
        <f>dim_lab_sca_rates!$A64&amp;"|"&amp;dim_lab_sca_rates!$B64&amp;"|"&amp;dim_lab_sca_rates!$F64</f>
        <v>C000015128|LMPLBPC22|10 BD</v>
      </c>
    </row>
    <row r="65" ht="15.75" customHeight="1">
      <c r="A65" s="72" t="s">
        <v>9</v>
      </c>
      <c r="B65" s="72" t="s">
        <v>1041</v>
      </c>
      <c r="C65" s="72" t="str">
        <f>TRIM(dim_lab_sca_rates!$A65&amp;"|"&amp;dim_lab_sca_rates!$D65&amp;"|"&amp;dim_lab_sca_rates!$F65)</f>
        <v>C000015128|Corrosivity|10 BD</v>
      </c>
      <c r="D65" s="72" t="s">
        <v>1042</v>
      </c>
      <c r="E65" s="72" t="s">
        <v>1042</v>
      </c>
      <c r="F65" s="72" t="s">
        <v>1021</v>
      </c>
      <c r="G65" s="76">
        <v>36.0</v>
      </c>
      <c r="H65" s="72" t="str">
        <f>dim_lab_sca_rates!$A65&amp;"|"&amp;dim_lab_sca_rates!$B65&amp;"|"&amp;dim_lab_sca_rates!$F65</f>
        <v>C000015128|LMPLBPC23|10 BD</v>
      </c>
    </row>
    <row r="66" ht="15.75" customHeight="1">
      <c r="A66" s="72" t="s">
        <v>9</v>
      </c>
      <c r="B66" s="72" t="s">
        <v>1041</v>
      </c>
      <c r="C66" s="72" t="str">
        <f>TRIM(dim_lab_sca_rates!$A66&amp;"|"&amp;dim_lab_sca_rates!$D66&amp;"|"&amp;dim_lab_sca_rates!$F66)</f>
        <v>C000015128|Corrosivity|48 Hr</v>
      </c>
      <c r="D66" s="72" t="s">
        <v>1042</v>
      </c>
      <c r="E66" s="72" t="s">
        <v>1042</v>
      </c>
      <c r="F66" s="72" t="s">
        <v>1006</v>
      </c>
      <c r="G66" s="76">
        <v>54.0</v>
      </c>
      <c r="H66" s="72" t="str">
        <f>dim_lab_sca_rates!$A66&amp;"|"&amp;dim_lab_sca_rates!$B66&amp;"|"&amp;dim_lab_sca_rates!$F66</f>
        <v>C000015128|LMPLBPC23|48 Hr</v>
      </c>
    </row>
    <row r="67" ht="15.75" customHeight="1">
      <c r="A67" s="72" t="s">
        <v>9</v>
      </c>
      <c r="B67" s="72" t="s">
        <v>1041</v>
      </c>
      <c r="C67" s="72" t="str">
        <f>TRIM(dim_lab_sca_rates!$A67&amp;"|"&amp;dim_lab_sca_rates!$D67&amp;"|"&amp;dim_lab_sca_rates!$F67)</f>
        <v>C000015128|Corrosivity|5 Day</v>
      </c>
      <c r="D67" s="72" t="s">
        <v>1042</v>
      </c>
      <c r="E67" s="72" t="s">
        <v>1042</v>
      </c>
      <c r="F67" s="72" t="s">
        <v>977</v>
      </c>
      <c r="G67" s="76">
        <v>40.0</v>
      </c>
      <c r="H67" s="72" t="str">
        <f>dim_lab_sca_rates!$A67&amp;"|"&amp;dim_lab_sca_rates!$B67&amp;"|"&amp;dim_lab_sca_rates!$F67</f>
        <v>C000015128|LMPLBPC23|5 Day</v>
      </c>
    </row>
    <row r="68" ht="15.75" customHeight="1">
      <c r="A68" s="72" t="s">
        <v>9</v>
      </c>
      <c r="B68" s="72" t="s">
        <v>1043</v>
      </c>
      <c r="C68" s="72" t="str">
        <f>TRIM(dim_lab_sca_rates!$A68&amp;"|"&amp;dim_lab_sca_rates!$D68&amp;"|"&amp;dim_lab_sca_rates!$F68)</f>
        <v>C000015128|Ignitability|10 BD</v>
      </c>
      <c r="D68" s="72" t="s">
        <v>1044</v>
      </c>
      <c r="E68" s="72" t="s">
        <v>1044</v>
      </c>
      <c r="F68" s="72" t="s">
        <v>1021</v>
      </c>
      <c r="G68" s="76">
        <v>45.0</v>
      </c>
      <c r="H68" s="72" t="str">
        <f>dim_lab_sca_rates!$A68&amp;"|"&amp;dim_lab_sca_rates!$B68&amp;"|"&amp;dim_lab_sca_rates!$F68</f>
        <v>C000015128|LMPLBPC24|10 BD</v>
      </c>
    </row>
    <row r="69" ht="15.75" customHeight="1">
      <c r="A69" s="72" t="s">
        <v>9</v>
      </c>
      <c r="B69" s="72" t="s">
        <v>1043</v>
      </c>
      <c r="C69" s="72" t="str">
        <f>TRIM(dim_lab_sca_rates!$A69&amp;"|"&amp;dim_lab_sca_rates!$D69&amp;"|"&amp;dim_lab_sca_rates!$F69)</f>
        <v>C000015128|Ignitability|48 Hr</v>
      </c>
      <c r="D69" s="72" t="s">
        <v>1044</v>
      </c>
      <c r="E69" s="72" t="s">
        <v>1044</v>
      </c>
      <c r="F69" s="72" t="s">
        <v>1006</v>
      </c>
      <c r="G69" s="76">
        <v>67.5</v>
      </c>
      <c r="H69" s="72" t="str">
        <f>dim_lab_sca_rates!$A69&amp;"|"&amp;dim_lab_sca_rates!$B69&amp;"|"&amp;dim_lab_sca_rates!$F69</f>
        <v>C000015128|LMPLBPC24|48 Hr</v>
      </c>
    </row>
    <row r="70" ht="15.75" customHeight="1">
      <c r="A70" s="72" t="s">
        <v>9</v>
      </c>
      <c r="B70" s="72" t="s">
        <v>1043</v>
      </c>
      <c r="C70" s="72" t="str">
        <f>TRIM(dim_lab_sca_rates!$A70&amp;"|"&amp;dim_lab_sca_rates!$D70&amp;"|"&amp;dim_lab_sca_rates!$F70)</f>
        <v>C000015128|Ignitability|5 Day</v>
      </c>
      <c r="D70" s="72" t="s">
        <v>1044</v>
      </c>
      <c r="E70" s="72" t="s">
        <v>1044</v>
      </c>
      <c r="F70" s="72" t="s">
        <v>977</v>
      </c>
      <c r="G70" s="76">
        <v>50.0</v>
      </c>
      <c r="H70" s="72" t="str">
        <f>dim_lab_sca_rates!$A70&amp;"|"&amp;dim_lab_sca_rates!$B70&amp;"|"&amp;dim_lab_sca_rates!$F70</f>
        <v>C000015128|LMPLBPC24|5 Day</v>
      </c>
    </row>
    <row r="71" ht="15.75" customHeight="1">
      <c r="A71" s="72" t="s">
        <v>9</v>
      </c>
      <c r="B71" s="72" t="s">
        <v>1045</v>
      </c>
      <c r="C71" s="72" t="str">
        <f>TRIM(dim_lab_sca_rates!$A71&amp;"|"&amp;dim_lab_sca_rates!$D71&amp;"|"&amp;dim_lab_sca_rates!$F71)</f>
        <v>C000015128|PCB|10 BD</v>
      </c>
      <c r="D71" s="72" t="s">
        <v>952</v>
      </c>
      <c r="E71" s="72" t="s">
        <v>1046</v>
      </c>
      <c r="F71" s="72" t="s">
        <v>1021</v>
      </c>
      <c r="G71" s="76">
        <v>130.5</v>
      </c>
      <c r="H71" s="72" t="str">
        <f>dim_lab_sca_rates!$A71&amp;"|"&amp;dim_lab_sca_rates!$B71&amp;"|"&amp;dim_lab_sca_rates!$F71</f>
        <v>C000015128|LMPLBPC25|10 BD</v>
      </c>
    </row>
    <row r="72" ht="15.75" customHeight="1">
      <c r="A72" s="72" t="s">
        <v>9</v>
      </c>
      <c r="B72" s="72" t="s">
        <v>1045</v>
      </c>
      <c r="C72" s="72" t="str">
        <f>TRIM(dim_lab_sca_rates!$A72&amp;"|"&amp;dim_lab_sca_rates!$D72&amp;"|"&amp;dim_lab_sca_rates!$F72)</f>
        <v>C000015128|PCB|48 Hr</v>
      </c>
      <c r="D72" s="72" t="s">
        <v>952</v>
      </c>
      <c r="E72" s="72" t="s">
        <v>1046</v>
      </c>
      <c r="F72" s="72" t="s">
        <v>1006</v>
      </c>
      <c r="G72" s="76">
        <v>195.75</v>
      </c>
      <c r="H72" s="72" t="str">
        <f>dim_lab_sca_rates!$A72&amp;"|"&amp;dim_lab_sca_rates!$B72&amp;"|"&amp;dim_lab_sca_rates!$F72</f>
        <v>C000015128|LMPLBPC25|48 Hr</v>
      </c>
    </row>
    <row r="73" ht="15.75" customHeight="1">
      <c r="A73" s="72" t="s">
        <v>9</v>
      </c>
      <c r="B73" s="72" t="s">
        <v>1045</v>
      </c>
      <c r="C73" s="72" t="str">
        <f>TRIM(dim_lab_sca_rates!$A73&amp;"|"&amp;dim_lab_sca_rates!$D73&amp;"|"&amp;dim_lab_sca_rates!$F73)</f>
        <v>C000015128|PCB|5 Day</v>
      </c>
      <c r="D73" s="72" t="s">
        <v>952</v>
      </c>
      <c r="E73" s="72" t="s">
        <v>1046</v>
      </c>
      <c r="F73" s="72" t="s">
        <v>977</v>
      </c>
      <c r="G73" s="76">
        <v>145.0</v>
      </c>
      <c r="H73" s="72" t="str">
        <f>dim_lab_sca_rates!$A73&amp;"|"&amp;dim_lab_sca_rates!$B73&amp;"|"&amp;dim_lab_sca_rates!$F73</f>
        <v>C000015128|LMPLBPC25|5 Day</v>
      </c>
    </row>
    <row r="74" ht="15.75" customHeight="1">
      <c r="A74" s="72" t="s">
        <v>9</v>
      </c>
      <c r="B74" s="72" t="s">
        <v>1047</v>
      </c>
      <c r="C74" s="72" t="str">
        <f>TRIM(dim_lab_sca_rates!$A74&amp;"|"&amp;dim_lab_sca_rates!$D74&amp;"|"&amp;dim_lab_sca_rates!$F74)</f>
        <v>C000015128|Free Liquids Test|48 Hr</v>
      </c>
      <c r="D74" s="72" t="s">
        <v>1048</v>
      </c>
      <c r="E74" s="72" t="s">
        <v>1048</v>
      </c>
      <c r="F74" s="72" t="s">
        <v>1006</v>
      </c>
      <c r="G74" s="76">
        <v>54.0</v>
      </c>
      <c r="H74" s="72" t="str">
        <f>dim_lab_sca_rates!$A74&amp;"|"&amp;dim_lab_sca_rates!$B74&amp;"|"&amp;dim_lab_sca_rates!$F74</f>
        <v>C000015128|LMPLBPC26|48 Hr</v>
      </c>
    </row>
    <row r="75" ht="15.75" customHeight="1">
      <c r="A75" s="72" t="s">
        <v>9</v>
      </c>
      <c r="B75" s="72" t="s">
        <v>1047</v>
      </c>
      <c r="C75" s="72" t="str">
        <f>TRIM(dim_lab_sca_rates!$A75&amp;"|"&amp;dim_lab_sca_rates!$D75&amp;"|"&amp;dim_lab_sca_rates!$F75)</f>
        <v>C000015128|Free Liquids Test|5 Day</v>
      </c>
      <c r="D75" s="72" t="s">
        <v>1048</v>
      </c>
      <c r="E75" s="72" t="s">
        <v>1048</v>
      </c>
      <c r="F75" s="72" t="s">
        <v>977</v>
      </c>
      <c r="G75" s="76">
        <v>40.0</v>
      </c>
      <c r="H75" s="72" t="str">
        <f>dim_lab_sca_rates!$A75&amp;"|"&amp;dim_lab_sca_rates!$B75&amp;"|"&amp;dim_lab_sca_rates!$F75</f>
        <v>C000015128|LMPLBPC26|5 Day</v>
      </c>
    </row>
    <row r="76" ht="15.75" customHeight="1">
      <c r="A76" s="72" t="s">
        <v>9</v>
      </c>
      <c r="B76" s="72" t="s">
        <v>1047</v>
      </c>
      <c r="C76" s="72" t="str">
        <f>TRIM(dim_lab_sca_rates!$A76&amp;"|"&amp;dim_lab_sca_rates!$D76&amp;"|"&amp;dim_lab_sca_rates!$F76)</f>
        <v>C000015128|Free Liquids Test|10 BD</v>
      </c>
      <c r="D76" s="72" t="s">
        <v>1048</v>
      </c>
      <c r="E76" s="72" t="s">
        <v>1048</v>
      </c>
      <c r="F76" s="72" t="s">
        <v>1021</v>
      </c>
      <c r="G76" s="76">
        <v>36.0</v>
      </c>
      <c r="H76" s="72" t="str">
        <f>dim_lab_sca_rates!$A76&amp;"|"&amp;dim_lab_sca_rates!$B76&amp;"|"&amp;dim_lab_sca_rates!$F76</f>
        <v>C000015128|LMPLBPC26|10 BD</v>
      </c>
    </row>
    <row r="77" ht="15.75" customHeight="1">
      <c r="A77" s="72" t="s">
        <v>9</v>
      </c>
      <c r="B77" s="72" t="s">
        <v>1049</v>
      </c>
      <c r="C77" s="72" t="str">
        <f>TRIM(dim_lab_sca_rates!$A77&amp;"|"&amp;dim_lab_sca_rates!$D77&amp;"|"&amp;dim_lab_sca_rates!$F77)</f>
        <v>C000015128|XRF|Daily</v>
      </c>
      <c r="D77" s="72" t="s">
        <v>1050</v>
      </c>
      <c r="E77" s="72" t="s">
        <v>1051</v>
      </c>
      <c r="F77" s="72" t="s">
        <v>1052</v>
      </c>
      <c r="G77" s="76">
        <v>300.0</v>
      </c>
      <c r="H77" s="72" t="str">
        <f>dim_lab_sca_rates!$A77&amp;"|"&amp;dim_lab_sca_rates!$B77&amp;"|"&amp;dim_lab_sca_rates!$F77</f>
        <v>C000015128|LMPLBPC8|Daily</v>
      </c>
    </row>
    <row r="78" ht="15.75" customHeight="1">
      <c r="A78" s="72" t="s">
        <v>9</v>
      </c>
      <c r="B78" s="72" t="s">
        <v>1053</v>
      </c>
      <c r="C78" s="72" t="str">
        <f>TRIM(dim_lab_sca_rates!$A78&amp;"|"&amp;dim_lab_sca_rates!$D78&amp;"|"&amp;dim_lab_sca_rates!$F78)</f>
        <v>C000015128|K Shell measurement sLPA-1, Scitec MAP-4, or similar)|Daily</v>
      </c>
      <c r="D78" s="72" t="s">
        <v>1054</v>
      </c>
      <c r="E78" s="72" t="s">
        <v>1054</v>
      </c>
      <c r="F78" s="72" t="s">
        <v>1052</v>
      </c>
      <c r="G78" s="76">
        <v>300.0</v>
      </c>
      <c r="H78" s="72" t="str">
        <f>dim_lab_sca_rates!$A78&amp;"|"&amp;dim_lab_sca_rates!$B78&amp;"|"&amp;dim_lab_sca_rates!$F78</f>
        <v>C000015128|LMPLBPC9|Daily</v>
      </c>
    </row>
    <row r="79" ht="15.75" customHeight="1">
      <c r="A79" s="72" t="s">
        <v>9</v>
      </c>
      <c r="B79" s="72" t="s">
        <v>1055</v>
      </c>
      <c r="C79" s="72" t="str">
        <f>TRIM(dim_lab_sca_rates!$A79&amp;"|"&amp;dim_lab_sca_rates!$D79&amp;"|"&amp;dim_lab_sca_rates!$F79)</f>
        <v>C000015128|Fungal|3 Hr</v>
      </c>
      <c r="D79" s="72" t="s">
        <v>1056</v>
      </c>
      <c r="E79" s="72" t="s">
        <v>1057</v>
      </c>
      <c r="F79" s="72" t="s">
        <v>992</v>
      </c>
      <c r="G79" s="76">
        <v>195.0</v>
      </c>
      <c r="H79" s="72" t="str">
        <f>dim_lab_sca_rates!$A79&amp;"|"&amp;dim_lab_sca_rates!$B79&amp;"|"&amp;dim_lab_sca_rates!$F79</f>
        <v>C000015128|LMPMoldC7|3 Hr</v>
      </c>
    </row>
    <row r="80" ht="15.75" customHeight="1">
      <c r="A80" s="72" t="s">
        <v>9</v>
      </c>
      <c r="B80" s="72" t="s">
        <v>1055</v>
      </c>
      <c r="C80" s="72" t="str">
        <f>TRIM(dim_lab_sca_rates!$A80&amp;"|"&amp;dim_lab_sca_rates!$D80&amp;"|"&amp;dim_lab_sca_rates!$F80)</f>
        <v>C000015128|Fungal|72 Hr</v>
      </c>
      <c r="D80" s="72" t="s">
        <v>1056</v>
      </c>
      <c r="E80" s="72" t="s">
        <v>1057</v>
      </c>
      <c r="F80" s="72" t="s">
        <v>1008</v>
      </c>
      <c r="G80" s="76">
        <v>77.0</v>
      </c>
      <c r="H80" s="72" t="str">
        <f>dim_lab_sca_rates!$A80&amp;"|"&amp;dim_lab_sca_rates!$B80&amp;"|"&amp;dim_lab_sca_rates!$F80</f>
        <v>C000015128|LMPMoldC7|72 Hr</v>
      </c>
    </row>
    <row r="81" ht="15.75" customHeight="1">
      <c r="A81" s="72" t="s">
        <v>9</v>
      </c>
      <c r="B81" s="72" t="s">
        <v>1055</v>
      </c>
      <c r="C81" s="72" t="str">
        <f>TRIM(dim_lab_sca_rates!$A81&amp;"|"&amp;dim_lab_sca_rates!$D81&amp;"|"&amp;dim_lab_sca_rates!$F81)</f>
        <v>C000015128|Fungal|24 Hr</v>
      </c>
      <c r="D81" s="72" t="s">
        <v>1056</v>
      </c>
      <c r="E81" s="72" t="s">
        <v>1057</v>
      </c>
      <c r="F81" s="72" t="s">
        <v>985</v>
      </c>
      <c r="G81" s="76">
        <v>115.0</v>
      </c>
      <c r="H81" s="72" t="str">
        <f>dim_lab_sca_rates!$A81&amp;"|"&amp;dim_lab_sca_rates!$B81&amp;"|"&amp;dim_lab_sca_rates!$F81</f>
        <v>C000015128|LMPMoldC7|24 Hr</v>
      </c>
    </row>
    <row r="82" ht="15.75" customHeight="1">
      <c r="A82" s="72" t="s">
        <v>9</v>
      </c>
      <c r="B82" s="72" t="s">
        <v>1055</v>
      </c>
      <c r="C82" s="72" t="str">
        <f>TRIM(dim_lab_sca_rates!$A82&amp;"|"&amp;dim_lab_sca_rates!$D82&amp;"|"&amp;dim_lab_sca_rates!$F82)</f>
        <v>C000015128|Fungal|12 Hr</v>
      </c>
      <c r="D82" s="72" t="s">
        <v>1056</v>
      </c>
      <c r="E82" s="72" t="s">
        <v>1057</v>
      </c>
      <c r="F82" s="72" t="s">
        <v>1007</v>
      </c>
      <c r="G82" s="76">
        <v>125.0</v>
      </c>
      <c r="H82" s="72" t="str">
        <f>dim_lab_sca_rates!$A82&amp;"|"&amp;dim_lab_sca_rates!$B82&amp;"|"&amp;dim_lab_sca_rates!$F82</f>
        <v>C000015128|LMPMoldC7|12 Hr</v>
      </c>
    </row>
    <row r="83" ht="15.75" customHeight="1">
      <c r="A83" s="72" t="s">
        <v>9</v>
      </c>
      <c r="B83" s="72" t="s">
        <v>1058</v>
      </c>
      <c r="C83" s="72" t="str">
        <f>TRIM(dim_lab_sca_rates!$A83&amp;"|"&amp;dim_lab_sca_rates!$D83&amp;"|"&amp;dim_lab_sca_rates!$F83)</f>
        <v>C000015128|PCB-Air|24 Hr</v>
      </c>
      <c r="D83" s="72" t="s">
        <v>1059</v>
      </c>
      <c r="E83" s="72" t="s">
        <v>1060</v>
      </c>
      <c r="F83" s="72" t="s">
        <v>985</v>
      </c>
      <c r="G83" s="76">
        <v>230.0</v>
      </c>
      <c r="H83" s="72" t="str">
        <f>dim_lab_sca_rates!$A83&amp;"|"&amp;dim_lab_sca_rates!$B83&amp;"|"&amp;dim_lab_sca_rates!$F83</f>
        <v>C000015128|LMPPCB42|24 Hr</v>
      </c>
    </row>
    <row r="84" ht="15.75" customHeight="1">
      <c r="A84" s="72" t="s">
        <v>9</v>
      </c>
      <c r="B84" s="72" t="s">
        <v>1058</v>
      </c>
      <c r="C84" s="72" t="str">
        <f>TRIM(dim_lab_sca_rates!$A84&amp;"|"&amp;dim_lab_sca_rates!$D84&amp;"|"&amp;dim_lab_sca_rates!$F84)</f>
        <v>C000015128|PCB-Air|12 Hr</v>
      </c>
      <c r="D84" s="72" t="s">
        <v>1059</v>
      </c>
      <c r="E84" s="72" t="s">
        <v>1060</v>
      </c>
      <c r="F84" s="72" t="s">
        <v>1007</v>
      </c>
      <c r="G84" s="76">
        <v>260.0</v>
      </c>
      <c r="H84" s="72" t="str">
        <f>dim_lab_sca_rates!$A84&amp;"|"&amp;dim_lab_sca_rates!$B84&amp;"|"&amp;dim_lab_sca_rates!$F84</f>
        <v>C000015128|LMPPCB42|12 Hr</v>
      </c>
    </row>
    <row r="85" ht="15.75" customHeight="1">
      <c r="A85" s="72" t="s">
        <v>9</v>
      </c>
      <c r="B85" s="72" t="s">
        <v>1061</v>
      </c>
      <c r="C85" s="72" t="str">
        <f>TRIM(dim_lab_sca_rates!$A85&amp;"|"&amp;dim_lab_sca_rates!$D85&amp;"|"&amp;dim_lab_sca_rates!$F85)</f>
        <v>C000015128|PCB-Bulk|12 Hr</v>
      </c>
      <c r="D85" s="72" t="s">
        <v>1062</v>
      </c>
      <c r="E85" s="72" t="s">
        <v>1063</v>
      </c>
      <c r="F85" s="72" t="s">
        <v>1007</v>
      </c>
      <c r="G85" s="76">
        <v>275.0</v>
      </c>
      <c r="H85" s="72" t="str">
        <f>dim_lab_sca_rates!$A85&amp;"|"&amp;dim_lab_sca_rates!$B85&amp;"|"&amp;dim_lab_sca_rates!$F85</f>
        <v>C000015128|LMPPCB44|12 Hr</v>
      </c>
    </row>
    <row r="86" ht="15.75" customHeight="1">
      <c r="A86" s="72" t="s">
        <v>9</v>
      </c>
      <c r="B86" s="72" t="s">
        <v>1061</v>
      </c>
      <c r="C86" s="72" t="str">
        <f>TRIM(dim_lab_sca_rates!$A86&amp;"|"&amp;dim_lab_sca_rates!$D86&amp;"|"&amp;dim_lab_sca_rates!$F86)</f>
        <v>C000015128|PCB-Bulk|24 Hr</v>
      </c>
      <c r="D86" s="72" t="s">
        <v>1062</v>
      </c>
      <c r="E86" s="72" t="s">
        <v>1063</v>
      </c>
      <c r="F86" s="72" t="s">
        <v>985</v>
      </c>
      <c r="G86" s="76">
        <v>205.0</v>
      </c>
      <c r="H86" s="72" t="str">
        <f>dim_lab_sca_rates!$A86&amp;"|"&amp;dim_lab_sca_rates!$B86&amp;"|"&amp;dim_lab_sca_rates!$F86</f>
        <v>C000015128|LMPPCB44|24 Hr</v>
      </c>
    </row>
    <row r="87" ht="15.75" customHeight="1">
      <c r="A87" s="72" t="s">
        <v>9</v>
      </c>
      <c r="B87" s="72" t="s">
        <v>1064</v>
      </c>
      <c r="C87" s="72" t="str">
        <f>TRIM(dim_lab_sca_rates!$A87&amp;"|"&amp;dim_lab_sca_rates!$D87&amp;"|"&amp;dim_lab_sca_rates!$F87)</f>
        <v>C000015128|PCB-Wipe|24 Hr</v>
      </c>
      <c r="D87" s="72" t="s">
        <v>1065</v>
      </c>
      <c r="E87" s="72" t="s">
        <v>1066</v>
      </c>
      <c r="F87" s="72" t="s">
        <v>985</v>
      </c>
      <c r="G87" s="76">
        <v>200.0</v>
      </c>
      <c r="H87" s="72" t="str">
        <f>dim_lab_sca_rates!$A87&amp;"|"&amp;dim_lab_sca_rates!$B87&amp;"|"&amp;dim_lab_sca_rates!$F87</f>
        <v>C000015128|LMPPCB46|24 Hr</v>
      </c>
    </row>
    <row r="88" ht="15.75" customHeight="1">
      <c r="A88" s="72" t="s">
        <v>9</v>
      </c>
      <c r="B88" s="72" t="s">
        <v>1064</v>
      </c>
      <c r="C88" s="72" t="str">
        <f>TRIM(dim_lab_sca_rates!$A88&amp;"|"&amp;dim_lab_sca_rates!$D88&amp;"|"&amp;dim_lab_sca_rates!$F88)</f>
        <v>C000015128|PCB-Wipe|12 Hr</v>
      </c>
      <c r="D88" s="72" t="s">
        <v>1065</v>
      </c>
      <c r="E88" s="72" t="s">
        <v>1066</v>
      </c>
      <c r="F88" s="72" t="s">
        <v>1007</v>
      </c>
      <c r="G88" s="76">
        <v>260.0</v>
      </c>
      <c r="H88" s="72" t="str">
        <f>dim_lab_sca_rates!$A88&amp;"|"&amp;dim_lab_sca_rates!$B88&amp;"|"&amp;dim_lab_sca_rates!$F88</f>
        <v>C000015128|LMPPCB46|12 Hr</v>
      </c>
    </row>
    <row r="89" ht="15.75" customHeight="1">
      <c r="A89" s="72" t="s">
        <v>9</v>
      </c>
      <c r="B89" s="72" t="s">
        <v>1067</v>
      </c>
      <c r="C89" s="72" t="str">
        <f>TRIM(dim_lab_sca_rates!$A89&amp;"|"&amp;dim_lab_sca_rates!$D89&amp;"|"&amp;dim_lab_sca_rates!$F89)</f>
        <v>C000015128|PCB-Waste|24 Hr</v>
      </c>
      <c r="D89" s="72" t="s">
        <v>1068</v>
      </c>
      <c r="E89" s="72" t="s">
        <v>1069</v>
      </c>
      <c r="F89" s="72" t="s">
        <v>985</v>
      </c>
      <c r="G89" s="76">
        <v>265.0</v>
      </c>
      <c r="H89" s="72" t="str">
        <f>dim_lab_sca_rates!$A89&amp;"|"&amp;dim_lab_sca_rates!$B89&amp;"|"&amp;dim_lab_sca_rates!$F89</f>
        <v>C000015128|LMPPCB48|24 Hr</v>
      </c>
    </row>
    <row r="90" ht="15.75" customHeight="1">
      <c r="A90" s="72" t="s">
        <v>9</v>
      </c>
      <c r="B90" s="72" t="s">
        <v>1067</v>
      </c>
      <c r="C90" s="72" t="str">
        <f>TRIM(dim_lab_sca_rates!$A90&amp;"|"&amp;dim_lab_sca_rates!$D90&amp;"|"&amp;dim_lab_sca_rates!$F90)</f>
        <v>C000015128|PCB-Waste|12 Hr</v>
      </c>
      <c r="D90" s="72" t="s">
        <v>1068</v>
      </c>
      <c r="E90" s="72" t="s">
        <v>1069</v>
      </c>
      <c r="F90" s="72" t="s">
        <v>1007</v>
      </c>
      <c r="G90" s="76">
        <v>350.0</v>
      </c>
      <c r="H90" s="72" t="str">
        <f>dim_lab_sca_rates!$A90&amp;"|"&amp;dim_lab_sca_rates!$B90&amp;"|"&amp;dim_lab_sca_rates!$F90</f>
        <v>C000015128|LMPPCB48|12 Hr</v>
      </c>
    </row>
    <row r="91" ht="15.75" customHeight="1">
      <c r="A91" s="72" t="s">
        <v>9</v>
      </c>
      <c r="B91" s="72" t="s">
        <v>1070</v>
      </c>
      <c r="C91" s="72" t="str">
        <f>TRIM(dim_lab_sca_rates!$A91&amp;"|"&amp;dim_lab_sca_rates!$D91&amp;"|"&amp;dim_lab_sca_rates!$F91)</f>
        <v>C000015128|PCB-Soil|12 Hr</v>
      </c>
      <c r="D91" s="72" t="s">
        <v>1071</v>
      </c>
      <c r="E91" s="72" t="s">
        <v>1072</v>
      </c>
      <c r="F91" s="72" t="s">
        <v>1007</v>
      </c>
      <c r="G91" s="76">
        <v>105.0</v>
      </c>
      <c r="H91" s="72" t="str">
        <f>dim_lab_sca_rates!$A91&amp;"|"&amp;dim_lab_sca_rates!$B91&amp;"|"&amp;dim_lab_sca_rates!$F91</f>
        <v>C000015128|LMPPCB50|12 Hr</v>
      </c>
    </row>
    <row r="92" ht="15.75" customHeight="1">
      <c r="A92" s="72" t="s">
        <v>9</v>
      </c>
      <c r="B92" s="72" t="s">
        <v>1070</v>
      </c>
      <c r="C92" s="72" t="str">
        <f>TRIM(dim_lab_sca_rates!$A92&amp;"|"&amp;dim_lab_sca_rates!$D92&amp;"|"&amp;dim_lab_sca_rates!$F92)</f>
        <v>C000015128|PCB-Soil|24 Hr</v>
      </c>
      <c r="D92" s="72" t="s">
        <v>1071</v>
      </c>
      <c r="E92" s="72" t="s">
        <v>1072</v>
      </c>
      <c r="F92" s="72" t="s">
        <v>985</v>
      </c>
      <c r="G92" s="76">
        <v>75.0</v>
      </c>
      <c r="H92" s="72" t="str">
        <f>dim_lab_sca_rates!$A92&amp;"|"&amp;dim_lab_sca_rates!$B92&amp;"|"&amp;dim_lab_sca_rates!$F92</f>
        <v>C000015128|LMPPCB50|24 Hr</v>
      </c>
    </row>
    <row r="93" ht="15.75" customHeight="1">
      <c r="A93" s="72" t="s">
        <v>9</v>
      </c>
      <c r="B93" s="72" t="s">
        <v>1073</v>
      </c>
      <c r="C93" s="72" t="str">
        <f>TRIM(dim_lab_sca_rates!$A93&amp;"|"&amp;dim_lab_sca_rates!$D93&amp;"|"&amp;dim_lab_sca_rates!$F93)</f>
        <v>C000015128|PCB-Soil|12 Hr</v>
      </c>
      <c r="D93" s="72" t="s">
        <v>1071</v>
      </c>
      <c r="E93" s="72" t="s">
        <v>1074</v>
      </c>
      <c r="F93" s="72" t="s">
        <v>1007</v>
      </c>
      <c r="G93" s="76">
        <v>260.0</v>
      </c>
      <c r="H93" s="72" t="str">
        <f>dim_lab_sca_rates!$A93&amp;"|"&amp;dim_lab_sca_rates!$B93&amp;"|"&amp;dim_lab_sca_rates!$F93</f>
        <v>C000015128|LMPPCB52|12 Hr</v>
      </c>
    </row>
    <row r="94" ht="15.75" customHeight="1">
      <c r="A94" s="72" t="s">
        <v>9</v>
      </c>
      <c r="B94" s="72" t="s">
        <v>1073</v>
      </c>
      <c r="C94" s="72" t="str">
        <f>TRIM(dim_lab_sca_rates!$A94&amp;"|"&amp;dim_lab_sca_rates!$D94&amp;"|"&amp;dim_lab_sca_rates!$F94)</f>
        <v>C000015128|PCB-Soil|24 Hr</v>
      </c>
      <c r="D94" s="72" t="s">
        <v>1071</v>
      </c>
      <c r="E94" s="72" t="s">
        <v>1074</v>
      </c>
      <c r="F94" s="72" t="s">
        <v>985</v>
      </c>
      <c r="G94" s="76">
        <v>205.0</v>
      </c>
      <c r="H94" s="72" t="str">
        <f>dim_lab_sca_rates!$A94&amp;"|"&amp;dim_lab_sca_rates!$B94&amp;"|"&amp;dim_lab_sca_rates!$F94</f>
        <v>C000015128|LMPPCB52|24 Hr</v>
      </c>
    </row>
    <row r="95" ht="15.75" customHeight="1">
      <c r="A95" s="72" t="s">
        <v>9</v>
      </c>
      <c r="B95" s="72" t="s">
        <v>1075</v>
      </c>
      <c r="C95" s="72" t="str">
        <f>TRIM(dim_lab_sca_rates!$A95&amp;"|"&amp;dim_lab_sca_rates!$D95&amp;"|"&amp;dim_lab_sca_rates!$F95)</f>
        <v>C000015128|PCB-Soil|48 Hr</v>
      </c>
      <c r="D95" s="72" t="s">
        <v>1071</v>
      </c>
      <c r="E95" s="72" t="s">
        <v>1076</v>
      </c>
      <c r="F95" s="72" t="s">
        <v>1006</v>
      </c>
      <c r="G95" s="76">
        <v>165.0</v>
      </c>
      <c r="H95" s="72" t="str">
        <f>dim_lab_sca_rates!$A95&amp;"|"&amp;dim_lab_sca_rates!$B95&amp;"|"&amp;dim_lab_sca_rates!$F95</f>
        <v>C000015128|LMPPCBC27|48 Hr</v>
      </c>
    </row>
    <row r="96" ht="15.75" customHeight="1">
      <c r="A96" s="72" t="s">
        <v>9</v>
      </c>
      <c r="B96" s="72" t="s">
        <v>1075</v>
      </c>
      <c r="C96" s="72" t="str">
        <f>TRIM(dim_lab_sca_rates!$A96&amp;"|"&amp;dim_lab_sca_rates!$D96&amp;"|"&amp;dim_lab_sca_rates!$F96)</f>
        <v>C000015128|PCB-Soil|5 Day</v>
      </c>
      <c r="D96" s="72" t="s">
        <v>1071</v>
      </c>
      <c r="E96" s="72" t="s">
        <v>1076</v>
      </c>
      <c r="F96" s="72" t="s">
        <v>977</v>
      </c>
      <c r="G96" s="76">
        <v>120.0</v>
      </c>
      <c r="H96" s="72" t="str">
        <f>dim_lab_sca_rates!$A96&amp;"|"&amp;dim_lab_sca_rates!$B96&amp;"|"&amp;dim_lab_sca_rates!$F96</f>
        <v>C000015128|LMPPCBC27|5 Day</v>
      </c>
    </row>
    <row r="97" ht="15.75" customHeight="1">
      <c r="A97" s="72" t="s">
        <v>9</v>
      </c>
      <c r="B97" s="72" t="s">
        <v>1077</v>
      </c>
      <c r="C97" s="72" t="str">
        <f>TRIM(dim_lab_sca_rates!$A97&amp;"|"&amp;dim_lab_sca_rates!$D97&amp;"|"&amp;dim_lab_sca_rates!$F97)</f>
        <v>C000015128|PCB-Soil|48 Hr</v>
      </c>
      <c r="D97" s="72" t="s">
        <v>1071</v>
      </c>
      <c r="E97" s="72" t="s">
        <v>1078</v>
      </c>
      <c r="F97" s="72" t="s">
        <v>1006</v>
      </c>
      <c r="G97" s="76">
        <v>70.0</v>
      </c>
      <c r="H97" s="72" t="str">
        <f>dim_lab_sca_rates!$A97&amp;"|"&amp;dim_lab_sca_rates!$B97&amp;"|"&amp;dim_lab_sca_rates!$F97</f>
        <v>C000015128|LMPPCBC28|48 Hr</v>
      </c>
    </row>
    <row r="98" ht="15.75" customHeight="1">
      <c r="A98" s="72" t="s">
        <v>9</v>
      </c>
      <c r="B98" s="72" t="s">
        <v>1077</v>
      </c>
      <c r="C98" s="72" t="str">
        <f>TRIM(dim_lab_sca_rates!$A98&amp;"|"&amp;dim_lab_sca_rates!$D98&amp;"|"&amp;dim_lab_sca_rates!$F98)</f>
        <v>C000015128|PCB-Soil|5 Day</v>
      </c>
      <c r="D98" s="72" t="s">
        <v>1071</v>
      </c>
      <c r="E98" s="72" t="s">
        <v>1078</v>
      </c>
      <c r="F98" s="72" t="s">
        <v>977</v>
      </c>
      <c r="G98" s="76">
        <v>60.0</v>
      </c>
      <c r="H98" s="72" t="str">
        <f>dim_lab_sca_rates!$A98&amp;"|"&amp;dim_lab_sca_rates!$B98&amp;"|"&amp;dim_lab_sca_rates!$F98</f>
        <v>C000015128|LMPPCBC28|5 Day</v>
      </c>
    </row>
    <row r="99" ht="15.75" customHeight="1">
      <c r="A99" s="72" t="s">
        <v>9</v>
      </c>
      <c r="B99" s="72" t="s">
        <v>1079</v>
      </c>
      <c r="C99" s="72" t="str">
        <f>TRIM(dim_lab_sca_rates!$A99&amp;"|"&amp;dim_lab_sca_rates!$D99&amp;"|"&amp;dim_lab_sca_rates!$F99)</f>
        <v>C000015128|PCB Air|48 Hr</v>
      </c>
      <c r="D99" s="72" t="s">
        <v>1080</v>
      </c>
      <c r="E99" s="72" t="s">
        <v>1081</v>
      </c>
      <c r="F99" s="72" t="s">
        <v>1006</v>
      </c>
      <c r="G99" s="76">
        <v>160.0</v>
      </c>
      <c r="H99" s="72" t="str">
        <f>dim_lab_sca_rates!$A99&amp;"|"&amp;dim_lab_sca_rates!$B99&amp;"|"&amp;dim_lab_sca_rates!$F99</f>
        <v>C000015128|LMPPCBC29|48 Hr</v>
      </c>
    </row>
    <row r="100" ht="15.75" customHeight="1">
      <c r="A100" s="72" t="s">
        <v>9</v>
      </c>
      <c r="B100" s="72" t="s">
        <v>1079</v>
      </c>
      <c r="C100" s="72" t="str">
        <f>TRIM(dim_lab_sca_rates!$A100&amp;"|"&amp;dim_lab_sca_rates!$D100&amp;"|"&amp;dim_lab_sca_rates!$F100)</f>
        <v>C000015128|PCB Air|5 Day</v>
      </c>
      <c r="D100" s="72" t="s">
        <v>1080</v>
      </c>
      <c r="E100" s="72" t="s">
        <v>1081</v>
      </c>
      <c r="F100" s="72" t="s">
        <v>977</v>
      </c>
      <c r="G100" s="76">
        <v>110.0</v>
      </c>
      <c r="H100" s="72" t="str">
        <f>dim_lab_sca_rates!$A100&amp;"|"&amp;dim_lab_sca_rates!$B100&amp;"|"&amp;dim_lab_sca_rates!$F100</f>
        <v>C000015128|LMPPCBC29|5 Day</v>
      </c>
    </row>
    <row r="101" ht="15.75" customHeight="1">
      <c r="A101" s="72" t="s">
        <v>9</v>
      </c>
      <c r="B101" s="72" t="s">
        <v>1082</v>
      </c>
      <c r="C101" s="72" t="str">
        <f>TRIM(dim_lab_sca_rates!$A101&amp;"|"&amp;dim_lab_sca_rates!$D101&amp;"|"&amp;dim_lab_sca_rates!$F101)</f>
        <v>C000015128|PCB Wipe|48 Hr</v>
      </c>
      <c r="D101" s="72" t="s">
        <v>1083</v>
      </c>
      <c r="E101" s="72" t="s">
        <v>1084</v>
      </c>
      <c r="F101" s="72" t="s">
        <v>1006</v>
      </c>
      <c r="G101" s="76">
        <v>150.0</v>
      </c>
      <c r="H101" s="72" t="str">
        <f>dim_lab_sca_rates!$A101&amp;"|"&amp;dim_lab_sca_rates!$B101&amp;"|"&amp;dim_lab_sca_rates!$F101</f>
        <v>C000015128|LMPPCBC30|48 Hr</v>
      </c>
    </row>
    <row r="102" ht="15.75" customHeight="1">
      <c r="A102" s="72" t="s">
        <v>9</v>
      </c>
      <c r="B102" s="72" t="s">
        <v>1082</v>
      </c>
      <c r="C102" s="72" t="str">
        <f>TRIM(dim_lab_sca_rates!$A102&amp;"|"&amp;dim_lab_sca_rates!$D102&amp;"|"&amp;dim_lab_sca_rates!$F102)</f>
        <v>C000015128|PCB Wipe|5 Day</v>
      </c>
      <c r="D102" s="72" t="s">
        <v>1083</v>
      </c>
      <c r="E102" s="72" t="s">
        <v>1084</v>
      </c>
      <c r="F102" s="72" t="s">
        <v>977</v>
      </c>
      <c r="G102" s="76">
        <v>105.0</v>
      </c>
      <c r="H102" s="72" t="str">
        <f>dim_lab_sca_rates!$A102&amp;"|"&amp;dim_lab_sca_rates!$B102&amp;"|"&amp;dim_lab_sca_rates!$F102</f>
        <v>C000015128|LMPPCBC30|5 Day</v>
      </c>
    </row>
    <row r="103" ht="15.75" customHeight="1">
      <c r="A103" s="72" t="s">
        <v>9</v>
      </c>
      <c r="B103" s="72" t="s">
        <v>1085</v>
      </c>
      <c r="C103" s="72" t="str">
        <f>TRIM(dim_lab_sca_rates!$A103&amp;"|"&amp;dim_lab_sca_rates!$D103&amp;"|"&amp;dim_lab_sca_rates!$F103)</f>
        <v>C000015128|PCB Bulk|48 Hr</v>
      </c>
      <c r="D103" s="72" t="s">
        <v>1086</v>
      </c>
      <c r="E103" s="72" t="s">
        <v>1087</v>
      </c>
      <c r="F103" s="72" t="s">
        <v>1006</v>
      </c>
      <c r="G103" s="76">
        <v>165.0</v>
      </c>
      <c r="H103" s="72" t="str">
        <f>dim_lab_sca_rates!$A103&amp;"|"&amp;dim_lab_sca_rates!$B103&amp;"|"&amp;dim_lab_sca_rates!$F103</f>
        <v>C000015128|LMPPCBC31|48 Hr</v>
      </c>
    </row>
    <row r="104" ht="15.75" customHeight="1">
      <c r="A104" s="72" t="s">
        <v>9</v>
      </c>
      <c r="B104" s="72" t="s">
        <v>1085</v>
      </c>
      <c r="C104" s="72" t="str">
        <f>TRIM(dim_lab_sca_rates!$A104&amp;"|"&amp;dim_lab_sca_rates!$D104&amp;"|"&amp;dim_lab_sca_rates!$F104)</f>
        <v>C000015128|PCB Bulk|5 Day</v>
      </c>
      <c r="D104" s="72" t="s">
        <v>1086</v>
      </c>
      <c r="E104" s="72" t="s">
        <v>1087</v>
      </c>
      <c r="F104" s="72" t="s">
        <v>977</v>
      </c>
      <c r="G104" s="76">
        <v>140.0</v>
      </c>
      <c r="H104" s="72" t="str">
        <f>dim_lab_sca_rates!$A104&amp;"|"&amp;dim_lab_sca_rates!$B104&amp;"|"&amp;dim_lab_sca_rates!$F104</f>
        <v>C000015128|LMPPCBC31|5 Day</v>
      </c>
    </row>
    <row r="105" ht="15.75" customHeight="1">
      <c r="A105" s="72" t="s">
        <v>9</v>
      </c>
      <c r="B105" s="72" t="s">
        <v>1088</v>
      </c>
      <c r="C105" s="72" t="str">
        <f>TRIM(dim_lab_sca_rates!$A105&amp;"|"&amp;dim_lab_sca_rates!$D105&amp;"|"&amp;dim_lab_sca_rates!$F105)</f>
        <v>C000015128|PCB Waste / Wash Water|48 Hr</v>
      </c>
      <c r="D105" s="72" t="s">
        <v>1089</v>
      </c>
      <c r="E105" s="72" t="s">
        <v>1090</v>
      </c>
      <c r="F105" s="72" t="s">
        <v>1006</v>
      </c>
      <c r="G105" s="76">
        <v>190.0</v>
      </c>
      <c r="H105" s="72" t="str">
        <f>dim_lab_sca_rates!$A105&amp;"|"&amp;dim_lab_sca_rates!$B105&amp;"|"&amp;dim_lab_sca_rates!$F105</f>
        <v>C000015128|LMPPCBC32|48 Hr</v>
      </c>
    </row>
    <row r="106" ht="15.75" customHeight="1">
      <c r="A106" s="72" t="s">
        <v>9</v>
      </c>
      <c r="B106" s="72" t="s">
        <v>1088</v>
      </c>
      <c r="C106" s="72" t="str">
        <f>TRIM(dim_lab_sca_rates!$A106&amp;"|"&amp;dim_lab_sca_rates!$D106&amp;"|"&amp;dim_lab_sca_rates!$F106)</f>
        <v>C000015128|PCB Waste / Wash Water|5 Day</v>
      </c>
      <c r="D106" s="72" t="s">
        <v>1089</v>
      </c>
      <c r="E106" s="72" t="s">
        <v>1090</v>
      </c>
      <c r="F106" s="72" t="s">
        <v>977</v>
      </c>
      <c r="G106" s="76">
        <v>120.0</v>
      </c>
      <c r="H106" s="72" t="str">
        <f>dim_lab_sca_rates!$A106&amp;"|"&amp;dim_lab_sca_rates!$B106&amp;"|"&amp;dim_lab_sca_rates!$F106</f>
        <v>C000015128|LMPPCBC32|5 Day</v>
      </c>
    </row>
    <row r="107" ht="15.75" customHeight="1">
      <c r="A107" s="72" t="s">
        <v>7</v>
      </c>
      <c r="B107" s="72" t="s">
        <v>972</v>
      </c>
      <c r="C107" s="72" t="str">
        <f>TRIM(dim_lab_sca_rates!$A107&amp;"|"&amp;dim_lab_sca_rates!$D107&amp;"|"&amp;dim_lab_sca_rates!$F107)</f>
        <v>C000015869|Amph|10 Day</v>
      </c>
      <c r="D107" s="72" t="s">
        <v>973</v>
      </c>
      <c r="E107" s="72" t="s">
        <v>974</v>
      </c>
      <c r="F107" s="72" t="s">
        <v>975</v>
      </c>
      <c r="G107" s="76">
        <v>241.0</v>
      </c>
      <c r="H107" s="72" t="str">
        <f>dim_lab_sca_rates!$A107&amp;"|"&amp;dim_lab_sca_rates!$B107&amp;"|"&amp;dim_lab_sca_rates!$F107</f>
        <v>C000015869|LMPACM56|10 Day</v>
      </c>
    </row>
    <row r="108" ht="15.75" customHeight="1">
      <c r="A108" s="72" t="s">
        <v>7</v>
      </c>
      <c r="B108" s="72" t="s">
        <v>972</v>
      </c>
      <c r="C108" s="72" t="str">
        <f>TRIM(dim_lab_sca_rates!$A108&amp;"|"&amp;dim_lab_sca_rates!$D108&amp;"|"&amp;dim_lab_sca_rates!$F108)</f>
        <v>C000015869|Amph|2 Day</v>
      </c>
      <c r="D108" s="72" t="s">
        <v>973</v>
      </c>
      <c r="E108" s="72" t="s">
        <v>974</v>
      </c>
      <c r="F108" s="72" t="s">
        <v>976</v>
      </c>
      <c r="G108" s="76">
        <v>600.0</v>
      </c>
      <c r="H108" s="72" t="str">
        <f>dim_lab_sca_rates!$A108&amp;"|"&amp;dim_lab_sca_rates!$B108&amp;"|"&amp;dim_lab_sca_rates!$F108</f>
        <v>C000015869|LMPACM56|2 Day</v>
      </c>
    </row>
    <row r="109" ht="15.75" customHeight="1">
      <c r="A109" s="72" t="s">
        <v>7</v>
      </c>
      <c r="B109" s="72" t="s">
        <v>972</v>
      </c>
      <c r="C109" s="72" t="str">
        <f>TRIM(dim_lab_sca_rates!$A109&amp;"|"&amp;dim_lab_sca_rates!$D109&amp;"|"&amp;dim_lab_sca_rates!$F109)</f>
        <v>C000015869|Amph|5 Day</v>
      </c>
      <c r="D109" s="72" t="s">
        <v>973</v>
      </c>
      <c r="E109" s="72" t="s">
        <v>974</v>
      </c>
      <c r="F109" s="72" t="s">
        <v>977</v>
      </c>
      <c r="G109" s="76">
        <v>303.0</v>
      </c>
      <c r="H109" s="72" t="str">
        <f>dim_lab_sca_rates!$A109&amp;"|"&amp;dim_lab_sca_rates!$B109&amp;"|"&amp;dim_lab_sca_rates!$F109</f>
        <v>C000015869|LMPACM56|5 Day</v>
      </c>
    </row>
    <row r="110" ht="15.75" customHeight="1">
      <c r="A110" s="72" t="s">
        <v>7</v>
      </c>
      <c r="B110" s="72" t="s">
        <v>978</v>
      </c>
      <c r="C110" s="72" t="str">
        <f>TRIM(dim_lab_sca_rates!$A110&amp;"|"&amp;dim_lab_sca_rates!$D110&amp;"|"&amp;dim_lab_sca_rates!$F110)</f>
        <v>C000015869|Chrys|2 Day</v>
      </c>
      <c r="D110" s="72" t="s">
        <v>979</v>
      </c>
      <c r="E110" s="72" t="s">
        <v>980</v>
      </c>
      <c r="F110" s="72" t="s">
        <v>976</v>
      </c>
      <c r="G110" s="76">
        <v>500.0</v>
      </c>
      <c r="H110" s="72" t="str">
        <f>dim_lab_sca_rates!$A110&amp;"|"&amp;dim_lab_sca_rates!$B110&amp;"|"&amp;dim_lab_sca_rates!$F110</f>
        <v>C000015869|LMPACM58|2 Day</v>
      </c>
    </row>
    <row r="111" ht="15.75" customHeight="1">
      <c r="A111" s="72" t="s">
        <v>7</v>
      </c>
      <c r="B111" s="72" t="s">
        <v>978</v>
      </c>
      <c r="C111" s="72" t="str">
        <f>TRIM(dim_lab_sca_rates!$A111&amp;"|"&amp;dim_lab_sca_rates!$D111&amp;"|"&amp;dim_lab_sca_rates!$F111)</f>
        <v>C000015869|Chrys|5 Day</v>
      </c>
      <c r="D111" s="72" t="s">
        <v>979</v>
      </c>
      <c r="E111" s="72" t="s">
        <v>980</v>
      </c>
      <c r="F111" s="72" t="s">
        <v>977</v>
      </c>
      <c r="G111" s="76">
        <v>282.0</v>
      </c>
      <c r="H111" s="72" t="str">
        <f>dim_lab_sca_rates!$A111&amp;"|"&amp;dim_lab_sca_rates!$B111&amp;"|"&amp;dim_lab_sca_rates!$F111</f>
        <v>C000015869|LMPACM58|5 Day</v>
      </c>
    </row>
    <row r="112" ht="15.75" customHeight="1">
      <c r="A112" s="72" t="s">
        <v>7</v>
      </c>
      <c r="B112" s="72" t="s">
        <v>978</v>
      </c>
      <c r="C112" s="72" t="str">
        <f>TRIM(dim_lab_sca_rates!$A112&amp;"|"&amp;dim_lab_sca_rates!$D112&amp;"|"&amp;dim_lab_sca_rates!$F112)</f>
        <v>C000015869|Chrys|10 Day</v>
      </c>
      <c r="D112" s="72" t="s">
        <v>979</v>
      </c>
      <c r="E112" s="72" t="s">
        <v>980</v>
      </c>
      <c r="F112" s="72" t="s">
        <v>975</v>
      </c>
      <c r="G112" s="76">
        <v>225.0</v>
      </c>
      <c r="H112" s="72" t="str">
        <f>dim_lab_sca_rates!$A112&amp;"|"&amp;dim_lab_sca_rates!$B112&amp;"|"&amp;dim_lab_sca_rates!$F112</f>
        <v>C000015869|LMPACM58|10 Day</v>
      </c>
    </row>
    <row r="113" ht="15.75" customHeight="1">
      <c r="A113" s="72" t="s">
        <v>7</v>
      </c>
      <c r="B113" s="72" t="s">
        <v>981</v>
      </c>
      <c r="C113" s="72" t="str">
        <f>TRIM(dim_lab_sca_rates!$A113&amp;"|"&amp;dim_lab_sca_rates!$D113&amp;"|"&amp;dim_lab_sca_rates!$F113)</f>
        <v>C000015869|PLM|1 Hr</v>
      </c>
      <c r="D113" s="72" t="s">
        <v>982</v>
      </c>
      <c r="E113" s="72" t="s">
        <v>983</v>
      </c>
      <c r="F113" s="72" t="s">
        <v>984</v>
      </c>
      <c r="G113" s="76">
        <v>35.0</v>
      </c>
      <c r="H113" s="72" t="str">
        <f>dim_lab_sca_rates!$A113&amp;"|"&amp;dim_lab_sca_rates!$B113&amp;"|"&amp;dim_lab_sca_rates!$F113</f>
        <v>C000015869|LMPACMC1|1 Hr</v>
      </c>
    </row>
    <row r="114" ht="15.75" customHeight="1">
      <c r="A114" s="72" t="s">
        <v>7</v>
      </c>
      <c r="B114" s="72" t="s">
        <v>981</v>
      </c>
      <c r="C114" s="72" t="str">
        <f>TRIM(dim_lab_sca_rates!$A114&amp;"|"&amp;dim_lab_sca_rates!$D114&amp;"|"&amp;dim_lab_sca_rates!$F114)</f>
        <v>C000015869|PLM|24 Hr</v>
      </c>
      <c r="D114" s="72" t="s">
        <v>982</v>
      </c>
      <c r="E114" s="72" t="s">
        <v>983</v>
      </c>
      <c r="F114" s="72" t="s">
        <v>985</v>
      </c>
      <c r="G114" s="76">
        <v>23.0</v>
      </c>
      <c r="H114" s="72" t="str">
        <f>dim_lab_sca_rates!$A114&amp;"|"&amp;dim_lab_sca_rates!$B114&amp;"|"&amp;dim_lab_sca_rates!$F114</f>
        <v>C000015869|LMPACMC1|24 Hr</v>
      </c>
    </row>
    <row r="115" ht="15.75" customHeight="1">
      <c r="A115" s="72" t="s">
        <v>7</v>
      </c>
      <c r="B115" s="72" t="s">
        <v>981</v>
      </c>
      <c r="C115" s="72" t="str">
        <f>TRIM(dim_lab_sca_rates!$A115&amp;"|"&amp;dim_lab_sca_rates!$D115&amp;"|"&amp;dim_lab_sca_rates!$F115)</f>
        <v>C000015869|PLM|6 Hr</v>
      </c>
      <c r="D115" s="72" t="s">
        <v>982</v>
      </c>
      <c r="E115" s="72" t="s">
        <v>983</v>
      </c>
      <c r="F115" s="72" t="s">
        <v>986</v>
      </c>
      <c r="G115" s="76">
        <v>30.0</v>
      </c>
      <c r="H115" s="72" t="str">
        <f>dim_lab_sca_rates!$A115&amp;"|"&amp;dim_lab_sca_rates!$B115&amp;"|"&amp;dim_lab_sca_rates!$F115</f>
        <v>C000015869|LMPACMC1|6 Hr</v>
      </c>
    </row>
    <row r="116" ht="15.75" customHeight="1">
      <c r="A116" s="72" t="s">
        <v>7</v>
      </c>
      <c r="B116" s="72" t="s">
        <v>987</v>
      </c>
      <c r="C116" s="72" t="str">
        <f>TRIM(dim_lab_sca_rates!$A116&amp;"|"&amp;dim_lab_sca_rates!$D116&amp;"|"&amp;dim_lab_sca_rates!$F116)</f>
        <v>C000015869|PCM|6 Hr</v>
      </c>
      <c r="D116" s="72" t="s">
        <v>988</v>
      </c>
      <c r="E116" s="72" t="s">
        <v>989</v>
      </c>
      <c r="F116" s="72" t="s">
        <v>986</v>
      </c>
      <c r="G116" s="76">
        <v>23.0</v>
      </c>
      <c r="H116" s="72" t="str">
        <f>dim_lab_sca_rates!$A116&amp;"|"&amp;dim_lab_sca_rates!$B116&amp;"|"&amp;dim_lab_sca_rates!$F116</f>
        <v>C000015869|LMPACMC2|6 Hr</v>
      </c>
    </row>
    <row r="117" ht="15.75" customHeight="1">
      <c r="A117" s="72" t="s">
        <v>7</v>
      </c>
      <c r="B117" s="72" t="s">
        <v>987</v>
      </c>
      <c r="C117" s="72" t="str">
        <f>TRIM(dim_lab_sca_rates!$A117&amp;"|"&amp;dim_lab_sca_rates!$D117&amp;"|"&amp;dim_lab_sca_rates!$F117)</f>
        <v>C000015869|PCM|1 Hr</v>
      </c>
      <c r="D117" s="72" t="s">
        <v>988</v>
      </c>
      <c r="E117" s="72" t="s">
        <v>989</v>
      </c>
      <c r="F117" s="72" t="s">
        <v>984</v>
      </c>
      <c r="G117" s="76">
        <v>27.0</v>
      </c>
      <c r="H117" s="72" t="str">
        <f>dim_lab_sca_rates!$A117&amp;"|"&amp;dim_lab_sca_rates!$B117&amp;"|"&amp;dim_lab_sca_rates!$F117</f>
        <v>C000015869|LMPACMC2|1 Hr</v>
      </c>
    </row>
    <row r="118" ht="15.75" customHeight="1">
      <c r="A118" s="72" t="s">
        <v>7</v>
      </c>
      <c r="B118" s="72" t="s">
        <v>987</v>
      </c>
      <c r="C118" s="72" t="str">
        <f>TRIM(dim_lab_sca_rates!$A118&amp;"|"&amp;dim_lab_sca_rates!$D118&amp;"|"&amp;dim_lab_sca_rates!$F118)</f>
        <v>C000015869|PCM|24 Hr</v>
      </c>
      <c r="D118" s="72" t="s">
        <v>988</v>
      </c>
      <c r="E118" s="72" t="s">
        <v>989</v>
      </c>
      <c r="F118" s="72" t="s">
        <v>985</v>
      </c>
      <c r="G118" s="76">
        <v>23.0</v>
      </c>
      <c r="H118" s="72" t="str">
        <f>dim_lab_sca_rates!$A118&amp;"|"&amp;dim_lab_sca_rates!$B118&amp;"|"&amp;dim_lab_sca_rates!$F118</f>
        <v>C000015869|LMPACMC2|24 Hr</v>
      </c>
    </row>
    <row r="119" ht="15.75" customHeight="1">
      <c r="A119" s="72" t="s">
        <v>7</v>
      </c>
      <c r="B119" s="72" t="s">
        <v>990</v>
      </c>
      <c r="C119" s="72" t="str">
        <f>TRIM(dim_lab_sca_rates!$A119&amp;"|"&amp;dim_lab_sca_rates!$D119&amp;"|"&amp;dim_lab_sca_rates!$F119)</f>
        <v>C000015869|TEM|3 Hr</v>
      </c>
      <c r="D119" s="72" t="s">
        <v>830</v>
      </c>
      <c r="E119" s="72" t="s">
        <v>991</v>
      </c>
      <c r="F119" s="72" t="s">
        <v>992</v>
      </c>
      <c r="G119" s="76">
        <v>160.0</v>
      </c>
      <c r="H119" s="72" t="str">
        <f>dim_lab_sca_rates!$A119&amp;"|"&amp;dim_lab_sca_rates!$B119&amp;"|"&amp;dim_lab_sca_rates!$F119</f>
        <v>C000015869|LMPACMC3|3 Hr</v>
      </c>
    </row>
    <row r="120" ht="15.75" customHeight="1">
      <c r="A120" s="72" t="s">
        <v>7</v>
      </c>
      <c r="B120" s="72" t="s">
        <v>990</v>
      </c>
      <c r="C120" s="72" t="str">
        <f>TRIM(dim_lab_sca_rates!$A120&amp;"|"&amp;dim_lab_sca_rates!$D120&amp;"|"&amp;dim_lab_sca_rates!$F120)</f>
        <v>C000015869|TEM|6 Hr</v>
      </c>
      <c r="D120" s="72" t="s">
        <v>830</v>
      </c>
      <c r="E120" s="72" t="s">
        <v>991</v>
      </c>
      <c r="F120" s="72" t="s">
        <v>986</v>
      </c>
      <c r="G120" s="76">
        <v>125.0</v>
      </c>
      <c r="H120" s="72" t="str">
        <f>dim_lab_sca_rates!$A120&amp;"|"&amp;dim_lab_sca_rates!$B120&amp;"|"&amp;dim_lab_sca_rates!$F120</f>
        <v>C000015869|LMPACMC3|6 Hr</v>
      </c>
    </row>
    <row r="121" ht="15.75" customHeight="1">
      <c r="A121" s="72" t="s">
        <v>7</v>
      </c>
      <c r="B121" s="72" t="s">
        <v>990</v>
      </c>
      <c r="C121" s="72" t="str">
        <f>TRIM(dim_lab_sca_rates!$A121&amp;"|"&amp;dim_lab_sca_rates!$D121&amp;"|"&amp;dim_lab_sca_rates!$F121)</f>
        <v>C000015869|TEM|24 Hr</v>
      </c>
      <c r="D121" s="72" t="s">
        <v>830</v>
      </c>
      <c r="E121" s="72" t="s">
        <v>991</v>
      </c>
      <c r="F121" s="72" t="s">
        <v>985</v>
      </c>
      <c r="G121" s="76">
        <v>100.0</v>
      </c>
      <c r="H121" s="72" t="str">
        <f>dim_lab_sca_rates!$A121&amp;"|"&amp;dim_lab_sca_rates!$B121&amp;"|"&amp;dim_lab_sca_rates!$F121</f>
        <v>C000015869|LMPACMC3|24 Hr</v>
      </c>
    </row>
    <row r="122" ht="15.75" customHeight="1">
      <c r="A122" s="72" t="s">
        <v>7</v>
      </c>
      <c r="B122" s="72" t="s">
        <v>993</v>
      </c>
      <c r="C122" s="72" t="str">
        <f>TRIM(dim_lab_sca_rates!$A122&amp;"|"&amp;dim_lab_sca_rates!$D122&amp;"|"&amp;dim_lab_sca_rates!$F122)</f>
        <v>C000015869|NOB-PLM|24 Hr</v>
      </c>
      <c r="D122" s="72" t="s">
        <v>994</v>
      </c>
      <c r="E122" s="72" t="s">
        <v>995</v>
      </c>
      <c r="F122" s="72" t="s">
        <v>985</v>
      </c>
      <c r="G122" s="76">
        <v>40.0</v>
      </c>
      <c r="H122" s="72" t="str">
        <f>dim_lab_sca_rates!$A122&amp;"|"&amp;dim_lab_sca_rates!$B122&amp;"|"&amp;dim_lab_sca_rates!$F122</f>
        <v>C000015869|LMPACMC4|24 Hr</v>
      </c>
    </row>
    <row r="123" ht="15.75" customHeight="1">
      <c r="A123" s="72" t="s">
        <v>7</v>
      </c>
      <c r="B123" s="72" t="s">
        <v>996</v>
      </c>
      <c r="C123" s="72" t="str">
        <f>TRIM(dim_lab_sca_rates!$A123&amp;"|"&amp;dim_lab_sca_rates!$D123&amp;"|"&amp;dim_lab_sca_rates!$F123)</f>
        <v>C000015869|NOB-TEM|24 Hr</v>
      </c>
      <c r="D123" s="72" t="s">
        <v>997</v>
      </c>
      <c r="E123" s="72" t="s">
        <v>998</v>
      </c>
      <c r="F123" s="72" t="s">
        <v>985</v>
      </c>
      <c r="G123" s="76">
        <v>70.0</v>
      </c>
      <c r="H123" s="72" t="str">
        <f>dim_lab_sca_rates!$A123&amp;"|"&amp;dim_lab_sca_rates!$B123&amp;"|"&amp;dim_lab_sca_rates!$F123</f>
        <v>C000015869|LMPACMC5|24 Hr</v>
      </c>
    </row>
    <row r="124" ht="15.75" customHeight="1">
      <c r="A124" s="72" t="s">
        <v>7</v>
      </c>
      <c r="B124" s="72" t="s">
        <v>999</v>
      </c>
      <c r="C124" s="72" t="str">
        <f>TRIM(dim_lab_sca_rates!$A124&amp;"|"&amp;dim_lab_sca_rates!$D124&amp;"|"&amp;dim_lab_sca_rates!$F124)</f>
        <v>C000015869|SLIDE PREP|0 Hr</v>
      </c>
      <c r="D124" s="72" t="s">
        <v>1000</v>
      </c>
      <c r="E124" s="72" t="s">
        <v>1001</v>
      </c>
      <c r="F124" s="72" t="s">
        <v>1002</v>
      </c>
      <c r="G124" s="76">
        <v>22.0</v>
      </c>
      <c r="H124" s="72" t="str">
        <f>dim_lab_sca_rates!$A124&amp;"|"&amp;dim_lab_sca_rates!$B124&amp;"|"&amp;dim_lab_sca_rates!$F124</f>
        <v>C000015869|LMPACMC6|0 Hr</v>
      </c>
    </row>
    <row r="125" ht="15.75" customHeight="1">
      <c r="A125" s="72" t="s">
        <v>7</v>
      </c>
      <c r="B125" s="72" t="s">
        <v>1003</v>
      </c>
      <c r="C125" s="72" t="str">
        <f>TRIM(dim_lab_sca_rates!$A125&amp;"|"&amp;dim_lab_sca_rates!$D125&amp;"|"&amp;dim_lab_sca_rates!$F125)</f>
        <v>C000015869|Paint Chip|48 Hr</v>
      </c>
      <c r="D125" s="72" t="s">
        <v>1004</v>
      </c>
      <c r="E125" s="72" t="s">
        <v>1005</v>
      </c>
      <c r="F125" s="72" t="s">
        <v>1006</v>
      </c>
      <c r="G125" s="76">
        <v>25.0</v>
      </c>
      <c r="H125" s="72" t="str">
        <f>dim_lab_sca_rates!$A125&amp;"|"&amp;dim_lab_sca_rates!$B125&amp;"|"&amp;dim_lab_sca_rates!$F125</f>
        <v>C000015869|LMPLBP54|48 Hr</v>
      </c>
    </row>
    <row r="126" ht="15.75" customHeight="1">
      <c r="A126" s="72" t="s">
        <v>7</v>
      </c>
      <c r="B126" s="72" t="s">
        <v>1003</v>
      </c>
      <c r="C126" s="72" t="str">
        <f>TRIM(dim_lab_sca_rates!$A126&amp;"|"&amp;dim_lab_sca_rates!$D126&amp;"|"&amp;dim_lab_sca_rates!$F126)</f>
        <v>C000015869|Paint Chip|24 Hr</v>
      </c>
      <c r="D126" s="72" t="s">
        <v>1004</v>
      </c>
      <c r="E126" s="72" t="s">
        <v>1005</v>
      </c>
      <c r="F126" s="72" t="s">
        <v>985</v>
      </c>
      <c r="G126" s="76">
        <v>29.5</v>
      </c>
      <c r="H126" s="72" t="str">
        <f>dim_lab_sca_rates!$A126&amp;"|"&amp;dim_lab_sca_rates!$B126&amp;"|"&amp;dim_lab_sca_rates!$F126</f>
        <v>C000015869|LMPLBP54|24 Hr</v>
      </c>
    </row>
    <row r="127" ht="15.75" customHeight="1">
      <c r="A127" s="72" t="s">
        <v>7</v>
      </c>
      <c r="B127" s="72" t="s">
        <v>1003</v>
      </c>
      <c r="C127" s="72" t="str">
        <f>TRIM(dim_lab_sca_rates!$A127&amp;"|"&amp;dim_lab_sca_rates!$D127&amp;"|"&amp;dim_lab_sca_rates!$F127)</f>
        <v>C000015869|Paint Chip|12 Hr</v>
      </c>
      <c r="D127" s="72" t="s">
        <v>1004</v>
      </c>
      <c r="E127" s="72" t="s">
        <v>1005</v>
      </c>
      <c r="F127" s="72" t="s">
        <v>1007</v>
      </c>
      <c r="G127" s="76">
        <v>31.25</v>
      </c>
      <c r="H127" s="72" t="str">
        <f>dim_lab_sca_rates!$A127&amp;"|"&amp;dim_lab_sca_rates!$B127&amp;"|"&amp;dim_lab_sca_rates!$F127</f>
        <v>C000015869|LMPLBP54|12 Hr</v>
      </c>
    </row>
    <row r="128" ht="15.75" customHeight="1">
      <c r="A128" s="72" t="s">
        <v>7</v>
      </c>
      <c r="B128" s="72" t="s">
        <v>1003</v>
      </c>
      <c r="C128" s="72" t="str">
        <f>TRIM(dim_lab_sca_rates!$A128&amp;"|"&amp;dim_lab_sca_rates!$D128&amp;"|"&amp;dim_lab_sca_rates!$F128)</f>
        <v>C000015869|Paint Chip|72 Hr</v>
      </c>
      <c r="D128" s="72" t="s">
        <v>1004</v>
      </c>
      <c r="E128" s="72" t="s">
        <v>1005</v>
      </c>
      <c r="F128" s="72" t="s">
        <v>1008</v>
      </c>
      <c r="G128" s="76">
        <v>20.5</v>
      </c>
      <c r="H128" s="72" t="str">
        <f>dim_lab_sca_rates!$A128&amp;"|"&amp;dim_lab_sca_rates!$B128&amp;"|"&amp;dim_lab_sca_rates!$F128</f>
        <v>C000015869|LMPLBP54|72 Hr</v>
      </c>
    </row>
    <row r="129" ht="15.75" customHeight="1">
      <c r="A129" s="72" t="s">
        <v>7</v>
      </c>
      <c r="B129" s="72" t="s">
        <v>1009</v>
      </c>
      <c r="C129" s="72" t="str">
        <f>TRIM(dim_lab_sca_rates!$A129&amp;"|"&amp;dim_lab_sca_rates!$D129&amp;"|"&amp;dim_lab_sca_rates!$F129)</f>
        <v>C000015869|LWS|12 Hr</v>
      </c>
      <c r="D129" s="72" t="s">
        <v>1010</v>
      </c>
      <c r="E129" s="72" t="s">
        <v>1011</v>
      </c>
      <c r="F129" s="72" t="s">
        <v>1007</v>
      </c>
      <c r="G129" s="76">
        <v>29.75</v>
      </c>
      <c r="H129" s="72" t="str">
        <f>dim_lab_sca_rates!$A129&amp;"|"&amp;dim_lab_sca_rates!$B129&amp;"|"&amp;dim_lab_sca_rates!$F129</f>
        <v>C000015869|LMPLBPC10|12 Hr</v>
      </c>
    </row>
    <row r="130" ht="15.75" customHeight="1">
      <c r="A130" s="72" t="s">
        <v>7</v>
      </c>
      <c r="B130" s="72" t="s">
        <v>1009</v>
      </c>
      <c r="C130" s="72" t="str">
        <f>TRIM(dim_lab_sca_rates!$A130&amp;"|"&amp;dim_lab_sca_rates!$D130&amp;"|"&amp;dim_lab_sca_rates!$F130)</f>
        <v>C000015869|LWS|24 Hr</v>
      </c>
      <c r="D130" s="72" t="s">
        <v>1010</v>
      </c>
      <c r="E130" s="72" t="s">
        <v>1011</v>
      </c>
      <c r="F130" s="72" t="s">
        <v>985</v>
      </c>
      <c r="G130" s="76">
        <v>28.0</v>
      </c>
      <c r="H130" s="72" t="str">
        <f>dim_lab_sca_rates!$A130&amp;"|"&amp;dim_lab_sca_rates!$B130&amp;"|"&amp;dim_lab_sca_rates!$F130</f>
        <v>C000015869|LMPLBPC10|24 Hr</v>
      </c>
    </row>
    <row r="131" ht="15.75" customHeight="1">
      <c r="A131" s="72" t="s">
        <v>7</v>
      </c>
      <c r="B131" s="72" t="s">
        <v>1009</v>
      </c>
      <c r="C131" s="72" t="str">
        <f>TRIM(dim_lab_sca_rates!$A131&amp;"|"&amp;dim_lab_sca_rates!$D131&amp;"|"&amp;dim_lab_sca_rates!$F131)</f>
        <v>C000015869|LWS|6 Hr</v>
      </c>
      <c r="D131" s="72" t="s">
        <v>1010</v>
      </c>
      <c r="E131" s="72" t="s">
        <v>1011</v>
      </c>
      <c r="F131" s="72" t="s">
        <v>986</v>
      </c>
      <c r="G131" s="76">
        <v>35.0</v>
      </c>
      <c r="H131" s="72" t="str">
        <f>dim_lab_sca_rates!$A131&amp;"|"&amp;dim_lab_sca_rates!$B131&amp;"|"&amp;dim_lab_sca_rates!$F131</f>
        <v>C000015869|LMPLBPC10|6 Hr</v>
      </c>
    </row>
    <row r="132" ht="15.75" customHeight="1">
      <c r="A132" s="72" t="s">
        <v>7</v>
      </c>
      <c r="B132" s="72" t="s">
        <v>1012</v>
      </c>
      <c r="C132" s="72" t="str">
        <f>TRIM(dim_lab_sca_rates!$A132&amp;"|"&amp;dim_lab_sca_rates!$D132&amp;"|"&amp;dim_lab_sca_rates!$F132)</f>
        <v>C000015869|Lead In Air|24 Hr</v>
      </c>
      <c r="D132" s="72" t="s">
        <v>1013</v>
      </c>
      <c r="E132" s="72" t="s">
        <v>1014</v>
      </c>
      <c r="F132" s="72" t="s">
        <v>985</v>
      </c>
      <c r="G132" s="76">
        <v>29.5</v>
      </c>
      <c r="H132" s="72" t="str">
        <f>dim_lab_sca_rates!$A132&amp;"|"&amp;dim_lab_sca_rates!$B132&amp;"|"&amp;dim_lab_sca_rates!$F132</f>
        <v>C000015869|LMPLBPC11|24 Hr</v>
      </c>
    </row>
    <row r="133" ht="15.75" customHeight="1">
      <c r="A133" s="72" t="s">
        <v>7</v>
      </c>
      <c r="B133" s="72" t="s">
        <v>1012</v>
      </c>
      <c r="C133" s="72" t="str">
        <f>TRIM(dim_lab_sca_rates!$A133&amp;"|"&amp;dim_lab_sca_rates!$D133&amp;"|"&amp;dim_lab_sca_rates!$F133)</f>
        <v>C000015869|Lead In Air|72 Hr</v>
      </c>
      <c r="D133" s="72" t="s">
        <v>1013</v>
      </c>
      <c r="E133" s="72" t="s">
        <v>1014</v>
      </c>
      <c r="F133" s="72" t="s">
        <v>1008</v>
      </c>
      <c r="G133" s="76">
        <v>20.5</v>
      </c>
      <c r="H133" s="72" t="str">
        <f>dim_lab_sca_rates!$A133&amp;"|"&amp;dim_lab_sca_rates!$B133&amp;"|"&amp;dim_lab_sca_rates!$F133</f>
        <v>C000015869|LMPLBPC11|72 Hr</v>
      </c>
    </row>
    <row r="134" ht="15.75" customHeight="1">
      <c r="A134" s="72" t="s">
        <v>7</v>
      </c>
      <c r="B134" s="72" t="s">
        <v>1012</v>
      </c>
      <c r="C134" s="72" t="str">
        <f>TRIM(dim_lab_sca_rates!$A134&amp;"|"&amp;dim_lab_sca_rates!$D134&amp;"|"&amp;dim_lab_sca_rates!$F134)</f>
        <v>C000015869|Lead In Air|48 Hr</v>
      </c>
      <c r="D134" s="72" t="s">
        <v>1013</v>
      </c>
      <c r="E134" s="72" t="s">
        <v>1014</v>
      </c>
      <c r="F134" s="72" t="s">
        <v>1006</v>
      </c>
      <c r="G134" s="76">
        <v>25.0</v>
      </c>
      <c r="H134" s="72" t="str">
        <f>dim_lab_sca_rates!$A134&amp;"|"&amp;dim_lab_sca_rates!$B134&amp;"|"&amp;dim_lab_sca_rates!$F134</f>
        <v>C000015869|LMPLBPC11|48 Hr</v>
      </c>
    </row>
    <row r="135" ht="15.75" customHeight="1">
      <c r="A135" s="72" t="s">
        <v>7</v>
      </c>
      <c r="B135" s="72" t="s">
        <v>1012</v>
      </c>
      <c r="C135" s="72" t="str">
        <f>TRIM(dim_lab_sca_rates!$A135&amp;"|"&amp;dim_lab_sca_rates!$D135&amp;"|"&amp;dim_lab_sca_rates!$F135)</f>
        <v>C000015869|Lead In Air|12 Hr</v>
      </c>
      <c r="D135" s="72" t="s">
        <v>1013</v>
      </c>
      <c r="E135" s="72" t="s">
        <v>1014</v>
      </c>
      <c r="F135" s="72" t="s">
        <v>1007</v>
      </c>
      <c r="G135" s="76">
        <v>31.25</v>
      </c>
      <c r="H135" s="72" t="str">
        <f>dim_lab_sca_rates!$A135&amp;"|"&amp;dim_lab_sca_rates!$B135&amp;"|"&amp;dim_lab_sca_rates!$F135</f>
        <v>C000015869|LMPLBPC11|12 Hr</v>
      </c>
    </row>
    <row r="136" ht="15.75" customHeight="1">
      <c r="A136" s="72" t="s">
        <v>7</v>
      </c>
      <c r="B136" s="72" t="s">
        <v>1015</v>
      </c>
      <c r="C136" s="72" t="str">
        <f>TRIM(dim_lab_sca_rates!$A136&amp;"|"&amp;dim_lab_sca_rates!$D136&amp;"|"&amp;dim_lab_sca_rates!$F136)</f>
        <v>C000015869|Lead In Soil|24 Hr</v>
      </c>
      <c r="D136" s="72" t="s">
        <v>1016</v>
      </c>
      <c r="E136" s="72" t="s">
        <v>1017</v>
      </c>
      <c r="F136" s="72" t="s">
        <v>985</v>
      </c>
      <c r="G136" s="76">
        <v>33.04</v>
      </c>
      <c r="H136" s="72" t="str">
        <f>dim_lab_sca_rates!$A136&amp;"|"&amp;dim_lab_sca_rates!$B136&amp;"|"&amp;dim_lab_sca_rates!$F136</f>
        <v>C000015869|LMPLBPC12|24 Hr</v>
      </c>
    </row>
    <row r="137" ht="15.75" customHeight="1">
      <c r="A137" s="72" t="s">
        <v>7</v>
      </c>
      <c r="B137" s="72" t="s">
        <v>1015</v>
      </c>
      <c r="C137" s="72" t="str">
        <f>TRIM(dim_lab_sca_rates!$A137&amp;"|"&amp;dim_lab_sca_rates!$D137&amp;"|"&amp;dim_lab_sca_rates!$F137)</f>
        <v>C000015869|Lead In Soil|12 Hr</v>
      </c>
      <c r="D137" s="72" t="s">
        <v>1016</v>
      </c>
      <c r="E137" s="72" t="s">
        <v>1017</v>
      </c>
      <c r="F137" s="72" t="s">
        <v>1007</v>
      </c>
      <c r="G137" s="76">
        <v>35.0</v>
      </c>
      <c r="H137" s="72" t="str">
        <f>dim_lab_sca_rates!$A137&amp;"|"&amp;dim_lab_sca_rates!$B137&amp;"|"&amp;dim_lab_sca_rates!$F137</f>
        <v>C000015869|LMPLBPC12|12 Hr</v>
      </c>
    </row>
    <row r="138" ht="15.75" customHeight="1">
      <c r="A138" s="72" t="s">
        <v>7</v>
      </c>
      <c r="B138" s="72" t="s">
        <v>1015</v>
      </c>
      <c r="C138" s="72" t="str">
        <f>TRIM(dim_lab_sca_rates!$A138&amp;"|"&amp;dim_lab_sca_rates!$D138&amp;"|"&amp;dim_lab_sca_rates!$F138)</f>
        <v>C000015869|Lead In Soil|72 Hr</v>
      </c>
      <c r="D138" s="72" t="s">
        <v>1016</v>
      </c>
      <c r="E138" s="72" t="s">
        <v>1017</v>
      </c>
      <c r="F138" s="72" t="s">
        <v>1008</v>
      </c>
      <c r="G138" s="76">
        <v>22.96</v>
      </c>
      <c r="H138" s="72" t="str">
        <f>dim_lab_sca_rates!$A138&amp;"|"&amp;dim_lab_sca_rates!$B138&amp;"|"&amp;dim_lab_sca_rates!$F138</f>
        <v>C000015869|LMPLBPC12|72 Hr</v>
      </c>
    </row>
    <row r="139" ht="15.75" customHeight="1">
      <c r="A139" s="72" t="s">
        <v>7</v>
      </c>
      <c r="B139" s="72" t="s">
        <v>1015</v>
      </c>
      <c r="C139" s="72" t="str">
        <f>TRIM(dim_lab_sca_rates!$A139&amp;"|"&amp;dim_lab_sca_rates!$D139&amp;"|"&amp;dim_lab_sca_rates!$F139)</f>
        <v>C000015869|Lead In Soil|48 Hr</v>
      </c>
      <c r="D139" s="72" t="s">
        <v>1016</v>
      </c>
      <c r="E139" s="72" t="s">
        <v>1017</v>
      </c>
      <c r="F139" s="72" t="s">
        <v>1006</v>
      </c>
      <c r="G139" s="76">
        <v>28.0</v>
      </c>
      <c r="H139" s="72" t="str">
        <f>dim_lab_sca_rates!$A139&amp;"|"&amp;dim_lab_sca_rates!$B139&amp;"|"&amp;dim_lab_sca_rates!$F139</f>
        <v>C000015869|LMPLBPC12|48 Hr</v>
      </c>
    </row>
    <row r="140" ht="15.75" customHeight="1">
      <c r="A140" s="72" t="s">
        <v>7</v>
      </c>
      <c r="B140" s="72" t="s">
        <v>1018</v>
      </c>
      <c r="C140" s="72" t="str">
        <f>TRIM(dim_lab_sca_rates!$A140&amp;"|"&amp;dim_lab_sca_rates!$D140&amp;"|"&amp;dim_lab_sca_rates!$F140)</f>
        <v>C000015869|TCLP|48 Hr</v>
      </c>
      <c r="D140" s="72" t="s">
        <v>1019</v>
      </c>
      <c r="E140" s="72" t="s">
        <v>1020</v>
      </c>
      <c r="F140" s="72" t="s">
        <v>1006</v>
      </c>
      <c r="G140" s="76">
        <v>1280.5</v>
      </c>
      <c r="H140" s="72" t="str">
        <f>dim_lab_sca_rates!$A140&amp;"|"&amp;dim_lab_sca_rates!$B140&amp;"|"&amp;dim_lab_sca_rates!$F140</f>
        <v>C000015869|LMPLBPC13|48 Hr</v>
      </c>
    </row>
    <row r="141" ht="15.75" customHeight="1">
      <c r="A141" s="72" t="s">
        <v>7</v>
      </c>
      <c r="B141" s="72" t="s">
        <v>1018</v>
      </c>
      <c r="C141" s="72" t="str">
        <f>TRIM(dim_lab_sca_rates!$A141&amp;"|"&amp;dim_lab_sca_rates!$D141&amp;"|"&amp;dim_lab_sca_rates!$F141)</f>
        <v>C000015869|TCLP|10 BD</v>
      </c>
      <c r="D141" s="72" t="s">
        <v>1019</v>
      </c>
      <c r="E141" s="72" t="s">
        <v>1020</v>
      </c>
      <c r="F141" s="72" t="s">
        <v>1021</v>
      </c>
      <c r="G141" s="76">
        <v>886.5</v>
      </c>
      <c r="H141" s="72" t="str">
        <f>dim_lab_sca_rates!$A141&amp;"|"&amp;dim_lab_sca_rates!$B141&amp;"|"&amp;dim_lab_sca_rates!$F141</f>
        <v>C000015869|LMPLBPC13|10 BD</v>
      </c>
    </row>
    <row r="142" ht="15.75" customHeight="1">
      <c r="A142" s="72" t="s">
        <v>7</v>
      </c>
      <c r="B142" s="72" t="s">
        <v>1018</v>
      </c>
      <c r="C142" s="72" t="str">
        <f>TRIM(dim_lab_sca_rates!$A142&amp;"|"&amp;dim_lab_sca_rates!$D142&amp;"|"&amp;dim_lab_sca_rates!$F142)</f>
        <v>C000015869|TCLP|5 Day</v>
      </c>
      <c r="D142" s="72" t="s">
        <v>1019</v>
      </c>
      <c r="E142" s="72" t="s">
        <v>1020</v>
      </c>
      <c r="F142" s="72" t="s">
        <v>977</v>
      </c>
      <c r="G142" s="76">
        <v>985.0</v>
      </c>
      <c r="H142" s="72" t="str">
        <f>dim_lab_sca_rates!$A142&amp;"|"&amp;dim_lab_sca_rates!$B142&amp;"|"&amp;dim_lab_sca_rates!$F142</f>
        <v>C000015869|LMPLBPC13|5 Day</v>
      </c>
    </row>
    <row r="143" ht="15.75" customHeight="1">
      <c r="A143" s="72" t="s">
        <v>7</v>
      </c>
      <c r="B143" s="72" t="s">
        <v>1022</v>
      </c>
      <c r="C143" s="72" t="str">
        <f>TRIM(dim_lab_sca_rates!$A143&amp;"|"&amp;dim_lab_sca_rates!$D143&amp;"|"&amp;dim_lab_sca_rates!$F143)</f>
        <v>C000015869|RCRA|48 Hr</v>
      </c>
      <c r="D143" s="72" t="s">
        <v>1023</v>
      </c>
      <c r="E143" s="72" t="s">
        <v>1024</v>
      </c>
      <c r="F143" s="72" t="s">
        <v>1006</v>
      </c>
      <c r="G143" s="76">
        <v>223.6</v>
      </c>
      <c r="H143" s="72" t="str">
        <f>dim_lab_sca_rates!$A143&amp;"|"&amp;dim_lab_sca_rates!$B143&amp;"|"&amp;dim_lab_sca_rates!$F143</f>
        <v>C000015869|LMPLBPC14|48 Hr</v>
      </c>
    </row>
    <row r="144" ht="15.75" customHeight="1">
      <c r="A144" s="72" t="s">
        <v>7</v>
      </c>
      <c r="B144" s="72" t="s">
        <v>1022</v>
      </c>
      <c r="C144" s="72" t="str">
        <f>TRIM(dim_lab_sca_rates!$A144&amp;"|"&amp;dim_lab_sca_rates!$D144&amp;"|"&amp;dim_lab_sca_rates!$F144)</f>
        <v>C000015869|RCRA|5 Day</v>
      </c>
      <c r="D144" s="72" t="s">
        <v>1023</v>
      </c>
      <c r="E144" s="72" t="s">
        <v>1024</v>
      </c>
      <c r="F144" s="72" t="s">
        <v>977</v>
      </c>
      <c r="G144" s="76">
        <v>172.0</v>
      </c>
      <c r="H144" s="72" t="str">
        <f>dim_lab_sca_rates!$A144&amp;"|"&amp;dim_lab_sca_rates!$B144&amp;"|"&amp;dim_lab_sca_rates!$F144</f>
        <v>C000015869|LMPLBPC14|5 Day</v>
      </c>
    </row>
    <row r="145" ht="15.75" customHeight="1">
      <c r="A145" s="72" t="s">
        <v>7</v>
      </c>
      <c r="B145" s="72" t="s">
        <v>1022</v>
      </c>
      <c r="C145" s="72" t="str">
        <f>TRIM(dim_lab_sca_rates!$A145&amp;"|"&amp;dim_lab_sca_rates!$D145&amp;"|"&amp;dim_lab_sca_rates!$F145)</f>
        <v>C000015869|RCRA|10 BD</v>
      </c>
      <c r="D145" s="72" t="s">
        <v>1023</v>
      </c>
      <c r="E145" s="72" t="s">
        <v>1024</v>
      </c>
      <c r="F145" s="72" t="s">
        <v>1021</v>
      </c>
      <c r="G145" s="76">
        <v>154.8</v>
      </c>
      <c r="H145" s="72" t="str">
        <f>dim_lab_sca_rates!$A145&amp;"|"&amp;dim_lab_sca_rates!$B145&amp;"|"&amp;dim_lab_sca_rates!$F145</f>
        <v>C000015869|LMPLBPC14|10 BD</v>
      </c>
    </row>
    <row r="146" ht="15.75" customHeight="1">
      <c r="A146" s="72" t="s">
        <v>7</v>
      </c>
      <c r="B146" s="72" t="s">
        <v>1025</v>
      </c>
      <c r="C146" s="72" t="str">
        <f>TRIM(dim_lab_sca_rates!$A146&amp;"|"&amp;dim_lab_sca_rates!$D146&amp;"|"&amp;dim_lab_sca_rates!$F146)</f>
        <v>C000015869|Lead Only|48 Hr</v>
      </c>
      <c r="D146" s="72" t="s">
        <v>1026</v>
      </c>
      <c r="E146" s="72" t="s">
        <v>1026</v>
      </c>
      <c r="F146" s="72" t="s">
        <v>1006</v>
      </c>
      <c r="G146" s="76">
        <v>140.4</v>
      </c>
      <c r="H146" s="72" t="str">
        <f>dim_lab_sca_rates!$A146&amp;"|"&amp;dim_lab_sca_rates!$B146&amp;"|"&amp;dim_lab_sca_rates!$F146</f>
        <v>C000015869|LMPLBPC15|48 Hr</v>
      </c>
    </row>
    <row r="147" ht="15.75" customHeight="1">
      <c r="A147" s="72" t="s">
        <v>7</v>
      </c>
      <c r="B147" s="72" t="s">
        <v>1025</v>
      </c>
      <c r="C147" s="72" t="str">
        <f>TRIM(dim_lab_sca_rates!$A147&amp;"|"&amp;dim_lab_sca_rates!$D147&amp;"|"&amp;dim_lab_sca_rates!$F147)</f>
        <v>C000015869|Lead Only|5 Day</v>
      </c>
      <c r="D147" s="72" t="s">
        <v>1026</v>
      </c>
      <c r="E147" s="72" t="s">
        <v>1026</v>
      </c>
      <c r="F147" s="72" t="s">
        <v>977</v>
      </c>
      <c r="G147" s="76">
        <v>108.0</v>
      </c>
      <c r="H147" s="72" t="str">
        <f>dim_lab_sca_rates!$A147&amp;"|"&amp;dim_lab_sca_rates!$B147&amp;"|"&amp;dim_lab_sca_rates!$F147</f>
        <v>C000015869|LMPLBPC15|5 Day</v>
      </c>
    </row>
    <row r="148" ht="15.75" customHeight="1">
      <c r="A148" s="72" t="s">
        <v>7</v>
      </c>
      <c r="B148" s="72" t="s">
        <v>1025</v>
      </c>
      <c r="C148" s="72" t="str">
        <f>TRIM(dim_lab_sca_rates!$A148&amp;"|"&amp;dim_lab_sca_rates!$D148&amp;"|"&amp;dim_lab_sca_rates!$F148)</f>
        <v>C000015869|Lead Only|10 BD</v>
      </c>
      <c r="D148" s="72" t="s">
        <v>1026</v>
      </c>
      <c r="E148" s="72" t="s">
        <v>1026</v>
      </c>
      <c r="F148" s="72" t="s">
        <v>1021</v>
      </c>
      <c r="G148" s="76">
        <v>97.2</v>
      </c>
      <c r="H148" s="72" t="str">
        <f>dim_lab_sca_rates!$A148&amp;"|"&amp;dim_lab_sca_rates!$B148&amp;"|"&amp;dim_lab_sca_rates!$F148</f>
        <v>C000015869|LMPLBPC15|10 BD</v>
      </c>
    </row>
    <row r="149" ht="15.75" customHeight="1">
      <c r="A149" s="72" t="s">
        <v>7</v>
      </c>
      <c r="B149" s="72" t="s">
        <v>1027</v>
      </c>
      <c r="C149" s="72" t="str">
        <f>TRIM(dim_lab_sca_rates!$A149&amp;"|"&amp;dim_lab_sca_rates!$D149&amp;"|"&amp;dim_lab_sca_rates!$F149)</f>
        <v>C000015869|Semivolatile compounds|48 Hr</v>
      </c>
      <c r="D149" s="72" t="s">
        <v>1028</v>
      </c>
      <c r="E149" s="72" t="s">
        <v>1028</v>
      </c>
      <c r="F149" s="72" t="s">
        <v>1006</v>
      </c>
      <c r="G149" s="76">
        <v>325.0</v>
      </c>
      <c r="H149" s="72" t="str">
        <f>dim_lab_sca_rates!$A149&amp;"|"&amp;dim_lab_sca_rates!$B149&amp;"|"&amp;dim_lab_sca_rates!$F149</f>
        <v>C000015869|LMPLBPC16|48 Hr</v>
      </c>
    </row>
    <row r="150" ht="15.75" customHeight="1">
      <c r="A150" s="72" t="s">
        <v>7</v>
      </c>
      <c r="B150" s="72" t="s">
        <v>1027</v>
      </c>
      <c r="C150" s="72" t="str">
        <f>TRIM(dim_lab_sca_rates!$A150&amp;"|"&amp;dim_lab_sca_rates!$D150&amp;"|"&amp;dim_lab_sca_rates!$F150)</f>
        <v>C000015869|Semivolatile compounds|10 BD</v>
      </c>
      <c r="D150" s="72" t="s">
        <v>1028</v>
      </c>
      <c r="E150" s="72" t="s">
        <v>1028</v>
      </c>
      <c r="F150" s="72" t="s">
        <v>1021</v>
      </c>
      <c r="G150" s="76">
        <v>225.0</v>
      </c>
      <c r="H150" s="72" t="str">
        <f>dim_lab_sca_rates!$A150&amp;"|"&amp;dim_lab_sca_rates!$B150&amp;"|"&amp;dim_lab_sca_rates!$F150</f>
        <v>C000015869|LMPLBPC16|10 BD</v>
      </c>
    </row>
    <row r="151" ht="15.75" customHeight="1">
      <c r="A151" s="72" t="s">
        <v>7</v>
      </c>
      <c r="B151" s="72" t="s">
        <v>1027</v>
      </c>
      <c r="C151" s="72" t="str">
        <f>TRIM(dim_lab_sca_rates!$A151&amp;"|"&amp;dim_lab_sca_rates!$D151&amp;"|"&amp;dim_lab_sca_rates!$F151)</f>
        <v>C000015869|Semivolatile compounds|5 Day</v>
      </c>
      <c r="D151" s="72" t="s">
        <v>1028</v>
      </c>
      <c r="E151" s="72" t="s">
        <v>1028</v>
      </c>
      <c r="F151" s="72" t="s">
        <v>977</v>
      </c>
      <c r="G151" s="76">
        <v>250.0</v>
      </c>
      <c r="H151" s="72" t="str">
        <f>dim_lab_sca_rates!$A151&amp;"|"&amp;dim_lab_sca_rates!$B151&amp;"|"&amp;dim_lab_sca_rates!$F151</f>
        <v>C000015869|LMPLBPC16|5 Day</v>
      </c>
    </row>
    <row r="152" ht="15.75" customHeight="1">
      <c r="A152" s="72" t="s">
        <v>7</v>
      </c>
      <c r="B152" s="72" t="s">
        <v>1029</v>
      </c>
      <c r="C152" s="72" t="str">
        <f>TRIM(dim_lab_sca_rates!$A152&amp;"|"&amp;dim_lab_sca_rates!$D152&amp;"|"&amp;dim_lab_sca_rates!$F152)</f>
        <v>C000015869|Volatile compounds|48 Hr</v>
      </c>
      <c r="D152" s="72" t="s">
        <v>1030</v>
      </c>
      <c r="E152" s="72" t="s">
        <v>1030</v>
      </c>
      <c r="F152" s="72" t="s">
        <v>1006</v>
      </c>
      <c r="G152" s="76">
        <v>231.4</v>
      </c>
      <c r="H152" s="72" t="str">
        <f>dim_lab_sca_rates!$A152&amp;"|"&amp;dim_lab_sca_rates!$B152&amp;"|"&amp;dim_lab_sca_rates!$F152</f>
        <v>C000015869|LMPLBPC17|48 Hr</v>
      </c>
    </row>
    <row r="153" ht="15.75" customHeight="1">
      <c r="A153" s="72" t="s">
        <v>7</v>
      </c>
      <c r="B153" s="72" t="s">
        <v>1029</v>
      </c>
      <c r="C153" s="72" t="str">
        <f>TRIM(dim_lab_sca_rates!$A153&amp;"|"&amp;dim_lab_sca_rates!$D153&amp;"|"&amp;dim_lab_sca_rates!$F153)</f>
        <v>C000015869|Volatile compounds|10 BD</v>
      </c>
      <c r="D153" s="72" t="s">
        <v>1030</v>
      </c>
      <c r="E153" s="72" t="s">
        <v>1030</v>
      </c>
      <c r="F153" s="72" t="s">
        <v>1021</v>
      </c>
      <c r="G153" s="76">
        <v>160.2</v>
      </c>
      <c r="H153" s="72" t="str">
        <f>dim_lab_sca_rates!$A153&amp;"|"&amp;dim_lab_sca_rates!$B153&amp;"|"&amp;dim_lab_sca_rates!$F153</f>
        <v>C000015869|LMPLBPC17|10 BD</v>
      </c>
    </row>
    <row r="154" ht="15.75" customHeight="1">
      <c r="A154" s="72" t="s">
        <v>7</v>
      </c>
      <c r="B154" s="72" t="s">
        <v>1029</v>
      </c>
      <c r="C154" s="72" t="str">
        <f>TRIM(dim_lab_sca_rates!$A154&amp;"|"&amp;dim_lab_sca_rates!$D154&amp;"|"&amp;dim_lab_sca_rates!$F154)</f>
        <v>C000015869|Volatile compounds|5 Day</v>
      </c>
      <c r="D154" s="72" t="s">
        <v>1030</v>
      </c>
      <c r="E154" s="72" t="s">
        <v>1030</v>
      </c>
      <c r="F154" s="72" t="s">
        <v>977</v>
      </c>
      <c r="G154" s="76">
        <v>178.0</v>
      </c>
      <c r="H154" s="72" t="str">
        <f>dim_lab_sca_rates!$A154&amp;"|"&amp;dim_lab_sca_rates!$B154&amp;"|"&amp;dim_lab_sca_rates!$F154</f>
        <v>C000015869|LMPLBPC17|5 Day</v>
      </c>
    </row>
    <row r="155" ht="15.75" customHeight="1">
      <c r="A155" s="72" t="s">
        <v>7</v>
      </c>
      <c r="B155" s="72" t="s">
        <v>1031</v>
      </c>
      <c r="C155" s="72" t="str">
        <f>TRIM(dim_lab_sca_rates!$A155&amp;"|"&amp;dim_lab_sca_rates!$D155&amp;"|"&amp;dim_lab_sca_rates!$F155)</f>
        <v>C000015869|STARS volatile compounds|5 Day</v>
      </c>
      <c r="D155" s="72" t="s">
        <v>1032</v>
      </c>
      <c r="E155" s="72" t="s">
        <v>1032</v>
      </c>
      <c r="F155" s="72" t="s">
        <v>977</v>
      </c>
      <c r="G155" s="76">
        <v>161.0</v>
      </c>
      <c r="H155" s="72" t="str">
        <f>dim_lab_sca_rates!$A155&amp;"|"&amp;dim_lab_sca_rates!$B155&amp;"|"&amp;dim_lab_sca_rates!$F155</f>
        <v>C000015869|LMPLBPC18|5 Day</v>
      </c>
    </row>
    <row r="156" ht="15.75" customHeight="1">
      <c r="A156" s="72" t="s">
        <v>7</v>
      </c>
      <c r="B156" s="72" t="s">
        <v>1031</v>
      </c>
      <c r="C156" s="72" t="str">
        <f>TRIM(dim_lab_sca_rates!$A156&amp;"|"&amp;dim_lab_sca_rates!$D156&amp;"|"&amp;dim_lab_sca_rates!$F156)</f>
        <v>C000015869|STARS volatile compounds|10 BD</v>
      </c>
      <c r="D156" s="72" t="s">
        <v>1032</v>
      </c>
      <c r="E156" s="72" t="s">
        <v>1032</v>
      </c>
      <c r="F156" s="72" t="s">
        <v>1021</v>
      </c>
      <c r="G156" s="76">
        <v>144.9</v>
      </c>
      <c r="H156" s="72" t="str">
        <f>dim_lab_sca_rates!$A156&amp;"|"&amp;dim_lab_sca_rates!$B156&amp;"|"&amp;dim_lab_sca_rates!$F156</f>
        <v>C000015869|LMPLBPC18|10 BD</v>
      </c>
    </row>
    <row r="157" ht="15.75" customHeight="1">
      <c r="A157" s="72" t="s">
        <v>7</v>
      </c>
      <c r="B157" s="72" t="s">
        <v>1031</v>
      </c>
      <c r="C157" s="72" t="str">
        <f>TRIM(dim_lab_sca_rates!$A157&amp;"|"&amp;dim_lab_sca_rates!$D157&amp;"|"&amp;dim_lab_sca_rates!$F157)</f>
        <v>C000015869|STARS volatile compounds|48 Hr</v>
      </c>
      <c r="D157" s="72" t="s">
        <v>1032</v>
      </c>
      <c r="E157" s="72" t="s">
        <v>1032</v>
      </c>
      <c r="F157" s="72" t="s">
        <v>1006</v>
      </c>
      <c r="G157" s="76">
        <v>209.3</v>
      </c>
      <c r="H157" s="72" t="str">
        <f>dim_lab_sca_rates!$A157&amp;"|"&amp;dim_lab_sca_rates!$B157&amp;"|"&amp;dim_lab_sca_rates!$F157</f>
        <v>C000015869|LMPLBPC18|48 Hr</v>
      </c>
    </row>
    <row r="158" ht="15.75" customHeight="1">
      <c r="A158" s="72" t="s">
        <v>7</v>
      </c>
      <c r="B158" s="72" t="s">
        <v>1033</v>
      </c>
      <c r="C158" s="72" t="str">
        <f>TRIM(dim_lab_sca_rates!$A158&amp;"|"&amp;dim_lab_sca_rates!$D158&amp;"|"&amp;dim_lab_sca_rates!$F158)</f>
        <v>C000015869|STARS semivolatile compounds|48 Hr</v>
      </c>
      <c r="D158" s="72" t="s">
        <v>1034</v>
      </c>
      <c r="E158" s="72" t="s">
        <v>1034</v>
      </c>
      <c r="F158" s="72" t="s">
        <v>1006</v>
      </c>
      <c r="G158" s="76">
        <v>260.0</v>
      </c>
      <c r="H158" s="72" t="str">
        <f>dim_lab_sca_rates!$A158&amp;"|"&amp;dim_lab_sca_rates!$B158&amp;"|"&amp;dim_lab_sca_rates!$F158</f>
        <v>C000015869|LMPLBPC19|48 Hr</v>
      </c>
    </row>
    <row r="159" ht="15.75" customHeight="1">
      <c r="A159" s="72" t="s">
        <v>7</v>
      </c>
      <c r="B159" s="72" t="s">
        <v>1033</v>
      </c>
      <c r="C159" s="72" t="str">
        <f>TRIM(dim_lab_sca_rates!$A159&amp;"|"&amp;dim_lab_sca_rates!$D159&amp;"|"&amp;dim_lab_sca_rates!$F159)</f>
        <v>C000015869|STARS semivolatile compounds|5 Day</v>
      </c>
      <c r="D159" s="72" t="s">
        <v>1034</v>
      </c>
      <c r="E159" s="72" t="s">
        <v>1034</v>
      </c>
      <c r="F159" s="72" t="s">
        <v>977</v>
      </c>
      <c r="G159" s="76">
        <v>200.0</v>
      </c>
      <c r="H159" s="72" t="str">
        <f>dim_lab_sca_rates!$A159&amp;"|"&amp;dim_lab_sca_rates!$B159&amp;"|"&amp;dim_lab_sca_rates!$F159</f>
        <v>C000015869|LMPLBPC19|5 Day</v>
      </c>
    </row>
    <row r="160" ht="15.75" customHeight="1">
      <c r="A160" s="72" t="s">
        <v>7</v>
      </c>
      <c r="B160" s="72" t="s">
        <v>1033</v>
      </c>
      <c r="C160" s="72" t="str">
        <f>TRIM(dim_lab_sca_rates!$A160&amp;"|"&amp;dim_lab_sca_rates!$D160&amp;"|"&amp;dim_lab_sca_rates!$F160)</f>
        <v>C000015869|STARS semivolatile compounds|10 BD</v>
      </c>
      <c r="D160" s="72" t="s">
        <v>1034</v>
      </c>
      <c r="E160" s="72" t="s">
        <v>1034</v>
      </c>
      <c r="F160" s="72" t="s">
        <v>1021</v>
      </c>
      <c r="G160" s="76">
        <v>180.0</v>
      </c>
      <c r="H160" s="72" t="str">
        <f>dim_lab_sca_rates!$A160&amp;"|"&amp;dim_lab_sca_rates!$B160&amp;"|"&amp;dim_lab_sca_rates!$F160</f>
        <v>C000015869|LMPLBPC19|10 BD</v>
      </c>
    </row>
    <row r="161" ht="15.75" customHeight="1">
      <c r="A161" s="72" t="s">
        <v>7</v>
      </c>
      <c r="B161" s="72" t="s">
        <v>1035</v>
      </c>
      <c r="C161" s="72" t="str">
        <f>TRIM(dim_lab_sca_rates!$A161&amp;"|"&amp;dim_lab_sca_rates!$D161&amp;"|"&amp;dim_lab_sca_rates!$F161)</f>
        <v>C000015869|Pesticides|10 BD</v>
      </c>
      <c r="D161" s="72" t="s">
        <v>1036</v>
      </c>
      <c r="E161" s="72" t="s">
        <v>1036</v>
      </c>
      <c r="F161" s="72" t="s">
        <v>1021</v>
      </c>
      <c r="G161" s="76">
        <v>132.3</v>
      </c>
      <c r="H161" s="72" t="str">
        <f>dim_lab_sca_rates!$A161&amp;"|"&amp;dim_lab_sca_rates!$B161&amp;"|"&amp;dim_lab_sca_rates!$F161</f>
        <v>C000015869|LMPLBPC20|10 BD</v>
      </c>
    </row>
    <row r="162" ht="15.75" customHeight="1">
      <c r="A162" s="72" t="s">
        <v>7</v>
      </c>
      <c r="B162" s="72" t="s">
        <v>1035</v>
      </c>
      <c r="C162" s="72" t="str">
        <f>TRIM(dim_lab_sca_rates!$A162&amp;"|"&amp;dim_lab_sca_rates!$D162&amp;"|"&amp;dim_lab_sca_rates!$F162)</f>
        <v>C000015869|Pesticides|48 Hr</v>
      </c>
      <c r="D162" s="72" t="s">
        <v>1036</v>
      </c>
      <c r="E162" s="72" t="s">
        <v>1036</v>
      </c>
      <c r="F162" s="72" t="s">
        <v>1006</v>
      </c>
      <c r="G162" s="76">
        <v>191.1</v>
      </c>
      <c r="H162" s="72" t="str">
        <f>dim_lab_sca_rates!$A162&amp;"|"&amp;dim_lab_sca_rates!$B162&amp;"|"&amp;dim_lab_sca_rates!$F162</f>
        <v>C000015869|LMPLBPC20|48 Hr</v>
      </c>
    </row>
    <row r="163" ht="15.75" customHeight="1">
      <c r="A163" s="72" t="s">
        <v>7</v>
      </c>
      <c r="B163" s="72" t="s">
        <v>1035</v>
      </c>
      <c r="C163" s="72" t="str">
        <f>TRIM(dim_lab_sca_rates!$A163&amp;"|"&amp;dim_lab_sca_rates!$D163&amp;"|"&amp;dim_lab_sca_rates!$F163)</f>
        <v>C000015869|Pesticides|5 Day</v>
      </c>
      <c r="D163" s="72" t="s">
        <v>1036</v>
      </c>
      <c r="E163" s="72" t="s">
        <v>1036</v>
      </c>
      <c r="F163" s="72" t="s">
        <v>977</v>
      </c>
      <c r="G163" s="76">
        <v>147.0</v>
      </c>
      <c r="H163" s="72" t="str">
        <f>dim_lab_sca_rates!$A163&amp;"|"&amp;dim_lab_sca_rates!$B163&amp;"|"&amp;dim_lab_sca_rates!$F163</f>
        <v>C000015869|LMPLBPC20|5 Day</v>
      </c>
    </row>
    <row r="164" ht="15.75" customHeight="1">
      <c r="A164" s="72" t="s">
        <v>7</v>
      </c>
      <c r="B164" s="72" t="s">
        <v>1037</v>
      </c>
      <c r="C164" s="72" t="str">
        <f>TRIM(dim_lab_sca_rates!$A164&amp;"|"&amp;dim_lab_sca_rates!$D164&amp;"|"&amp;dim_lab_sca_rates!$F164)</f>
        <v>C000015869|Herbicides|48 Hr</v>
      </c>
      <c r="D164" s="72" t="s">
        <v>1038</v>
      </c>
      <c r="E164" s="72" t="s">
        <v>1038</v>
      </c>
      <c r="F164" s="72" t="s">
        <v>1006</v>
      </c>
      <c r="G164" s="76">
        <v>260.0</v>
      </c>
      <c r="H164" s="72" t="str">
        <f>dim_lab_sca_rates!$A164&amp;"|"&amp;dim_lab_sca_rates!$B164&amp;"|"&amp;dim_lab_sca_rates!$F164</f>
        <v>C000015869|LMPLBPC21|48 Hr</v>
      </c>
    </row>
    <row r="165" ht="15.75" customHeight="1">
      <c r="A165" s="72" t="s">
        <v>7</v>
      </c>
      <c r="B165" s="72" t="s">
        <v>1037</v>
      </c>
      <c r="C165" s="72" t="str">
        <f>TRIM(dim_lab_sca_rates!$A165&amp;"|"&amp;dim_lab_sca_rates!$D165&amp;"|"&amp;dim_lab_sca_rates!$F165)</f>
        <v>C000015869|Herbicides|5 Day</v>
      </c>
      <c r="D165" s="72" t="s">
        <v>1038</v>
      </c>
      <c r="E165" s="72" t="s">
        <v>1038</v>
      </c>
      <c r="F165" s="72" t="s">
        <v>977</v>
      </c>
      <c r="G165" s="76">
        <v>200.0</v>
      </c>
      <c r="H165" s="72" t="str">
        <f>dim_lab_sca_rates!$A165&amp;"|"&amp;dim_lab_sca_rates!$B165&amp;"|"&amp;dim_lab_sca_rates!$F165</f>
        <v>C000015869|LMPLBPC21|5 Day</v>
      </c>
    </row>
    <row r="166" ht="15.75" customHeight="1">
      <c r="A166" s="72" t="s">
        <v>7</v>
      </c>
      <c r="B166" s="72" t="s">
        <v>1037</v>
      </c>
      <c r="C166" s="72" t="str">
        <f>TRIM(dim_lab_sca_rates!$A166&amp;"|"&amp;dim_lab_sca_rates!$D166&amp;"|"&amp;dim_lab_sca_rates!$F166)</f>
        <v>C000015869|Herbicides|10 BD</v>
      </c>
      <c r="D166" s="72" t="s">
        <v>1038</v>
      </c>
      <c r="E166" s="72" t="s">
        <v>1038</v>
      </c>
      <c r="F166" s="72" t="s">
        <v>1021</v>
      </c>
      <c r="G166" s="76">
        <v>180.0</v>
      </c>
      <c r="H166" s="72" t="str">
        <f>dim_lab_sca_rates!$A166&amp;"|"&amp;dim_lab_sca_rates!$B166&amp;"|"&amp;dim_lab_sca_rates!$F166</f>
        <v>C000015869|LMPLBPC21|10 BD</v>
      </c>
    </row>
    <row r="167" ht="15.75" customHeight="1">
      <c r="A167" s="72" t="s">
        <v>7</v>
      </c>
      <c r="B167" s="72" t="s">
        <v>1039</v>
      </c>
      <c r="C167" s="72" t="str">
        <f>TRIM(dim_lab_sca_rates!$A167&amp;"|"&amp;dim_lab_sca_rates!$D167&amp;"|"&amp;dim_lab_sca_rates!$F167)</f>
        <v>C000015869|Reactivity|48 Hr</v>
      </c>
      <c r="D167" s="72" t="s">
        <v>1040</v>
      </c>
      <c r="E167" s="72" t="s">
        <v>1040</v>
      </c>
      <c r="F167" s="72" t="s">
        <v>1006</v>
      </c>
      <c r="G167" s="76">
        <v>123.5</v>
      </c>
      <c r="H167" s="72" t="str">
        <f>dim_lab_sca_rates!$A167&amp;"|"&amp;dim_lab_sca_rates!$B167&amp;"|"&amp;dim_lab_sca_rates!$F167</f>
        <v>C000015869|LMPLBPC22|48 Hr</v>
      </c>
    </row>
    <row r="168" ht="15.75" customHeight="1">
      <c r="A168" s="72" t="s">
        <v>7</v>
      </c>
      <c r="B168" s="72" t="s">
        <v>1039</v>
      </c>
      <c r="C168" s="72" t="str">
        <f>TRIM(dim_lab_sca_rates!$A168&amp;"|"&amp;dim_lab_sca_rates!$D168&amp;"|"&amp;dim_lab_sca_rates!$F168)</f>
        <v>C000015869|Reactivity|5 Day</v>
      </c>
      <c r="D168" s="72" t="s">
        <v>1040</v>
      </c>
      <c r="E168" s="72" t="s">
        <v>1040</v>
      </c>
      <c r="F168" s="72" t="s">
        <v>977</v>
      </c>
      <c r="G168" s="76">
        <v>95.0</v>
      </c>
      <c r="H168" s="72" t="str">
        <f>dim_lab_sca_rates!$A168&amp;"|"&amp;dim_lab_sca_rates!$B168&amp;"|"&amp;dim_lab_sca_rates!$F168</f>
        <v>C000015869|LMPLBPC22|5 Day</v>
      </c>
    </row>
    <row r="169" ht="15.75" customHeight="1">
      <c r="A169" s="72" t="s">
        <v>7</v>
      </c>
      <c r="B169" s="72" t="s">
        <v>1039</v>
      </c>
      <c r="C169" s="72" t="str">
        <f>TRIM(dim_lab_sca_rates!$A169&amp;"|"&amp;dim_lab_sca_rates!$D169&amp;"|"&amp;dim_lab_sca_rates!$F169)</f>
        <v>C000015869|Reactivity|10 BD</v>
      </c>
      <c r="D169" s="72" t="s">
        <v>1040</v>
      </c>
      <c r="E169" s="72" t="s">
        <v>1040</v>
      </c>
      <c r="F169" s="72" t="s">
        <v>1021</v>
      </c>
      <c r="G169" s="76">
        <v>85.5</v>
      </c>
      <c r="H169" s="72" t="str">
        <f>dim_lab_sca_rates!$A169&amp;"|"&amp;dim_lab_sca_rates!$B169&amp;"|"&amp;dim_lab_sca_rates!$F169</f>
        <v>C000015869|LMPLBPC22|10 BD</v>
      </c>
    </row>
    <row r="170" ht="15.75" customHeight="1">
      <c r="A170" s="72" t="s">
        <v>7</v>
      </c>
      <c r="B170" s="72" t="s">
        <v>1041</v>
      </c>
      <c r="C170" s="72" t="str">
        <f>TRIM(dim_lab_sca_rates!$A170&amp;"|"&amp;dim_lab_sca_rates!$D170&amp;"|"&amp;dim_lab_sca_rates!$F170)</f>
        <v>C000015869|Corrosivity|10 BD</v>
      </c>
      <c r="D170" s="72" t="s">
        <v>1042</v>
      </c>
      <c r="E170" s="72" t="s">
        <v>1042</v>
      </c>
      <c r="F170" s="72" t="s">
        <v>1021</v>
      </c>
      <c r="G170" s="76">
        <v>40.5</v>
      </c>
      <c r="H170" s="72" t="str">
        <f>dim_lab_sca_rates!$A170&amp;"|"&amp;dim_lab_sca_rates!$B170&amp;"|"&amp;dim_lab_sca_rates!$F170</f>
        <v>C000015869|LMPLBPC23|10 BD</v>
      </c>
    </row>
    <row r="171" ht="15.75" customHeight="1">
      <c r="A171" s="72" t="s">
        <v>7</v>
      </c>
      <c r="B171" s="72" t="s">
        <v>1041</v>
      </c>
      <c r="C171" s="72" t="str">
        <f>TRIM(dim_lab_sca_rates!$A171&amp;"|"&amp;dim_lab_sca_rates!$D171&amp;"|"&amp;dim_lab_sca_rates!$F171)</f>
        <v>C000015869|Corrosivity|48 Hr</v>
      </c>
      <c r="D171" s="72" t="s">
        <v>1042</v>
      </c>
      <c r="E171" s="72" t="s">
        <v>1042</v>
      </c>
      <c r="F171" s="72" t="s">
        <v>1006</v>
      </c>
      <c r="G171" s="76">
        <v>58.5</v>
      </c>
      <c r="H171" s="72" t="str">
        <f>dim_lab_sca_rates!$A171&amp;"|"&amp;dim_lab_sca_rates!$B171&amp;"|"&amp;dim_lab_sca_rates!$F171</f>
        <v>C000015869|LMPLBPC23|48 Hr</v>
      </c>
    </row>
    <row r="172" ht="15.75" customHeight="1">
      <c r="A172" s="72" t="s">
        <v>7</v>
      </c>
      <c r="B172" s="72" t="s">
        <v>1041</v>
      </c>
      <c r="C172" s="72" t="str">
        <f>TRIM(dim_lab_sca_rates!$A172&amp;"|"&amp;dim_lab_sca_rates!$D172&amp;"|"&amp;dim_lab_sca_rates!$F172)</f>
        <v>C000015869|Corrosivity|5 Day</v>
      </c>
      <c r="D172" s="72" t="s">
        <v>1042</v>
      </c>
      <c r="E172" s="72" t="s">
        <v>1042</v>
      </c>
      <c r="F172" s="72" t="s">
        <v>977</v>
      </c>
      <c r="G172" s="76">
        <v>45.0</v>
      </c>
      <c r="H172" s="72" t="str">
        <f>dim_lab_sca_rates!$A172&amp;"|"&amp;dim_lab_sca_rates!$B172&amp;"|"&amp;dim_lab_sca_rates!$F172</f>
        <v>C000015869|LMPLBPC23|5 Day</v>
      </c>
    </row>
    <row r="173" ht="15.75" customHeight="1">
      <c r="A173" s="72" t="s">
        <v>7</v>
      </c>
      <c r="B173" s="72" t="s">
        <v>1043</v>
      </c>
      <c r="C173" s="72" t="str">
        <f>TRIM(dim_lab_sca_rates!$A173&amp;"|"&amp;dim_lab_sca_rates!$D173&amp;"|"&amp;dim_lab_sca_rates!$F173)</f>
        <v>C000015869|Ignitability|10 BD</v>
      </c>
      <c r="D173" s="72" t="s">
        <v>1044</v>
      </c>
      <c r="E173" s="72" t="s">
        <v>1044</v>
      </c>
      <c r="F173" s="72" t="s">
        <v>1021</v>
      </c>
      <c r="G173" s="76">
        <v>45.0</v>
      </c>
      <c r="H173" s="72" t="str">
        <f>dim_lab_sca_rates!$A173&amp;"|"&amp;dim_lab_sca_rates!$B173&amp;"|"&amp;dim_lab_sca_rates!$F173</f>
        <v>C000015869|LMPLBPC24|10 BD</v>
      </c>
    </row>
    <row r="174" ht="15.75" customHeight="1">
      <c r="A174" s="72" t="s">
        <v>7</v>
      </c>
      <c r="B174" s="72" t="s">
        <v>1043</v>
      </c>
      <c r="C174" s="72" t="str">
        <f>TRIM(dim_lab_sca_rates!$A174&amp;"|"&amp;dim_lab_sca_rates!$D174&amp;"|"&amp;dim_lab_sca_rates!$F174)</f>
        <v>C000015869|Ignitability|48 Hr</v>
      </c>
      <c r="D174" s="72" t="s">
        <v>1044</v>
      </c>
      <c r="E174" s="72" t="s">
        <v>1044</v>
      </c>
      <c r="F174" s="72" t="s">
        <v>1006</v>
      </c>
      <c r="G174" s="76">
        <v>65.0</v>
      </c>
      <c r="H174" s="72" t="str">
        <f>dim_lab_sca_rates!$A174&amp;"|"&amp;dim_lab_sca_rates!$B174&amp;"|"&amp;dim_lab_sca_rates!$F174</f>
        <v>C000015869|LMPLBPC24|48 Hr</v>
      </c>
    </row>
    <row r="175" ht="15.75" customHeight="1">
      <c r="A175" s="72" t="s">
        <v>7</v>
      </c>
      <c r="B175" s="72" t="s">
        <v>1043</v>
      </c>
      <c r="C175" s="72" t="str">
        <f>TRIM(dim_lab_sca_rates!$A175&amp;"|"&amp;dim_lab_sca_rates!$D175&amp;"|"&amp;dim_lab_sca_rates!$F175)</f>
        <v>C000015869|Ignitability|5 Day</v>
      </c>
      <c r="D175" s="72" t="s">
        <v>1044</v>
      </c>
      <c r="E175" s="72" t="s">
        <v>1044</v>
      </c>
      <c r="F175" s="72" t="s">
        <v>977</v>
      </c>
      <c r="G175" s="76">
        <v>50.0</v>
      </c>
      <c r="H175" s="72" t="str">
        <f>dim_lab_sca_rates!$A175&amp;"|"&amp;dim_lab_sca_rates!$B175&amp;"|"&amp;dim_lab_sca_rates!$F175</f>
        <v>C000015869|LMPLBPC24|5 Day</v>
      </c>
    </row>
    <row r="176" ht="15.75" customHeight="1">
      <c r="A176" s="72" t="s">
        <v>7</v>
      </c>
      <c r="B176" s="72" t="s">
        <v>1045</v>
      </c>
      <c r="C176" s="72" t="str">
        <f>TRIM(dim_lab_sca_rates!$A176&amp;"|"&amp;dim_lab_sca_rates!$D176&amp;"|"&amp;dim_lab_sca_rates!$F176)</f>
        <v>C000015869|PCB|10 BD</v>
      </c>
      <c r="D176" s="72" t="s">
        <v>952</v>
      </c>
      <c r="E176" s="72" t="s">
        <v>1046</v>
      </c>
      <c r="F176" s="72" t="s">
        <v>1021</v>
      </c>
      <c r="G176" s="76">
        <v>117.0</v>
      </c>
      <c r="H176" s="72" t="str">
        <f>dim_lab_sca_rates!$A176&amp;"|"&amp;dim_lab_sca_rates!$B176&amp;"|"&amp;dim_lab_sca_rates!$F176</f>
        <v>C000015869|LMPLBPC25|10 BD</v>
      </c>
    </row>
    <row r="177" ht="15.75" customHeight="1">
      <c r="A177" s="72" t="s">
        <v>7</v>
      </c>
      <c r="B177" s="72" t="s">
        <v>1045</v>
      </c>
      <c r="C177" s="72" t="str">
        <f>TRIM(dim_lab_sca_rates!$A177&amp;"|"&amp;dim_lab_sca_rates!$D177&amp;"|"&amp;dim_lab_sca_rates!$F177)</f>
        <v>C000015869|PCB|48 Hr</v>
      </c>
      <c r="D177" s="72" t="s">
        <v>952</v>
      </c>
      <c r="E177" s="72" t="s">
        <v>1046</v>
      </c>
      <c r="F177" s="72" t="s">
        <v>1006</v>
      </c>
      <c r="G177" s="76">
        <v>169.0</v>
      </c>
      <c r="H177" s="72" t="str">
        <f>dim_lab_sca_rates!$A177&amp;"|"&amp;dim_lab_sca_rates!$B177&amp;"|"&amp;dim_lab_sca_rates!$F177</f>
        <v>C000015869|LMPLBPC25|48 Hr</v>
      </c>
    </row>
    <row r="178" ht="15.75" customHeight="1">
      <c r="A178" s="72" t="s">
        <v>7</v>
      </c>
      <c r="B178" s="72" t="s">
        <v>1045</v>
      </c>
      <c r="C178" s="72" t="str">
        <f>TRIM(dim_lab_sca_rates!$A178&amp;"|"&amp;dim_lab_sca_rates!$D178&amp;"|"&amp;dim_lab_sca_rates!$F178)</f>
        <v>C000015869|PCB|5 Day</v>
      </c>
      <c r="D178" s="72" t="s">
        <v>952</v>
      </c>
      <c r="E178" s="72" t="s">
        <v>1046</v>
      </c>
      <c r="F178" s="72" t="s">
        <v>977</v>
      </c>
      <c r="G178" s="76">
        <v>130.0</v>
      </c>
      <c r="H178" s="72" t="str">
        <f>dim_lab_sca_rates!$A178&amp;"|"&amp;dim_lab_sca_rates!$B178&amp;"|"&amp;dim_lab_sca_rates!$F178</f>
        <v>C000015869|LMPLBPC25|5 Day</v>
      </c>
    </row>
    <row r="179" ht="15.75" customHeight="1">
      <c r="A179" s="72" t="s">
        <v>7</v>
      </c>
      <c r="B179" s="72" t="s">
        <v>1047</v>
      </c>
      <c r="C179" s="72" t="str">
        <f>TRIM(dim_lab_sca_rates!$A179&amp;"|"&amp;dim_lab_sca_rates!$D179&amp;"|"&amp;dim_lab_sca_rates!$F179)</f>
        <v>C000015869|Free Liquids Test|48 Hr</v>
      </c>
      <c r="D179" s="72" t="s">
        <v>1048</v>
      </c>
      <c r="E179" s="72" t="s">
        <v>1048</v>
      </c>
      <c r="F179" s="72" t="s">
        <v>1006</v>
      </c>
      <c r="G179" s="76">
        <v>52.0</v>
      </c>
      <c r="H179" s="72" t="str">
        <f>dim_lab_sca_rates!$A179&amp;"|"&amp;dim_lab_sca_rates!$B179&amp;"|"&amp;dim_lab_sca_rates!$F179</f>
        <v>C000015869|LMPLBPC26|48 Hr</v>
      </c>
    </row>
    <row r="180" ht="15.75" customHeight="1">
      <c r="A180" s="72" t="s">
        <v>7</v>
      </c>
      <c r="B180" s="72" t="s">
        <v>1047</v>
      </c>
      <c r="C180" s="72" t="str">
        <f>TRIM(dim_lab_sca_rates!$A180&amp;"|"&amp;dim_lab_sca_rates!$D180&amp;"|"&amp;dim_lab_sca_rates!$F180)</f>
        <v>C000015869|Free Liquids Test|5 Day</v>
      </c>
      <c r="D180" s="72" t="s">
        <v>1048</v>
      </c>
      <c r="E180" s="72" t="s">
        <v>1048</v>
      </c>
      <c r="F180" s="72" t="s">
        <v>977</v>
      </c>
      <c r="G180" s="76">
        <v>40.0</v>
      </c>
      <c r="H180" s="72" t="str">
        <f>dim_lab_sca_rates!$A180&amp;"|"&amp;dim_lab_sca_rates!$B180&amp;"|"&amp;dim_lab_sca_rates!$F180</f>
        <v>C000015869|LMPLBPC26|5 Day</v>
      </c>
    </row>
    <row r="181" ht="15.75" customHeight="1">
      <c r="A181" s="72" t="s">
        <v>7</v>
      </c>
      <c r="B181" s="72" t="s">
        <v>1047</v>
      </c>
      <c r="C181" s="72" t="str">
        <f>TRIM(dim_lab_sca_rates!$A181&amp;"|"&amp;dim_lab_sca_rates!$D181&amp;"|"&amp;dim_lab_sca_rates!$F181)</f>
        <v>C000015869|Free Liquids Test|10 BD</v>
      </c>
      <c r="D181" s="72" t="s">
        <v>1048</v>
      </c>
      <c r="E181" s="72" t="s">
        <v>1048</v>
      </c>
      <c r="F181" s="72" t="s">
        <v>1021</v>
      </c>
      <c r="G181" s="76">
        <v>36.0</v>
      </c>
      <c r="H181" s="72" t="str">
        <f>dim_lab_sca_rates!$A181&amp;"|"&amp;dim_lab_sca_rates!$B181&amp;"|"&amp;dim_lab_sca_rates!$F181</f>
        <v>C000015869|LMPLBPC26|10 BD</v>
      </c>
    </row>
    <row r="182" ht="15.75" customHeight="1">
      <c r="A182" s="72" t="s">
        <v>7</v>
      </c>
      <c r="B182" s="72" t="s">
        <v>1049</v>
      </c>
      <c r="C182" s="72" t="str">
        <f>TRIM(dim_lab_sca_rates!$A182&amp;"|"&amp;dim_lab_sca_rates!$D182&amp;"|"&amp;dim_lab_sca_rates!$F182)</f>
        <v>C000015869|XRF|Daily</v>
      </c>
      <c r="D182" s="72" t="s">
        <v>1050</v>
      </c>
      <c r="E182" s="72" t="s">
        <v>1051</v>
      </c>
      <c r="F182" s="72" t="s">
        <v>1052</v>
      </c>
      <c r="G182" s="76">
        <v>365.0</v>
      </c>
      <c r="H182" s="72" t="str">
        <f>dim_lab_sca_rates!$A182&amp;"|"&amp;dim_lab_sca_rates!$B182&amp;"|"&amp;dim_lab_sca_rates!$F182</f>
        <v>C000015869|LMPLBPC8|Daily</v>
      </c>
    </row>
    <row r="183" ht="15.75" customHeight="1">
      <c r="A183" s="72" t="s">
        <v>7</v>
      </c>
      <c r="B183" s="72" t="s">
        <v>1053</v>
      </c>
      <c r="C183" s="72" t="str">
        <f>TRIM(dim_lab_sca_rates!$A183&amp;"|"&amp;dim_lab_sca_rates!$D183&amp;"|"&amp;dim_lab_sca_rates!$F183)</f>
        <v>C000015869|K Shell measurement sLPA-1, Scitec MAP-4, or similar)|Daily</v>
      </c>
      <c r="D183" s="72" t="s">
        <v>1054</v>
      </c>
      <c r="E183" s="72" t="s">
        <v>1054</v>
      </c>
      <c r="F183" s="72" t="s">
        <v>1052</v>
      </c>
      <c r="G183" s="76">
        <v>365.0</v>
      </c>
      <c r="H183" s="72" t="str">
        <f>dim_lab_sca_rates!$A183&amp;"|"&amp;dim_lab_sca_rates!$B183&amp;"|"&amp;dim_lab_sca_rates!$F183</f>
        <v>C000015869|LMPLBPC9|Daily</v>
      </c>
    </row>
    <row r="184" ht="15.75" customHeight="1">
      <c r="A184" s="72" t="s">
        <v>7</v>
      </c>
      <c r="B184" s="72" t="s">
        <v>1055</v>
      </c>
      <c r="C184" s="72" t="str">
        <f>TRIM(dim_lab_sca_rates!$A184&amp;"|"&amp;dim_lab_sca_rates!$D184&amp;"|"&amp;dim_lab_sca_rates!$F184)</f>
        <v>C000015869|Fungal|3 Hr</v>
      </c>
      <c r="D184" s="72" t="s">
        <v>1056</v>
      </c>
      <c r="E184" s="72" t="s">
        <v>1057</v>
      </c>
      <c r="F184" s="72" t="s">
        <v>992</v>
      </c>
      <c r="G184" s="76">
        <v>197.0</v>
      </c>
      <c r="H184" s="72" t="str">
        <f>dim_lab_sca_rates!$A184&amp;"|"&amp;dim_lab_sca_rates!$B184&amp;"|"&amp;dim_lab_sca_rates!$F184</f>
        <v>C000015869|LMPMoldC7|3 Hr</v>
      </c>
    </row>
    <row r="185" ht="15.75" customHeight="1">
      <c r="A185" s="72" t="s">
        <v>7</v>
      </c>
      <c r="B185" s="72" t="s">
        <v>1055</v>
      </c>
      <c r="C185" s="72" t="str">
        <f>TRIM(dim_lab_sca_rates!$A185&amp;"|"&amp;dim_lab_sca_rates!$D185&amp;"|"&amp;dim_lab_sca_rates!$F185)</f>
        <v>C000015869|Fungal|72 Hr</v>
      </c>
      <c r="D185" s="72" t="s">
        <v>1056</v>
      </c>
      <c r="E185" s="72" t="s">
        <v>1057</v>
      </c>
      <c r="F185" s="72" t="s">
        <v>1008</v>
      </c>
      <c r="G185" s="76">
        <v>75.0</v>
      </c>
      <c r="H185" s="72" t="str">
        <f>dim_lab_sca_rates!$A185&amp;"|"&amp;dim_lab_sca_rates!$B185&amp;"|"&amp;dim_lab_sca_rates!$F185</f>
        <v>C000015869|LMPMoldC7|72 Hr</v>
      </c>
    </row>
    <row r="186" ht="15.75" customHeight="1">
      <c r="A186" s="72" t="s">
        <v>7</v>
      </c>
      <c r="B186" s="72" t="s">
        <v>1055</v>
      </c>
      <c r="C186" s="72" t="str">
        <f>TRIM(dim_lab_sca_rates!$A186&amp;"|"&amp;dim_lab_sca_rates!$D186&amp;"|"&amp;dim_lab_sca_rates!$F186)</f>
        <v>C000015869|Fungal|24 Hr</v>
      </c>
      <c r="D186" s="72" t="s">
        <v>1056</v>
      </c>
      <c r="E186" s="72" t="s">
        <v>1057</v>
      </c>
      <c r="F186" s="72" t="s">
        <v>985</v>
      </c>
      <c r="G186" s="76">
        <v>107.0</v>
      </c>
      <c r="H186" s="72" t="str">
        <f>dim_lab_sca_rates!$A186&amp;"|"&amp;dim_lab_sca_rates!$B186&amp;"|"&amp;dim_lab_sca_rates!$F186</f>
        <v>C000015869|LMPMoldC7|24 Hr</v>
      </c>
    </row>
    <row r="187" ht="15.75" customHeight="1">
      <c r="A187" s="72" t="s">
        <v>7</v>
      </c>
      <c r="B187" s="72" t="s">
        <v>1055</v>
      </c>
      <c r="C187" s="72" t="str">
        <f>TRIM(dim_lab_sca_rates!$A187&amp;"|"&amp;dim_lab_sca_rates!$D187&amp;"|"&amp;dim_lab_sca_rates!$F187)</f>
        <v>C000015869|Fungal|12 Hr</v>
      </c>
      <c r="D187" s="72" t="s">
        <v>1056</v>
      </c>
      <c r="E187" s="72" t="s">
        <v>1057</v>
      </c>
      <c r="F187" s="72" t="s">
        <v>1007</v>
      </c>
      <c r="G187" s="76">
        <v>135.0</v>
      </c>
      <c r="H187" s="72" t="str">
        <f>dim_lab_sca_rates!$A187&amp;"|"&amp;dim_lab_sca_rates!$B187&amp;"|"&amp;dim_lab_sca_rates!$F187</f>
        <v>C000015869|LMPMoldC7|12 Hr</v>
      </c>
    </row>
    <row r="188" ht="15.75" customHeight="1">
      <c r="A188" s="72" t="s">
        <v>7</v>
      </c>
      <c r="B188" s="72" t="s">
        <v>1058</v>
      </c>
      <c r="C188" s="72" t="str">
        <f>TRIM(dim_lab_sca_rates!$A188&amp;"|"&amp;dim_lab_sca_rates!$D188&amp;"|"&amp;dim_lab_sca_rates!$F188)</f>
        <v>C000015869|PCB-Air|24 Hr</v>
      </c>
      <c r="D188" s="72" t="s">
        <v>1059</v>
      </c>
      <c r="E188" s="72" t="s">
        <v>1060</v>
      </c>
      <c r="F188" s="72" t="s">
        <v>985</v>
      </c>
      <c r="G188" s="76">
        <v>222.0</v>
      </c>
      <c r="H188" s="72" t="str">
        <f>dim_lab_sca_rates!$A188&amp;"|"&amp;dim_lab_sca_rates!$B188&amp;"|"&amp;dim_lab_sca_rates!$F188</f>
        <v>C000015869|LMPPCB42|24 Hr</v>
      </c>
    </row>
    <row r="189" ht="15.75" customHeight="1">
      <c r="A189" s="72" t="s">
        <v>7</v>
      </c>
      <c r="B189" s="72" t="s">
        <v>1058</v>
      </c>
      <c r="C189" s="72" t="str">
        <f>TRIM(dim_lab_sca_rates!$A189&amp;"|"&amp;dim_lab_sca_rates!$D189&amp;"|"&amp;dim_lab_sca_rates!$F189)</f>
        <v>C000015869|PCB-Air|12 Hr</v>
      </c>
      <c r="D189" s="72" t="s">
        <v>1059</v>
      </c>
      <c r="E189" s="72" t="s">
        <v>1060</v>
      </c>
      <c r="F189" s="72" t="s">
        <v>1007</v>
      </c>
      <c r="G189" s="76">
        <v>260.0</v>
      </c>
      <c r="H189" s="72" t="str">
        <f>dim_lab_sca_rates!$A189&amp;"|"&amp;dim_lab_sca_rates!$B189&amp;"|"&amp;dim_lab_sca_rates!$F189</f>
        <v>C000015869|LMPPCB42|12 Hr</v>
      </c>
    </row>
    <row r="190" ht="15.75" customHeight="1">
      <c r="A190" s="72" t="s">
        <v>7</v>
      </c>
      <c r="B190" s="72" t="s">
        <v>1061</v>
      </c>
      <c r="C190" s="72" t="str">
        <f>TRIM(dim_lab_sca_rates!$A190&amp;"|"&amp;dim_lab_sca_rates!$D190&amp;"|"&amp;dim_lab_sca_rates!$F190)</f>
        <v>C000015869|PCB-Bulk|12 Hr</v>
      </c>
      <c r="D190" s="72" t="s">
        <v>1062</v>
      </c>
      <c r="E190" s="72" t="s">
        <v>1063</v>
      </c>
      <c r="F190" s="72" t="s">
        <v>1007</v>
      </c>
      <c r="G190" s="76">
        <v>265.0</v>
      </c>
      <c r="H190" s="72" t="str">
        <f>dim_lab_sca_rates!$A190&amp;"|"&amp;dim_lab_sca_rates!$B190&amp;"|"&amp;dim_lab_sca_rates!$F190</f>
        <v>C000015869|LMPPCB44|12 Hr</v>
      </c>
    </row>
    <row r="191" ht="15.75" customHeight="1">
      <c r="A191" s="72" t="s">
        <v>7</v>
      </c>
      <c r="B191" s="72" t="s">
        <v>1061</v>
      </c>
      <c r="C191" s="72" t="str">
        <f>TRIM(dim_lab_sca_rates!$A191&amp;"|"&amp;dim_lab_sca_rates!$D191&amp;"|"&amp;dim_lab_sca_rates!$F191)</f>
        <v>C000015869|PCB-Bulk|24 Hr</v>
      </c>
      <c r="D191" s="72" t="s">
        <v>1062</v>
      </c>
      <c r="E191" s="72" t="s">
        <v>1063</v>
      </c>
      <c r="F191" s="72" t="s">
        <v>985</v>
      </c>
      <c r="G191" s="76">
        <v>205.0</v>
      </c>
      <c r="H191" s="72" t="str">
        <f>dim_lab_sca_rates!$A191&amp;"|"&amp;dim_lab_sca_rates!$B191&amp;"|"&amp;dim_lab_sca_rates!$F191</f>
        <v>C000015869|LMPPCB44|24 Hr</v>
      </c>
    </row>
    <row r="192" ht="15.75" customHeight="1">
      <c r="A192" s="72" t="s">
        <v>7</v>
      </c>
      <c r="B192" s="72" t="s">
        <v>1064</v>
      </c>
      <c r="C192" s="72" t="str">
        <f>TRIM(dim_lab_sca_rates!$A192&amp;"|"&amp;dim_lab_sca_rates!$D192&amp;"|"&amp;dim_lab_sca_rates!$F192)</f>
        <v>C000015869|PCB-Wipe|24 Hr</v>
      </c>
      <c r="D192" s="72" t="s">
        <v>1065</v>
      </c>
      <c r="E192" s="72" t="s">
        <v>1066</v>
      </c>
      <c r="F192" s="72" t="s">
        <v>985</v>
      </c>
      <c r="G192" s="76">
        <v>191.0</v>
      </c>
      <c r="H192" s="72" t="str">
        <f>dim_lab_sca_rates!$A192&amp;"|"&amp;dim_lab_sca_rates!$B192&amp;"|"&amp;dim_lab_sca_rates!$F192</f>
        <v>C000015869|LMPPCB46|24 Hr</v>
      </c>
    </row>
    <row r="193" ht="15.75" customHeight="1">
      <c r="A193" s="72" t="s">
        <v>7</v>
      </c>
      <c r="B193" s="72" t="s">
        <v>1064</v>
      </c>
      <c r="C193" s="72" t="str">
        <f>TRIM(dim_lab_sca_rates!$A193&amp;"|"&amp;dim_lab_sca_rates!$D193&amp;"|"&amp;dim_lab_sca_rates!$F193)</f>
        <v>C000015869|PCB-Wipe|12 Hr</v>
      </c>
      <c r="D193" s="72" t="s">
        <v>1065</v>
      </c>
      <c r="E193" s="72" t="s">
        <v>1066</v>
      </c>
      <c r="F193" s="72" t="s">
        <v>1007</v>
      </c>
      <c r="G193" s="76">
        <v>237.0</v>
      </c>
      <c r="H193" s="72" t="str">
        <f>dim_lab_sca_rates!$A193&amp;"|"&amp;dim_lab_sca_rates!$B193&amp;"|"&amp;dim_lab_sca_rates!$F193</f>
        <v>C000015869|LMPPCB46|12 Hr</v>
      </c>
    </row>
    <row r="194" ht="15.75" customHeight="1">
      <c r="A194" s="72" t="s">
        <v>7</v>
      </c>
      <c r="B194" s="72" t="s">
        <v>1067</v>
      </c>
      <c r="C194" s="72" t="str">
        <f>TRIM(dim_lab_sca_rates!$A194&amp;"|"&amp;dim_lab_sca_rates!$D194&amp;"|"&amp;dim_lab_sca_rates!$F194)</f>
        <v>C000015869|PCB-Waste|24 Hr</v>
      </c>
      <c r="D194" s="72" t="s">
        <v>1068</v>
      </c>
      <c r="E194" s="72" t="s">
        <v>1069</v>
      </c>
      <c r="F194" s="72" t="s">
        <v>985</v>
      </c>
      <c r="G194" s="76">
        <v>197.0</v>
      </c>
      <c r="H194" s="72" t="str">
        <f>dim_lab_sca_rates!$A194&amp;"|"&amp;dim_lab_sca_rates!$B194&amp;"|"&amp;dim_lab_sca_rates!$F194</f>
        <v>C000015869|LMPPCB48|24 Hr</v>
      </c>
    </row>
    <row r="195" ht="15.75" customHeight="1">
      <c r="A195" s="72" t="s">
        <v>7</v>
      </c>
      <c r="B195" s="72" t="s">
        <v>1067</v>
      </c>
      <c r="C195" s="72" t="str">
        <f>TRIM(dim_lab_sca_rates!$A195&amp;"|"&amp;dim_lab_sca_rates!$D195&amp;"|"&amp;dim_lab_sca_rates!$F195)</f>
        <v>C000015869|PCB-Waste|12 Hr</v>
      </c>
      <c r="D195" s="72" t="s">
        <v>1068</v>
      </c>
      <c r="E195" s="72" t="s">
        <v>1069</v>
      </c>
      <c r="F195" s="72" t="s">
        <v>1007</v>
      </c>
      <c r="G195" s="76">
        <v>237.0</v>
      </c>
      <c r="H195" s="72" t="str">
        <f>dim_lab_sca_rates!$A195&amp;"|"&amp;dim_lab_sca_rates!$B195&amp;"|"&amp;dim_lab_sca_rates!$F195</f>
        <v>C000015869|LMPPCB48|12 Hr</v>
      </c>
    </row>
    <row r="196" ht="15.75" customHeight="1">
      <c r="A196" s="72" t="s">
        <v>7</v>
      </c>
      <c r="B196" s="72" t="s">
        <v>1070</v>
      </c>
      <c r="C196" s="72" t="str">
        <f>TRIM(dim_lab_sca_rates!$A196&amp;"|"&amp;dim_lab_sca_rates!$D196&amp;"|"&amp;dim_lab_sca_rates!$F196)</f>
        <v>C000015869|PCB-Soil|12 Hr</v>
      </c>
      <c r="D196" s="72" t="s">
        <v>1071</v>
      </c>
      <c r="E196" s="72" t="s">
        <v>1072</v>
      </c>
      <c r="F196" s="72" t="s">
        <v>1007</v>
      </c>
      <c r="G196" s="76">
        <v>100.0</v>
      </c>
      <c r="H196" s="72" t="str">
        <f>dim_lab_sca_rates!$A196&amp;"|"&amp;dim_lab_sca_rates!$B196&amp;"|"&amp;dim_lab_sca_rates!$F196</f>
        <v>C000015869|LMPPCB50|12 Hr</v>
      </c>
    </row>
    <row r="197" ht="15.75" customHeight="1">
      <c r="A197" s="72" t="s">
        <v>7</v>
      </c>
      <c r="B197" s="72" t="s">
        <v>1070</v>
      </c>
      <c r="C197" s="72" t="str">
        <f>TRIM(dim_lab_sca_rates!$A197&amp;"|"&amp;dim_lab_sca_rates!$D197&amp;"|"&amp;dim_lab_sca_rates!$F197)</f>
        <v>C000015869|PCB-Soil|24 Hr</v>
      </c>
      <c r="D197" s="72" t="s">
        <v>1071</v>
      </c>
      <c r="E197" s="72" t="s">
        <v>1072</v>
      </c>
      <c r="F197" s="72" t="s">
        <v>985</v>
      </c>
      <c r="G197" s="76">
        <v>65.0</v>
      </c>
      <c r="H197" s="72" t="str">
        <f>dim_lab_sca_rates!$A197&amp;"|"&amp;dim_lab_sca_rates!$B197&amp;"|"&amp;dim_lab_sca_rates!$F197</f>
        <v>C000015869|LMPPCB50|24 Hr</v>
      </c>
    </row>
    <row r="198" ht="15.75" customHeight="1">
      <c r="A198" s="72" t="s">
        <v>7</v>
      </c>
      <c r="B198" s="72" t="s">
        <v>1073</v>
      </c>
      <c r="C198" s="72" t="str">
        <f>TRIM(dim_lab_sca_rates!$A198&amp;"|"&amp;dim_lab_sca_rates!$D198&amp;"|"&amp;dim_lab_sca_rates!$F198)</f>
        <v>C000015869|PCB-Soil|12 Hr</v>
      </c>
      <c r="D198" s="72" t="s">
        <v>1071</v>
      </c>
      <c r="E198" s="72" t="s">
        <v>1074</v>
      </c>
      <c r="F198" s="72" t="s">
        <v>1007</v>
      </c>
      <c r="G198" s="76">
        <v>200.0</v>
      </c>
      <c r="H198" s="72" t="str">
        <f>dim_lab_sca_rates!$A198&amp;"|"&amp;dim_lab_sca_rates!$B198&amp;"|"&amp;dim_lab_sca_rates!$F198</f>
        <v>C000015869|LMPPCB52|12 Hr</v>
      </c>
    </row>
    <row r="199" ht="15.75" customHeight="1">
      <c r="A199" s="72" t="s">
        <v>7</v>
      </c>
      <c r="B199" s="72" t="s">
        <v>1073</v>
      </c>
      <c r="C199" s="72" t="str">
        <f>TRIM(dim_lab_sca_rates!$A199&amp;"|"&amp;dim_lab_sca_rates!$D199&amp;"|"&amp;dim_lab_sca_rates!$F199)</f>
        <v>C000015869|PCB-Soil|24 Hr</v>
      </c>
      <c r="D199" s="72" t="s">
        <v>1071</v>
      </c>
      <c r="E199" s="72" t="s">
        <v>1074</v>
      </c>
      <c r="F199" s="72" t="s">
        <v>985</v>
      </c>
      <c r="G199" s="76">
        <v>177.0</v>
      </c>
      <c r="H199" s="72" t="str">
        <f>dim_lab_sca_rates!$A199&amp;"|"&amp;dim_lab_sca_rates!$B199&amp;"|"&amp;dim_lab_sca_rates!$F199</f>
        <v>C000015869|LMPPCB52|24 Hr</v>
      </c>
    </row>
    <row r="200" ht="15.75" customHeight="1">
      <c r="A200" s="72" t="s">
        <v>7</v>
      </c>
      <c r="B200" s="72" t="s">
        <v>1075</v>
      </c>
      <c r="C200" s="72" t="str">
        <f>TRIM(dim_lab_sca_rates!$A200&amp;"|"&amp;dim_lab_sca_rates!$D200&amp;"|"&amp;dim_lab_sca_rates!$F200)</f>
        <v>C000015869|PCB-Soil|48 Hr</v>
      </c>
      <c r="D200" s="72" t="s">
        <v>1071</v>
      </c>
      <c r="E200" s="72" t="s">
        <v>1076</v>
      </c>
      <c r="F200" s="72" t="s">
        <v>1006</v>
      </c>
      <c r="G200" s="76">
        <v>145.0</v>
      </c>
      <c r="H200" s="72" t="str">
        <f>dim_lab_sca_rates!$A200&amp;"|"&amp;dim_lab_sca_rates!$B200&amp;"|"&amp;dim_lab_sca_rates!$F200</f>
        <v>C000015869|LMPPCBC27|48 Hr</v>
      </c>
    </row>
    <row r="201" ht="15.75" customHeight="1">
      <c r="A201" s="72" t="s">
        <v>7</v>
      </c>
      <c r="B201" s="72" t="s">
        <v>1075</v>
      </c>
      <c r="C201" s="72" t="str">
        <f>TRIM(dim_lab_sca_rates!$A201&amp;"|"&amp;dim_lab_sca_rates!$D201&amp;"|"&amp;dim_lab_sca_rates!$F201)</f>
        <v>C000015869|PCB-Soil|5 Day</v>
      </c>
      <c r="D201" s="72" t="s">
        <v>1071</v>
      </c>
      <c r="E201" s="72" t="s">
        <v>1076</v>
      </c>
      <c r="F201" s="72" t="s">
        <v>977</v>
      </c>
      <c r="G201" s="76">
        <v>120.0</v>
      </c>
      <c r="H201" s="72" t="str">
        <f>dim_lab_sca_rates!$A201&amp;"|"&amp;dim_lab_sca_rates!$B201&amp;"|"&amp;dim_lab_sca_rates!$F201</f>
        <v>C000015869|LMPPCBC27|5 Day</v>
      </c>
    </row>
    <row r="202" ht="15.75" customHeight="1">
      <c r="A202" s="72" t="s">
        <v>7</v>
      </c>
      <c r="B202" s="72" t="s">
        <v>1077</v>
      </c>
      <c r="C202" s="72" t="str">
        <f>TRIM(dim_lab_sca_rates!$A202&amp;"|"&amp;dim_lab_sca_rates!$D202&amp;"|"&amp;dim_lab_sca_rates!$F202)</f>
        <v>C000015869|PCB-Soil|48 Hr</v>
      </c>
      <c r="D202" s="72" t="s">
        <v>1071</v>
      </c>
      <c r="E202" s="72" t="s">
        <v>1078</v>
      </c>
      <c r="F202" s="72" t="s">
        <v>1006</v>
      </c>
      <c r="G202" s="76">
        <v>52.0</v>
      </c>
      <c r="H202" s="72" t="str">
        <f>dim_lab_sca_rates!$A202&amp;"|"&amp;dim_lab_sca_rates!$B202&amp;"|"&amp;dim_lab_sca_rates!$F202</f>
        <v>C000015869|LMPPCBC28|48 Hr</v>
      </c>
    </row>
    <row r="203" ht="15.75" customHeight="1">
      <c r="A203" s="72" t="s">
        <v>7</v>
      </c>
      <c r="B203" s="72" t="s">
        <v>1077</v>
      </c>
      <c r="C203" s="72" t="str">
        <f>TRIM(dim_lab_sca_rates!$A203&amp;"|"&amp;dim_lab_sca_rates!$D203&amp;"|"&amp;dim_lab_sca_rates!$F203)</f>
        <v>C000015869|PCB-Soil|5 Day</v>
      </c>
      <c r="D203" s="72" t="s">
        <v>1071</v>
      </c>
      <c r="E203" s="72" t="s">
        <v>1078</v>
      </c>
      <c r="F203" s="72" t="s">
        <v>977</v>
      </c>
      <c r="G203" s="76">
        <v>50.0</v>
      </c>
      <c r="H203" s="72" t="str">
        <f>dim_lab_sca_rates!$A203&amp;"|"&amp;dim_lab_sca_rates!$B203&amp;"|"&amp;dim_lab_sca_rates!$F203</f>
        <v>C000015869|LMPPCBC28|5 Day</v>
      </c>
    </row>
    <row r="204" ht="15.75" customHeight="1">
      <c r="A204" s="72" t="s">
        <v>7</v>
      </c>
      <c r="B204" s="72" t="s">
        <v>1079</v>
      </c>
      <c r="C204" s="72" t="str">
        <f>TRIM(dim_lab_sca_rates!$A204&amp;"|"&amp;dim_lab_sca_rates!$D204&amp;"|"&amp;dim_lab_sca_rates!$F204)</f>
        <v>C000015869|PCB Air|48 Hr</v>
      </c>
      <c r="D204" s="72" t="s">
        <v>1080</v>
      </c>
      <c r="E204" s="72" t="s">
        <v>1081</v>
      </c>
      <c r="F204" s="72" t="s">
        <v>1006</v>
      </c>
      <c r="G204" s="76">
        <v>177.0</v>
      </c>
      <c r="H204" s="72" t="str">
        <f>dim_lab_sca_rates!$A204&amp;"|"&amp;dim_lab_sca_rates!$B204&amp;"|"&amp;dim_lab_sca_rates!$F204</f>
        <v>C000015869|LMPPCBC29|48 Hr</v>
      </c>
    </row>
    <row r="205" ht="15.75" customHeight="1">
      <c r="A205" s="72" t="s">
        <v>7</v>
      </c>
      <c r="B205" s="72" t="s">
        <v>1079</v>
      </c>
      <c r="C205" s="72" t="str">
        <f>TRIM(dim_lab_sca_rates!$A205&amp;"|"&amp;dim_lab_sca_rates!$D205&amp;"|"&amp;dim_lab_sca_rates!$F205)</f>
        <v>C000015869|PCB Air|5 Day</v>
      </c>
      <c r="D205" s="72" t="s">
        <v>1080</v>
      </c>
      <c r="E205" s="72" t="s">
        <v>1081</v>
      </c>
      <c r="F205" s="72" t="s">
        <v>977</v>
      </c>
      <c r="G205" s="76">
        <v>140.0</v>
      </c>
      <c r="H205" s="72" t="str">
        <f>dim_lab_sca_rates!$A205&amp;"|"&amp;dim_lab_sca_rates!$B205&amp;"|"&amp;dim_lab_sca_rates!$F205</f>
        <v>C000015869|LMPPCBC29|5 Day</v>
      </c>
    </row>
    <row r="206" ht="15.75" customHeight="1">
      <c r="A206" s="72" t="s">
        <v>7</v>
      </c>
      <c r="B206" s="72" t="s">
        <v>1082</v>
      </c>
      <c r="C206" s="72" t="str">
        <f>TRIM(dim_lab_sca_rates!$A206&amp;"|"&amp;dim_lab_sca_rates!$D206&amp;"|"&amp;dim_lab_sca_rates!$F206)</f>
        <v>C000015869|PCB Wipe|48 Hr</v>
      </c>
      <c r="D206" s="72" t="s">
        <v>1083</v>
      </c>
      <c r="E206" s="72" t="s">
        <v>1084</v>
      </c>
      <c r="F206" s="72" t="s">
        <v>1006</v>
      </c>
      <c r="G206" s="76">
        <v>157.0</v>
      </c>
      <c r="H206" s="72" t="str">
        <f>dim_lab_sca_rates!$A206&amp;"|"&amp;dim_lab_sca_rates!$B206&amp;"|"&amp;dim_lab_sca_rates!$F206</f>
        <v>C000015869|LMPPCBC30|48 Hr</v>
      </c>
    </row>
    <row r="207" ht="15.75" customHeight="1">
      <c r="A207" s="72" t="s">
        <v>7</v>
      </c>
      <c r="B207" s="72" t="s">
        <v>1082</v>
      </c>
      <c r="C207" s="72" t="str">
        <f>TRIM(dim_lab_sca_rates!$A207&amp;"|"&amp;dim_lab_sca_rates!$D207&amp;"|"&amp;dim_lab_sca_rates!$F207)</f>
        <v>C000015869|PCB Wipe|5 Day</v>
      </c>
      <c r="D207" s="72" t="s">
        <v>1083</v>
      </c>
      <c r="E207" s="72" t="s">
        <v>1084</v>
      </c>
      <c r="F207" s="72" t="s">
        <v>977</v>
      </c>
      <c r="G207" s="76">
        <v>112.0</v>
      </c>
      <c r="H207" s="72" t="str">
        <f>dim_lab_sca_rates!$A207&amp;"|"&amp;dim_lab_sca_rates!$B207&amp;"|"&amp;dim_lab_sca_rates!$F207</f>
        <v>C000015869|LMPPCBC30|5 Day</v>
      </c>
    </row>
    <row r="208" ht="15.75" customHeight="1">
      <c r="A208" s="72" t="s">
        <v>7</v>
      </c>
      <c r="B208" s="72" t="s">
        <v>1085</v>
      </c>
      <c r="C208" s="72" t="str">
        <f>TRIM(dim_lab_sca_rates!$A208&amp;"|"&amp;dim_lab_sca_rates!$D208&amp;"|"&amp;dim_lab_sca_rates!$F208)</f>
        <v>C000015869|PCB Bulk|48 Hr</v>
      </c>
      <c r="D208" s="72" t="s">
        <v>1086</v>
      </c>
      <c r="E208" s="72" t="s">
        <v>1087</v>
      </c>
      <c r="F208" s="72" t="s">
        <v>1006</v>
      </c>
      <c r="G208" s="76">
        <v>171.0</v>
      </c>
      <c r="H208" s="72" t="str">
        <f>dim_lab_sca_rates!$A208&amp;"|"&amp;dim_lab_sca_rates!$B208&amp;"|"&amp;dim_lab_sca_rates!$F208</f>
        <v>C000015869|LMPPCBC31|48 Hr</v>
      </c>
    </row>
    <row r="209" ht="15.75" customHeight="1">
      <c r="A209" s="72" t="s">
        <v>7</v>
      </c>
      <c r="B209" s="72" t="s">
        <v>1085</v>
      </c>
      <c r="C209" s="72" t="str">
        <f>TRIM(dim_lab_sca_rates!$A209&amp;"|"&amp;dim_lab_sca_rates!$D209&amp;"|"&amp;dim_lab_sca_rates!$F209)</f>
        <v>C000015869|PCB Bulk|5 Day</v>
      </c>
      <c r="D209" s="72" t="s">
        <v>1086</v>
      </c>
      <c r="E209" s="72" t="s">
        <v>1087</v>
      </c>
      <c r="F209" s="72" t="s">
        <v>977</v>
      </c>
      <c r="G209" s="76">
        <v>140.0</v>
      </c>
      <c r="H209" s="72" t="str">
        <f>dim_lab_sca_rates!$A209&amp;"|"&amp;dim_lab_sca_rates!$B209&amp;"|"&amp;dim_lab_sca_rates!$F209</f>
        <v>C000015869|LMPPCBC31|5 Day</v>
      </c>
    </row>
    <row r="210" ht="15.75" customHeight="1">
      <c r="A210" s="72" t="s">
        <v>7</v>
      </c>
      <c r="B210" s="72" t="s">
        <v>1088</v>
      </c>
      <c r="C210" s="72" t="str">
        <f>TRIM(dim_lab_sca_rates!$A210&amp;"|"&amp;dim_lab_sca_rates!$D210&amp;"|"&amp;dim_lab_sca_rates!$F210)</f>
        <v>C000015869|PCB Waste / Wash Water|48 Hr</v>
      </c>
      <c r="D210" s="72" t="s">
        <v>1089</v>
      </c>
      <c r="E210" s="72" t="s">
        <v>1090</v>
      </c>
      <c r="F210" s="72" t="s">
        <v>1006</v>
      </c>
      <c r="G210" s="76">
        <v>177.0</v>
      </c>
      <c r="H210" s="72" t="str">
        <f>dim_lab_sca_rates!$A210&amp;"|"&amp;dim_lab_sca_rates!$B210&amp;"|"&amp;dim_lab_sca_rates!$F210</f>
        <v>C000015869|LMPPCBC32|48 Hr</v>
      </c>
    </row>
    <row r="211" ht="15.75" customHeight="1">
      <c r="A211" s="72" t="s">
        <v>7</v>
      </c>
      <c r="B211" s="72" t="s">
        <v>1088</v>
      </c>
      <c r="C211" s="72" t="str">
        <f>TRIM(dim_lab_sca_rates!$A211&amp;"|"&amp;dim_lab_sca_rates!$D211&amp;"|"&amp;dim_lab_sca_rates!$F211)</f>
        <v>C000015869|PCB Waste / Wash Water|5 Day</v>
      </c>
      <c r="D211" s="72" t="s">
        <v>1089</v>
      </c>
      <c r="E211" s="72" t="s">
        <v>1090</v>
      </c>
      <c r="F211" s="72" t="s">
        <v>977</v>
      </c>
      <c r="G211" s="76">
        <v>127.0</v>
      </c>
      <c r="H211" s="72" t="str">
        <f>dim_lab_sca_rates!$A211&amp;"|"&amp;dim_lab_sca_rates!$B211&amp;"|"&amp;dim_lab_sca_rates!$F211</f>
        <v>C000015869|LMPPCBC32|5 Day</v>
      </c>
    </row>
    <row r="212" ht="15.75" customHeight="1">
      <c r="A212" s="72" t="s">
        <v>10</v>
      </c>
      <c r="B212" s="72" t="s">
        <v>972</v>
      </c>
      <c r="C212" s="72" t="str">
        <f>TRIM(dim_lab_sca_rates!$A212&amp;"|"&amp;dim_lab_sca_rates!$D212&amp;"|"&amp;dim_lab_sca_rates!$F212)</f>
        <v>C000016435|Amph|10 Day</v>
      </c>
      <c r="D212" s="72" t="s">
        <v>973</v>
      </c>
      <c r="E212" s="72" t="s">
        <v>974</v>
      </c>
      <c r="F212" s="72" t="s">
        <v>975</v>
      </c>
      <c r="G212" s="76">
        <v>300.0</v>
      </c>
      <c r="H212" s="72" t="str">
        <f>dim_lab_sca_rates!$A212&amp;"|"&amp;dim_lab_sca_rates!$B212&amp;"|"&amp;dim_lab_sca_rates!$F212</f>
        <v>C000016435|LMPACM56|10 Day</v>
      </c>
    </row>
    <row r="213" ht="15.75" customHeight="1">
      <c r="A213" s="72" t="s">
        <v>10</v>
      </c>
      <c r="B213" s="72" t="s">
        <v>972</v>
      </c>
      <c r="C213" s="72" t="str">
        <f>TRIM(dim_lab_sca_rates!$A213&amp;"|"&amp;dim_lab_sca_rates!$D213&amp;"|"&amp;dim_lab_sca_rates!$F213)</f>
        <v>C000016435|Amph|2 Day</v>
      </c>
      <c r="D213" s="72" t="s">
        <v>973</v>
      </c>
      <c r="E213" s="72" t="s">
        <v>974</v>
      </c>
      <c r="F213" s="72" t="s">
        <v>976</v>
      </c>
      <c r="G213" s="76">
        <v>618.0</v>
      </c>
      <c r="H213" s="72" t="str">
        <f>dim_lab_sca_rates!$A213&amp;"|"&amp;dim_lab_sca_rates!$B213&amp;"|"&amp;dim_lab_sca_rates!$F213</f>
        <v>C000016435|LMPACM56|2 Day</v>
      </c>
    </row>
    <row r="214" ht="15.75" customHeight="1">
      <c r="A214" s="72" t="s">
        <v>10</v>
      </c>
      <c r="B214" s="72" t="s">
        <v>972</v>
      </c>
      <c r="C214" s="72" t="str">
        <f>TRIM(dim_lab_sca_rates!$A214&amp;"|"&amp;dim_lab_sca_rates!$D214&amp;"|"&amp;dim_lab_sca_rates!$F214)</f>
        <v>C000016435|Amph|5 Day</v>
      </c>
      <c r="D214" s="72" t="s">
        <v>973</v>
      </c>
      <c r="E214" s="72" t="s">
        <v>974</v>
      </c>
      <c r="F214" s="72" t="s">
        <v>977</v>
      </c>
      <c r="G214" s="76">
        <v>350.0</v>
      </c>
      <c r="H214" s="72" t="str">
        <f>dim_lab_sca_rates!$A214&amp;"|"&amp;dim_lab_sca_rates!$B214&amp;"|"&amp;dim_lab_sca_rates!$F214</f>
        <v>C000016435|LMPACM56|5 Day</v>
      </c>
    </row>
    <row r="215" ht="15.75" customHeight="1">
      <c r="A215" s="72" t="s">
        <v>10</v>
      </c>
      <c r="B215" s="72" t="s">
        <v>978</v>
      </c>
      <c r="C215" s="72" t="str">
        <f>TRIM(dim_lab_sca_rates!$A215&amp;"|"&amp;dim_lab_sca_rates!$D215&amp;"|"&amp;dim_lab_sca_rates!$F215)</f>
        <v>C000016435|Chrys|2 Day</v>
      </c>
      <c r="D215" s="72" t="s">
        <v>979</v>
      </c>
      <c r="E215" s="72" t="s">
        <v>980</v>
      </c>
      <c r="F215" s="72" t="s">
        <v>976</v>
      </c>
      <c r="G215" s="76">
        <v>510.0</v>
      </c>
      <c r="H215" s="72" t="str">
        <f>dim_lab_sca_rates!$A215&amp;"|"&amp;dim_lab_sca_rates!$B215&amp;"|"&amp;dim_lab_sca_rates!$F215</f>
        <v>C000016435|LMPACM58|2 Day</v>
      </c>
    </row>
    <row r="216" ht="15.75" customHeight="1">
      <c r="A216" s="72" t="s">
        <v>10</v>
      </c>
      <c r="B216" s="72" t="s">
        <v>978</v>
      </c>
      <c r="C216" s="72" t="str">
        <f>TRIM(dim_lab_sca_rates!$A216&amp;"|"&amp;dim_lab_sca_rates!$D216&amp;"|"&amp;dim_lab_sca_rates!$F216)</f>
        <v>C000016435|Chrys|5 Day</v>
      </c>
      <c r="D216" s="72" t="s">
        <v>979</v>
      </c>
      <c r="E216" s="72" t="s">
        <v>980</v>
      </c>
      <c r="F216" s="72" t="s">
        <v>977</v>
      </c>
      <c r="G216" s="76">
        <v>290.46</v>
      </c>
      <c r="H216" s="72" t="str">
        <f>dim_lab_sca_rates!$A216&amp;"|"&amp;dim_lab_sca_rates!$B216&amp;"|"&amp;dim_lab_sca_rates!$F216</f>
        <v>C000016435|LMPACM58|5 Day</v>
      </c>
    </row>
    <row r="217" ht="15.75" customHeight="1">
      <c r="A217" s="72" t="s">
        <v>10</v>
      </c>
      <c r="B217" s="72" t="s">
        <v>978</v>
      </c>
      <c r="C217" s="72" t="str">
        <f>TRIM(dim_lab_sca_rates!$A217&amp;"|"&amp;dim_lab_sca_rates!$D217&amp;"|"&amp;dim_lab_sca_rates!$F217)</f>
        <v>C000016435|Chrys|10 Day</v>
      </c>
      <c r="D217" s="72" t="s">
        <v>979</v>
      </c>
      <c r="E217" s="72" t="s">
        <v>980</v>
      </c>
      <c r="F217" s="72" t="s">
        <v>975</v>
      </c>
      <c r="G217" s="76">
        <v>231.75</v>
      </c>
      <c r="H217" s="72" t="str">
        <f>dim_lab_sca_rates!$A217&amp;"|"&amp;dim_lab_sca_rates!$B217&amp;"|"&amp;dim_lab_sca_rates!$F217</f>
        <v>C000016435|LMPACM58|10 Day</v>
      </c>
    </row>
    <row r="218" ht="15.75" customHeight="1">
      <c r="A218" s="72" t="s">
        <v>10</v>
      </c>
      <c r="B218" s="72" t="s">
        <v>981</v>
      </c>
      <c r="C218" s="72" t="str">
        <f>TRIM(dim_lab_sca_rates!$A218&amp;"|"&amp;dim_lab_sca_rates!$D218&amp;"|"&amp;dim_lab_sca_rates!$F218)</f>
        <v>C000016435|PLM|1 Hr</v>
      </c>
      <c r="D218" s="72" t="s">
        <v>982</v>
      </c>
      <c r="E218" s="72" t="s">
        <v>983</v>
      </c>
      <c r="F218" s="72" t="s">
        <v>984</v>
      </c>
      <c r="G218" s="76">
        <v>38.5</v>
      </c>
      <c r="H218" s="72" t="str">
        <f>dim_lab_sca_rates!$A218&amp;"|"&amp;dim_lab_sca_rates!$B218&amp;"|"&amp;dim_lab_sca_rates!$F218</f>
        <v>C000016435|LMPACMC1|1 Hr</v>
      </c>
    </row>
    <row r="219" ht="15.75" customHeight="1">
      <c r="A219" s="72" t="s">
        <v>10</v>
      </c>
      <c r="B219" s="72" t="s">
        <v>981</v>
      </c>
      <c r="C219" s="72" t="str">
        <f>TRIM(dim_lab_sca_rates!$A219&amp;"|"&amp;dim_lab_sca_rates!$D219&amp;"|"&amp;dim_lab_sca_rates!$F219)</f>
        <v>C000016435|PLM|24 Hr</v>
      </c>
      <c r="D219" s="72" t="s">
        <v>982</v>
      </c>
      <c r="E219" s="72" t="s">
        <v>983</v>
      </c>
      <c r="F219" s="72" t="s">
        <v>985</v>
      </c>
      <c r="G219" s="76">
        <v>28.0</v>
      </c>
      <c r="H219" s="72" t="str">
        <f>dim_lab_sca_rates!$A219&amp;"|"&amp;dim_lab_sca_rates!$B219&amp;"|"&amp;dim_lab_sca_rates!$F219</f>
        <v>C000016435|LMPACMC1|24 Hr</v>
      </c>
    </row>
    <row r="220" ht="15.75" customHeight="1">
      <c r="A220" s="72" t="s">
        <v>10</v>
      </c>
      <c r="B220" s="72" t="s">
        <v>981</v>
      </c>
      <c r="C220" s="72" t="str">
        <f>TRIM(dim_lab_sca_rates!$A220&amp;"|"&amp;dim_lab_sca_rates!$D220&amp;"|"&amp;dim_lab_sca_rates!$F220)</f>
        <v>C000016435|PLM|6 Hr</v>
      </c>
      <c r="D220" s="72" t="s">
        <v>982</v>
      </c>
      <c r="E220" s="72" t="s">
        <v>983</v>
      </c>
      <c r="F220" s="72" t="s">
        <v>986</v>
      </c>
      <c r="G220" s="76">
        <v>32.0</v>
      </c>
      <c r="H220" s="72" t="str">
        <f>dim_lab_sca_rates!$A220&amp;"|"&amp;dim_lab_sca_rates!$B220&amp;"|"&amp;dim_lab_sca_rates!$F220</f>
        <v>C000016435|LMPACMC1|6 Hr</v>
      </c>
    </row>
    <row r="221" ht="15.75" customHeight="1">
      <c r="A221" s="72" t="s">
        <v>10</v>
      </c>
      <c r="B221" s="72" t="s">
        <v>987</v>
      </c>
      <c r="C221" s="72" t="str">
        <f>TRIM(dim_lab_sca_rates!$A221&amp;"|"&amp;dim_lab_sca_rates!$D221&amp;"|"&amp;dim_lab_sca_rates!$F221)</f>
        <v>C000016435|PCM|6 Hr</v>
      </c>
      <c r="D221" s="72" t="s">
        <v>988</v>
      </c>
      <c r="E221" s="72" t="s">
        <v>989</v>
      </c>
      <c r="F221" s="72" t="s">
        <v>986</v>
      </c>
      <c r="G221" s="76">
        <v>25.3</v>
      </c>
      <c r="H221" s="72" t="str">
        <f>dim_lab_sca_rates!$A221&amp;"|"&amp;dim_lab_sca_rates!$B221&amp;"|"&amp;dim_lab_sca_rates!$F221</f>
        <v>C000016435|LMPACMC2|6 Hr</v>
      </c>
    </row>
    <row r="222" ht="15.75" customHeight="1">
      <c r="A222" s="72" t="s">
        <v>10</v>
      </c>
      <c r="B222" s="72" t="s">
        <v>987</v>
      </c>
      <c r="C222" s="72" t="str">
        <f>TRIM(dim_lab_sca_rates!$A222&amp;"|"&amp;dim_lab_sca_rates!$D222&amp;"|"&amp;dim_lab_sca_rates!$F222)</f>
        <v>C000016435|PCM|1 Hr</v>
      </c>
      <c r="D222" s="72" t="s">
        <v>988</v>
      </c>
      <c r="E222" s="72" t="s">
        <v>989</v>
      </c>
      <c r="F222" s="72" t="s">
        <v>984</v>
      </c>
      <c r="G222" s="76">
        <v>29.7</v>
      </c>
      <c r="H222" s="72" t="str">
        <f>dim_lab_sca_rates!$A222&amp;"|"&amp;dim_lab_sca_rates!$B222&amp;"|"&amp;dim_lab_sca_rates!$F222</f>
        <v>C000016435|LMPACMC2|1 Hr</v>
      </c>
    </row>
    <row r="223" ht="15.75" customHeight="1">
      <c r="A223" s="72" t="s">
        <v>10</v>
      </c>
      <c r="B223" s="72" t="s">
        <v>987</v>
      </c>
      <c r="C223" s="72" t="str">
        <f>TRIM(dim_lab_sca_rates!$A223&amp;"|"&amp;dim_lab_sca_rates!$D223&amp;"|"&amp;dim_lab_sca_rates!$F223)</f>
        <v>C000016435|PCM|24 Hr</v>
      </c>
      <c r="D223" s="72" t="s">
        <v>988</v>
      </c>
      <c r="E223" s="72" t="s">
        <v>989</v>
      </c>
      <c r="F223" s="72" t="s">
        <v>985</v>
      </c>
      <c r="G223" s="76">
        <v>25.3</v>
      </c>
      <c r="H223" s="72" t="str">
        <f>dim_lab_sca_rates!$A223&amp;"|"&amp;dim_lab_sca_rates!$B223&amp;"|"&amp;dim_lab_sca_rates!$F223</f>
        <v>C000016435|LMPACMC2|24 Hr</v>
      </c>
    </row>
    <row r="224" ht="15.75" customHeight="1">
      <c r="A224" s="72" t="s">
        <v>10</v>
      </c>
      <c r="B224" s="72" t="s">
        <v>990</v>
      </c>
      <c r="C224" s="72" t="str">
        <f>TRIM(dim_lab_sca_rates!$A224&amp;"|"&amp;dim_lab_sca_rates!$D224&amp;"|"&amp;dim_lab_sca_rates!$F224)</f>
        <v>C000016435|TEM|3 Hr</v>
      </c>
      <c r="D224" s="72" t="s">
        <v>830</v>
      </c>
      <c r="E224" s="72" t="s">
        <v>991</v>
      </c>
      <c r="F224" s="72" t="s">
        <v>992</v>
      </c>
      <c r="G224" s="76">
        <v>170.0</v>
      </c>
      <c r="H224" s="72" t="str">
        <f>dim_lab_sca_rates!$A224&amp;"|"&amp;dim_lab_sca_rates!$B224&amp;"|"&amp;dim_lab_sca_rates!$F224</f>
        <v>C000016435|LMPACMC3|3 Hr</v>
      </c>
    </row>
    <row r="225" ht="15.75" customHeight="1">
      <c r="A225" s="72" t="s">
        <v>10</v>
      </c>
      <c r="B225" s="72" t="s">
        <v>990</v>
      </c>
      <c r="C225" s="72" t="str">
        <f>TRIM(dim_lab_sca_rates!$A225&amp;"|"&amp;dim_lab_sca_rates!$D225&amp;"|"&amp;dim_lab_sca_rates!$F225)</f>
        <v>C000016435|TEM|6 Hr</v>
      </c>
      <c r="D225" s="72" t="s">
        <v>830</v>
      </c>
      <c r="E225" s="72" t="s">
        <v>991</v>
      </c>
      <c r="F225" s="72" t="s">
        <v>986</v>
      </c>
      <c r="G225" s="76">
        <v>130.0</v>
      </c>
      <c r="H225" s="72" t="str">
        <f>dim_lab_sca_rates!$A225&amp;"|"&amp;dim_lab_sca_rates!$B225&amp;"|"&amp;dim_lab_sca_rates!$F225</f>
        <v>C000016435|LMPACMC3|6 Hr</v>
      </c>
    </row>
    <row r="226" ht="15.75" customHeight="1">
      <c r="A226" s="72" t="s">
        <v>10</v>
      </c>
      <c r="B226" s="72" t="s">
        <v>990</v>
      </c>
      <c r="C226" s="72" t="str">
        <f>TRIM(dim_lab_sca_rates!$A226&amp;"|"&amp;dim_lab_sca_rates!$D226&amp;"|"&amp;dim_lab_sca_rates!$F226)</f>
        <v>C000016435|TEM|24 Hr</v>
      </c>
      <c r="D226" s="72" t="s">
        <v>830</v>
      </c>
      <c r="E226" s="72" t="s">
        <v>991</v>
      </c>
      <c r="F226" s="72" t="s">
        <v>985</v>
      </c>
      <c r="G226" s="76">
        <v>103.0</v>
      </c>
      <c r="H226" s="72" t="str">
        <f>dim_lab_sca_rates!$A226&amp;"|"&amp;dim_lab_sca_rates!$B226&amp;"|"&amp;dim_lab_sca_rates!$F226</f>
        <v>C000016435|LMPACMC3|24 Hr</v>
      </c>
    </row>
    <row r="227" ht="15.75" customHeight="1">
      <c r="A227" s="72" t="s">
        <v>10</v>
      </c>
      <c r="B227" s="72" t="s">
        <v>993</v>
      </c>
      <c r="C227" s="72" t="str">
        <f>TRIM(dim_lab_sca_rates!$A227&amp;"|"&amp;dim_lab_sca_rates!$D227&amp;"|"&amp;dim_lab_sca_rates!$F227)</f>
        <v>C000016435|NOB-PLM|24 Hr</v>
      </c>
      <c r="D227" s="72" t="s">
        <v>994</v>
      </c>
      <c r="E227" s="72" t="s">
        <v>995</v>
      </c>
      <c r="F227" s="72" t="s">
        <v>985</v>
      </c>
      <c r="G227" s="76">
        <v>44.0</v>
      </c>
      <c r="H227" s="72" t="str">
        <f>dim_lab_sca_rates!$A227&amp;"|"&amp;dim_lab_sca_rates!$B227&amp;"|"&amp;dim_lab_sca_rates!$F227</f>
        <v>C000016435|LMPACMC4|24 Hr</v>
      </c>
    </row>
    <row r="228" ht="15.75" customHeight="1">
      <c r="A228" s="72" t="s">
        <v>10</v>
      </c>
      <c r="B228" s="72" t="s">
        <v>996</v>
      </c>
      <c r="C228" s="72" t="str">
        <f>TRIM(dim_lab_sca_rates!$A228&amp;"|"&amp;dim_lab_sca_rates!$D228&amp;"|"&amp;dim_lab_sca_rates!$F228)</f>
        <v>C000016435|NOB-TEM|24 Hr</v>
      </c>
      <c r="D228" s="72" t="s">
        <v>997</v>
      </c>
      <c r="E228" s="72" t="s">
        <v>998</v>
      </c>
      <c r="F228" s="72" t="s">
        <v>985</v>
      </c>
      <c r="G228" s="76">
        <v>77.0</v>
      </c>
      <c r="H228" s="72" t="str">
        <f>dim_lab_sca_rates!$A228&amp;"|"&amp;dim_lab_sca_rates!$B228&amp;"|"&amp;dim_lab_sca_rates!$F228</f>
        <v>C000016435|LMPACMC5|24 Hr</v>
      </c>
    </row>
    <row r="229" ht="15.75" customHeight="1">
      <c r="A229" s="72" t="s">
        <v>10</v>
      </c>
      <c r="B229" s="72" t="s">
        <v>999</v>
      </c>
      <c r="C229" s="72" t="str">
        <f>TRIM(dim_lab_sca_rates!$A229&amp;"|"&amp;dim_lab_sca_rates!$D229&amp;"|"&amp;dim_lab_sca_rates!$F229)</f>
        <v>C000016435|SLIDE PREP|0 Hr</v>
      </c>
      <c r="D229" s="72" t="s">
        <v>1000</v>
      </c>
      <c r="E229" s="72" t="s">
        <v>1001</v>
      </c>
      <c r="F229" s="72" t="s">
        <v>1002</v>
      </c>
      <c r="G229" s="76">
        <v>24.2</v>
      </c>
      <c r="H229" s="72" t="str">
        <f>dim_lab_sca_rates!$A229&amp;"|"&amp;dim_lab_sca_rates!$B229&amp;"|"&amp;dim_lab_sca_rates!$F229</f>
        <v>C000016435|LMPACMC6|0 Hr</v>
      </c>
    </row>
    <row r="230" ht="15.75" customHeight="1">
      <c r="A230" s="72" t="s">
        <v>10</v>
      </c>
      <c r="B230" s="72" t="s">
        <v>1003</v>
      </c>
      <c r="C230" s="72" t="str">
        <f>TRIM(dim_lab_sca_rates!$A230&amp;"|"&amp;dim_lab_sca_rates!$D230&amp;"|"&amp;dim_lab_sca_rates!$F230)</f>
        <v>C000016435|Paint Chip|48 Hr</v>
      </c>
      <c r="D230" s="72" t="s">
        <v>1004</v>
      </c>
      <c r="E230" s="72" t="s">
        <v>1005</v>
      </c>
      <c r="F230" s="72" t="s">
        <v>1006</v>
      </c>
      <c r="G230" s="76">
        <v>30.0</v>
      </c>
      <c r="H230" s="72" t="str">
        <f>dim_lab_sca_rates!$A230&amp;"|"&amp;dim_lab_sca_rates!$B230&amp;"|"&amp;dim_lab_sca_rates!$F230</f>
        <v>C000016435|LMPLBP54|48 Hr</v>
      </c>
    </row>
    <row r="231" ht="15.75" customHeight="1">
      <c r="A231" s="72" t="s">
        <v>10</v>
      </c>
      <c r="B231" s="72" t="s">
        <v>1003</v>
      </c>
      <c r="C231" s="72" t="str">
        <f>TRIM(dim_lab_sca_rates!$A231&amp;"|"&amp;dim_lab_sca_rates!$D231&amp;"|"&amp;dim_lab_sca_rates!$F231)</f>
        <v>C000016435|Paint Chip|24 Hr</v>
      </c>
      <c r="D231" s="72" t="s">
        <v>1004</v>
      </c>
      <c r="E231" s="72" t="s">
        <v>1005</v>
      </c>
      <c r="F231" s="72" t="s">
        <v>985</v>
      </c>
      <c r="G231" s="76">
        <v>36.0</v>
      </c>
      <c r="H231" s="72" t="str">
        <f>dim_lab_sca_rates!$A231&amp;"|"&amp;dim_lab_sca_rates!$B231&amp;"|"&amp;dim_lab_sca_rates!$F231</f>
        <v>C000016435|LMPLBP54|24 Hr</v>
      </c>
    </row>
    <row r="232" ht="15.75" customHeight="1">
      <c r="A232" s="72" t="s">
        <v>10</v>
      </c>
      <c r="B232" s="72" t="s">
        <v>1003</v>
      </c>
      <c r="C232" s="72" t="str">
        <f>TRIM(dim_lab_sca_rates!$A232&amp;"|"&amp;dim_lab_sca_rates!$D232&amp;"|"&amp;dim_lab_sca_rates!$F232)</f>
        <v>C000016435|Paint Chip|12 Hr</v>
      </c>
      <c r="D232" s="72" t="s">
        <v>1004</v>
      </c>
      <c r="E232" s="72" t="s">
        <v>1005</v>
      </c>
      <c r="F232" s="72" t="s">
        <v>1007</v>
      </c>
      <c r="G232" s="76">
        <v>37.5</v>
      </c>
      <c r="H232" s="72" t="str">
        <f>dim_lab_sca_rates!$A232&amp;"|"&amp;dim_lab_sca_rates!$B232&amp;"|"&amp;dim_lab_sca_rates!$F232</f>
        <v>C000016435|LMPLBP54|12 Hr</v>
      </c>
    </row>
    <row r="233" ht="15.75" customHeight="1">
      <c r="A233" s="72" t="s">
        <v>10</v>
      </c>
      <c r="B233" s="72" t="s">
        <v>1003</v>
      </c>
      <c r="C233" s="72" t="str">
        <f>TRIM(dim_lab_sca_rates!$A233&amp;"|"&amp;dim_lab_sca_rates!$D233&amp;"|"&amp;dim_lab_sca_rates!$F233)</f>
        <v>C000016435|Paint Chip|72 Hr</v>
      </c>
      <c r="D233" s="72" t="s">
        <v>1004</v>
      </c>
      <c r="E233" s="72" t="s">
        <v>1005</v>
      </c>
      <c r="F233" s="72" t="s">
        <v>1008</v>
      </c>
      <c r="G233" s="76">
        <v>24.3</v>
      </c>
      <c r="H233" s="72" t="str">
        <f>dim_lab_sca_rates!$A233&amp;"|"&amp;dim_lab_sca_rates!$B233&amp;"|"&amp;dim_lab_sca_rates!$F233</f>
        <v>C000016435|LMPLBP54|72 Hr</v>
      </c>
    </row>
    <row r="234" ht="15.75" customHeight="1">
      <c r="A234" s="72" t="s">
        <v>10</v>
      </c>
      <c r="B234" s="72" t="s">
        <v>1009</v>
      </c>
      <c r="C234" s="72" t="str">
        <f>TRIM(dim_lab_sca_rates!$A234&amp;"|"&amp;dim_lab_sca_rates!$D234&amp;"|"&amp;dim_lab_sca_rates!$F234)</f>
        <v>C000016435|LWS|12 Hr</v>
      </c>
      <c r="D234" s="72" t="s">
        <v>1010</v>
      </c>
      <c r="E234" s="72" t="s">
        <v>1011</v>
      </c>
      <c r="F234" s="72" t="s">
        <v>1007</v>
      </c>
      <c r="G234" s="76">
        <v>32.3</v>
      </c>
      <c r="H234" s="72" t="str">
        <f>dim_lab_sca_rates!$A234&amp;"|"&amp;dim_lab_sca_rates!$B234&amp;"|"&amp;dim_lab_sca_rates!$F234</f>
        <v>C000016435|LMPLBPC10|12 Hr</v>
      </c>
    </row>
    <row r="235" ht="15.75" customHeight="1">
      <c r="A235" s="72" t="s">
        <v>10</v>
      </c>
      <c r="B235" s="72" t="s">
        <v>1009</v>
      </c>
      <c r="C235" s="72" t="str">
        <f>TRIM(dim_lab_sca_rates!$A235&amp;"|"&amp;dim_lab_sca_rates!$D235&amp;"|"&amp;dim_lab_sca_rates!$F235)</f>
        <v>C000016435|LWS|24 Hr</v>
      </c>
      <c r="D235" s="72" t="s">
        <v>1010</v>
      </c>
      <c r="E235" s="72" t="s">
        <v>1011</v>
      </c>
      <c r="F235" s="72" t="s">
        <v>985</v>
      </c>
      <c r="G235" s="76">
        <v>30.4</v>
      </c>
      <c r="H235" s="72" t="str">
        <f>dim_lab_sca_rates!$A235&amp;"|"&amp;dim_lab_sca_rates!$B235&amp;"|"&amp;dim_lab_sca_rates!$F235</f>
        <v>C000016435|LMPLBPC10|24 Hr</v>
      </c>
    </row>
    <row r="236" ht="15.75" customHeight="1">
      <c r="A236" s="72" t="s">
        <v>10</v>
      </c>
      <c r="B236" s="72" t="s">
        <v>1009</v>
      </c>
      <c r="C236" s="72" t="str">
        <f>TRIM(dim_lab_sca_rates!$A236&amp;"|"&amp;dim_lab_sca_rates!$D236&amp;"|"&amp;dim_lab_sca_rates!$F236)</f>
        <v>C000016435|LWS|6 Hr</v>
      </c>
      <c r="D236" s="72" t="s">
        <v>1010</v>
      </c>
      <c r="E236" s="72" t="s">
        <v>1011</v>
      </c>
      <c r="F236" s="72" t="s">
        <v>986</v>
      </c>
      <c r="G236" s="76">
        <v>38.0</v>
      </c>
      <c r="H236" s="72" t="str">
        <f>dim_lab_sca_rates!$A236&amp;"|"&amp;dim_lab_sca_rates!$B236&amp;"|"&amp;dim_lab_sca_rates!$F236</f>
        <v>C000016435|LMPLBPC10|6 Hr</v>
      </c>
    </row>
    <row r="237" ht="15.75" customHeight="1">
      <c r="A237" s="72" t="s">
        <v>10</v>
      </c>
      <c r="B237" s="72" t="s">
        <v>1012</v>
      </c>
      <c r="C237" s="72" t="str">
        <f>TRIM(dim_lab_sca_rates!$A237&amp;"|"&amp;dim_lab_sca_rates!$D237&amp;"|"&amp;dim_lab_sca_rates!$F237)</f>
        <v>C000016435|Lead In Air|24 Hr</v>
      </c>
      <c r="D237" s="72" t="s">
        <v>1013</v>
      </c>
      <c r="E237" s="72" t="s">
        <v>1014</v>
      </c>
      <c r="F237" s="72" t="s">
        <v>985</v>
      </c>
      <c r="G237" s="76">
        <v>432.0</v>
      </c>
      <c r="H237" s="72" t="str">
        <f>dim_lab_sca_rates!$A237&amp;"|"&amp;dim_lab_sca_rates!$B237&amp;"|"&amp;dim_lab_sca_rates!$F237</f>
        <v>C000016435|LMPLBPC11|24 Hr</v>
      </c>
    </row>
    <row r="238" ht="15.75" customHeight="1">
      <c r="A238" s="72" t="s">
        <v>10</v>
      </c>
      <c r="B238" s="72" t="s">
        <v>1012</v>
      </c>
      <c r="C238" s="72" t="str">
        <f>TRIM(dim_lab_sca_rates!$A238&amp;"|"&amp;dim_lab_sca_rates!$D238&amp;"|"&amp;dim_lab_sca_rates!$F238)</f>
        <v>C000016435|Lead In Air|72 Hr</v>
      </c>
      <c r="D238" s="72" t="s">
        <v>1013</v>
      </c>
      <c r="E238" s="72" t="s">
        <v>1014</v>
      </c>
      <c r="F238" s="72" t="s">
        <v>1008</v>
      </c>
      <c r="G238" s="76">
        <v>291.6</v>
      </c>
      <c r="H238" s="72" t="str">
        <f>dim_lab_sca_rates!$A238&amp;"|"&amp;dim_lab_sca_rates!$B238&amp;"|"&amp;dim_lab_sca_rates!$F238</f>
        <v>C000016435|LMPLBPC11|72 Hr</v>
      </c>
    </row>
    <row r="239" ht="15.75" customHeight="1">
      <c r="A239" s="72" t="s">
        <v>10</v>
      </c>
      <c r="B239" s="72" t="s">
        <v>1012</v>
      </c>
      <c r="C239" s="72" t="str">
        <f>TRIM(dim_lab_sca_rates!$A239&amp;"|"&amp;dim_lab_sca_rates!$D239&amp;"|"&amp;dim_lab_sca_rates!$F239)</f>
        <v>C000016435|Lead In Air|48 Hr</v>
      </c>
      <c r="D239" s="72" t="s">
        <v>1013</v>
      </c>
      <c r="E239" s="72" t="s">
        <v>1014</v>
      </c>
      <c r="F239" s="72" t="s">
        <v>1006</v>
      </c>
      <c r="G239" s="76">
        <v>360.0</v>
      </c>
      <c r="H239" s="72" t="str">
        <f>dim_lab_sca_rates!$A239&amp;"|"&amp;dim_lab_sca_rates!$B239&amp;"|"&amp;dim_lab_sca_rates!$F239</f>
        <v>C000016435|LMPLBPC11|48 Hr</v>
      </c>
    </row>
    <row r="240" ht="15.75" customHeight="1">
      <c r="A240" s="72" t="s">
        <v>10</v>
      </c>
      <c r="B240" s="72" t="s">
        <v>1012</v>
      </c>
      <c r="C240" s="72" t="str">
        <f>TRIM(dim_lab_sca_rates!$A240&amp;"|"&amp;dim_lab_sca_rates!$D240&amp;"|"&amp;dim_lab_sca_rates!$F240)</f>
        <v>C000016435|Lead In Air|12 Hr</v>
      </c>
      <c r="D240" s="72" t="s">
        <v>1013</v>
      </c>
      <c r="E240" s="72" t="s">
        <v>1014</v>
      </c>
      <c r="F240" s="72" t="s">
        <v>1007</v>
      </c>
      <c r="G240" s="76">
        <v>450.0</v>
      </c>
      <c r="H240" s="72" t="str">
        <f>dim_lab_sca_rates!$A240&amp;"|"&amp;dim_lab_sca_rates!$B240&amp;"|"&amp;dim_lab_sca_rates!$F240</f>
        <v>C000016435|LMPLBPC11|12 Hr</v>
      </c>
    </row>
    <row r="241" ht="15.75" customHeight="1">
      <c r="A241" s="72" t="s">
        <v>10</v>
      </c>
      <c r="B241" s="72" t="s">
        <v>1015</v>
      </c>
      <c r="C241" s="72" t="str">
        <f>TRIM(dim_lab_sca_rates!$A241&amp;"|"&amp;dim_lab_sca_rates!$D241&amp;"|"&amp;dim_lab_sca_rates!$F241)</f>
        <v>C000016435|Lead In Soil|24 Hr</v>
      </c>
      <c r="D241" s="72" t="s">
        <v>1016</v>
      </c>
      <c r="E241" s="72" t="s">
        <v>1017</v>
      </c>
      <c r="F241" s="72" t="s">
        <v>985</v>
      </c>
      <c r="G241" s="76">
        <v>45.6</v>
      </c>
      <c r="H241" s="72" t="str">
        <f>dim_lab_sca_rates!$A241&amp;"|"&amp;dim_lab_sca_rates!$B241&amp;"|"&amp;dim_lab_sca_rates!$F241</f>
        <v>C000016435|LMPLBPC12|24 Hr</v>
      </c>
    </row>
    <row r="242" ht="15.75" customHeight="1">
      <c r="A242" s="72" t="s">
        <v>10</v>
      </c>
      <c r="B242" s="72" t="s">
        <v>1015</v>
      </c>
      <c r="C242" s="72" t="str">
        <f>TRIM(dim_lab_sca_rates!$A242&amp;"|"&amp;dim_lab_sca_rates!$D242&amp;"|"&amp;dim_lab_sca_rates!$F242)</f>
        <v>C000016435|Lead In Soil|12 Hr</v>
      </c>
      <c r="D242" s="72" t="s">
        <v>1016</v>
      </c>
      <c r="E242" s="72" t="s">
        <v>1017</v>
      </c>
      <c r="F242" s="72" t="s">
        <v>1007</v>
      </c>
      <c r="G242" s="76">
        <v>47.5</v>
      </c>
      <c r="H242" s="72" t="str">
        <f>dim_lab_sca_rates!$A242&amp;"|"&amp;dim_lab_sca_rates!$B242&amp;"|"&amp;dim_lab_sca_rates!$F242</f>
        <v>C000016435|LMPLBPC12|12 Hr</v>
      </c>
    </row>
    <row r="243" ht="15.75" customHeight="1">
      <c r="A243" s="72" t="s">
        <v>10</v>
      </c>
      <c r="B243" s="72" t="s">
        <v>1015</v>
      </c>
      <c r="C243" s="72" t="str">
        <f>TRIM(dim_lab_sca_rates!$A243&amp;"|"&amp;dim_lab_sca_rates!$D243&amp;"|"&amp;dim_lab_sca_rates!$F243)</f>
        <v>C000016435|Lead In Soil|72 Hr</v>
      </c>
      <c r="D243" s="72" t="s">
        <v>1016</v>
      </c>
      <c r="E243" s="72" t="s">
        <v>1017</v>
      </c>
      <c r="F243" s="72" t="s">
        <v>1008</v>
      </c>
      <c r="G243" s="76">
        <v>30.78</v>
      </c>
      <c r="H243" s="72" t="str">
        <f>dim_lab_sca_rates!$A243&amp;"|"&amp;dim_lab_sca_rates!$B243&amp;"|"&amp;dim_lab_sca_rates!$F243</f>
        <v>C000016435|LMPLBPC12|72 Hr</v>
      </c>
    </row>
    <row r="244" ht="15.75" customHeight="1">
      <c r="A244" s="72" t="s">
        <v>10</v>
      </c>
      <c r="B244" s="72" t="s">
        <v>1015</v>
      </c>
      <c r="C244" s="72" t="str">
        <f>TRIM(dim_lab_sca_rates!$A244&amp;"|"&amp;dim_lab_sca_rates!$D244&amp;"|"&amp;dim_lab_sca_rates!$F244)</f>
        <v>C000016435|Lead In Soil|48 Hr</v>
      </c>
      <c r="D244" s="72" t="s">
        <v>1016</v>
      </c>
      <c r="E244" s="72" t="s">
        <v>1017</v>
      </c>
      <c r="F244" s="72" t="s">
        <v>1006</v>
      </c>
      <c r="G244" s="76">
        <v>38.0</v>
      </c>
      <c r="H244" s="72" t="str">
        <f>dim_lab_sca_rates!$A244&amp;"|"&amp;dim_lab_sca_rates!$B244&amp;"|"&amp;dim_lab_sca_rates!$F244</f>
        <v>C000016435|LMPLBPC12|48 Hr</v>
      </c>
    </row>
    <row r="245" ht="15.75" customHeight="1">
      <c r="A245" s="72" t="s">
        <v>10</v>
      </c>
      <c r="B245" s="72" t="s">
        <v>1018</v>
      </c>
      <c r="C245" s="72" t="str">
        <f>TRIM(dim_lab_sca_rates!$A245&amp;"|"&amp;dim_lab_sca_rates!$D245&amp;"|"&amp;dim_lab_sca_rates!$F245)</f>
        <v>C000016435|TCLP|48 Hr</v>
      </c>
      <c r="D245" s="72" t="s">
        <v>1019</v>
      </c>
      <c r="E245" s="72" t="s">
        <v>1020</v>
      </c>
      <c r="F245" s="72" t="s">
        <v>1006</v>
      </c>
      <c r="G245" s="76">
        <v>1435.5</v>
      </c>
      <c r="H245" s="72" t="str">
        <f>dim_lab_sca_rates!$A245&amp;"|"&amp;dim_lab_sca_rates!$B245&amp;"|"&amp;dim_lab_sca_rates!$F245</f>
        <v>C000016435|LMPLBPC13|48 Hr</v>
      </c>
    </row>
    <row r="246" ht="15.75" customHeight="1">
      <c r="A246" s="72" t="s">
        <v>10</v>
      </c>
      <c r="B246" s="72" t="s">
        <v>1018</v>
      </c>
      <c r="C246" s="72" t="str">
        <f>TRIM(dim_lab_sca_rates!$A246&amp;"|"&amp;dim_lab_sca_rates!$D246&amp;"|"&amp;dim_lab_sca_rates!$F246)</f>
        <v>C000016435|TCLP|10 BD</v>
      </c>
      <c r="D246" s="72" t="s">
        <v>1019</v>
      </c>
      <c r="E246" s="72" t="s">
        <v>1020</v>
      </c>
      <c r="F246" s="72" t="s">
        <v>1021</v>
      </c>
      <c r="G246" s="76">
        <v>891.0</v>
      </c>
      <c r="H246" s="72" t="str">
        <f>dim_lab_sca_rates!$A246&amp;"|"&amp;dim_lab_sca_rates!$B246&amp;"|"&amp;dim_lab_sca_rates!$F246</f>
        <v>C000016435|LMPLBPC13|10 BD</v>
      </c>
    </row>
    <row r="247" ht="15.75" customHeight="1">
      <c r="A247" s="72" t="s">
        <v>10</v>
      </c>
      <c r="B247" s="72" t="s">
        <v>1018</v>
      </c>
      <c r="C247" s="72" t="str">
        <f>TRIM(dim_lab_sca_rates!$A247&amp;"|"&amp;dim_lab_sca_rates!$D247&amp;"|"&amp;dim_lab_sca_rates!$F247)</f>
        <v>C000016435|TCLP|5 Day</v>
      </c>
      <c r="D247" s="72" t="s">
        <v>1019</v>
      </c>
      <c r="E247" s="72" t="s">
        <v>1020</v>
      </c>
      <c r="F247" s="72" t="s">
        <v>977</v>
      </c>
      <c r="G247" s="76">
        <v>990.0</v>
      </c>
      <c r="H247" s="72" t="str">
        <f>dim_lab_sca_rates!$A247&amp;"|"&amp;dim_lab_sca_rates!$B247&amp;"|"&amp;dim_lab_sca_rates!$F247</f>
        <v>C000016435|LMPLBPC13|5 Day</v>
      </c>
    </row>
    <row r="248" ht="15.75" customHeight="1">
      <c r="A248" s="72" t="s">
        <v>10</v>
      </c>
      <c r="B248" s="72" t="s">
        <v>1022</v>
      </c>
      <c r="C248" s="72" t="str">
        <f>TRIM(dim_lab_sca_rates!$A248&amp;"|"&amp;dim_lab_sca_rates!$D248&amp;"|"&amp;dim_lab_sca_rates!$F248)</f>
        <v>C000016435|RCRA|48 Hr</v>
      </c>
      <c r="D248" s="72" t="s">
        <v>1023</v>
      </c>
      <c r="E248" s="72" t="s">
        <v>1024</v>
      </c>
      <c r="F248" s="72" t="s">
        <v>1006</v>
      </c>
      <c r="G248" s="76">
        <v>266.8</v>
      </c>
      <c r="H248" s="72" t="str">
        <f>dim_lab_sca_rates!$A248&amp;"|"&amp;dim_lab_sca_rates!$B248&amp;"|"&amp;dim_lab_sca_rates!$F248</f>
        <v>C000016435|LMPLBPC14|48 Hr</v>
      </c>
    </row>
    <row r="249" ht="15.75" customHeight="1">
      <c r="A249" s="72" t="s">
        <v>10</v>
      </c>
      <c r="B249" s="72" t="s">
        <v>1022</v>
      </c>
      <c r="C249" s="72" t="str">
        <f>TRIM(dim_lab_sca_rates!$A249&amp;"|"&amp;dim_lab_sca_rates!$D249&amp;"|"&amp;dim_lab_sca_rates!$F249)</f>
        <v>C000016435|RCRA|5 Day</v>
      </c>
      <c r="D249" s="72" t="s">
        <v>1023</v>
      </c>
      <c r="E249" s="72" t="s">
        <v>1024</v>
      </c>
      <c r="F249" s="72" t="s">
        <v>977</v>
      </c>
      <c r="G249" s="76">
        <v>184.0</v>
      </c>
      <c r="H249" s="72" t="str">
        <f>dim_lab_sca_rates!$A249&amp;"|"&amp;dim_lab_sca_rates!$B249&amp;"|"&amp;dim_lab_sca_rates!$F249</f>
        <v>C000016435|LMPLBPC14|5 Day</v>
      </c>
    </row>
    <row r="250" ht="15.75" customHeight="1">
      <c r="A250" s="72" t="s">
        <v>10</v>
      </c>
      <c r="B250" s="72" t="s">
        <v>1022</v>
      </c>
      <c r="C250" s="72" t="str">
        <f>TRIM(dim_lab_sca_rates!$A250&amp;"|"&amp;dim_lab_sca_rates!$D250&amp;"|"&amp;dim_lab_sca_rates!$F250)</f>
        <v>C000016435|RCRA|10 BD</v>
      </c>
      <c r="D250" s="72" t="s">
        <v>1023</v>
      </c>
      <c r="E250" s="72" t="s">
        <v>1024</v>
      </c>
      <c r="F250" s="72" t="s">
        <v>1021</v>
      </c>
      <c r="G250" s="76">
        <v>165.6</v>
      </c>
      <c r="H250" s="72" t="str">
        <f>dim_lab_sca_rates!$A250&amp;"|"&amp;dim_lab_sca_rates!$B250&amp;"|"&amp;dim_lab_sca_rates!$F250</f>
        <v>C000016435|LMPLBPC14|10 BD</v>
      </c>
    </row>
    <row r="251" ht="15.75" customHeight="1">
      <c r="A251" s="72" t="s">
        <v>10</v>
      </c>
      <c r="B251" s="72" t="s">
        <v>1025</v>
      </c>
      <c r="C251" s="72" t="str">
        <f>TRIM(dim_lab_sca_rates!$A251&amp;"|"&amp;dim_lab_sca_rates!$D251&amp;"|"&amp;dim_lab_sca_rates!$F251)</f>
        <v>C000016435|Lead Only|48 Hr</v>
      </c>
      <c r="D251" s="72" t="s">
        <v>1026</v>
      </c>
      <c r="E251" s="72" t="s">
        <v>1026</v>
      </c>
      <c r="F251" s="72" t="s">
        <v>1006</v>
      </c>
      <c r="G251" s="76">
        <v>161.3</v>
      </c>
      <c r="H251" s="72" t="str">
        <f>dim_lab_sca_rates!$A251&amp;"|"&amp;dim_lab_sca_rates!$B251&amp;"|"&amp;dim_lab_sca_rates!$F251</f>
        <v>C000016435|LMPLBPC15|48 Hr</v>
      </c>
    </row>
    <row r="252" ht="15.75" customHeight="1">
      <c r="A252" s="72" t="s">
        <v>10</v>
      </c>
      <c r="B252" s="72" t="s">
        <v>1025</v>
      </c>
      <c r="C252" s="72" t="str">
        <f>TRIM(dim_lab_sca_rates!$A252&amp;"|"&amp;dim_lab_sca_rates!$D252&amp;"|"&amp;dim_lab_sca_rates!$F252)</f>
        <v>C000016435|Lead Only|5 Day</v>
      </c>
      <c r="D252" s="72" t="s">
        <v>1026</v>
      </c>
      <c r="E252" s="72" t="s">
        <v>1026</v>
      </c>
      <c r="F252" s="72" t="s">
        <v>977</v>
      </c>
      <c r="G252" s="76">
        <v>111.24</v>
      </c>
      <c r="H252" s="72" t="str">
        <f>dim_lab_sca_rates!$A252&amp;"|"&amp;dim_lab_sca_rates!$B252&amp;"|"&amp;dim_lab_sca_rates!$F252</f>
        <v>C000016435|LMPLBPC15|5 Day</v>
      </c>
    </row>
    <row r="253" ht="15.75" customHeight="1">
      <c r="A253" s="72" t="s">
        <v>10</v>
      </c>
      <c r="B253" s="72" t="s">
        <v>1025</v>
      </c>
      <c r="C253" s="72" t="str">
        <f>TRIM(dim_lab_sca_rates!$A253&amp;"|"&amp;dim_lab_sca_rates!$D253&amp;"|"&amp;dim_lab_sca_rates!$F253)</f>
        <v>C000016435|Lead Only|10 BD</v>
      </c>
      <c r="D253" s="72" t="s">
        <v>1026</v>
      </c>
      <c r="E253" s="72" t="s">
        <v>1026</v>
      </c>
      <c r="F253" s="72" t="s">
        <v>1021</v>
      </c>
      <c r="G253" s="76">
        <v>100.12</v>
      </c>
      <c r="H253" s="72" t="str">
        <f>dim_lab_sca_rates!$A253&amp;"|"&amp;dim_lab_sca_rates!$B253&amp;"|"&amp;dim_lab_sca_rates!$F253</f>
        <v>C000016435|LMPLBPC15|10 BD</v>
      </c>
    </row>
    <row r="254" ht="15.75" customHeight="1">
      <c r="A254" s="72" t="s">
        <v>10</v>
      </c>
      <c r="B254" s="72" t="s">
        <v>1027</v>
      </c>
      <c r="C254" s="72" t="str">
        <f>TRIM(dim_lab_sca_rates!$A254&amp;"|"&amp;dim_lab_sca_rates!$D254&amp;"|"&amp;dim_lab_sca_rates!$F254)</f>
        <v>C000016435|Semivolatile compounds|48 Hr</v>
      </c>
      <c r="D254" s="72" t="s">
        <v>1028</v>
      </c>
      <c r="E254" s="72" t="s">
        <v>1028</v>
      </c>
      <c r="F254" s="72" t="s">
        <v>1006</v>
      </c>
      <c r="G254" s="76">
        <v>362.5</v>
      </c>
      <c r="H254" s="72" t="str">
        <f>dim_lab_sca_rates!$A254&amp;"|"&amp;dim_lab_sca_rates!$B254&amp;"|"&amp;dim_lab_sca_rates!$F254</f>
        <v>C000016435|LMPLBPC16|48 Hr</v>
      </c>
    </row>
    <row r="255" ht="15.75" customHeight="1">
      <c r="A255" s="72" t="s">
        <v>10</v>
      </c>
      <c r="B255" s="72" t="s">
        <v>1027</v>
      </c>
      <c r="C255" s="72" t="str">
        <f>TRIM(dim_lab_sca_rates!$A255&amp;"|"&amp;dim_lab_sca_rates!$D255&amp;"|"&amp;dim_lab_sca_rates!$F255)</f>
        <v>C000016435|Semivolatile compounds|10 BD</v>
      </c>
      <c r="D255" s="72" t="s">
        <v>1028</v>
      </c>
      <c r="E255" s="72" t="s">
        <v>1028</v>
      </c>
      <c r="F255" s="72" t="s">
        <v>1021</v>
      </c>
      <c r="G255" s="76">
        <v>225.0</v>
      </c>
      <c r="H255" s="72" t="str">
        <f>dim_lab_sca_rates!$A255&amp;"|"&amp;dim_lab_sca_rates!$B255&amp;"|"&amp;dim_lab_sca_rates!$F255</f>
        <v>C000016435|LMPLBPC16|10 BD</v>
      </c>
    </row>
    <row r="256" ht="15.75" customHeight="1">
      <c r="A256" s="72" t="s">
        <v>10</v>
      </c>
      <c r="B256" s="72" t="s">
        <v>1027</v>
      </c>
      <c r="C256" s="72" t="str">
        <f>TRIM(dim_lab_sca_rates!$A256&amp;"|"&amp;dim_lab_sca_rates!$D256&amp;"|"&amp;dim_lab_sca_rates!$F256)</f>
        <v>C000016435|Semivolatile compounds|5 Day</v>
      </c>
      <c r="D256" s="72" t="s">
        <v>1028</v>
      </c>
      <c r="E256" s="72" t="s">
        <v>1028</v>
      </c>
      <c r="F256" s="72" t="s">
        <v>977</v>
      </c>
      <c r="G256" s="76">
        <v>250.0</v>
      </c>
      <c r="H256" s="72" t="str">
        <f>dim_lab_sca_rates!$A256&amp;"|"&amp;dim_lab_sca_rates!$B256&amp;"|"&amp;dim_lab_sca_rates!$F256</f>
        <v>C000016435|LMPLBPC16|5 Day</v>
      </c>
    </row>
    <row r="257" ht="15.75" customHeight="1">
      <c r="A257" s="72" t="s">
        <v>10</v>
      </c>
      <c r="B257" s="72" t="s">
        <v>1029</v>
      </c>
      <c r="C257" s="72" t="str">
        <f>TRIM(dim_lab_sca_rates!$A257&amp;"|"&amp;dim_lab_sca_rates!$D257&amp;"|"&amp;dim_lab_sca_rates!$F257)</f>
        <v>C000016435|Volatile compounds|48 Hr</v>
      </c>
      <c r="D257" s="72" t="s">
        <v>1030</v>
      </c>
      <c r="E257" s="72" t="s">
        <v>1030</v>
      </c>
      <c r="F257" s="72" t="s">
        <v>1006</v>
      </c>
      <c r="G257" s="76">
        <v>290.0</v>
      </c>
      <c r="H257" s="72" t="str">
        <f>dim_lab_sca_rates!$A257&amp;"|"&amp;dim_lab_sca_rates!$B257&amp;"|"&amp;dim_lab_sca_rates!$F257</f>
        <v>C000016435|LMPLBPC17|48 Hr</v>
      </c>
    </row>
    <row r="258" ht="15.75" customHeight="1">
      <c r="A258" s="72" t="s">
        <v>10</v>
      </c>
      <c r="B258" s="72" t="s">
        <v>1029</v>
      </c>
      <c r="C258" s="72" t="str">
        <f>TRIM(dim_lab_sca_rates!$A258&amp;"|"&amp;dim_lab_sca_rates!$D258&amp;"|"&amp;dim_lab_sca_rates!$F258)</f>
        <v>C000016435|Volatile compounds|10 BD</v>
      </c>
      <c r="D258" s="72" t="s">
        <v>1030</v>
      </c>
      <c r="E258" s="72" t="s">
        <v>1030</v>
      </c>
      <c r="F258" s="72" t="s">
        <v>1021</v>
      </c>
      <c r="G258" s="76">
        <v>180.0</v>
      </c>
      <c r="H258" s="72" t="str">
        <f>dim_lab_sca_rates!$A258&amp;"|"&amp;dim_lab_sca_rates!$B258&amp;"|"&amp;dim_lab_sca_rates!$F258</f>
        <v>C000016435|LMPLBPC17|10 BD</v>
      </c>
    </row>
    <row r="259" ht="15.75" customHeight="1">
      <c r="A259" s="72" t="s">
        <v>10</v>
      </c>
      <c r="B259" s="72" t="s">
        <v>1029</v>
      </c>
      <c r="C259" s="72" t="str">
        <f>TRIM(dim_lab_sca_rates!$A259&amp;"|"&amp;dim_lab_sca_rates!$D259&amp;"|"&amp;dim_lab_sca_rates!$F259)</f>
        <v>C000016435|Volatile compounds|5 Day</v>
      </c>
      <c r="D259" s="72" t="s">
        <v>1030</v>
      </c>
      <c r="E259" s="72" t="s">
        <v>1030</v>
      </c>
      <c r="F259" s="72" t="s">
        <v>977</v>
      </c>
      <c r="G259" s="76">
        <v>200.0</v>
      </c>
      <c r="H259" s="72" t="str">
        <f>dim_lab_sca_rates!$A259&amp;"|"&amp;dim_lab_sca_rates!$B259&amp;"|"&amp;dim_lab_sca_rates!$F259</f>
        <v>C000016435|LMPLBPC17|5 Day</v>
      </c>
    </row>
    <row r="260" ht="15.75" customHeight="1">
      <c r="A260" s="72" t="s">
        <v>10</v>
      </c>
      <c r="B260" s="72" t="s">
        <v>1031</v>
      </c>
      <c r="C260" s="72" t="str">
        <f>TRIM(dim_lab_sca_rates!$A260&amp;"|"&amp;dim_lab_sca_rates!$D260&amp;"|"&amp;dim_lab_sca_rates!$F260)</f>
        <v>C000016435|STARS volatile compounds|5 Day</v>
      </c>
      <c r="D260" s="72" t="s">
        <v>1032</v>
      </c>
      <c r="E260" s="72" t="s">
        <v>1032</v>
      </c>
      <c r="F260" s="72" t="s">
        <v>977</v>
      </c>
      <c r="G260" s="76">
        <v>165.0</v>
      </c>
      <c r="H260" s="72" t="str">
        <f>dim_lab_sca_rates!$A260&amp;"|"&amp;dim_lab_sca_rates!$B260&amp;"|"&amp;dim_lab_sca_rates!$F260</f>
        <v>C000016435|LMPLBPC18|5 Day</v>
      </c>
    </row>
    <row r="261" ht="15.75" customHeight="1">
      <c r="A261" s="72" t="s">
        <v>10</v>
      </c>
      <c r="B261" s="72" t="s">
        <v>1031</v>
      </c>
      <c r="C261" s="72" t="str">
        <f>TRIM(dim_lab_sca_rates!$A261&amp;"|"&amp;dim_lab_sca_rates!$D261&amp;"|"&amp;dim_lab_sca_rates!$F261)</f>
        <v>C000016435|STARS volatile compounds|10 BD</v>
      </c>
      <c r="D261" s="72" t="s">
        <v>1032</v>
      </c>
      <c r="E261" s="72" t="s">
        <v>1032</v>
      </c>
      <c r="F261" s="72" t="s">
        <v>1021</v>
      </c>
      <c r="G261" s="76">
        <v>148.5</v>
      </c>
      <c r="H261" s="72" t="str">
        <f>dim_lab_sca_rates!$A261&amp;"|"&amp;dim_lab_sca_rates!$B261&amp;"|"&amp;dim_lab_sca_rates!$F261</f>
        <v>C000016435|LMPLBPC18|10 BD</v>
      </c>
    </row>
    <row r="262" ht="15.75" customHeight="1">
      <c r="A262" s="72" t="s">
        <v>10</v>
      </c>
      <c r="B262" s="72" t="s">
        <v>1031</v>
      </c>
      <c r="C262" s="72" t="str">
        <f>TRIM(dim_lab_sca_rates!$A262&amp;"|"&amp;dim_lab_sca_rates!$D262&amp;"|"&amp;dim_lab_sca_rates!$F262)</f>
        <v>C000016435|STARS volatile compounds|48 Hr</v>
      </c>
      <c r="D262" s="72" t="s">
        <v>1032</v>
      </c>
      <c r="E262" s="72" t="s">
        <v>1032</v>
      </c>
      <c r="F262" s="72" t="s">
        <v>1006</v>
      </c>
      <c r="G262" s="76">
        <v>239.25</v>
      </c>
      <c r="H262" s="72" t="str">
        <f>dim_lab_sca_rates!$A262&amp;"|"&amp;dim_lab_sca_rates!$B262&amp;"|"&amp;dim_lab_sca_rates!$F262</f>
        <v>C000016435|LMPLBPC18|48 Hr</v>
      </c>
    </row>
    <row r="263" ht="15.75" customHeight="1">
      <c r="A263" s="72" t="s">
        <v>10</v>
      </c>
      <c r="B263" s="72" t="s">
        <v>1033</v>
      </c>
      <c r="C263" s="72" t="str">
        <f>TRIM(dim_lab_sca_rates!$A263&amp;"|"&amp;dim_lab_sca_rates!$D263&amp;"|"&amp;dim_lab_sca_rates!$F263)</f>
        <v>C000016435|STARS semivolatile compounds|48 Hr</v>
      </c>
      <c r="D263" s="72" t="s">
        <v>1034</v>
      </c>
      <c r="E263" s="72" t="s">
        <v>1034</v>
      </c>
      <c r="F263" s="72" t="s">
        <v>1006</v>
      </c>
      <c r="G263" s="76">
        <v>290.0</v>
      </c>
      <c r="H263" s="72" t="str">
        <f>dim_lab_sca_rates!$A263&amp;"|"&amp;dim_lab_sca_rates!$B263&amp;"|"&amp;dim_lab_sca_rates!$F263</f>
        <v>C000016435|LMPLBPC19|48 Hr</v>
      </c>
    </row>
    <row r="264" ht="15.75" customHeight="1">
      <c r="A264" s="72" t="s">
        <v>10</v>
      </c>
      <c r="B264" s="72" t="s">
        <v>1033</v>
      </c>
      <c r="C264" s="72" t="str">
        <f>TRIM(dim_lab_sca_rates!$A264&amp;"|"&amp;dim_lab_sca_rates!$D264&amp;"|"&amp;dim_lab_sca_rates!$F264)</f>
        <v>C000016435|STARS semivolatile compounds|5 Day</v>
      </c>
      <c r="D264" s="72" t="s">
        <v>1034</v>
      </c>
      <c r="E264" s="72" t="s">
        <v>1034</v>
      </c>
      <c r="F264" s="72" t="s">
        <v>977</v>
      </c>
      <c r="G264" s="76">
        <v>200.0</v>
      </c>
      <c r="H264" s="72" t="str">
        <f>dim_lab_sca_rates!$A264&amp;"|"&amp;dim_lab_sca_rates!$B264&amp;"|"&amp;dim_lab_sca_rates!$F264</f>
        <v>C000016435|LMPLBPC19|5 Day</v>
      </c>
    </row>
    <row r="265" ht="15.75" customHeight="1">
      <c r="A265" s="72" t="s">
        <v>10</v>
      </c>
      <c r="B265" s="72" t="s">
        <v>1033</v>
      </c>
      <c r="C265" s="72" t="str">
        <f>TRIM(dim_lab_sca_rates!$A265&amp;"|"&amp;dim_lab_sca_rates!$D265&amp;"|"&amp;dim_lab_sca_rates!$F265)</f>
        <v>C000016435|STARS semivolatile compounds|10 BD</v>
      </c>
      <c r="D265" s="72" t="s">
        <v>1034</v>
      </c>
      <c r="E265" s="72" t="s">
        <v>1034</v>
      </c>
      <c r="F265" s="72" t="s">
        <v>1021</v>
      </c>
      <c r="G265" s="76">
        <v>180.0</v>
      </c>
      <c r="H265" s="72" t="str">
        <f>dim_lab_sca_rates!$A265&amp;"|"&amp;dim_lab_sca_rates!$B265&amp;"|"&amp;dim_lab_sca_rates!$F265</f>
        <v>C000016435|LMPLBPC19|10 BD</v>
      </c>
    </row>
    <row r="266" ht="15.75" customHeight="1">
      <c r="A266" s="72" t="s">
        <v>10</v>
      </c>
      <c r="B266" s="72" t="s">
        <v>1035</v>
      </c>
      <c r="C266" s="72" t="str">
        <f>TRIM(dim_lab_sca_rates!$A266&amp;"|"&amp;dim_lab_sca_rates!$D266&amp;"|"&amp;dim_lab_sca_rates!$F266)</f>
        <v>C000016435|Pesticides|10 BD</v>
      </c>
      <c r="D266" s="72" t="s">
        <v>1036</v>
      </c>
      <c r="E266" s="72" t="s">
        <v>1036</v>
      </c>
      <c r="F266" s="72" t="s">
        <v>1021</v>
      </c>
      <c r="G266" s="76">
        <v>142.2</v>
      </c>
      <c r="H266" s="72" t="str">
        <f>dim_lab_sca_rates!$A266&amp;"|"&amp;dim_lab_sca_rates!$B266&amp;"|"&amp;dim_lab_sca_rates!$F266</f>
        <v>C000016435|LMPLBPC20|10 BD</v>
      </c>
    </row>
    <row r="267" ht="15.75" customHeight="1">
      <c r="A267" s="72" t="s">
        <v>10</v>
      </c>
      <c r="B267" s="72" t="s">
        <v>1035</v>
      </c>
      <c r="C267" s="72" t="str">
        <f>TRIM(dim_lab_sca_rates!$A267&amp;"|"&amp;dim_lab_sca_rates!$D267&amp;"|"&amp;dim_lab_sca_rates!$F267)</f>
        <v>C000016435|Pesticides|48 Hr</v>
      </c>
      <c r="D267" s="72" t="s">
        <v>1036</v>
      </c>
      <c r="E267" s="72" t="s">
        <v>1036</v>
      </c>
      <c r="F267" s="72" t="s">
        <v>1006</v>
      </c>
      <c r="G267" s="76">
        <v>229.1</v>
      </c>
      <c r="H267" s="72" t="str">
        <f>dim_lab_sca_rates!$A267&amp;"|"&amp;dim_lab_sca_rates!$B267&amp;"|"&amp;dim_lab_sca_rates!$F267</f>
        <v>C000016435|LMPLBPC20|48 Hr</v>
      </c>
    </row>
    <row r="268" ht="15.75" customHeight="1">
      <c r="A268" s="72" t="s">
        <v>10</v>
      </c>
      <c r="B268" s="72" t="s">
        <v>1035</v>
      </c>
      <c r="C268" s="72" t="str">
        <f>TRIM(dim_lab_sca_rates!$A268&amp;"|"&amp;dim_lab_sca_rates!$D268&amp;"|"&amp;dim_lab_sca_rates!$F268)</f>
        <v>C000016435|Pesticides|5 Day</v>
      </c>
      <c r="D268" s="72" t="s">
        <v>1036</v>
      </c>
      <c r="E268" s="72" t="s">
        <v>1036</v>
      </c>
      <c r="F268" s="72" t="s">
        <v>977</v>
      </c>
      <c r="G268" s="76">
        <v>158.0</v>
      </c>
      <c r="H268" s="72" t="str">
        <f>dim_lab_sca_rates!$A268&amp;"|"&amp;dim_lab_sca_rates!$B268&amp;"|"&amp;dim_lab_sca_rates!$F268</f>
        <v>C000016435|LMPLBPC20|5 Day</v>
      </c>
    </row>
    <row r="269" ht="15.75" customHeight="1">
      <c r="A269" s="72" t="s">
        <v>10</v>
      </c>
      <c r="B269" s="72" t="s">
        <v>1037</v>
      </c>
      <c r="C269" s="72" t="str">
        <f>TRIM(dim_lab_sca_rates!$A269&amp;"|"&amp;dim_lab_sca_rates!$D269&amp;"|"&amp;dim_lab_sca_rates!$F269)</f>
        <v>C000016435|Herbicides|48 Hr</v>
      </c>
      <c r="D269" s="72" t="s">
        <v>1038</v>
      </c>
      <c r="E269" s="72" t="s">
        <v>1038</v>
      </c>
      <c r="F269" s="72" t="s">
        <v>1006</v>
      </c>
      <c r="G269" s="76">
        <v>290.0</v>
      </c>
      <c r="H269" s="72" t="str">
        <f>dim_lab_sca_rates!$A269&amp;"|"&amp;dim_lab_sca_rates!$B269&amp;"|"&amp;dim_lab_sca_rates!$F269</f>
        <v>C000016435|LMPLBPC21|48 Hr</v>
      </c>
    </row>
    <row r="270" ht="15.75" customHeight="1">
      <c r="A270" s="72" t="s">
        <v>10</v>
      </c>
      <c r="B270" s="72" t="s">
        <v>1037</v>
      </c>
      <c r="C270" s="72" t="str">
        <f>TRIM(dim_lab_sca_rates!$A270&amp;"|"&amp;dim_lab_sca_rates!$D270&amp;"|"&amp;dim_lab_sca_rates!$F270)</f>
        <v>C000016435|Herbicides|5 Day</v>
      </c>
      <c r="D270" s="72" t="s">
        <v>1038</v>
      </c>
      <c r="E270" s="72" t="s">
        <v>1038</v>
      </c>
      <c r="F270" s="72" t="s">
        <v>977</v>
      </c>
      <c r="G270" s="76">
        <v>200.0</v>
      </c>
      <c r="H270" s="72" t="str">
        <f>dim_lab_sca_rates!$A270&amp;"|"&amp;dim_lab_sca_rates!$B270&amp;"|"&amp;dim_lab_sca_rates!$F270</f>
        <v>C000016435|LMPLBPC21|5 Day</v>
      </c>
    </row>
    <row r="271" ht="15.75" customHeight="1">
      <c r="A271" s="72" t="s">
        <v>10</v>
      </c>
      <c r="B271" s="72" t="s">
        <v>1037</v>
      </c>
      <c r="C271" s="72" t="str">
        <f>TRIM(dim_lab_sca_rates!$A271&amp;"|"&amp;dim_lab_sca_rates!$D271&amp;"|"&amp;dim_lab_sca_rates!$F271)</f>
        <v>C000016435|Herbicides|10 BD</v>
      </c>
      <c r="D271" s="72" t="s">
        <v>1038</v>
      </c>
      <c r="E271" s="72" t="s">
        <v>1038</v>
      </c>
      <c r="F271" s="72" t="s">
        <v>1021</v>
      </c>
      <c r="G271" s="76">
        <v>180.0</v>
      </c>
      <c r="H271" s="72" t="str">
        <f>dim_lab_sca_rates!$A271&amp;"|"&amp;dim_lab_sca_rates!$B271&amp;"|"&amp;dim_lab_sca_rates!$F271</f>
        <v>C000016435|LMPLBPC21|10 BD</v>
      </c>
    </row>
    <row r="272" ht="15.75" customHeight="1">
      <c r="A272" s="72" t="s">
        <v>10</v>
      </c>
      <c r="B272" s="72" t="s">
        <v>1039</v>
      </c>
      <c r="C272" s="72" t="str">
        <f>TRIM(dim_lab_sca_rates!$A272&amp;"|"&amp;dim_lab_sca_rates!$D272&amp;"|"&amp;dim_lab_sca_rates!$F272)</f>
        <v>C000016435|Reactivity|48 Hr</v>
      </c>
      <c r="D272" s="72" t="s">
        <v>1040</v>
      </c>
      <c r="E272" s="72" t="s">
        <v>1040</v>
      </c>
      <c r="F272" s="72" t="s">
        <v>1006</v>
      </c>
      <c r="G272" s="76">
        <v>137.75</v>
      </c>
      <c r="H272" s="72" t="str">
        <f>dim_lab_sca_rates!$A272&amp;"|"&amp;dim_lab_sca_rates!$B272&amp;"|"&amp;dim_lab_sca_rates!$F272</f>
        <v>C000016435|LMPLBPC22|48 Hr</v>
      </c>
    </row>
    <row r="273" ht="15.75" customHeight="1">
      <c r="A273" s="72" t="s">
        <v>10</v>
      </c>
      <c r="B273" s="72" t="s">
        <v>1039</v>
      </c>
      <c r="C273" s="72" t="str">
        <f>TRIM(dim_lab_sca_rates!$A273&amp;"|"&amp;dim_lab_sca_rates!$D273&amp;"|"&amp;dim_lab_sca_rates!$F273)</f>
        <v>C000016435|Reactivity|5 Day</v>
      </c>
      <c r="D273" s="72" t="s">
        <v>1040</v>
      </c>
      <c r="E273" s="72" t="s">
        <v>1040</v>
      </c>
      <c r="F273" s="72" t="s">
        <v>977</v>
      </c>
      <c r="G273" s="76">
        <v>95.0</v>
      </c>
      <c r="H273" s="72" t="str">
        <f>dim_lab_sca_rates!$A273&amp;"|"&amp;dim_lab_sca_rates!$B273&amp;"|"&amp;dim_lab_sca_rates!$F273</f>
        <v>C000016435|LMPLBPC22|5 Day</v>
      </c>
    </row>
    <row r="274" ht="15.75" customHeight="1">
      <c r="A274" s="72" t="s">
        <v>10</v>
      </c>
      <c r="B274" s="72" t="s">
        <v>1039</v>
      </c>
      <c r="C274" s="72" t="str">
        <f>TRIM(dim_lab_sca_rates!$A274&amp;"|"&amp;dim_lab_sca_rates!$D274&amp;"|"&amp;dim_lab_sca_rates!$F274)</f>
        <v>C000016435|Reactivity|10 BD</v>
      </c>
      <c r="D274" s="72" t="s">
        <v>1040</v>
      </c>
      <c r="E274" s="72" t="s">
        <v>1040</v>
      </c>
      <c r="F274" s="72" t="s">
        <v>1021</v>
      </c>
      <c r="G274" s="76">
        <v>85.5</v>
      </c>
      <c r="H274" s="72" t="str">
        <f>dim_lab_sca_rates!$A274&amp;"|"&amp;dim_lab_sca_rates!$B274&amp;"|"&amp;dim_lab_sca_rates!$F274</f>
        <v>C000016435|LMPLBPC22|10 BD</v>
      </c>
    </row>
    <row r="275" ht="15.75" customHeight="1">
      <c r="A275" s="72" t="s">
        <v>10</v>
      </c>
      <c r="B275" s="72" t="s">
        <v>1041</v>
      </c>
      <c r="C275" s="72" t="str">
        <f>TRIM(dim_lab_sca_rates!$A275&amp;"|"&amp;dim_lab_sca_rates!$D275&amp;"|"&amp;dim_lab_sca_rates!$F275)</f>
        <v>C000016435|Corrosivity|10 BD</v>
      </c>
      <c r="D275" s="72" t="s">
        <v>1042</v>
      </c>
      <c r="E275" s="72" t="s">
        <v>1042</v>
      </c>
      <c r="F275" s="72" t="s">
        <v>1021</v>
      </c>
      <c r="G275" s="76">
        <v>40.5</v>
      </c>
      <c r="H275" s="72" t="str">
        <f>dim_lab_sca_rates!$A275&amp;"|"&amp;dim_lab_sca_rates!$B275&amp;"|"&amp;dim_lab_sca_rates!$F275</f>
        <v>C000016435|LMPLBPC23|10 BD</v>
      </c>
    </row>
    <row r="276" ht="15.75" customHeight="1">
      <c r="A276" s="72" t="s">
        <v>10</v>
      </c>
      <c r="B276" s="72" t="s">
        <v>1041</v>
      </c>
      <c r="C276" s="72" t="str">
        <f>TRIM(dim_lab_sca_rates!$A276&amp;"|"&amp;dim_lab_sca_rates!$D276&amp;"|"&amp;dim_lab_sca_rates!$F276)</f>
        <v>C000016435|Corrosivity|48 Hr</v>
      </c>
      <c r="D276" s="72" t="s">
        <v>1042</v>
      </c>
      <c r="E276" s="72" t="s">
        <v>1042</v>
      </c>
      <c r="F276" s="72" t="s">
        <v>1006</v>
      </c>
      <c r="G276" s="76">
        <v>65.25</v>
      </c>
      <c r="H276" s="72" t="str">
        <f>dim_lab_sca_rates!$A276&amp;"|"&amp;dim_lab_sca_rates!$B276&amp;"|"&amp;dim_lab_sca_rates!$F276</f>
        <v>C000016435|LMPLBPC23|48 Hr</v>
      </c>
    </row>
    <row r="277" ht="15.75" customHeight="1">
      <c r="A277" s="72" t="s">
        <v>10</v>
      </c>
      <c r="B277" s="72" t="s">
        <v>1041</v>
      </c>
      <c r="C277" s="72" t="str">
        <f>TRIM(dim_lab_sca_rates!$A277&amp;"|"&amp;dim_lab_sca_rates!$D277&amp;"|"&amp;dim_lab_sca_rates!$F277)</f>
        <v>C000016435|Corrosivity|5 Day</v>
      </c>
      <c r="D277" s="72" t="s">
        <v>1042</v>
      </c>
      <c r="E277" s="72" t="s">
        <v>1042</v>
      </c>
      <c r="F277" s="72" t="s">
        <v>977</v>
      </c>
      <c r="G277" s="76">
        <v>45.0</v>
      </c>
      <c r="H277" s="72" t="str">
        <f>dim_lab_sca_rates!$A277&amp;"|"&amp;dim_lab_sca_rates!$B277&amp;"|"&amp;dim_lab_sca_rates!$F277</f>
        <v>C000016435|LMPLBPC23|5 Day</v>
      </c>
    </row>
    <row r="278" ht="15.75" customHeight="1">
      <c r="A278" s="72" t="s">
        <v>10</v>
      </c>
      <c r="B278" s="72" t="s">
        <v>1043</v>
      </c>
      <c r="C278" s="72" t="str">
        <f>TRIM(dim_lab_sca_rates!$A278&amp;"|"&amp;dim_lab_sca_rates!$D278&amp;"|"&amp;dim_lab_sca_rates!$F278)</f>
        <v>C000016435|Ignitability|10 BD</v>
      </c>
      <c r="D278" s="72" t="s">
        <v>1044</v>
      </c>
      <c r="E278" s="72" t="s">
        <v>1044</v>
      </c>
      <c r="F278" s="72" t="s">
        <v>1021</v>
      </c>
      <c r="G278" s="76">
        <v>45.0</v>
      </c>
      <c r="H278" s="72" t="str">
        <f>dim_lab_sca_rates!$A278&amp;"|"&amp;dim_lab_sca_rates!$B278&amp;"|"&amp;dim_lab_sca_rates!$F278</f>
        <v>C000016435|LMPLBPC24|10 BD</v>
      </c>
    </row>
    <row r="279" ht="15.75" customHeight="1">
      <c r="A279" s="72" t="s">
        <v>10</v>
      </c>
      <c r="B279" s="72" t="s">
        <v>1043</v>
      </c>
      <c r="C279" s="72" t="str">
        <f>TRIM(dim_lab_sca_rates!$A279&amp;"|"&amp;dim_lab_sca_rates!$D279&amp;"|"&amp;dim_lab_sca_rates!$F279)</f>
        <v>C000016435|Ignitability|48 Hr</v>
      </c>
      <c r="D279" s="72" t="s">
        <v>1044</v>
      </c>
      <c r="E279" s="72" t="s">
        <v>1044</v>
      </c>
      <c r="F279" s="72" t="s">
        <v>1006</v>
      </c>
      <c r="G279" s="76">
        <v>72.5</v>
      </c>
      <c r="H279" s="72" t="str">
        <f>dim_lab_sca_rates!$A279&amp;"|"&amp;dim_lab_sca_rates!$B279&amp;"|"&amp;dim_lab_sca_rates!$F279</f>
        <v>C000016435|LMPLBPC24|48 Hr</v>
      </c>
    </row>
    <row r="280" ht="15.75" customHeight="1">
      <c r="A280" s="72" t="s">
        <v>10</v>
      </c>
      <c r="B280" s="72" t="s">
        <v>1043</v>
      </c>
      <c r="C280" s="72" t="str">
        <f>TRIM(dim_lab_sca_rates!$A280&amp;"|"&amp;dim_lab_sca_rates!$D280&amp;"|"&amp;dim_lab_sca_rates!$F280)</f>
        <v>C000016435|Ignitability|5 Day</v>
      </c>
      <c r="D280" s="72" t="s">
        <v>1044</v>
      </c>
      <c r="E280" s="72" t="s">
        <v>1044</v>
      </c>
      <c r="F280" s="72" t="s">
        <v>977</v>
      </c>
      <c r="G280" s="76">
        <v>50.0</v>
      </c>
      <c r="H280" s="72" t="str">
        <f>dim_lab_sca_rates!$A280&amp;"|"&amp;dim_lab_sca_rates!$B280&amp;"|"&amp;dim_lab_sca_rates!$F280</f>
        <v>C000016435|LMPLBPC24|5 Day</v>
      </c>
    </row>
    <row r="281" ht="15.75" customHeight="1">
      <c r="A281" s="72" t="s">
        <v>10</v>
      </c>
      <c r="B281" s="72" t="s">
        <v>1045</v>
      </c>
      <c r="C281" s="72" t="str">
        <f>TRIM(dim_lab_sca_rates!$A281&amp;"|"&amp;dim_lab_sca_rates!$D281&amp;"|"&amp;dim_lab_sca_rates!$F281)</f>
        <v>C000016435|PCBs|10 BD</v>
      </c>
      <c r="D281" s="72" t="s">
        <v>1046</v>
      </c>
      <c r="E281" s="72" t="s">
        <v>1046</v>
      </c>
      <c r="F281" s="72" t="s">
        <v>1021</v>
      </c>
      <c r="G281" s="76">
        <v>130.5</v>
      </c>
      <c r="H281" s="72" t="str">
        <f>dim_lab_sca_rates!$A281&amp;"|"&amp;dim_lab_sca_rates!$B281&amp;"|"&amp;dim_lab_sca_rates!$F281</f>
        <v>C000016435|LMPLBPC25|10 BD</v>
      </c>
    </row>
    <row r="282" ht="15.75" customHeight="1">
      <c r="A282" s="72" t="s">
        <v>10</v>
      </c>
      <c r="B282" s="72" t="s">
        <v>1045</v>
      </c>
      <c r="C282" s="72" t="str">
        <f>TRIM(dim_lab_sca_rates!$A282&amp;"|"&amp;dim_lab_sca_rates!$D282&amp;"|"&amp;dim_lab_sca_rates!$F282)</f>
        <v>C000016435|PCBs|48 Hr</v>
      </c>
      <c r="D282" s="72" t="s">
        <v>1046</v>
      </c>
      <c r="E282" s="72" t="s">
        <v>1046</v>
      </c>
      <c r="F282" s="72" t="s">
        <v>1006</v>
      </c>
      <c r="G282" s="76">
        <v>210.25</v>
      </c>
      <c r="H282" s="72" t="str">
        <f>dim_lab_sca_rates!$A282&amp;"|"&amp;dim_lab_sca_rates!$B282&amp;"|"&amp;dim_lab_sca_rates!$F282</f>
        <v>C000016435|LMPLBPC25|48 Hr</v>
      </c>
    </row>
    <row r="283" ht="15.75" customHeight="1">
      <c r="A283" s="72" t="s">
        <v>10</v>
      </c>
      <c r="B283" s="72" t="s">
        <v>1045</v>
      </c>
      <c r="C283" s="72" t="str">
        <f>TRIM(dim_lab_sca_rates!$A283&amp;"|"&amp;dim_lab_sca_rates!$D283&amp;"|"&amp;dim_lab_sca_rates!$F283)</f>
        <v>C000016435|PCBs|5 Day</v>
      </c>
      <c r="D283" s="72" t="s">
        <v>1046</v>
      </c>
      <c r="E283" s="72" t="s">
        <v>1046</v>
      </c>
      <c r="F283" s="72" t="s">
        <v>977</v>
      </c>
      <c r="G283" s="76">
        <v>145.0</v>
      </c>
      <c r="H283" s="72" t="str">
        <f>dim_lab_sca_rates!$A283&amp;"|"&amp;dim_lab_sca_rates!$B283&amp;"|"&amp;dim_lab_sca_rates!$F283</f>
        <v>C000016435|LMPLBPC25|5 Day</v>
      </c>
    </row>
    <row r="284" ht="15.75" customHeight="1">
      <c r="A284" s="72" t="s">
        <v>10</v>
      </c>
      <c r="B284" s="72" t="s">
        <v>1047</v>
      </c>
      <c r="C284" s="72" t="str">
        <f>TRIM(dim_lab_sca_rates!$A284&amp;"|"&amp;dim_lab_sca_rates!$D284&amp;"|"&amp;dim_lab_sca_rates!$F284)</f>
        <v>C000016435|Free Liquids Test|48 Hr</v>
      </c>
      <c r="D284" s="72" t="s">
        <v>1048</v>
      </c>
      <c r="E284" s="72" t="s">
        <v>1048</v>
      </c>
      <c r="F284" s="72" t="s">
        <v>1006</v>
      </c>
      <c r="G284" s="76">
        <v>58.0</v>
      </c>
      <c r="H284" s="72" t="str">
        <f>dim_lab_sca_rates!$A284&amp;"|"&amp;dim_lab_sca_rates!$B284&amp;"|"&amp;dim_lab_sca_rates!$F284</f>
        <v>C000016435|LMPLBPC26|48 Hr</v>
      </c>
    </row>
    <row r="285" ht="15.75" customHeight="1">
      <c r="A285" s="72" t="s">
        <v>10</v>
      </c>
      <c r="B285" s="72" t="s">
        <v>1047</v>
      </c>
      <c r="C285" s="72" t="str">
        <f>TRIM(dim_lab_sca_rates!$A285&amp;"|"&amp;dim_lab_sca_rates!$D285&amp;"|"&amp;dim_lab_sca_rates!$F285)</f>
        <v>C000016435|Free Liquids Test|5 Day</v>
      </c>
      <c r="D285" s="72" t="s">
        <v>1048</v>
      </c>
      <c r="E285" s="72" t="s">
        <v>1048</v>
      </c>
      <c r="F285" s="72" t="s">
        <v>977</v>
      </c>
      <c r="G285" s="76">
        <v>40.0</v>
      </c>
      <c r="H285" s="72" t="str">
        <f>dim_lab_sca_rates!$A285&amp;"|"&amp;dim_lab_sca_rates!$B285&amp;"|"&amp;dim_lab_sca_rates!$F285</f>
        <v>C000016435|LMPLBPC26|5 Day</v>
      </c>
    </row>
    <row r="286" ht="15.75" customHeight="1">
      <c r="A286" s="72" t="s">
        <v>10</v>
      </c>
      <c r="B286" s="72" t="s">
        <v>1047</v>
      </c>
      <c r="C286" s="72" t="str">
        <f>TRIM(dim_lab_sca_rates!$A286&amp;"|"&amp;dim_lab_sca_rates!$D286&amp;"|"&amp;dim_lab_sca_rates!$F286)</f>
        <v>C000016435|Free Liquids Test|10 BD</v>
      </c>
      <c r="D286" s="72" t="s">
        <v>1048</v>
      </c>
      <c r="E286" s="72" t="s">
        <v>1048</v>
      </c>
      <c r="F286" s="72" t="s">
        <v>1021</v>
      </c>
      <c r="G286" s="76">
        <v>36.0</v>
      </c>
      <c r="H286" s="72" t="str">
        <f>dim_lab_sca_rates!$A286&amp;"|"&amp;dim_lab_sca_rates!$B286&amp;"|"&amp;dim_lab_sca_rates!$F286</f>
        <v>C000016435|LMPLBPC26|10 BD</v>
      </c>
    </row>
    <row r="287" ht="15.75" customHeight="1">
      <c r="A287" s="72" t="s">
        <v>10</v>
      </c>
      <c r="B287" s="72" t="s">
        <v>1049</v>
      </c>
      <c r="C287" s="72" t="str">
        <f>TRIM(dim_lab_sca_rates!$A287&amp;"|"&amp;dim_lab_sca_rates!$D287&amp;"|"&amp;dim_lab_sca_rates!$F287)</f>
        <v>C000016435|XRF|Daily</v>
      </c>
      <c r="D287" s="72" t="s">
        <v>1050</v>
      </c>
      <c r="E287" s="72" t="s">
        <v>1051</v>
      </c>
      <c r="F287" s="72" t="s">
        <v>1052</v>
      </c>
      <c r="G287" s="76">
        <v>412.5</v>
      </c>
      <c r="H287" s="72" t="str">
        <f>dim_lab_sca_rates!$A287&amp;"|"&amp;dim_lab_sca_rates!$B287&amp;"|"&amp;dim_lab_sca_rates!$F287</f>
        <v>C000016435|LMPLBPC8|Daily</v>
      </c>
    </row>
    <row r="288" ht="15.75" customHeight="1">
      <c r="A288" s="72" t="s">
        <v>10</v>
      </c>
      <c r="B288" s="72" t="s">
        <v>1053</v>
      </c>
      <c r="C288" s="72" t="str">
        <f>TRIM(dim_lab_sca_rates!$A288&amp;"|"&amp;dim_lab_sca_rates!$D288&amp;"|"&amp;dim_lab_sca_rates!$F288)</f>
        <v>C000016435|K Shell measurement sLPA-1, Scitec MAP-4, or similar)|Daily</v>
      </c>
      <c r="D288" s="72" t="s">
        <v>1054</v>
      </c>
      <c r="E288" s="72" t="s">
        <v>1054</v>
      </c>
      <c r="F288" s="72" t="s">
        <v>1052</v>
      </c>
      <c r="G288" s="76">
        <v>412.5</v>
      </c>
      <c r="H288" s="72" t="str">
        <f>dim_lab_sca_rates!$A288&amp;"|"&amp;dim_lab_sca_rates!$B288&amp;"|"&amp;dim_lab_sca_rates!$F288</f>
        <v>C000016435|LMPLBPC9|Daily</v>
      </c>
    </row>
    <row r="289" ht="15.75" customHeight="1">
      <c r="A289" s="72" t="s">
        <v>10</v>
      </c>
      <c r="B289" s="72" t="s">
        <v>1055</v>
      </c>
      <c r="C289" s="72" t="str">
        <f>TRIM(dim_lab_sca_rates!$A289&amp;"|"&amp;dim_lab_sca_rates!$D289&amp;"|"&amp;dim_lab_sca_rates!$F289)</f>
        <v>C000016435|Fungal|3 Hr</v>
      </c>
      <c r="D289" s="72" t="s">
        <v>1056</v>
      </c>
      <c r="E289" s="72" t="s">
        <v>1057</v>
      </c>
      <c r="F289" s="72" t="s">
        <v>992</v>
      </c>
      <c r="G289" s="76">
        <v>250.0</v>
      </c>
      <c r="H289" s="72" t="str">
        <f>dim_lab_sca_rates!$A289&amp;"|"&amp;dim_lab_sca_rates!$B289&amp;"|"&amp;dim_lab_sca_rates!$F289</f>
        <v>C000016435|LMPMoldC7|3 Hr</v>
      </c>
    </row>
    <row r="290" ht="15.75" customHeight="1">
      <c r="A290" s="72" t="s">
        <v>10</v>
      </c>
      <c r="B290" s="72" t="s">
        <v>1055</v>
      </c>
      <c r="C290" s="72" t="str">
        <f>TRIM(dim_lab_sca_rates!$A290&amp;"|"&amp;dim_lab_sca_rates!$D290&amp;"|"&amp;dim_lab_sca_rates!$F290)</f>
        <v>C000016435|Fungal|72 Hr</v>
      </c>
      <c r="D290" s="72" t="s">
        <v>1056</v>
      </c>
      <c r="E290" s="72" t="s">
        <v>1057</v>
      </c>
      <c r="F290" s="72" t="s">
        <v>1008</v>
      </c>
      <c r="G290" s="76">
        <v>90.0</v>
      </c>
      <c r="H290" s="72" t="str">
        <f>dim_lab_sca_rates!$A290&amp;"|"&amp;dim_lab_sca_rates!$B290&amp;"|"&amp;dim_lab_sca_rates!$F290</f>
        <v>C000016435|LMPMoldC7|72 Hr</v>
      </c>
    </row>
    <row r="291" ht="15.75" customHeight="1">
      <c r="A291" s="72" t="s">
        <v>10</v>
      </c>
      <c r="B291" s="72" t="s">
        <v>1055</v>
      </c>
      <c r="C291" s="72" t="str">
        <f>TRIM(dim_lab_sca_rates!$A291&amp;"|"&amp;dim_lab_sca_rates!$D291&amp;"|"&amp;dim_lab_sca_rates!$F291)</f>
        <v>C000016435|Fungal|24 Hr</v>
      </c>
      <c r="D291" s="72" t="s">
        <v>1056</v>
      </c>
      <c r="E291" s="72" t="s">
        <v>1057</v>
      </c>
      <c r="F291" s="72" t="s">
        <v>985</v>
      </c>
      <c r="G291" s="76">
        <v>120.0</v>
      </c>
      <c r="H291" s="72" t="str">
        <f>dim_lab_sca_rates!$A291&amp;"|"&amp;dim_lab_sca_rates!$B291&amp;"|"&amp;dim_lab_sca_rates!$F291</f>
        <v>C000016435|LMPMoldC7|24 Hr</v>
      </c>
    </row>
    <row r="292" ht="15.75" customHeight="1">
      <c r="A292" s="72" t="s">
        <v>10</v>
      </c>
      <c r="B292" s="72" t="s">
        <v>1055</v>
      </c>
      <c r="C292" s="72" t="str">
        <f>TRIM(dim_lab_sca_rates!$A292&amp;"|"&amp;dim_lab_sca_rates!$D292&amp;"|"&amp;dim_lab_sca_rates!$F292)</f>
        <v>C000016435|Fungal|12 Hr</v>
      </c>
      <c r="D292" s="72" t="s">
        <v>1056</v>
      </c>
      <c r="E292" s="72" t="s">
        <v>1057</v>
      </c>
      <c r="F292" s="72" t="s">
        <v>1007</v>
      </c>
      <c r="G292" s="76">
        <v>150.0</v>
      </c>
      <c r="H292" s="72" t="str">
        <f>dim_lab_sca_rates!$A292&amp;"|"&amp;dim_lab_sca_rates!$B292&amp;"|"&amp;dim_lab_sca_rates!$F292</f>
        <v>C000016435|LMPMoldC7|12 Hr</v>
      </c>
    </row>
    <row r="293" ht="15.75" customHeight="1">
      <c r="A293" s="72" t="s">
        <v>10</v>
      </c>
      <c r="B293" s="72" t="s">
        <v>1058</v>
      </c>
      <c r="C293" s="72" t="str">
        <f>TRIM(dim_lab_sca_rates!$A293&amp;"|"&amp;dim_lab_sca_rates!$D293&amp;"|"&amp;dim_lab_sca_rates!$F293)</f>
        <v>C000016435|PCB-Air|24 Hr</v>
      </c>
      <c r="D293" s="72" t="s">
        <v>1059</v>
      </c>
      <c r="E293" s="72" t="s">
        <v>1060</v>
      </c>
      <c r="F293" s="72" t="s">
        <v>985</v>
      </c>
      <c r="G293" s="76">
        <v>230.0</v>
      </c>
      <c r="H293" s="72" t="str">
        <f>dim_lab_sca_rates!$A293&amp;"|"&amp;dim_lab_sca_rates!$B293&amp;"|"&amp;dim_lab_sca_rates!$F293</f>
        <v>C000016435|LMPPCB42|24 Hr</v>
      </c>
    </row>
    <row r="294" ht="15.75" customHeight="1">
      <c r="A294" s="72" t="s">
        <v>10</v>
      </c>
      <c r="B294" s="72" t="s">
        <v>1058</v>
      </c>
      <c r="C294" s="72" t="str">
        <f>TRIM(dim_lab_sca_rates!$A294&amp;"|"&amp;dim_lab_sca_rates!$D294&amp;"|"&amp;dim_lab_sca_rates!$F294)</f>
        <v>C000016435|PCB-Air|12 Hr</v>
      </c>
      <c r="D294" s="72" t="s">
        <v>1059</v>
      </c>
      <c r="E294" s="72" t="s">
        <v>1060</v>
      </c>
      <c r="F294" s="72" t="s">
        <v>1007</v>
      </c>
      <c r="G294" s="76">
        <v>260.0</v>
      </c>
      <c r="H294" s="72" t="str">
        <f>dim_lab_sca_rates!$A294&amp;"|"&amp;dim_lab_sca_rates!$B294&amp;"|"&amp;dim_lab_sca_rates!$F294</f>
        <v>C000016435|LMPPCB42|12 Hr</v>
      </c>
    </row>
    <row r="295" ht="15.75" customHeight="1">
      <c r="A295" s="72" t="s">
        <v>10</v>
      </c>
      <c r="B295" s="72" t="s">
        <v>1061</v>
      </c>
      <c r="C295" s="72" t="str">
        <f>TRIM(dim_lab_sca_rates!$A295&amp;"|"&amp;dim_lab_sca_rates!$D295&amp;"|"&amp;dim_lab_sca_rates!$F295)</f>
        <v>C000016435|PCB-Bulk|12 Hr</v>
      </c>
      <c r="D295" s="72" t="s">
        <v>1062</v>
      </c>
      <c r="E295" s="72" t="s">
        <v>1063</v>
      </c>
      <c r="F295" s="72" t="s">
        <v>1007</v>
      </c>
      <c r="G295" s="76">
        <v>252.0</v>
      </c>
      <c r="H295" s="72" t="str">
        <f>dim_lab_sca_rates!$A295&amp;"|"&amp;dim_lab_sca_rates!$B295&amp;"|"&amp;dim_lab_sca_rates!$F295</f>
        <v>C000016435|LMPPCB44|12 Hr</v>
      </c>
    </row>
    <row r="296" ht="15.75" customHeight="1">
      <c r="A296" s="72" t="s">
        <v>10</v>
      </c>
      <c r="B296" s="72" t="s">
        <v>1061</v>
      </c>
      <c r="C296" s="72" t="str">
        <f>TRIM(dim_lab_sca_rates!$A296&amp;"|"&amp;dim_lab_sca_rates!$D296&amp;"|"&amp;dim_lab_sca_rates!$F296)</f>
        <v>C000016435|PCB-Bulk|24 Hr</v>
      </c>
      <c r="D296" s="72" t="s">
        <v>1062</v>
      </c>
      <c r="E296" s="72" t="s">
        <v>1063</v>
      </c>
      <c r="F296" s="72" t="s">
        <v>985</v>
      </c>
      <c r="G296" s="76">
        <v>200.0</v>
      </c>
      <c r="H296" s="72" t="str">
        <f>dim_lab_sca_rates!$A296&amp;"|"&amp;dim_lab_sca_rates!$B296&amp;"|"&amp;dim_lab_sca_rates!$F296</f>
        <v>C000016435|LMPPCB44|24 Hr</v>
      </c>
    </row>
    <row r="297" ht="15.75" customHeight="1">
      <c r="A297" s="72" t="s">
        <v>10</v>
      </c>
      <c r="B297" s="72" t="s">
        <v>1064</v>
      </c>
      <c r="C297" s="72" t="str">
        <f>TRIM(dim_lab_sca_rates!$A297&amp;"|"&amp;dim_lab_sca_rates!$D297&amp;"|"&amp;dim_lab_sca_rates!$F297)</f>
        <v>C000016435|PCB-Wipe|24 Hr</v>
      </c>
      <c r="D297" s="72" t="s">
        <v>1065</v>
      </c>
      <c r="E297" s="72" t="s">
        <v>1066</v>
      </c>
      <c r="F297" s="72" t="s">
        <v>985</v>
      </c>
      <c r="G297" s="76">
        <v>200.0</v>
      </c>
      <c r="H297" s="72" t="str">
        <f>dim_lab_sca_rates!$A297&amp;"|"&amp;dim_lab_sca_rates!$B297&amp;"|"&amp;dim_lab_sca_rates!$F297</f>
        <v>C000016435|LMPPCB46|24 Hr</v>
      </c>
    </row>
    <row r="298" ht="15.75" customHeight="1">
      <c r="A298" s="72" t="s">
        <v>10</v>
      </c>
      <c r="B298" s="72" t="s">
        <v>1064</v>
      </c>
      <c r="C298" s="72" t="str">
        <f>TRIM(dim_lab_sca_rates!$A298&amp;"|"&amp;dim_lab_sca_rates!$D298&amp;"|"&amp;dim_lab_sca_rates!$F298)</f>
        <v>C000016435|PCB-Wipe|12 Hr</v>
      </c>
      <c r="D298" s="72" t="s">
        <v>1065</v>
      </c>
      <c r="E298" s="72" t="s">
        <v>1066</v>
      </c>
      <c r="F298" s="72" t="s">
        <v>1007</v>
      </c>
      <c r="G298" s="76">
        <v>252.0</v>
      </c>
      <c r="H298" s="72" t="str">
        <f>dim_lab_sca_rates!$A298&amp;"|"&amp;dim_lab_sca_rates!$B298&amp;"|"&amp;dim_lab_sca_rates!$F298</f>
        <v>C000016435|LMPPCB46|12 Hr</v>
      </c>
    </row>
    <row r="299" ht="15.75" customHeight="1">
      <c r="A299" s="72" t="s">
        <v>10</v>
      </c>
      <c r="B299" s="72" t="s">
        <v>1067</v>
      </c>
      <c r="C299" s="72" t="str">
        <f>TRIM(dim_lab_sca_rates!$A299&amp;"|"&amp;dim_lab_sca_rates!$D299&amp;"|"&amp;dim_lab_sca_rates!$F299)</f>
        <v>C000016435|PCB-Waste|24 Hr</v>
      </c>
      <c r="D299" s="72" t="s">
        <v>1068</v>
      </c>
      <c r="E299" s="72" t="s">
        <v>1069</v>
      </c>
      <c r="F299" s="72" t="s">
        <v>985</v>
      </c>
      <c r="G299" s="76">
        <v>217.0</v>
      </c>
      <c r="H299" s="72" t="str">
        <f>dim_lab_sca_rates!$A299&amp;"|"&amp;dim_lab_sca_rates!$B299&amp;"|"&amp;dim_lab_sca_rates!$F299</f>
        <v>C000016435|LMPPCB48|24 Hr</v>
      </c>
    </row>
    <row r="300" ht="15.75" customHeight="1">
      <c r="A300" s="72" t="s">
        <v>10</v>
      </c>
      <c r="B300" s="72" t="s">
        <v>1067</v>
      </c>
      <c r="C300" s="72" t="str">
        <f>TRIM(dim_lab_sca_rates!$A300&amp;"|"&amp;dim_lab_sca_rates!$D300&amp;"|"&amp;dim_lab_sca_rates!$F300)</f>
        <v>C000016435|PCB-Waste|12 Hr</v>
      </c>
      <c r="D300" s="72" t="s">
        <v>1068</v>
      </c>
      <c r="E300" s="72" t="s">
        <v>1069</v>
      </c>
      <c r="F300" s="72" t="s">
        <v>1007</v>
      </c>
      <c r="G300" s="76">
        <v>285.0</v>
      </c>
      <c r="H300" s="72" t="str">
        <f>dim_lab_sca_rates!$A300&amp;"|"&amp;dim_lab_sca_rates!$B300&amp;"|"&amp;dim_lab_sca_rates!$F300</f>
        <v>C000016435|LMPPCB48|12 Hr</v>
      </c>
    </row>
    <row r="301" ht="15.75" customHeight="1">
      <c r="A301" s="72" t="s">
        <v>10</v>
      </c>
      <c r="B301" s="72" t="s">
        <v>1070</v>
      </c>
      <c r="C301" s="72" t="str">
        <f>TRIM(dim_lab_sca_rates!$A301&amp;"|"&amp;dim_lab_sca_rates!$D301&amp;"|"&amp;dim_lab_sca_rates!$F301)</f>
        <v>C000016435|PCB-Soil|12 Hr</v>
      </c>
      <c r="D301" s="72" t="s">
        <v>1071</v>
      </c>
      <c r="E301" s="72" t="s">
        <v>1072</v>
      </c>
      <c r="F301" s="72" t="s">
        <v>1007</v>
      </c>
      <c r="G301" s="76">
        <v>101.0</v>
      </c>
      <c r="H301" s="72" t="str">
        <f>dim_lab_sca_rates!$A301&amp;"|"&amp;dim_lab_sca_rates!$B301&amp;"|"&amp;dim_lab_sca_rates!$F301</f>
        <v>C000016435|LMPPCB50|12 Hr</v>
      </c>
    </row>
    <row r="302" ht="15.75" customHeight="1">
      <c r="A302" s="72" t="s">
        <v>10</v>
      </c>
      <c r="B302" s="72" t="s">
        <v>1070</v>
      </c>
      <c r="C302" s="72" t="str">
        <f>TRIM(dim_lab_sca_rates!$A302&amp;"|"&amp;dim_lab_sca_rates!$D302&amp;"|"&amp;dim_lab_sca_rates!$F302)</f>
        <v>C000016435|PCB-Soil|24 Hr</v>
      </c>
      <c r="D302" s="72" t="s">
        <v>1071</v>
      </c>
      <c r="E302" s="72" t="s">
        <v>1072</v>
      </c>
      <c r="F302" s="72" t="s">
        <v>985</v>
      </c>
      <c r="G302" s="76">
        <v>68.0</v>
      </c>
      <c r="H302" s="72" t="str">
        <f>dim_lab_sca_rates!$A302&amp;"|"&amp;dim_lab_sca_rates!$B302&amp;"|"&amp;dim_lab_sca_rates!$F302</f>
        <v>C000016435|LMPPCB50|24 Hr</v>
      </c>
    </row>
    <row r="303" ht="15.75" customHeight="1">
      <c r="A303" s="72" t="s">
        <v>10</v>
      </c>
      <c r="B303" s="72" t="s">
        <v>1073</v>
      </c>
      <c r="C303" s="72" t="str">
        <f>TRIM(dim_lab_sca_rates!$A303&amp;"|"&amp;dim_lab_sca_rates!$D303&amp;"|"&amp;dim_lab_sca_rates!$F303)</f>
        <v>C000016435|PCB-Soil|12 Hr</v>
      </c>
      <c r="D303" s="72" t="s">
        <v>1071</v>
      </c>
      <c r="E303" s="72" t="s">
        <v>1074</v>
      </c>
      <c r="F303" s="72" t="s">
        <v>1007</v>
      </c>
      <c r="G303" s="76">
        <v>206.0</v>
      </c>
      <c r="H303" s="72" t="str">
        <f>dim_lab_sca_rates!$A303&amp;"|"&amp;dim_lab_sca_rates!$B303&amp;"|"&amp;dim_lab_sca_rates!$F303</f>
        <v>C000016435|LMPPCB52|12 Hr</v>
      </c>
    </row>
    <row r="304" ht="15.75" customHeight="1">
      <c r="A304" s="72" t="s">
        <v>10</v>
      </c>
      <c r="B304" s="72" t="s">
        <v>1073</v>
      </c>
      <c r="C304" s="72" t="str">
        <f>TRIM(dim_lab_sca_rates!$A304&amp;"|"&amp;dim_lab_sca_rates!$D304&amp;"|"&amp;dim_lab_sca_rates!$F304)</f>
        <v>C000016435|PCB-Soil|24 Hr</v>
      </c>
      <c r="D304" s="72" t="s">
        <v>1071</v>
      </c>
      <c r="E304" s="72" t="s">
        <v>1074</v>
      </c>
      <c r="F304" s="72" t="s">
        <v>985</v>
      </c>
      <c r="G304" s="76">
        <v>189.0</v>
      </c>
      <c r="H304" s="72" t="str">
        <f>dim_lab_sca_rates!$A304&amp;"|"&amp;dim_lab_sca_rates!$B304&amp;"|"&amp;dim_lab_sca_rates!$F304</f>
        <v>C000016435|LMPPCB52|24 Hr</v>
      </c>
    </row>
    <row r="305" ht="15.75" customHeight="1">
      <c r="A305" s="72" t="s">
        <v>10</v>
      </c>
      <c r="B305" s="72" t="s">
        <v>1075</v>
      </c>
      <c r="C305" s="72" t="str">
        <f>TRIM(dim_lab_sca_rates!$A305&amp;"|"&amp;dim_lab_sca_rates!$D305&amp;"|"&amp;dim_lab_sca_rates!$F305)</f>
        <v>C000016435|PCB-Soil|48 Hr</v>
      </c>
      <c r="D305" s="72" t="s">
        <v>1071</v>
      </c>
      <c r="E305" s="72" t="s">
        <v>1076</v>
      </c>
      <c r="F305" s="72" t="s">
        <v>1006</v>
      </c>
      <c r="G305" s="76">
        <v>155.0</v>
      </c>
      <c r="H305" s="72" t="str">
        <f>dim_lab_sca_rates!$A305&amp;"|"&amp;dim_lab_sca_rates!$B305&amp;"|"&amp;dim_lab_sca_rates!$F305</f>
        <v>C000016435|LMPPCBC27|48 Hr</v>
      </c>
    </row>
    <row r="306" ht="15.75" customHeight="1">
      <c r="A306" s="72" t="s">
        <v>10</v>
      </c>
      <c r="B306" s="72" t="s">
        <v>1075</v>
      </c>
      <c r="C306" s="72" t="str">
        <f>TRIM(dim_lab_sca_rates!$A306&amp;"|"&amp;dim_lab_sca_rates!$D306&amp;"|"&amp;dim_lab_sca_rates!$F306)</f>
        <v>C000016435|PCB-Soil|5 Day</v>
      </c>
      <c r="D306" s="72" t="s">
        <v>1071</v>
      </c>
      <c r="E306" s="72" t="s">
        <v>1076</v>
      </c>
      <c r="F306" s="72" t="s">
        <v>977</v>
      </c>
      <c r="G306" s="76">
        <v>125.0</v>
      </c>
      <c r="H306" s="72" t="str">
        <f>dim_lab_sca_rates!$A306&amp;"|"&amp;dim_lab_sca_rates!$B306&amp;"|"&amp;dim_lab_sca_rates!$F306</f>
        <v>C000016435|LMPPCBC27|5 Day</v>
      </c>
    </row>
    <row r="307" ht="15.75" customHeight="1">
      <c r="A307" s="72" t="s">
        <v>10</v>
      </c>
      <c r="B307" s="72" t="s">
        <v>1077</v>
      </c>
      <c r="C307" s="72" t="str">
        <f>TRIM(dim_lab_sca_rates!$A307&amp;"|"&amp;dim_lab_sca_rates!$D307&amp;"|"&amp;dim_lab_sca_rates!$F307)</f>
        <v>C000016435|PCB-Soil|48 Hr</v>
      </c>
      <c r="D307" s="72" t="s">
        <v>1071</v>
      </c>
      <c r="E307" s="72" t="s">
        <v>1078</v>
      </c>
      <c r="F307" s="72" t="s">
        <v>1006</v>
      </c>
      <c r="G307" s="76">
        <v>54.0</v>
      </c>
      <c r="H307" s="72" t="str">
        <f>dim_lab_sca_rates!$A307&amp;"|"&amp;dim_lab_sca_rates!$B307&amp;"|"&amp;dim_lab_sca_rates!$F307</f>
        <v>C000016435|LMPPCBC28|48 Hr</v>
      </c>
    </row>
    <row r="308" ht="15.75" customHeight="1">
      <c r="A308" s="72" t="s">
        <v>10</v>
      </c>
      <c r="B308" s="72" t="s">
        <v>1077</v>
      </c>
      <c r="C308" s="72" t="str">
        <f>TRIM(dim_lab_sca_rates!$A308&amp;"|"&amp;dim_lab_sca_rates!$D308&amp;"|"&amp;dim_lab_sca_rates!$F308)</f>
        <v>C000016435|PCB-Soil|5 Day</v>
      </c>
      <c r="D308" s="72" t="s">
        <v>1071</v>
      </c>
      <c r="E308" s="72" t="s">
        <v>1078</v>
      </c>
      <c r="F308" s="72" t="s">
        <v>977</v>
      </c>
      <c r="G308" s="76">
        <v>51.5</v>
      </c>
      <c r="H308" s="72" t="str">
        <f>dim_lab_sca_rates!$A308&amp;"|"&amp;dim_lab_sca_rates!$B308&amp;"|"&amp;dim_lab_sca_rates!$F308</f>
        <v>C000016435|LMPPCBC28|5 Day</v>
      </c>
    </row>
    <row r="309" ht="15.75" customHeight="1">
      <c r="A309" s="72" t="s">
        <v>10</v>
      </c>
      <c r="B309" s="72" t="s">
        <v>1079</v>
      </c>
      <c r="C309" s="72" t="str">
        <f>TRIM(dim_lab_sca_rates!$A309&amp;"|"&amp;dim_lab_sca_rates!$D309&amp;"|"&amp;dim_lab_sca_rates!$F309)</f>
        <v>C000016435|PCB Air|48 Hr</v>
      </c>
      <c r="D309" s="72" t="s">
        <v>1080</v>
      </c>
      <c r="E309" s="72" t="s">
        <v>1081</v>
      </c>
      <c r="F309" s="72" t="s">
        <v>1006</v>
      </c>
      <c r="G309" s="76">
        <v>195.0</v>
      </c>
      <c r="H309" s="72" t="str">
        <f>dim_lab_sca_rates!$A309&amp;"|"&amp;dim_lab_sca_rates!$B309&amp;"|"&amp;dim_lab_sca_rates!$F309</f>
        <v>C000016435|LMPPCBC29|48 Hr</v>
      </c>
    </row>
    <row r="310" ht="15.75" customHeight="1">
      <c r="A310" s="72" t="s">
        <v>10</v>
      </c>
      <c r="B310" s="72" t="s">
        <v>1079</v>
      </c>
      <c r="C310" s="72" t="str">
        <f>TRIM(dim_lab_sca_rates!$A310&amp;"|"&amp;dim_lab_sca_rates!$D310&amp;"|"&amp;dim_lab_sca_rates!$F310)</f>
        <v>C000016435|PCB Air|5 Day</v>
      </c>
      <c r="D310" s="72" t="s">
        <v>1080</v>
      </c>
      <c r="E310" s="72" t="s">
        <v>1081</v>
      </c>
      <c r="F310" s="72" t="s">
        <v>977</v>
      </c>
      <c r="G310" s="76">
        <v>150.0</v>
      </c>
      <c r="H310" s="72" t="str">
        <f>dim_lab_sca_rates!$A310&amp;"|"&amp;dim_lab_sca_rates!$B310&amp;"|"&amp;dim_lab_sca_rates!$F310</f>
        <v>C000016435|LMPPCBC29|5 Day</v>
      </c>
    </row>
    <row r="311" ht="15.75" customHeight="1">
      <c r="A311" s="72" t="s">
        <v>10</v>
      </c>
      <c r="B311" s="72" t="s">
        <v>1082</v>
      </c>
      <c r="C311" s="72" t="str">
        <f>TRIM(dim_lab_sca_rates!$A311&amp;"|"&amp;dim_lab_sca_rates!$D311&amp;"|"&amp;dim_lab_sca_rates!$F311)</f>
        <v>C000016435|PCB Wipe|48 Hr</v>
      </c>
      <c r="D311" s="72" t="s">
        <v>1083</v>
      </c>
      <c r="E311" s="72" t="s">
        <v>1084</v>
      </c>
      <c r="F311" s="72" t="s">
        <v>1006</v>
      </c>
      <c r="G311" s="76">
        <v>168.0</v>
      </c>
      <c r="H311" s="72" t="str">
        <f>dim_lab_sca_rates!$A311&amp;"|"&amp;dim_lab_sca_rates!$B311&amp;"|"&amp;dim_lab_sca_rates!$F311</f>
        <v>C000016435|LMPPCBC30|48 Hr</v>
      </c>
    </row>
    <row r="312" ht="15.75" customHeight="1">
      <c r="A312" s="72" t="s">
        <v>10</v>
      </c>
      <c r="B312" s="72" t="s">
        <v>1082</v>
      </c>
      <c r="C312" s="72" t="str">
        <f>TRIM(dim_lab_sca_rates!$A312&amp;"|"&amp;dim_lab_sca_rates!$D312&amp;"|"&amp;dim_lab_sca_rates!$F312)</f>
        <v>C000016435|PCB Wipe|5 Day</v>
      </c>
      <c r="D312" s="72" t="s">
        <v>1083</v>
      </c>
      <c r="E312" s="72" t="s">
        <v>1084</v>
      </c>
      <c r="F312" s="72" t="s">
        <v>977</v>
      </c>
      <c r="G312" s="76">
        <v>125.0</v>
      </c>
      <c r="H312" s="72" t="str">
        <f>dim_lab_sca_rates!$A312&amp;"|"&amp;dim_lab_sca_rates!$B312&amp;"|"&amp;dim_lab_sca_rates!$F312</f>
        <v>C000016435|LMPPCBC30|5 Day</v>
      </c>
    </row>
    <row r="313" ht="15.75" customHeight="1">
      <c r="A313" s="72" t="s">
        <v>10</v>
      </c>
      <c r="B313" s="72" t="s">
        <v>1085</v>
      </c>
      <c r="C313" s="72" t="str">
        <f>TRIM(dim_lab_sca_rates!$A313&amp;"|"&amp;dim_lab_sca_rates!$D313&amp;"|"&amp;dim_lab_sca_rates!$F313)</f>
        <v>C000016435|PCB Bulk|48 Hr</v>
      </c>
      <c r="D313" s="72" t="s">
        <v>1086</v>
      </c>
      <c r="E313" s="72" t="s">
        <v>1087</v>
      </c>
      <c r="F313" s="72" t="s">
        <v>1006</v>
      </c>
      <c r="G313" s="76">
        <v>189.0</v>
      </c>
      <c r="H313" s="72" t="str">
        <f>dim_lab_sca_rates!$A313&amp;"|"&amp;dim_lab_sca_rates!$B313&amp;"|"&amp;dim_lab_sca_rates!$F313</f>
        <v>C000016435|LMPPCBC31|48 Hr</v>
      </c>
    </row>
    <row r="314" ht="15.75" customHeight="1">
      <c r="A314" s="72" t="s">
        <v>10</v>
      </c>
      <c r="B314" s="72" t="s">
        <v>1085</v>
      </c>
      <c r="C314" s="72" t="str">
        <f>TRIM(dim_lab_sca_rates!$A314&amp;"|"&amp;dim_lab_sca_rates!$D314&amp;"|"&amp;dim_lab_sca_rates!$F314)</f>
        <v>C000016435|PCB Bulk|5 Day</v>
      </c>
      <c r="D314" s="72" t="s">
        <v>1086</v>
      </c>
      <c r="E314" s="72" t="s">
        <v>1087</v>
      </c>
      <c r="F314" s="72" t="s">
        <v>977</v>
      </c>
      <c r="G314" s="76">
        <v>154.0</v>
      </c>
      <c r="H314" s="72" t="str">
        <f>dim_lab_sca_rates!$A314&amp;"|"&amp;dim_lab_sca_rates!$B314&amp;"|"&amp;dim_lab_sca_rates!$F314</f>
        <v>C000016435|LMPPCBC31|5 Day</v>
      </c>
    </row>
    <row r="315" ht="15.75" customHeight="1">
      <c r="A315" s="72" t="s">
        <v>10</v>
      </c>
      <c r="B315" s="72" t="s">
        <v>1088</v>
      </c>
      <c r="C315" s="72" t="str">
        <f>TRIM(dim_lab_sca_rates!$A315&amp;"|"&amp;dim_lab_sca_rates!$D315&amp;"|"&amp;dim_lab_sca_rates!$F315)</f>
        <v>C000016435|PCB Waste / Wash Water|48 Hr</v>
      </c>
      <c r="D315" s="72" t="s">
        <v>1089</v>
      </c>
      <c r="E315" s="72" t="s">
        <v>1090</v>
      </c>
      <c r="F315" s="72" t="s">
        <v>1006</v>
      </c>
      <c r="G315" s="76">
        <v>198.0</v>
      </c>
      <c r="H315" s="72" t="str">
        <f>dim_lab_sca_rates!$A315&amp;"|"&amp;dim_lab_sca_rates!$B315&amp;"|"&amp;dim_lab_sca_rates!$F315</f>
        <v>C000016435|LMPPCBC32|48 Hr</v>
      </c>
    </row>
    <row r="316" ht="15.75" customHeight="1">
      <c r="A316" s="72" t="s">
        <v>10</v>
      </c>
      <c r="B316" s="72" t="s">
        <v>1088</v>
      </c>
      <c r="C316" s="72" t="str">
        <f>TRIM(dim_lab_sca_rates!$A316&amp;"|"&amp;dim_lab_sca_rates!$D316&amp;"|"&amp;dim_lab_sca_rates!$F316)</f>
        <v>C000016435|PCB Waste / Wash Water|5 Day</v>
      </c>
      <c r="D316" s="72" t="s">
        <v>1089</v>
      </c>
      <c r="E316" s="72" t="s">
        <v>1090</v>
      </c>
      <c r="F316" s="72" t="s">
        <v>977</v>
      </c>
      <c r="G316" s="76">
        <v>140.0</v>
      </c>
      <c r="H316" s="72" t="str">
        <f>dim_lab_sca_rates!$A316&amp;"|"&amp;dim_lab_sca_rates!$B316&amp;"|"&amp;dim_lab_sca_rates!$F316</f>
        <v>C000016435|LMPPCBC32|5 Day</v>
      </c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0.88"/>
    <col customWidth="1" min="5" max="25" width="8.63"/>
  </cols>
  <sheetData>
    <row r="1">
      <c r="A1" s="72" t="s">
        <v>1091</v>
      </c>
      <c r="B1" s="72" t="s">
        <v>1092</v>
      </c>
      <c r="C1" s="72" t="s">
        <v>1093</v>
      </c>
      <c r="D1" s="72" t="s">
        <v>1094</v>
      </c>
      <c r="E1" s="72" t="s">
        <v>743</v>
      </c>
    </row>
    <row r="2">
      <c r="A2" s="72" t="str">
        <f>dim_lab_vendor_rates!$B2 &amp; "|" &amp; dim_lab_vendor_rates!$C2</f>
        <v>ALLAB|PLM</v>
      </c>
      <c r="B2" s="72" t="s">
        <v>838</v>
      </c>
      <c r="C2" s="72" t="s">
        <v>982</v>
      </c>
      <c r="D2" s="72" t="s">
        <v>985</v>
      </c>
      <c r="E2" s="76">
        <v>5.0</v>
      </c>
    </row>
    <row r="3">
      <c r="A3" s="72" t="str">
        <f>dim_lab_vendor_rates!$B3 &amp; "|" &amp; dim_lab_vendor_rates!$C3</f>
        <v>ALLAB|NOB-PLM</v>
      </c>
      <c r="B3" s="72" t="s">
        <v>838</v>
      </c>
      <c r="C3" s="72" t="s">
        <v>994</v>
      </c>
      <c r="D3" s="72" t="s">
        <v>985</v>
      </c>
      <c r="E3" s="76">
        <v>9.5</v>
      </c>
    </row>
    <row r="4">
      <c r="A4" s="72" t="str">
        <f>dim_lab_vendor_rates!$B4 &amp; "|" &amp; dim_lab_vendor_rates!$C4</f>
        <v>ALLAB|NOB-TEM</v>
      </c>
      <c r="B4" s="72" t="s">
        <v>838</v>
      </c>
      <c r="C4" s="72" t="s">
        <v>997</v>
      </c>
      <c r="D4" s="72" t="s">
        <v>985</v>
      </c>
      <c r="E4" s="76">
        <v>20.0</v>
      </c>
    </row>
    <row r="5">
      <c r="A5" s="72" t="str">
        <f>dim_lab_vendor_rates!$B5 &amp; "|" &amp; dim_lab_vendor_rates!$C5</f>
        <v>ALLAB|DAF</v>
      </c>
      <c r="B5" s="72" t="s">
        <v>838</v>
      </c>
      <c r="C5" s="72" t="s">
        <v>844</v>
      </c>
      <c r="D5" s="72" t="s">
        <v>984</v>
      </c>
      <c r="E5" s="76">
        <v>5.0</v>
      </c>
    </row>
    <row r="6">
      <c r="A6" s="72" t="str">
        <f>dim_lab_vendor_rates!$B6 &amp; "|" &amp; dim_lab_vendor_rates!$C6</f>
        <v>ALLAB|FINALS</v>
      </c>
      <c r="B6" s="72" t="s">
        <v>838</v>
      </c>
      <c r="C6" s="72" t="s">
        <v>837</v>
      </c>
      <c r="D6" s="72" t="s">
        <v>984</v>
      </c>
      <c r="E6" s="76">
        <v>5.0</v>
      </c>
    </row>
    <row r="7">
      <c r="A7" s="72" t="str">
        <f>dim_lab_vendor_rates!$B7 &amp; "|" &amp; dim_lab_vendor_rates!$C7</f>
        <v>ALLAB|DURINGS</v>
      </c>
      <c r="B7" s="72" t="s">
        <v>838</v>
      </c>
      <c r="C7" s="72" t="s">
        <v>840</v>
      </c>
      <c r="D7" s="72" t="s">
        <v>985</v>
      </c>
      <c r="E7" s="76">
        <v>5.0</v>
      </c>
    </row>
    <row r="8">
      <c r="A8" s="72" t="str">
        <f>dim_lab_vendor_rates!$B8 &amp; "|" &amp; dim_lab_vendor_rates!$C8</f>
        <v>ALLAB|TEM</v>
      </c>
      <c r="B8" s="72" t="s">
        <v>838</v>
      </c>
      <c r="C8" s="72" t="s">
        <v>830</v>
      </c>
      <c r="D8" s="72" t="s">
        <v>992</v>
      </c>
      <c r="E8" s="76">
        <v>20.0</v>
      </c>
    </row>
    <row r="9">
      <c r="A9" s="72" t="str">
        <f>dim_lab_vendor_rates!$B9 &amp; "|" &amp; dim_lab_vendor_rates!$C9</f>
        <v>ALLAB|BACKGROUNDS</v>
      </c>
      <c r="B9" s="72" t="s">
        <v>838</v>
      </c>
      <c r="C9" s="72" t="s">
        <v>1095</v>
      </c>
      <c r="D9" s="72" t="s">
        <v>985</v>
      </c>
      <c r="E9" s="76">
        <v>5.0</v>
      </c>
    </row>
    <row r="10">
      <c r="A10" s="72" t="str">
        <f>dim_lab_vendor_rates!$B10 &amp; "|" &amp; dim_lab_vendor_rates!$C10</f>
        <v>ALLAB|PRE</v>
      </c>
      <c r="B10" s="72" t="s">
        <v>838</v>
      </c>
      <c r="C10" s="72" t="s">
        <v>1096</v>
      </c>
      <c r="D10" s="72" t="s">
        <v>985</v>
      </c>
      <c r="E10" s="76">
        <v>5.0</v>
      </c>
    </row>
    <row r="11">
      <c r="A11" s="72" t="str">
        <f>dim_lab_vendor_rates!$B11 &amp; "|" &amp; dim_lab_vendor_rates!$C11</f>
        <v>ALLAB|SLIDE PREP</v>
      </c>
      <c r="B11" s="72" t="s">
        <v>838</v>
      </c>
      <c r="C11" s="72" t="s">
        <v>1000</v>
      </c>
      <c r="D11" s="72" t="s">
        <v>1002</v>
      </c>
      <c r="E11" s="76">
        <v>5.0</v>
      </c>
    </row>
    <row r="12">
      <c r="A12" s="72" t="str">
        <f>dim_lab_vendor_rates!$B12 &amp; "|" &amp; dim_lab_vendor_rates!$C12</f>
        <v>ALLAB|VERMICULITE</v>
      </c>
      <c r="B12" s="72" t="s">
        <v>838</v>
      </c>
      <c r="C12" s="72" t="s">
        <v>1097</v>
      </c>
      <c r="D12" s="72" t="s">
        <v>975</v>
      </c>
      <c r="E12" s="76">
        <v>200.0</v>
      </c>
    </row>
    <row r="13">
      <c r="A13" s="72" t="str">
        <f>dim_lab_vendor_rates!$B13 &amp; "|" &amp; dim_lab_vendor_rates!$C13</f>
        <v>ATC|PLM</v>
      </c>
      <c r="B13" s="72" t="s">
        <v>1098</v>
      </c>
      <c r="C13" s="72" t="s">
        <v>982</v>
      </c>
      <c r="D13" s="72" t="s">
        <v>985</v>
      </c>
      <c r="E13" s="76">
        <v>0.0</v>
      </c>
    </row>
    <row r="14">
      <c r="A14" s="72" t="str">
        <f>dim_lab_vendor_rates!$B14 &amp; "|" &amp; dim_lab_vendor_rates!$C14</f>
        <v>ATC|NOB-PLM</v>
      </c>
      <c r="B14" s="72" t="s">
        <v>1098</v>
      </c>
      <c r="C14" s="72" t="s">
        <v>994</v>
      </c>
      <c r="D14" s="72" t="s">
        <v>985</v>
      </c>
      <c r="E14" s="76">
        <v>0.0</v>
      </c>
    </row>
    <row r="15">
      <c r="A15" s="72" t="str">
        <f>dim_lab_vendor_rates!$B15 &amp; "|" &amp; dim_lab_vendor_rates!$C15</f>
        <v>ATC|NOB-TEM</v>
      </c>
      <c r="B15" s="72" t="s">
        <v>1098</v>
      </c>
      <c r="C15" s="72" t="s">
        <v>997</v>
      </c>
      <c r="D15" s="72" t="s">
        <v>985</v>
      </c>
      <c r="E15" s="76">
        <v>0.0</v>
      </c>
    </row>
    <row r="16">
      <c r="A16" s="72" t="str">
        <f>dim_lab_vendor_rates!$B16 &amp; "|" &amp; dim_lab_vendor_rates!$C16</f>
        <v>ATC|DAF</v>
      </c>
      <c r="B16" s="72" t="s">
        <v>1098</v>
      </c>
      <c r="C16" s="72" t="s">
        <v>844</v>
      </c>
      <c r="D16" s="72" t="s">
        <v>984</v>
      </c>
      <c r="E16" s="76">
        <v>6.0</v>
      </c>
    </row>
    <row r="17">
      <c r="A17" s="72" t="str">
        <f>dim_lab_vendor_rates!$B17 &amp; "|" &amp; dim_lab_vendor_rates!$C17</f>
        <v>ATC|BACKGROUNDS</v>
      </c>
      <c r="B17" s="72" t="s">
        <v>1098</v>
      </c>
      <c r="C17" s="72" t="s">
        <v>1095</v>
      </c>
      <c r="D17" s="72" t="s">
        <v>985</v>
      </c>
      <c r="E17" s="76">
        <v>6.0</v>
      </c>
    </row>
    <row r="18">
      <c r="A18" s="72" t="str">
        <f>dim_lab_vendor_rates!$B18 &amp; "|" &amp; dim_lab_vendor_rates!$C18</f>
        <v>ATC|PRE</v>
      </c>
      <c r="B18" s="72" t="s">
        <v>1098</v>
      </c>
      <c r="C18" s="72" t="s">
        <v>1096</v>
      </c>
      <c r="D18" s="72" t="s">
        <v>985</v>
      </c>
      <c r="E18" s="76">
        <v>6.0</v>
      </c>
    </row>
    <row r="19">
      <c r="A19" s="72" t="str">
        <f>dim_lab_vendor_rates!$B19 &amp; "|" &amp; dim_lab_vendor_rates!$C19</f>
        <v>ATC|DURINGS</v>
      </c>
      <c r="B19" s="72" t="s">
        <v>1098</v>
      </c>
      <c r="C19" s="72" t="s">
        <v>840</v>
      </c>
      <c r="D19" s="72" t="s">
        <v>985</v>
      </c>
      <c r="E19" s="76">
        <v>6.0</v>
      </c>
    </row>
    <row r="20">
      <c r="A20" s="72" t="str">
        <f>dim_lab_vendor_rates!$B20 &amp; "|" &amp; dim_lab_vendor_rates!$C20</f>
        <v>ATC|TEM</v>
      </c>
      <c r="B20" s="72" t="s">
        <v>1098</v>
      </c>
      <c r="C20" s="72" t="s">
        <v>830</v>
      </c>
      <c r="D20" s="72" t="s">
        <v>992</v>
      </c>
      <c r="E20" s="76">
        <v>40.0</v>
      </c>
    </row>
    <row r="21" ht="15.75" customHeight="1">
      <c r="A21" s="72" t="str">
        <f>dim_lab_vendor_rates!$B21 &amp; "|" &amp; dim_lab_vendor_rates!$C21</f>
        <v>ATC|FINALS</v>
      </c>
      <c r="B21" s="72" t="s">
        <v>1098</v>
      </c>
      <c r="C21" s="72" t="s">
        <v>837</v>
      </c>
      <c r="D21" s="72" t="s">
        <v>984</v>
      </c>
      <c r="E21" s="76">
        <v>6.0</v>
      </c>
    </row>
    <row r="22" ht="15.75" customHeight="1">
      <c r="A22" s="72" t="str">
        <f>dim_lab_vendor_rates!$B22 &amp; "|" &amp; dim_lab_vendor_rates!$C22</f>
        <v>ATC|PCM-24HRS</v>
      </c>
      <c r="B22" s="72" t="s">
        <v>1098</v>
      </c>
      <c r="C22" s="72" t="s">
        <v>1099</v>
      </c>
      <c r="D22" s="72" t="s">
        <v>985</v>
      </c>
      <c r="E22" s="76">
        <v>6.0</v>
      </c>
    </row>
    <row r="23" ht="15.75" customHeight="1">
      <c r="A23" s="72" t="str">
        <f>dim_lab_vendor_rates!$B23 &amp; "|" &amp; dim_lab_vendor_rates!$C23</f>
        <v>ATC|PCM-6HRS</v>
      </c>
      <c r="B23" s="72" t="s">
        <v>1098</v>
      </c>
      <c r="C23" s="72" t="s">
        <v>1100</v>
      </c>
      <c r="D23" s="72" t="s">
        <v>986</v>
      </c>
      <c r="E23" s="76">
        <v>6.0</v>
      </c>
    </row>
    <row r="24" ht="15.75" customHeight="1">
      <c r="A24" s="72" t="str">
        <f>dim_lab_vendor_rates!$B24 &amp; "|" &amp; dim_lab_vendor_rates!$C24</f>
        <v>ATC|PCM-1HR</v>
      </c>
      <c r="B24" s="72" t="s">
        <v>1098</v>
      </c>
      <c r="C24" s="72" t="s">
        <v>1101</v>
      </c>
      <c r="D24" s="72" t="s">
        <v>984</v>
      </c>
      <c r="E24" s="76">
        <v>6.0</v>
      </c>
    </row>
    <row r="25" ht="15.75" customHeight="1">
      <c r="A25" s="72" t="str">
        <f>dim_lab_vendor_rates!$B25 &amp; "|" &amp; dim_lab_vendor_rates!$C25</f>
        <v>ATC|LWS</v>
      </c>
      <c r="B25" s="72" t="s">
        <v>1098</v>
      </c>
      <c r="C25" s="72" t="s">
        <v>1010</v>
      </c>
      <c r="D25" s="72" t="s">
        <v>985</v>
      </c>
      <c r="E25" s="76">
        <v>0.0</v>
      </c>
    </row>
    <row r="26" ht="15.75" customHeight="1">
      <c r="A26" s="72" t="str">
        <f>dim_lab_vendor_rates!$B26 &amp; "|" &amp; dim_lab_vendor_rates!$C26</f>
        <v>EMSL|PCB</v>
      </c>
      <c r="B26" s="72" t="s">
        <v>1102</v>
      </c>
      <c r="C26" s="72" t="s">
        <v>952</v>
      </c>
      <c r="D26" s="72" t="s">
        <v>985</v>
      </c>
      <c r="E26" s="76">
        <v>474.0</v>
      </c>
    </row>
    <row r="27" ht="15.75" customHeight="1">
      <c r="A27" s="72" t="str">
        <f>dim_lab_vendor_rates!$B27 &amp; "|" &amp; dim_lab_vendor_rates!$C27</f>
        <v>EMSL|WMF</v>
      </c>
      <c r="B27" s="72" t="s">
        <v>1102</v>
      </c>
      <c r="C27" s="72" t="s">
        <v>1103</v>
      </c>
      <c r="D27" s="72" t="s">
        <v>1002</v>
      </c>
      <c r="E27" s="76">
        <v>12.5</v>
      </c>
    </row>
    <row r="28" ht="15.75" customHeight="1">
      <c r="A28" s="72" t="str">
        <f>dim_lab_vendor_rates!$B28 &amp; "|" &amp; dim_lab_vendor_rates!$C28</f>
        <v>EMSL|WCF</v>
      </c>
      <c r="B28" s="72" t="s">
        <v>1102</v>
      </c>
      <c r="C28" s="72" t="s">
        <v>1104</v>
      </c>
      <c r="D28" s="72" t="s">
        <v>1002</v>
      </c>
      <c r="E28" s="76">
        <v>47.5</v>
      </c>
    </row>
    <row r="29" ht="15.75" customHeight="1">
      <c r="A29" s="72" t="str">
        <f>dim_lab_vendor_rates!$B29 &amp; "|" &amp; dim_lab_vendor_rates!$C29</f>
        <v>LTS|DAF</v>
      </c>
      <c r="B29" s="72" t="s">
        <v>800</v>
      </c>
      <c r="C29" s="72" t="s">
        <v>844</v>
      </c>
      <c r="D29" s="72" t="s">
        <v>984</v>
      </c>
      <c r="E29" s="76">
        <v>6.0</v>
      </c>
    </row>
    <row r="30" ht="15.75" customHeight="1">
      <c r="A30" s="72" t="str">
        <f>dim_lab_vendor_rates!$B30 &amp; "|" &amp; dim_lab_vendor_rates!$C30</f>
        <v>LTS|BACKGROUNDS</v>
      </c>
      <c r="B30" s="72" t="s">
        <v>800</v>
      </c>
      <c r="C30" s="72" t="s">
        <v>1095</v>
      </c>
      <c r="D30" s="72" t="s">
        <v>985</v>
      </c>
      <c r="E30" s="76">
        <v>6.0</v>
      </c>
    </row>
    <row r="31" ht="15.75" customHeight="1">
      <c r="A31" s="72" t="str">
        <f>dim_lab_vendor_rates!$B31 &amp; "|" &amp; dim_lab_vendor_rates!$C31</f>
        <v>LTS|PRE</v>
      </c>
      <c r="B31" s="72" t="s">
        <v>800</v>
      </c>
      <c r="C31" s="72" t="s">
        <v>1096</v>
      </c>
      <c r="D31" s="72" t="s">
        <v>985</v>
      </c>
      <c r="E31" s="76">
        <v>6.0</v>
      </c>
    </row>
    <row r="32" ht="15.75" customHeight="1">
      <c r="A32" s="72" t="str">
        <f>dim_lab_vendor_rates!$B32 &amp; "|" &amp; dim_lab_vendor_rates!$C32</f>
        <v>LTS|DURINGS</v>
      </c>
      <c r="B32" s="72" t="s">
        <v>800</v>
      </c>
      <c r="C32" s="72" t="s">
        <v>840</v>
      </c>
      <c r="D32" s="72" t="s">
        <v>985</v>
      </c>
      <c r="E32" s="76">
        <v>6.0</v>
      </c>
    </row>
    <row r="33" ht="15.75" customHeight="1">
      <c r="A33" s="72" t="str">
        <f>dim_lab_vendor_rates!$B33 &amp; "|" &amp; dim_lab_vendor_rates!$C33</f>
        <v>LTS|TEM</v>
      </c>
      <c r="B33" s="72" t="s">
        <v>800</v>
      </c>
      <c r="C33" s="72" t="s">
        <v>830</v>
      </c>
      <c r="D33" s="72" t="s">
        <v>992</v>
      </c>
      <c r="E33" s="76">
        <v>40.0</v>
      </c>
    </row>
    <row r="34" ht="15.75" customHeight="1">
      <c r="A34" s="72" t="str">
        <f>dim_lab_vendor_rates!$B34 &amp; "|" &amp; dim_lab_vendor_rates!$C34</f>
        <v>LTS|FINALS</v>
      </c>
      <c r="B34" s="72" t="s">
        <v>800</v>
      </c>
      <c r="C34" s="72" t="s">
        <v>837</v>
      </c>
      <c r="D34" s="72" t="s">
        <v>984</v>
      </c>
      <c r="E34" s="76">
        <v>6.0</v>
      </c>
    </row>
    <row r="35" ht="15.75" customHeight="1">
      <c r="A35" s="72" t="str">
        <f>dim_lab_vendor_rates!$B35 &amp; "|" &amp; dim_lab_vendor_rates!$C35</f>
        <v>LTS|PLM</v>
      </c>
      <c r="B35" s="72" t="s">
        <v>800</v>
      </c>
      <c r="C35" s="72" t="s">
        <v>982</v>
      </c>
      <c r="D35" s="72" t="s">
        <v>985</v>
      </c>
      <c r="E35" s="76">
        <v>6.0</v>
      </c>
    </row>
    <row r="36" ht="15.75" customHeight="1">
      <c r="A36" s="72" t="str">
        <f>dim_lab_vendor_rates!$B36 &amp; "|" &amp; dim_lab_vendor_rates!$C36</f>
        <v>LTS|NOB-PLM</v>
      </c>
      <c r="B36" s="72" t="s">
        <v>800</v>
      </c>
      <c r="C36" s="72" t="s">
        <v>994</v>
      </c>
      <c r="D36" s="72" t="s">
        <v>985</v>
      </c>
      <c r="E36" s="76">
        <v>16.0</v>
      </c>
    </row>
    <row r="37" ht="15.75" customHeight="1">
      <c r="A37" s="72" t="str">
        <f>dim_lab_vendor_rates!$B37 &amp; "|" &amp; dim_lab_vendor_rates!$C37</f>
        <v>LTS|NOB-TEM</v>
      </c>
      <c r="B37" s="72" t="s">
        <v>800</v>
      </c>
      <c r="C37" s="72" t="s">
        <v>997</v>
      </c>
      <c r="D37" s="72" t="s">
        <v>985</v>
      </c>
      <c r="E37" s="76">
        <v>26.0</v>
      </c>
    </row>
    <row r="38" ht="15.75" customHeight="1">
      <c r="A38" s="72" t="str">
        <f>dim_lab_vendor_rates!$B38 &amp; "|" &amp; dim_lab_vendor_rates!$C38</f>
        <v>LTS|PCM-24HRS</v>
      </c>
      <c r="B38" s="72" t="s">
        <v>800</v>
      </c>
      <c r="C38" s="72" t="s">
        <v>1099</v>
      </c>
      <c r="D38" s="72" t="s">
        <v>985</v>
      </c>
      <c r="E38" s="76">
        <v>6.0</v>
      </c>
    </row>
    <row r="39" ht="15.75" customHeight="1">
      <c r="A39" s="72" t="str">
        <f>dim_lab_vendor_rates!$B39 &amp; "|" &amp; dim_lab_vendor_rates!$C39</f>
        <v>LTS|PCM-6HRS</v>
      </c>
      <c r="B39" s="72" t="s">
        <v>800</v>
      </c>
      <c r="C39" s="72" t="s">
        <v>1100</v>
      </c>
      <c r="D39" s="72" t="s">
        <v>986</v>
      </c>
      <c r="E39" s="76">
        <v>6.0</v>
      </c>
    </row>
    <row r="40" ht="15.75" customHeight="1">
      <c r="A40" s="72" t="str">
        <f>dim_lab_vendor_rates!$B40 &amp; "|" &amp; dim_lab_vendor_rates!$C40</f>
        <v>LTS|PCM-1HR</v>
      </c>
      <c r="B40" s="72" t="s">
        <v>800</v>
      </c>
      <c r="C40" s="72" t="s">
        <v>1101</v>
      </c>
      <c r="D40" s="72" t="s">
        <v>984</v>
      </c>
      <c r="E40" s="76">
        <v>6.0</v>
      </c>
    </row>
    <row r="41" ht="15.75" customHeight="1">
      <c r="A41" s="72" t="str">
        <f>dim_lab_vendor_rates!$B41 &amp; "|" &amp; dim_lab_vendor_rates!$C41</f>
        <v>LTS|LWS</v>
      </c>
      <c r="B41" s="72" t="s">
        <v>800</v>
      </c>
      <c r="C41" s="72" t="s">
        <v>1010</v>
      </c>
      <c r="D41" s="72" t="s">
        <v>985</v>
      </c>
      <c r="E41" s="76">
        <v>7.2</v>
      </c>
    </row>
    <row r="42" ht="15.75" customHeight="1">
      <c r="A42" s="72" t="str">
        <f>dim_lab_vendor_rates!$B42 &amp; "|" &amp; dim_lab_vendor_rates!$C42</f>
        <v>LTS|SLIDE PREP</v>
      </c>
      <c r="B42" s="72" t="s">
        <v>800</v>
      </c>
      <c r="C42" s="72" t="s">
        <v>1000</v>
      </c>
      <c r="D42" s="72" t="s">
        <v>1002</v>
      </c>
      <c r="E42" s="76">
        <v>6.5</v>
      </c>
    </row>
    <row r="43" ht="15.75" customHeight="1">
      <c r="A43" s="72" t="str">
        <f>dim_lab_vendor_rates!$B43 &amp; "|" &amp; dim_lab_vendor_rates!$C43</f>
        <v>LTS|LWS-NYCHA</v>
      </c>
      <c r="B43" s="72" t="s">
        <v>800</v>
      </c>
      <c r="C43" s="72" t="s">
        <v>1105</v>
      </c>
      <c r="D43" s="72" t="s">
        <v>984</v>
      </c>
      <c r="E43" s="76">
        <v>9.5</v>
      </c>
    </row>
    <row r="44" ht="15.75" customHeight="1">
      <c r="A44" s="72" t="str">
        <f>dim_lab_vendor_rates!$B44 &amp; "|" &amp; dim_lab_vendor_rates!$C44</f>
        <v>KAM|PLM</v>
      </c>
      <c r="B44" s="72" t="s">
        <v>1106</v>
      </c>
      <c r="C44" s="72" t="s">
        <v>982</v>
      </c>
      <c r="D44" s="72" t="s">
        <v>985</v>
      </c>
      <c r="E44" s="76">
        <v>8.0</v>
      </c>
    </row>
    <row r="45" ht="15.75" customHeight="1">
      <c r="A45" s="72" t="str">
        <f>dim_lab_vendor_rates!$B45 &amp; "|" &amp; dim_lab_vendor_rates!$C45</f>
        <v>KAM|NOB-PLM</v>
      </c>
      <c r="B45" s="72" t="s">
        <v>1106</v>
      </c>
      <c r="C45" s="72" t="s">
        <v>994</v>
      </c>
      <c r="D45" s="72" t="s">
        <v>985</v>
      </c>
      <c r="E45" s="76">
        <v>10.0</v>
      </c>
    </row>
    <row r="46" ht="15.75" customHeight="1">
      <c r="A46" s="72" t="str">
        <f>dim_lab_vendor_rates!$B46 &amp; "|" &amp; dim_lab_vendor_rates!$C46</f>
        <v>KAM|NOB-TEM</v>
      </c>
      <c r="B46" s="72" t="s">
        <v>1106</v>
      </c>
      <c r="C46" s="72" t="s">
        <v>997</v>
      </c>
      <c r="D46" s="72" t="s">
        <v>985</v>
      </c>
      <c r="E46" s="76">
        <v>25.0</v>
      </c>
    </row>
    <row r="47" ht="15.75" customHeight="1">
      <c r="A47" s="72" t="str">
        <f>dim_lab_vendor_rates!$B47 &amp; "|" &amp; dim_lab_vendor_rates!$C47</f>
        <v>KAM|PCB</v>
      </c>
      <c r="B47" s="72" t="s">
        <v>1106</v>
      </c>
      <c r="C47" s="72" t="s">
        <v>952</v>
      </c>
      <c r="D47" s="72" t="s">
        <v>985</v>
      </c>
      <c r="E47" s="76">
        <v>80.0</v>
      </c>
    </row>
    <row r="48" ht="15.75" customHeight="1">
      <c r="A48" s="72" t="str">
        <f>dim_lab_vendor_rates!$B48 &amp; "|" &amp; dim_lab_vendor_rates!$C48</f>
        <v>LTS|AMPH-2 DAY</v>
      </c>
      <c r="B48" s="72" t="s">
        <v>800</v>
      </c>
      <c r="C48" s="72" t="s">
        <v>1107</v>
      </c>
      <c r="D48" s="72" t="s">
        <v>976</v>
      </c>
      <c r="E48" s="76">
        <v>630.0</v>
      </c>
    </row>
    <row r="49" ht="15.75" customHeight="1">
      <c r="A49" s="72" t="str">
        <f>dim_lab_vendor_rates!$B49 &amp; "|" &amp; dim_lab_vendor_rates!$C49</f>
        <v>LTS|CHRYS-2 DAY</v>
      </c>
      <c r="B49" s="72" t="s">
        <v>800</v>
      </c>
      <c r="C49" s="72" t="s">
        <v>1108</v>
      </c>
      <c r="D49" s="72" t="s">
        <v>976</v>
      </c>
      <c r="E49" s="76">
        <v>230.0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6.38"/>
    <col customWidth="1" min="3" max="3" width="17.38"/>
    <col customWidth="1" min="4" max="4" width="8.63"/>
    <col customWidth="1" min="5" max="5" width="19.75"/>
    <col customWidth="1" min="6" max="6" width="14.63"/>
    <col customWidth="1" min="7" max="7" width="26.75"/>
    <col customWidth="1" min="8" max="26" width="8.63"/>
  </cols>
  <sheetData>
    <row r="1">
      <c r="A1" s="72" t="s">
        <v>1109</v>
      </c>
      <c r="B1" s="103" t="s">
        <v>1110</v>
      </c>
      <c r="C1" s="103" t="s">
        <v>1111</v>
      </c>
      <c r="D1" s="103" t="s">
        <v>1094</v>
      </c>
      <c r="E1" s="87" t="s">
        <v>1112</v>
      </c>
      <c r="F1" s="87" t="s">
        <v>102</v>
      </c>
      <c r="G1" s="87" t="s">
        <v>1113</v>
      </c>
    </row>
    <row r="2">
      <c r="A2" s="72" t="str">
        <f>dim_lab_sca_map!$B2&amp;"|"&amp;dim_lab_sca_map!$D2</f>
        <v>PLM|24 Hr</v>
      </c>
      <c r="B2" s="72" t="s">
        <v>982</v>
      </c>
      <c r="C2" s="72" t="s">
        <v>982</v>
      </c>
      <c r="D2" s="72" t="s">
        <v>985</v>
      </c>
      <c r="E2" s="76">
        <f t="array" ref="E2">XLOOKUP(TRIM(dim_lab_sca_map!$G2), TRIM(dim_lab_sca_rates!$C$2:$C$316), dim_lab_sca_rates!$G$2:$G$316, 0, 0)</f>
        <v>22</v>
      </c>
      <c r="F2" s="72" t="s">
        <v>9</v>
      </c>
      <c r="G2" s="72" t="str">
        <f>dim_lab_sca_map!$F2&amp;"|"&amp;dim_lab_sca_map!$A2</f>
        <v>C000015128|PLM|24 Hr</v>
      </c>
    </row>
    <row r="3">
      <c r="A3" s="72" t="str">
        <f>dim_lab_sca_map!$B3&amp;"|"&amp;dim_lab_sca_map!$D3</f>
        <v>NOB-PLM|24 Hr</v>
      </c>
      <c r="B3" s="72" t="s">
        <v>994</v>
      </c>
      <c r="C3" s="72" t="s">
        <v>994</v>
      </c>
      <c r="D3" s="72" t="s">
        <v>985</v>
      </c>
      <c r="E3" s="76">
        <f t="array" ref="E3">XLOOKUP(TRIM(dim_lab_sca_map!$G3), TRIM(dim_lab_sca_rates!$C$2:$C$316), dim_lab_sca_rates!$G$2:$G$316, 0, 0)</f>
        <v>35</v>
      </c>
      <c r="F3" s="72" t="s">
        <v>9</v>
      </c>
      <c r="G3" s="72" t="str">
        <f>dim_lab_sca_map!$F3&amp;"|"&amp;dim_lab_sca_map!$A3</f>
        <v>C000015128|NOB-PLM|24 Hr</v>
      </c>
    </row>
    <row r="4">
      <c r="A4" s="72" t="str">
        <f>dim_lab_sca_map!$B4&amp;"|"&amp;dim_lab_sca_map!$D4</f>
        <v>NOB-TEM|24 Hr</v>
      </c>
      <c r="B4" s="72" t="s">
        <v>997</v>
      </c>
      <c r="C4" s="72" t="s">
        <v>997</v>
      </c>
      <c r="D4" s="72" t="s">
        <v>985</v>
      </c>
      <c r="E4" s="76">
        <f t="array" ref="E4">XLOOKUP(TRIM(dim_lab_sca_map!$G4), TRIM(dim_lab_sca_rates!$C$2:$C$316), dim_lab_sca_rates!$G$2:$G$316, 0, 0)</f>
        <v>70</v>
      </c>
      <c r="F4" s="72" t="s">
        <v>9</v>
      </c>
      <c r="G4" s="72" t="str">
        <f>dim_lab_sca_map!$F4&amp;"|"&amp;dim_lab_sca_map!$A4</f>
        <v>C000015128|NOB-TEM|24 Hr</v>
      </c>
    </row>
    <row r="5">
      <c r="A5" s="72" t="str">
        <f>dim_lab_sca_map!$B5&amp;"|"&amp;dim_lab_sca_map!$D5</f>
        <v>PCM|1 Hr</v>
      </c>
      <c r="B5" s="72" t="s">
        <v>988</v>
      </c>
      <c r="C5" s="72" t="s">
        <v>844</v>
      </c>
      <c r="D5" s="72" t="s">
        <v>984</v>
      </c>
      <c r="E5" s="76">
        <f t="array" ref="E5">XLOOKUP(TRIM(dim_lab_sca_map!$G5), TRIM(dim_lab_sca_rates!$C$2:$C$316), dim_lab_sca_rates!$G$2:$G$316, 0, 0)</f>
        <v>25</v>
      </c>
      <c r="F5" s="72" t="s">
        <v>9</v>
      </c>
      <c r="G5" s="72" t="str">
        <f>dim_lab_sca_map!$F5&amp;"|"&amp;dim_lab_sca_map!$A5</f>
        <v>C000015128|PCM|1 Hr</v>
      </c>
    </row>
    <row r="6">
      <c r="A6" s="72" t="str">
        <f>dim_lab_sca_map!$B6&amp;"|"&amp;dim_lab_sca_map!$D6</f>
        <v>PCM|1 Hr</v>
      </c>
      <c r="B6" s="72" t="s">
        <v>988</v>
      </c>
      <c r="C6" s="72" t="s">
        <v>837</v>
      </c>
      <c r="D6" s="72" t="s">
        <v>984</v>
      </c>
      <c r="E6" s="76">
        <f t="array" ref="E6">XLOOKUP(TRIM(dim_lab_sca_map!$G6), TRIM(dim_lab_sca_rates!$C$2:$C$316), dim_lab_sca_rates!$G$2:$G$316, 0, 0)</f>
        <v>25</v>
      </c>
      <c r="F6" s="72" t="s">
        <v>9</v>
      </c>
      <c r="G6" s="72" t="str">
        <f>dim_lab_sca_map!$F6&amp;"|"&amp;dim_lab_sca_map!$A6</f>
        <v>C000015128|PCM|1 Hr</v>
      </c>
    </row>
    <row r="7">
      <c r="A7" s="72" t="str">
        <f>dim_lab_sca_map!$B7&amp;"|"&amp;dim_lab_sca_map!$D7</f>
        <v>PCM|24 Hr</v>
      </c>
      <c r="B7" s="72" t="s">
        <v>988</v>
      </c>
      <c r="C7" s="72" t="s">
        <v>840</v>
      </c>
      <c r="D7" s="72" t="s">
        <v>985</v>
      </c>
      <c r="E7" s="76">
        <f t="array" ref="E7">XLOOKUP(TRIM(dim_lab_sca_map!$G7), TRIM(dim_lab_sca_rates!$C$2:$C$316), dim_lab_sca_rates!$G$2:$G$316, 0, 0)</f>
        <v>20</v>
      </c>
      <c r="F7" s="72" t="s">
        <v>9</v>
      </c>
      <c r="G7" s="72" t="str">
        <f>dim_lab_sca_map!$F7&amp;"|"&amp;dim_lab_sca_map!$A7</f>
        <v>C000015128|PCM|24 Hr</v>
      </c>
    </row>
    <row r="8">
      <c r="A8" s="72" t="str">
        <f>dim_lab_sca_map!$B8&amp;"|"&amp;dim_lab_sca_map!$D8</f>
        <v>TEM|3 Hr</v>
      </c>
      <c r="B8" s="72" t="s">
        <v>830</v>
      </c>
      <c r="C8" s="72" t="s">
        <v>830</v>
      </c>
      <c r="D8" s="72" t="s">
        <v>992</v>
      </c>
      <c r="E8" s="76">
        <f t="array" ref="E8">XLOOKUP(TRIM(dim_lab_sca_map!$G8), TRIM(dim_lab_sca_rates!$C$2:$C$316), dim_lab_sca_rates!$G$2:$G$316, 0, 0)</f>
        <v>145</v>
      </c>
      <c r="F8" s="72" t="s">
        <v>9</v>
      </c>
      <c r="G8" s="72" t="str">
        <f>dim_lab_sca_map!$F8&amp;"|"&amp;dim_lab_sca_map!$A8</f>
        <v>C000015128|TEM|3 Hr</v>
      </c>
    </row>
    <row r="9">
      <c r="A9" s="72" t="str">
        <f>dim_lab_sca_map!$B9&amp;"|"&amp;dim_lab_sca_map!$D9</f>
        <v>PCM|24 Hr</v>
      </c>
      <c r="B9" s="72" t="s">
        <v>988</v>
      </c>
      <c r="C9" s="72" t="s">
        <v>1095</v>
      </c>
      <c r="D9" s="72" t="s">
        <v>985</v>
      </c>
      <c r="E9" s="76">
        <f t="array" ref="E9">XLOOKUP(TRIM(dim_lab_sca_map!$G9), TRIM(dim_lab_sca_rates!$C$2:$C$316), dim_lab_sca_rates!$G$2:$G$316, 0, 0)</f>
        <v>20</v>
      </c>
      <c r="F9" s="72" t="s">
        <v>9</v>
      </c>
      <c r="G9" s="72" t="str">
        <f>dim_lab_sca_map!$F9&amp;"|"&amp;dim_lab_sca_map!$A9</f>
        <v>C000015128|PCM|24 Hr</v>
      </c>
    </row>
    <row r="10">
      <c r="A10" s="72" t="str">
        <f>dim_lab_sca_map!$B10&amp;"|"&amp;dim_lab_sca_map!$D10</f>
        <v>PCM|24 Hr</v>
      </c>
      <c r="B10" s="72" t="s">
        <v>988</v>
      </c>
      <c r="C10" s="72" t="s">
        <v>1096</v>
      </c>
      <c r="D10" s="72" t="s">
        <v>985</v>
      </c>
      <c r="E10" s="76">
        <f t="array" ref="E10">XLOOKUP(TRIM(dim_lab_sca_map!$G10), TRIM(dim_lab_sca_rates!$C$2:$C$316), dim_lab_sca_rates!$G$2:$G$316, 0, 0)</f>
        <v>20</v>
      </c>
      <c r="F10" s="72" t="s">
        <v>9</v>
      </c>
      <c r="G10" s="72" t="str">
        <f>dim_lab_sca_map!$F10&amp;"|"&amp;dim_lab_sca_map!$A10</f>
        <v>C000015128|PCM|24 Hr</v>
      </c>
    </row>
    <row r="11">
      <c r="A11" s="72" t="str">
        <f>dim_lab_sca_map!$B11&amp;"|"&amp;dim_lab_sca_map!$D11</f>
        <v>SLIDE PREP|0 Hr</v>
      </c>
      <c r="B11" s="72" t="s">
        <v>1000</v>
      </c>
      <c r="C11" s="72" t="s">
        <v>1000</v>
      </c>
      <c r="D11" s="72" t="s">
        <v>1002</v>
      </c>
      <c r="E11" s="76">
        <f t="array" ref="E11">XLOOKUP(TRIM(dim_lab_sca_map!$G11), TRIM(dim_lab_sca_rates!$C$2:$C$316), dim_lab_sca_rates!$G$2:$G$316, 0, 0)</f>
        <v>20</v>
      </c>
      <c r="F11" s="72" t="s">
        <v>9</v>
      </c>
      <c r="G11" s="72" t="str">
        <f>dim_lab_sca_map!$F11&amp;"|"&amp;dim_lab_sca_map!$A11</f>
        <v>C000015128|SLIDE PREP|0 Hr</v>
      </c>
    </row>
    <row r="12">
      <c r="A12" s="72" t="str">
        <f>dim_lab_sca_map!$B12&amp;"|"&amp;dim_lab_sca_map!$D12</f>
        <v>AMPH|10 Day</v>
      </c>
      <c r="B12" s="72" t="s">
        <v>1114</v>
      </c>
      <c r="C12" s="72" t="s">
        <v>1097</v>
      </c>
      <c r="D12" s="72" t="s">
        <v>975</v>
      </c>
      <c r="E12" s="76">
        <f t="array" ref="E12">XLOOKUP(TRIM(dim_lab_sca_map!$G12), TRIM(dim_lab_sca_rates!$C$2:$C$316), dim_lab_sca_rates!$G$2:$G$316, 0, 0)</f>
        <v>275</v>
      </c>
      <c r="F12" s="72" t="s">
        <v>9</v>
      </c>
      <c r="G12" s="72" t="str">
        <f>dim_lab_sca_map!$F12&amp;"|"&amp;dim_lab_sca_map!$A12</f>
        <v>C000015128|AMPH|10 Day</v>
      </c>
    </row>
    <row r="13">
      <c r="A13" s="72" t="str">
        <f>dim_lab_sca_map!$B13&amp;"|"&amp;dim_lab_sca_map!$D13</f>
        <v>PCM|24 Hr</v>
      </c>
      <c r="B13" s="72" t="s">
        <v>988</v>
      </c>
      <c r="C13" s="72" t="s">
        <v>1099</v>
      </c>
      <c r="D13" s="72" t="s">
        <v>985</v>
      </c>
      <c r="E13" s="76">
        <f t="array" ref="E13">XLOOKUP(TRIM(dim_lab_sca_map!$G13), TRIM(dim_lab_sca_rates!$C$2:$C$316), dim_lab_sca_rates!$G$2:$G$316, 0, 0)</f>
        <v>20</v>
      </c>
      <c r="F13" s="72" t="s">
        <v>9</v>
      </c>
      <c r="G13" s="72" t="str">
        <f>dim_lab_sca_map!$F13&amp;"|"&amp;dim_lab_sca_map!$A13</f>
        <v>C000015128|PCM|24 Hr</v>
      </c>
    </row>
    <row r="14">
      <c r="A14" s="72" t="str">
        <f>dim_lab_sca_map!$B14&amp;"|"&amp;dim_lab_sca_map!$D14</f>
        <v>PCM|6 Hr</v>
      </c>
      <c r="B14" s="72" t="s">
        <v>988</v>
      </c>
      <c r="C14" s="72" t="s">
        <v>1100</v>
      </c>
      <c r="D14" s="72" t="s">
        <v>986</v>
      </c>
      <c r="E14" s="76">
        <f t="array" ref="E14">XLOOKUP(TRIM(dim_lab_sca_map!$G14), TRIM(dim_lab_sca_rates!$C$2:$C$316), dim_lab_sca_rates!$G$2:$G$316, 0, 0)</f>
        <v>22</v>
      </c>
      <c r="F14" s="72" t="s">
        <v>9</v>
      </c>
      <c r="G14" s="72" t="str">
        <f>dim_lab_sca_map!$F14&amp;"|"&amp;dim_lab_sca_map!$A14</f>
        <v>C000015128|PCM|6 Hr</v>
      </c>
    </row>
    <row r="15">
      <c r="A15" s="72" t="str">
        <f>dim_lab_sca_map!$B15&amp;"|"&amp;dim_lab_sca_map!$D15</f>
        <v>PCM|1 Hr</v>
      </c>
      <c r="B15" s="72" t="s">
        <v>988</v>
      </c>
      <c r="C15" s="72" t="s">
        <v>1101</v>
      </c>
      <c r="D15" s="72" t="s">
        <v>984</v>
      </c>
      <c r="E15" s="76">
        <f t="array" ref="E15">XLOOKUP(TRIM(dim_lab_sca_map!$G15), TRIM(dim_lab_sca_rates!$C$2:$C$316), dim_lab_sca_rates!$G$2:$G$316, 0, 0)</f>
        <v>25</v>
      </c>
      <c r="F15" s="72" t="s">
        <v>9</v>
      </c>
      <c r="G15" s="72" t="str">
        <f>dim_lab_sca_map!$F15&amp;"|"&amp;dim_lab_sca_map!$A15</f>
        <v>C000015128|PCM|1 Hr</v>
      </c>
    </row>
    <row r="16">
      <c r="A16" s="72" t="str">
        <f>dim_lab_sca_map!$B16&amp;"|"&amp;dim_lab_sca_map!$D16</f>
        <v>LWS|24 Hr</v>
      </c>
      <c r="B16" s="72" t="s">
        <v>1010</v>
      </c>
      <c r="C16" s="72" t="s">
        <v>1010</v>
      </c>
      <c r="D16" s="72" t="s">
        <v>985</v>
      </c>
      <c r="E16" s="76">
        <f t="array" ref="E16">XLOOKUP(TRIM(dim_lab_sca_map!$G16), TRIM(dim_lab_sca_rates!$C$2:$C$316), dim_lab_sca_rates!$G$2:$G$316, 0, 0)</f>
        <v>23.4</v>
      </c>
      <c r="F16" s="72" t="s">
        <v>9</v>
      </c>
      <c r="G16" s="72" t="str">
        <f>dim_lab_sca_map!$F16&amp;"|"&amp;dim_lab_sca_map!$A16</f>
        <v>C000015128|LWS|24 Hr</v>
      </c>
    </row>
    <row r="17">
      <c r="A17" s="72" t="str">
        <f>dim_lab_sca_map!$B17&amp;"|"&amp;dim_lab_sca_map!$D17</f>
        <v>PCB|48 Hr</v>
      </c>
      <c r="B17" s="72" t="s">
        <v>952</v>
      </c>
      <c r="C17" s="72" t="s">
        <v>952</v>
      </c>
      <c r="D17" s="72" t="s">
        <v>1006</v>
      </c>
      <c r="E17" s="76">
        <f t="array" ref="E17">XLOOKUP(TRIM(dim_lab_sca_map!$G17), TRIM(dim_lab_sca_rates!$C$2:$C$316), dim_lab_sca_rates!$G$2:$G$316, 0, 0)</f>
        <v>195.75</v>
      </c>
      <c r="F17" s="72" t="s">
        <v>9</v>
      </c>
      <c r="G17" s="72" t="str">
        <f>dim_lab_sca_map!$F17&amp;"|"&amp;dim_lab_sca_map!$A17</f>
        <v>C000015128|PCB|48 Hr</v>
      </c>
    </row>
    <row r="18">
      <c r="A18" s="72" t="str">
        <f>dim_lab_sca_map!$B18&amp;"|"&amp;dim_lab_sca_map!$D18</f>
        <v>WMF|0 Hr</v>
      </c>
      <c r="B18" s="72" t="s">
        <v>1103</v>
      </c>
      <c r="C18" s="72" t="s">
        <v>1103</v>
      </c>
      <c r="D18" s="72" t="s">
        <v>1002</v>
      </c>
      <c r="E18" s="76">
        <f t="array" ref="E18">XLOOKUP(TRIM(dim_lab_sca_map!$G18), TRIM(dim_lab_sca_rates!$C$2:$C$316), dim_lab_sca_rates!$G$2:$G$316, 0, 0)</f>
        <v>0</v>
      </c>
      <c r="F18" s="72" t="s">
        <v>9</v>
      </c>
      <c r="G18" s="72" t="str">
        <f>dim_lab_sca_map!$F18&amp;"|"&amp;dim_lab_sca_map!$A18</f>
        <v>C000015128|WMF|0 Hr</v>
      </c>
    </row>
    <row r="19">
      <c r="A19" s="72" t="str">
        <f>dim_lab_sca_map!$B19&amp;"|"&amp;dim_lab_sca_map!$D19</f>
        <v>WCF|0 Hr</v>
      </c>
      <c r="B19" s="72" t="s">
        <v>1104</v>
      </c>
      <c r="C19" s="72" t="s">
        <v>1104</v>
      </c>
      <c r="D19" s="72" t="s">
        <v>1002</v>
      </c>
      <c r="E19" s="76">
        <f t="array" ref="E19">XLOOKUP(TRIM(dim_lab_sca_map!$G19), TRIM(dim_lab_sca_rates!$C$2:$C$316), dim_lab_sca_rates!$G$2:$G$316, 0, 0)</f>
        <v>0</v>
      </c>
      <c r="F19" s="72" t="s">
        <v>9</v>
      </c>
      <c r="G19" s="72" t="str">
        <f>dim_lab_sca_map!$F19&amp;"|"&amp;dim_lab_sca_map!$A19</f>
        <v>C000015128|WCF|0 Hr</v>
      </c>
    </row>
    <row r="20">
      <c r="A20" s="72" t="str">
        <f>dim_lab_sca_map!$B20&amp;"|"&amp;dim_lab_sca_map!$D20</f>
        <v>LWS|24 Hr</v>
      </c>
      <c r="B20" s="72" t="s">
        <v>1010</v>
      </c>
      <c r="C20" s="72" t="s">
        <v>1010</v>
      </c>
      <c r="D20" s="72" t="s">
        <v>985</v>
      </c>
      <c r="E20" s="76">
        <f t="array" ref="E20">XLOOKUP(TRIM(dim_lab_sca_map!$G20), TRIM(dim_lab_sca_rates!$C$2:$C$316), dim_lab_sca_rates!$G$2:$G$316, 0, 0)</f>
        <v>23.4</v>
      </c>
      <c r="F20" s="72" t="s">
        <v>9</v>
      </c>
      <c r="G20" s="72" t="str">
        <f>dim_lab_sca_map!$F20&amp;"|"&amp;dim_lab_sca_map!$A20</f>
        <v>C000015128|LWS|24 Hr</v>
      </c>
    </row>
    <row r="21" ht="15.75" customHeight="1">
      <c r="A21" s="72" t="str">
        <f>dim_lab_sca_map!$B21&amp;"|"&amp;dim_lab_sca_map!$D21</f>
        <v>AMPH|2 Day</v>
      </c>
      <c r="B21" s="72" t="s">
        <v>1114</v>
      </c>
      <c r="C21" s="72" t="s">
        <v>1107</v>
      </c>
      <c r="D21" s="72" t="s">
        <v>976</v>
      </c>
      <c r="E21" s="76">
        <f t="array" ref="E21">XLOOKUP(TRIM(dim_lab_sca_map!$G21), TRIM(dim_lab_sca_rates!$C$2:$C$316), dim_lab_sca_rates!$G$2:$G$316, 0, 0)</f>
        <v>550</v>
      </c>
      <c r="F21" s="72" t="s">
        <v>9</v>
      </c>
      <c r="G21" s="72" t="str">
        <f>dim_lab_sca_map!$F21&amp;"|"&amp;dim_lab_sca_map!$A21</f>
        <v>C000015128|AMPH|2 Day</v>
      </c>
    </row>
    <row r="22" ht="15.75" customHeight="1">
      <c r="A22" s="72" t="str">
        <f>dim_lab_sca_map!$B22&amp;"|"&amp;dim_lab_sca_map!$D22</f>
        <v>CHRYS|2 Day</v>
      </c>
      <c r="B22" s="72" t="s">
        <v>1115</v>
      </c>
      <c r="C22" s="72" t="s">
        <v>1108</v>
      </c>
      <c r="D22" s="72" t="s">
        <v>976</v>
      </c>
      <c r="E22" s="76">
        <f t="array" ref="E22">XLOOKUP(TRIM(dim_lab_sca_map!$G22), TRIM(dim_lab_sca_rates!$C$2:$C$316), dim_lab_sca_rates!$G$2:$G$316, 0, 0)</f>
        <v>400</v>
      </c>
      <c r="F22" s="72" t="s">
        <v>9</v>
      </c>
      <c r="G22" s="72" t="str">
        <f>dim_lab_sca_map!$F22&amp;"|"&amp;dim_lab_sca_map!$A22</f>
        <v>C000015128|CHRYS|2 Day</v>
      </c>
    </row>
    <row r="23" ht="15.75" customHeight="1">
      <c r="A23" s="72" t="str">
        <f>dim_lab_sca_map!$B23&amp;"|"&amp;dim_lab_sca_map!$D23</f>
        <v>PLM|24 Hr</v>
      </c>
      <c r="B23" s="72" t="s">
        <v>982</v>
      </c>
      <c r="C23" s="72" t="s">
        <v>982</v>
      </c>
      <c r="D23" s="72" t="s">
        <v>985</v>
      </c>
      <c r="E23" s="76">
        <f t="array" ref="E23">XLOOKUP(TRIM(dim_lab_sca_map!$G23), TRIM(dim_lab_sca_rates!$C$2:$C$316), dim_lab_sca_rates!$G$2:$G$316, 0, 0)</f>
        <v>23</v>
      </c>
      <c r="F23" s="72" t="s">
        <v>7</v>
      </c>
      <c r="G23" s="72" t="str">
        <f>dim_lab_sca_map!$F23&amp;"|"&amp;dim_lab_sca_map!$A23</f>
        <v>C000015869|PLM|24 Hr</v>
      </c>
    </row>
    <row r="24" ht="15.75" customHeight="1">
      <c r="A24" s="72" t="str">
        <f>dim_lab_sca_map!$B24&amp;"|"&amp;dim_lab_sca_map!$D24</f>
        <v>NOB-PLM|24 Hr</v>
      </c>
      <c r="B24" s="72" t="s">
        <v>994</v>
      </c>
      <c r="C24" s="72" t="s">
        <v>994</v>
      </c>
      <c r="D24" s="72" t="s">
        <v>985</v>
      </c>
      <c r="E24" s="76">
        <f t="array" ref="E24">XLOOKUP(TRIM(dim_lab_sca_map!$G24), TRIM(dim_lab_sca_rates!$C$2:$C$316), dim_lab_sca_rates!$G$2:$G$316, 0, 0)</f>
        <v>40</v>
      </c>
      <c r="F24" s="72" t="s">
        <v>7</v>
      </c>
      <c r="G24" s="72" t="str">
        <f>dim_lab_sca_map!$F24&amp;"|"&amp;dim_lab_sca_map!$A24</f>
        <v>C000015869|NOB-PLM|24 Hr</v>
      </c>
    </row>
    <row r="25" ht="15.75" customHeight="1">
      <c r="A25" s="72" t="str">
        <f>dim_lab_sca_map!$B25&amp;"|"&amp;dim_lab_sca_map!$D25</f>
        <v>NOB-TEM|24 Hr</v>
      </c>
      <c r="B25" s="72" t="s">
        <v>997</v>
      </c>
      <c r="C25" s="72" t="s">
        <v>997</v>
      </c>
      <c r="D25" s="72" t="s">
        <v>985</v>
      </c>
      <c r="E25" s="76">
        <f t="array" ref="E25">XLOOKUP(TRIM(dim_lab_sca_map!$G25), TRIM(dim_lab_sca_rates!$C$2:$C$316), dim_lab_sca_rates!$G$2:$G$316, 0, 0)</f>
        <v>70</v>
      </c>
      <c r="F25" s="72" t="s">
        <v>7</v>
      </c>
      <c r="G25" s="72" t="str">
        <f>dim_lab_sca_map!$F25&amp;"|"&amp;dim_lab_sca_map!$A25</f>
        <v>C000015869|NOB-TEM|24 Hr</v>
      </c>
    </row>
    <row r="26" ht="15.75" customHeight="1">
      <c r="A26" s="72" t="str">
        <f>dim_lab_sca_map!$B26&amp;"|"&amp;dim_lab_sca_map!$D26</f>
        <v>PCM|1 Hr</v>
      </c>
      <c r="B26" s="72" t="s">
        <v>988</v>
      </c>
      <c r="C26" s="72" t="s">
        <v>844</v>
      </c>
      <c r="D26" s="72" t="s">
        <v>984</v>
      </c>
      <c r="E26" s="76">
        <f t="array" ref="E26">XLOOKUP(TRIM(dim_lab_sca_map!$G26), TRIM(dim_lab_sca_rates!$C$2:$C$316), dim_lab_sca_rates!$G$2:$G$316, 0, 0)</f>
        <v>27</v>
      </c>
      <c r="F26" s="72" t="s">
        <v>7</v>
      </c>
      <c r="G26" s="72" t="str">
        <f>dim_lab_sca_map!$F26&amp;"|"&amp;dim_lab_sca_map!$A26</f>
        <v>C000015869|PCM|1 Hr</v>
      </c>
    </row>
    <row r="27" ht="15.75" customHeight="1">
      <c r="A27" s="72" t="str">
        <f>dim_lab_sca_map!$B27&amp;"|"&amp;dim_lab_sca_map!$D27</f>
        <v>PCM|1 Hr</v>
      </c>
      <c r="B27" s="72" t="s">
        <v>988</v>
      </c>
      <c r="C27" s="72" t="s">
        <v>837</v>
      </c>
      <c r="D27" s="72" t="s">
        <v>984</v>
      </c>
      <c r="E27" s="76">
        <f t="array" ref="E27">XLOOKUP(TRIM(dim_lab_sca_map!$G27), TRIM(dim_lab_sca_rates!$C$2:$C$316), dim_lab_sca_rates!$G$2:$G$316, 0, 0)</f>
        <v>27</v>
      </c>
      <c r="F27" s="72" t="s">
        <v>7</v>
      </c>
      <c r="G27" s="72" t="str">
        <f>dim_lab_sca_map!$F27&amp;"|"&amp;dim_lab_sca_map!$A27</f>
        <v>C000015869|PCM|1 Hr</v>
      </c>
    </row>
    <row r="28" ht="15.75" customHeight="1">
      <c r="A28" s="72" t="str">
        <f>dim_lab_sca_map!$B28&amp;"|"&amp;dim_lab_sca_map!$D28</f>
        <v>PCM|24 Hr</v>
      </c>
      <c r="B28" s="72" t="s">
        <v>988</v>
      </c>
      <c r="C28" s="72" t="s">
        <v>840</v>
      </c>
      <c r="D28" s="72" t="s">
        <v>985</v>
      </c>
      <c r="E28" s="76">
        <f t="array" ref="E28">XLOOKUP(TRIM(dim_lab_sca_map!$G28), TRIM(dim_lab_sca_rates!$C$2:$C$316), dim_lab_sca_rates!$G$2:$G$316, 0, 0)</f>
        <v>23</v>
      </c>
      <c r="F28" s="72" t="s">
        <v>7</v>
      </c>
      <c r="G28" s="72" t="str">
        <f>dim_lab_sca_map!$F28&amp;"|"&amp;dim_lab_sca_map!$A28</f>
        <v>C000015869|PCM|24 Hr</v>
      </c>
    </row>
    <row r="29" ht="15.75" customHeight="1">
      <c r="A29" s="72" t="str">
        <f>dim_lab_sca_map!$B29&amp;"|"&amp;dim_lab_sca_map!$D29</f>
        <v>TEM|3 Hr</v>
      </c>
      <c r="B29" s="72" t="s">
        <v>830</v>
      </c>
      <c r="C29" s="72" t="s">
        <v>830</v>
      </c>
      <c r="D29" s="72" t="s">
        <v>992</v>
      </c>
      <c r="E29" s="76">
        <f t="array" ref="E29">XLOOKUP(TRIM(dim_lab_sca_map!$G29), TRIM(dim_lab_sca_rates!$C$2:$C$316), dim_lab_sca_rates!$G$2:$G$316, 0, 0)</f>
        <v>160</v>
      </c>
      <c r="F29" s="72" t="s">
        <v>7</v>
      </c>
      <c r="G29" s="72" t="str">
        <f>dim_lab_sca_map!$F29&amp;"|"&amp;dim_lab_sca_map!$A29</f>
        <v>C000015869|TEM|3 Hr</v>
      </c>
    </row>
    <row r="30" ht="15.75" customHeight="1">
      <c r="A30" s="72" t="str">
        <f>dim_lab_sca_map!$B30&amp;"|"&amp;dim_lab_sca_map!$D30</f>
        <v>PCM|24 Hr</v>
      </c>
      <c r="B30" s="72" t="s">
        <v>988</v>
      </c>
      <c r="C30" s="72" t="s">
        <v>1095</v>
      </c>
      <c r="D30" s="72" t="s">
        <v>985</v>
      </c>
      <c r="E30" s="76">
        <f t="array" ref="E30">XLOOKUP(TRIM(dim_lab_sca_map!$G30), TRIM(dim_lab_sca_rates!$C$2:$C$316), dim_lab_sca_rates!$G$2:$G$316, 0, 0)</f>
        <v>23</v>
      </c>
      <c r="F30" s="72" t="s">
        <v>7</v>
      </c>
      <c r="G30" s="72" t="str">
        <f>dim_lab_sca_map!$F30&amp;"|"&amp;dim_lab_sca_map!$A30</f>
        <v>C000015869|PCM|24 Hr</v>
      </c>
    </row>
    <row r="31" ht="15.75" customHeight="1">
      <c r="A31" s="72" t="str">
        <f>dim_lab_sca_map!$B31&amp;"|"&amp;dim_lab_sca_map!$D31</f>
        <v>PCM|24 Hr</v>
      </c>
      <c r="B31" s="72" t="s">
        <v>988</v>
      </c>
      <c r="C31" s="72" t="s">
        <v>1096</v>
      </c>
      <c r="D31" s="72" t="s">
        <v>985</v>
      </c>
      <c r="E31" s="76">
        <f t="array" ref="E31">XLOOKUP(TRIM(dim_lab_sca_map!$G31), TRIM(dim_lab_sca_rates!$C$2:$C$316), dim_lab_sca_rates!$G$2:$G$316, 0, 0)</f>
        <v>23</v>
      </c>
      <c r="F31" s="72" t="s">
        <v>7</v>
      </c>
      <c r="G31" s="72" t="str">
        <f>dim_lab_sca_map!$F31&amp;"|"&amp;dim_lab_sca_map!$A31</f>
        <v>C000015869|PCM|24 Hr</v>
      </c>
    </row>
    <row r="32" ht="15.75" customHeight="1">
      <c r="A32" s="72" t="str">
        <f>dim_lab_sca_map!$B32&amp;"|"&amp;dim_lab_sca_map!$D32</f>
        <v>SLIDE PREP|0 Hr</v>
      </c>
      <c r="B32" s="72" t="s">
        <v>1000</v>
      </c>
      <c r="C32" s="72" t="s">
        <v>1000</v>
      </c>
      <c r="D32" s="72" t="s">
        <v>1002</v>
      </c>
      <c r="E32" s="76">
        <f t="array" ref="E32">XLOOKUP(TRIM(dim_lab_sca_map!$G32), TRIM(dim_lab_sca_rates!$C$2:$C$316), dim_lab_sca_rates!$G$2:$G$316, 0, 0)</f>
        <v>22</v>
      </c>
      <c r="F32" s="72" t="s">
        <v>7</v>
      </c>
      <c r="G32" s="72" t="str">
        <f>dim_lab_sca_map!$F32&amp;"|"&amp;dim_lab_sca_map!$A32</f>
        <v>C000015869|SLIDE PREP|0 Hr</v>
      </c>
    </row>
    <row r="33" ht="15.75" customHeight="1">
      <c r="A33" s="72" t="str">
        <f>dim_lab_sca_map!$B33&amp;"|"&amp;dim_lab_sca_map!$D33</f>
        <v>AMPH|10 Day</v>
      </c>
      <c r="B33" s="72" t="s">
        <v>1114</v>
      </c>
      <c r="C33" s="72" t="s">
        <v>1097</v>
      </c>
      <c r="D33" s="72" t="s">
        <v>975</v>
      </c>
      <c r="E33" s="76">
        <f t="array" ref="E33">XLOOKUP(TRIM(dim_lab_sca_map!$G33), TRIM(dim_lab_sca_rates!$C$2:$C$316), dim_lab_sca_rates!$G$2:$G$316, 0, 0)</f>
        <v>241</v>
      </c>
      <c r="F33" s="72" t="s">
        <v>7</v>
      </c>
      <c r="G33" s="72" t="str">
        <f>dim_lab_sca_map!$F33&amp;"|"&amp;dim_lab_sca_map!$A33</f>
        <v>C000015869|AMPH|10 Day</v>
      </c>
    </row>
    <row r="34" ht="15.75" customHeight="1">
      <c r="A34" s="72" t="str">
        <f>dim_lab_sca_map!$B34&amp;"|"&amp;dim_lab_sca_map!$D34</f>
        <v>PCM|24 Hr</v>
      </c>
      <c r="B34" s="72" t="s">
        <v>988</v>
      </c>
      <c r="C34" s="72" t="s">
        <v>1099</v>
      </c>
      <c r="D34" s="72" t="s">
        <v>985</v>
      </c>
      <c r="E34" s="76">
        <f t="array" ref="E34">XLOOKUP(TRIM(dim_lab_sca_map!$G34), TRIM(dim_lab_sca_rates!$C$2:$C$316), dim_lab_sca_rates!$G$2:$G$316, 0, 0)</f>
        <v>23</v>
      </c>
      <c r="F34" s="72" t="s">
        <v>7</v>
      </c>
      <c r="G34" s="72" t="str">
        <f>dim_lab_sca_map!$F34&amp;"|"&amp;dim_lab_sca_map!$A34</f>
        <v>C000015869|PCM|24 Hr</v>
      </c>
    </row>
    <row r="35" ht="15.75" customHeight="1">
      <c r="A35" s="72" t="str">
        <f>dim_lab_sca_map!$B35&amp;"|"&amp;dim_lab_sca_map!$D35</f>
        <v>PCM|6 Hr</v>
      </c>
      <c r="B35" s="72" t="s">
        <v>988</v>
      </c>
      <c r="C35" s="72" t="s">
        <v>1100</v>
      </c>
      <c r="D35" s="72" t="s">
        <v>986</v>
      </c>
      <c r="E35" s="76">
        <f t="array" ref="E35">XLOOKUP(TRIM(dim_lab_sca_map!$G35), TRIM(dim_lab_sca_rates!$C$2:$C$316), dim_lab_sca_rates!$G$2:$G$316, 0, 0)</f>
        <v>23</v>
      </c>
      <c r="F35" s="72" t="s">
        <v>7</v>
      </c>
      <c r="G35" s="72" t="str">
        <f>dim_lab_sca_map!$F35&amp;"|"&amp;dim_lab_sca_map!$A35</f>
        <v>C000015869|PCM|6 Hr</v>
      </c>
    </row>
    <row r="36" ht="15.75" customHeight="1">
      <c r="A36" s="72" t="str">
        <f>dim_lab_sca_map!$B36&amp;"|"&amp;dim_lab_sca_map!$D36</f>
        <v>PCM|1 Hr</v>
      </c>
      <c r="B36" s="72" t="s">
        <v>988</v>
      </c>
      <c r="C36" s="72" t="s">
        <v>1101</v>
      </c>
      <c r="D36" s="72" t="s">
        <v>984</v>
      </c>
      <c r="E36" s="76">
        <f t="array" ref="E36">XLOOKUP(TRIM(dim_lab_sca_map!$G36), TRIM(dim_lab_sca_rates!$C$2:$C$316), dim_lab_sca_rates!$G$2:$G$316, 0, 0)</f>
        <v>27</v>
      </c>
      <c r="F36" s="72" t="s">
        <v>7</v>
      </c>
      <c r="G36" s="72" t="str">
        <f>dim_lab_sca_map!$F36&amp;"|"&amp;dim_lab_sca_map!$A36</f>
        <v>C000015869|PCM|1 Hr</v>
      </c>
    </row>
    <row r="37" ht="15.75" customHeight="1">
      <c r="A37" s="72" t="str">
        <f>dim_lab_sca_map!$B37&amp;"|"&amp;dim_lab_sca_map!$D37</f>
        <v>LWS|24 Hr</v>
      </c>
      <c r="B37" s="72" t="s">
        <v>1010</v>
      </c>
      <c r="C37" s="72" t="s">
        <v>1010</v>
      </c>
      <c r="D37" s="72" t="s">
        <v>985</v>
      </c>
      <c r="E37" s="76">
        <f t="array" ref="E37">XLOOKUP(TRIM(dim_lab_sca_map!$G37), TRIM(dim_lab_sca_rates!$C$2:$C$316), dim_lab_sca_rates!$G$2:$G$316, 0, 0)</f>
        <v>28</v>
      </c>
      <c r="F37" s="72" t="s">
        <v>7</v>
      </c>
      <c r="G37" s="72" t="str">
        <f>dim_lab_sca_map!$F37&amp;"|"&amp;dim_lab_sca_map!$A37</f>
        <v>C000015869|LWS|24 Hr</v>
      </c>
    </row>
    <row r="38" ht="15.75" customHeight="1">
      <c r="A38" s="72" t="str">
        <f>dim_lab_sca_map!$B38&amp;"|"&amp;dim_lab_sca_map!$D38</f>
        <v>PCB|48 Hr</v>
      </c>
      <c r="B38" s="72" t="s">
        <v>952</v>
      </c>
      <c r="C38" s="72" t="s">
        <v>952</v>
      </c>
      <c r="D38" s="72" t="s">
        <v>1006</v>
      </c>
      <c r="E38" s="76">
        <f t="array" ref="E38">XLOOKUP(TRIM(dim_lab_sca_map!$G38), TRIM(dim_lab_sca_rates!$C$2:$C$316), dim_lab_sca_rates!$G$2:$G$316, 0, 0)</f>
        <v>169</v>
      </c>
      <c r="F38" s="72" t="s">
        <v>7</v>
      </c>
      <c r="G38" s="72" t="str">
        <f>dim_lab_sca_map!$F38&amp;"|"&amp;dim_lab_sca_map!$A38</f>
        <v>C000015869|PCB|48 Hr</v>
      </c>
    </row>
    <row r="39" ht="15.75" customHeight="1">
      <c r="A39" s="72" t="str">
        <f>dim_lab_sca_map!$B39&amp;"|"&amp;dim_lab_sca_map!$D39</f>
        <v>WMF|0 Hr</v>
      </c>
      <c r="B39" s="72" t="s">
        <v>1103</v>
      </c>
      <c r="C39" s="72" t="s">
        <v>1103</v>
      </c>
      <c r="D39" s="72" t="s">
        <v>1002</v>
      </c>
      <c r="E39" s="76">
        <f t="array" ref="E39">XLOOKUP(TRIM(dim_lab_sca_map!$G39), TRIM(dim_lab_sca_rates!$C$2:$C$316), dim_lab_sca_rates!$G$2:$G$316, 0, 0)</f>
        <v>0</v>
      </c>
      <c r="F39" s="72" t="s">
        <v>7</v>
      </c>
      <c r="G39" s="72" t="str">
        <f>dim_lab_sca_map!$F39&amp;"|"&amp;dim_lab_sca_map!$A39</f>
        <v>C000015869|WMF|0 Hr</v>
      </c>
    </row>
    <row r="40" ht="15.75" customHeight="1">
      <c r="A40" s="72" t="str">
        <f>dim_lab_sca_map!$B40&amp;"|"&amp;dim_lab_sca_map!$D40</f>
        <v>WCF|0 Hr</v>
      </c>
      <c r="B40" s="72" t="s">
        <v>1104</v>
      </c>
      <c r="C40" s="72" t="s">
        <v>1104</v>
      </c>
      <c r="D40" s="72" t="s">
        <v>1002</v>
      </c>
      <c r="E40" s="76">
        <f t="array" ref="E40">XLOOKUP(TRIM(dim_lab_sca_map!$G40), TRIM(dim_lab_sca_rates!$C$2:$C$316), dim_lab_sca_rates!$G$2:$G$316, 0, 0)</f>
        <v>0</v>
      </c>
      <c r="F40" s="72" t="s">
        <v>7</v>
      </c>
      <c r="G40" s="72" t="str">
        <f>dim_lab_sca_map!$F40&amp;"|"&amp;dim_lab_sca_map!$A40</f>
        <v>C000015869|WCF|0 Hr</v>
      </c>
    </row>
    <row r="41" ht="15.75" customHeight="1">
      <c r="A41" s="72" t="str">
        <f>dim_lab_sca_map!$B41&amp;"|"&amp;dim_lab_sca_map!$D41</f>
        <v>LWS|24 Hr</v>
      </c>
      <c r="B41" s="72" t="s">
        <v>1010</v>
      </c>
      <c r="C41" s="72" t="s">
        <v>1010</v>
      </c>
      <c r="D41" s="72" t="s">
        <v>985</v>
      </c>
      <c r="E41" s="76">
        <f t="array" ref="E41">XLOOKUP(TRIM(dim_lab_sca_map!$G41), TRIM(dim_lab_sca_rates!$C$2:$C$316), dim_lab_sca_rates!$G$2:$G$316, 0, 0)</f>
        <v>28</v>
      </c>
      <c r="F41" s="72" t="s">
        <v>7</v>
      </c>
      <c r="G41" s="72" t="str">
        <f>dim_lab_sca_map!$F41&amp;"|"&amp;dim_lab_sca_map!$A41</f>
        <v>C000015869|LWS|24 Hr</v>
      </c>
    </row>
    <row r="42" ht="15.75" customHeight="1">
      <c r="A42" s="72" t="str">
        <f>dim_lab_sca_map!$B42&amp;"|"&amp;dim_lab_sca_map!$D42</f>
        <v>AMPH|2 Day</v>
      </c>
      <c r="B42" s="72" t="s">
        <v>1114</v>
      </c>
      <c r="C42" s="72" t="s">
        <v>1107</v>
      </c>
      <c r="D42" s="72" t="s">
        <v>976</v>
      </c>
      <c r="E42" s="76">
        <f t="array" ref="E42">XLOOKUP(TRIM(dim_lab_sca_map!$G42), TRIM(dim_lab_sca_rates!$C$2:$C$316), dim_lab_sca_rates!$G$2:$G$316, 0, 0)</f>
        <v>600</v>
      </c>
      <c r="F42" s="72" t="s">
        <v>7</v>
      </c>
      <c r="G42" s="72" t="str">
        <f>dim_lab_sca_map!$F42&amp;"|"&amp;dim_lab_sca_map!$A42</f>
        <v>C000015869|AMPH|2 Day</v>
      </c>
    </row>
    <row r="43" ht="15.75" customHeight="1">
      <c r="A43" s="72" t="str">
        <f>dim_lab_sca_map!$B43&amp;"|"&amp;dim_lab_sca_map!$D43</f>
        <v>CHRYS|2 Day</v>
      </c>
      <c r="B43" s="72" t="s">
        <v>1115</v>
      </c>
      <c r="C43" s="72" t="s">
        <v>1108</v>
      </c>
      <c r="D43" s="72" t="s">
        <v>976</v>
      </c>
      <c r="E43" s="76">
        <f t="array" ref="E43">XLOOKUP(TRIM(dim_lab_sca_map!$G43), TRIM(dim_lab_sca_rates!$C$2:$C$316), dim_lab_sca_rates!$G$2:$G$316, 0, 0)</f>
        <v>500</v>
      </c>
      <c r="F43" s="72" t="s">
        <v>7</v>
      </c>
      <c r="G43" s="72" t="str">
        <f>dim_lab_sca_map!$F43&amp;"|"&amp;dim_lab_sca_map!$A43</f>
        <v>C000015869|CHRYS|2 Day</v>
      </c>
    </row>
    <row r="44" ht="15.75" customHeight="1">
      <c r="A44" s="72" t="str">
        <f>dim_lab_sca_map!$B44&amp;"|"&amp;dim_lab_sca_map!$D44</f>
        <v>PLM|24 Hr</v>
      </c>
      <c r="B44" s="72" t="s">
        <v>982</v>
      </c>
      <c r="C44" s="72" t="s">
        <v>982</v>
      </c>
      <c r="D44" s="72" t="s">
        <v>985</v>
      </c>
      <c r="E44" s="76">
        <f t="array" ref="E44">XLOOKUP(TRIM(dim_lab_sca_map!$G44), TRIM(dim_lab_sca_rates!$C$2:$C$316), dim_lab_sca_rates!$G$2:$G$316, 0, 0)</f>
        <v>28</v>
      </c>
      <c r="F44" s="72" t="s">
        <v>10</v>
      </c>
      <c r="G44" s="72" t="str">
        <f>dim_lab_sca_map!$F44&amp;"|"&amp;dim_lab_sca_map!$A44</f>
        <v>C000016435|PLM|24 Hr</v>
      </c>
    </row>
    <row r="45" ht="15.75" customHeight="1">
      <c r="A45" s="72" t="str">
        <f>dim_lab_sca_map!$B45&amp;"|"&amp;dim_lab_sca_map!$D45</f>
        <v>NOB-PLM|24 Hr</v>
      </c>
      <c r="B45" s="72" t="s">
        <v>994</v>
      </c>
      <c r="C45" s="72" t="s">
        <v>994</v>
      </c>
      <c r="D45" s="72" t="s">
        <v>985</v>
      </c>
      <c r="E45" s="76">
        <f t="array" ref="E45">XLOOKUP(TRIM(dim_lab_sca_map!$G45), TRIM(dim_lab_sca_rates!$C$2:$C$316), dim_lab_sca_rates!$G$2:$G$316, 0, 0)</f>
        <v>44</v>
      </c>
      <c r="F45" s="72" t="s">
        <v>10</v>
      </c>
      <c r="G45" s="72" t="str">
        <f>dim_lab_sca_map!$F45&amp;"|"&amp;dim_lab_sca_map!$A45</f>
        <v>C000016435|NOB-PLM|24 Hr</v>
      </c>
    </row>
    <row r="46" ht="15.75" customHeight="1">
      <c r="A46" s="72" t="str">
        <f>dim_lab_sca_map!$B46&amp;"|"&amp;dim_lab_sca_map!$D46</f>
        <v>NOB-TEM|24 Hr</v>
      </c>
      <c r="B46" s="72" t="s">
        <v>997</v>
      </c>
      <c r="C46" s="72" t="s">
        <v>997</v>
      </c>
      <c r="D46" s="72" t="s">
        <v>985</v>
      </c>
      <c r="E46" s="76">
        <f t="array" ref="E46">XLOOKUP(TRIM(dim_lab_sca_map!$G46), TRIM(dim_lab_sca_rates!$C$2:$C$316), dim_lab_sca_rates!$G$2:$G$316, 0, 0)</f>
        <v>77</v>
      </c>
      <c r="F46" s="72" t="s">
        <v>10</v>
      </c>
      <c r="G46" s="72" t="str">
        <f>dim_lab_sca_map!$F46&amp;"|"&amp;dim_lab_sca_map!$A46</f>
        <v>C000016435|NOB-TEM|24 Hr</v>
      </c>
    </row>
    <row r="47" ht="15.75" customHeight="1">
      <c r="A47" s="72" t="str">
        <f>dim_lab_sca_map!$B47&amp;"|"&amp;dim_lab_sca_map!$D47</f>
        <v>PCM|1 Hr</v>
      </c>
      <c r="B47" s="72" t="s">
        <v>988</v>
      </c>
      <c r="C47" s="72" t="s">
        <v>844</v>
      </c>
      <c r="D47" s="72" t="s">
        <v>984</v>
      </c>
      <c r="E47" s="76">
        <f t="array" ref="E47">XLOOKUP(TRIM(dim_lab_sca_map!$G47), TRIM(dim_lab_sca_rates!$C$2:$C$316), dim_lab_sca_rates!$G$2:$G$316, 0, 0)</f>
        <v>29.7</v>
      </c>
      <c r="F47" s="72" t="s">
        <v>10</v>
      </c>
      <c r="G47" s="72" t="str">
        <f>dim_lab_sca_map!$F47&amp;"|"&amp;dim_lab_sca_map!$A47</f>
        <v>C000016435|PCM|1 Hr</v>
      </c>
    </row>
    <row r="48" ht="15.75" customHeight="1">
      <c r="A48" s="72" t="str">
        <f>dim_lab_sca_map!$B48&amp;"|"&amp;dim_lab_sca_map!$D48</f>
        <v>PCM|1 Hr</v>
      </c>
      <c r="B48" s="72" t="s">
        <v>988</v>
      </c>
      <c r="C48" s="72" t="s">
        <v>837</v>
      </c>
      <c r="D48" s="72" t="s">
        <v>984</v>
      </c>
      <c r="E48" s="76">
        <f t="array" ref="E48">XLOOKUP(TRIM(dim_lab_sca_map!$G48), TRIM(dim_lab_sca_rates!$C$2:$C$316), dim_lab_sca_rates!$G$2:$G$316, 0, 0)</f>
        <v>29.7</v>
      </c>
      <c r="F48" s="72" t="s">
        <v>10</v>
      </c>
      <c r="G48" s="72" t="str">
        <f>dim_lab_sca_map!$F48&amp;"|"&amp;dim_lab_sca_map!$A48</f>
        <v>C000016435|PCM|1 Hr</v>
      </c>
    </row>
    <row r="49" ht="15.75" customHeight="1">
      <c r="A49" s="72" t="str">
        <f>dim_lab_sca_map!$B49&amp;"|"&amp;dim_lab_sca_map!$D49</f>
        <v>PCM|24 Hr</v>
      </c>
      <c r="B49" s="72" t="s">
        <v>988</v>
      </c>
      <c r="C49" s="72" t="s">
        <v>840</v>
      </c>
      <c r="D49" s="72" t="s">
        <v>985</v>
      </c>
      <c r="E49" s="76">
        <f t="array" ref="E49">XLOOKUP(TRIM(dim_lab_sca_map!$G49), TRIM(dim_lab_sca_rates!$C$2:$C$316), dim_lab_sca_rates!$G$2:$G$316, 0, 0)</f>
        <v>25.3</v>
      </c>
      <c r="F49" s="72" t="s">
        <v>10</v>
      </c>
      <c r="G49" s="72" t="str">
        <f>dim_lab_sca_map!$F49&amp;"|"&amp;dim_lab_sca_map!$A49</f>
        <v>C000016435|PCM|24 Hr</v>
      </c>
    </row>
    <row r="50" ht="15.75" customHeight="1">
      <c r="A50" s="72" t="str">
        <f>dim_lab_sca_map!$B50&amp;"|"&amp;dim_lab_sca_map!$D50</f>
        <v>TEM|3 Hr</v>
      </c>
      <c r="B50" s="72" t="s">
        <v>830</v>
      </c>
      <c r="C50" s="72" t="s">
        <v>830</v>
      </c>
      <c r="D50" s="72" t="s">
        <v>992</v>
      </c>
      <c r="E50" s="76">
        <f t="array" ref="E50">XLOOKUP(TRIM(dim_lab_sca_map!$G50), TRIM(dim_lab_sca_rates!$C$2:$C$316), dim_lab_sca_rates!$G$2:$G$316, 0, 0)</f>
        <v>170</v>
      </c>
      <c r="F50" s="72" t="s">
        <v>10</v>
      </c>
      <c r="G50" s="72" t="str">
        <f>dim_lab_sca_map!$F50&amp;"|"&amp;dim_lab_sca_map!$A50</f>
        <v>C000016435|TEM|3 Hr</v>
      </c>
    </row>
    <row r="51" ht="15.75" customHeight="1">
      <c r="A51" s="72" t="str">
        <f>dim_lab_sca_map!$B51&amp;"|"&amp;dim_lab_sca_map!$D51</f>
        <v>PCM|24 Hr</v>
      </c>
      <c r="B51" s="72" t="s">
        <v>988</v>
      </c>
      <c r="C51" s="72" t="s">
        <v>1095</v>
      </c>
      <c r="D51" s="72" t="s">
        <v>985</v>
      </c>
      <c r="E51" s="76">
        <f t="array" ref="E51">XLOOKUP(TRIM(dim_lab_sca_map!$G51), TRIM(dim_lab_sca_rates!$C$2:$C$316), dim_lab_sca_rates!$G$2:$G$316, 0, 0)</f>
        <v>25.3</v>
      </c>
      <c r="F51" s="72" t="s">
        <v>10</v>
      </c>
      <c r="G51" s="72" t="str">
        <f>dim_lab_sca_map!$F51&amp;"|"&amp;dim_lab_sca_map!$A51</f>
        <v>C000016435|PCM|24 Hr</v>
      </c>
    </row>
    <row r="52" ht="15.75" customHeight="1">
      <c r="A52" s="72" t="str">
        <f>dim_lab_sca_map!$B52&amp;"|"&amp;dim_lab_sca_map!$D52</f>
        <v>PCM|24 Hr</v>
      </c>
      <c r="B52" s="72" t="s">
        <v>988</v>
      </c>
      <c r="C52" s="72" t="s">
        <v>1096</v>
      </c>
      <c r="D52" s="72" t="s">
        <v>985</v>
      </c>
      <c r="E52" s="76">
        <f t="array" ref="E52">XLOOKUP(TRIM(dim_lab_sca_map!$G52), TRIM(dim_lab_sca_rates!$C$2:$C$316), dim_lab_sca_rates!$G$2:$G$316, 0, 0)</f>
        <v>25.3</v>
      </c>
      <c r="F52" s="72" t="s">
        <v>10</v>
      </c>
      <c r="G52" s="72" t="str">
        <f>dim_lab_sca_map!$F52&amp;"|"&amp;dim_lab_sca_map!$A52</f>
        <v>C000016435|PCM|24 Hr</v>
      </c>
    </row>
    <row r="53" ht="15.75" customHeight="1">
      <c r="A53" s="72" t="str">
        <f>dim_lab_sca_map!$B53&amp;"|"&amp;dim_lab_sca_map!$D53</f>
        <v>SLIDE PREP|0 Hr</v>
      </c>
      <c r="B53" s="72" t="s">
        <v>1000</v>
      </c>
      <c r="C53" s="72" t="s">
        <v>1000</v>
      </c>
      <c r="D53" s="72" t="s">
        <v>1002</v>
      </c>
      <c r="E53" s="76">
        <f t="array" ref="E53">XLOOKUP(TRIM(dim_lab_sca_map!$G53), TRIM(dim_lab_sca_rates!$C$2:$C$316), dim_lab_sca_rates!$G$2:$G$316, 0, 0)</f>
        <v>24.2</v>
      </c>
      <c r="F53" s="72" t="s">
        <v>10</v>
      </c>
      <c r="G53" s="72" t="str">
        <f>dim_lab_sca_map!$F53&amp;"|"&amp;dim_lab_sca_map!$A53</f>
        <v>C000016435|SLIDE PREP|0 Hr</v>
      </c>
    </row>
    <row r="54" ht="15.75" customHeight="1">
      <c r="A54" s="72" t="str">
        <f>dim_lab_sca_map!$B54&amp;"|"&amp;dim_lab_sca_map!$D54</f>
        <v>AMPH|10 Day</v>
      </c>
      <c r="B54" s="72" t="s">
        <v>1114</v>
      </c>
      <c r="C54" s="72" t="s">
        <v>1097</v>
      </c>
      <c r="D54" s="72" t="s">
        <v>975</v>
      </c>
      <c r="E54" s="76">
        <f t="array" ref="E54">XLOOKUP(TRIM(dim_lab_sca_map!$G54), TRIM(dim_lab_sca_rates!$C$2:$C$316), dim_lab_sca_rates!$G$2:$G$316, 0, 0)</f>
        <v>300</v>
      </c>
      <c r="F54" s="72" t="s">
        <v>10</v>
      </c>
      <c r="G54" s="72" t="str">
        <f>dim_lab_sca_map!$F54&amp;"|"&amp;dim_lab_sca_map!$A54</f>
        <v>C000016435|AMPH|10 Day</v>
      </c>
    </row>
    <row r="55" ht="15.75" customHeight="1">
      <c r="A55" s="72" t="str">
        <f>dim_lab_sca_map!$B55&amp;"|"&amp;dim_lab_sca_map!$D55</f>
        <v>PCM|24 Hr</v>
      </c>
      <c r="B55" s="72" t="s">
        <v>988</v>
      </c>
      <c r="C55" s="72" t="s">
        <v>1099</v>
      </c>
      <c r="D55" s="72" t="s">
        <v>985</v>
      </c>
      <c r="E55" s="76">
        <f t="array" ref="E55">XLOOKUP(TRIM(dim_lab_sca_map!$G55), TRIM(dim_lab_sca_rates!$C$2:$C$316), dim_lab_sca_rates!$G$2:$G$316, 0, 0)</f>
        <v>25.3</v>
      </c>
      <c r="F55" s="72" t="s">
        <v>10</v>
      </c>
      <c r="G55" s="72" t="str">
        <f>dim_lab_sca_map!$F55&amp;"|"&amp;dim_lab_sca_map!$A55</f>
        <v>C000016435|PCM|24 Hr</v>
      </c>
    </row>
    <row r="56" ht="15.75" customHeight="1">
      <c r="A56" s="72" t="str">
        <f>dim_lab_sca_map!$B56&amp;"|"&amp;dim_lab_sca_map!$D56</f>
        <v>PCM|6 Hr</v>
      </c>
      <c r="B56" s="72" t="s">
        <v>988</v>
      </c>
      <c r="C56" s="72" t="s">
        <v>1100</v>
      </c>
      <c r="D56" s="72" t="s">
        <v>986</v>
      </c>
      <c r="E56" s="76">
        <f t="array" ref="E56">XLOOKUP(TRIM(dim_lab_sca_map!$G56), TRIM(dim_lab_sca_rates!$C$2:$C$316), dim_lab_sca_rates!$G$2:$G$316, 0, 0)</f>
        <v>25.3</v>
      </c>
      <c r="F56" s="72" t="s">
        <v>10</v>
      </c>
      <c r="G56" s="72" t="str">
        <f>dim_lab_sca_map!$F56&amp;"|"&amp;dim_lab_sca_map!$A56</f>
        <v>C000016435|PCM|6 Hr</v>
      </c>
    </row>
    <row r="57" ht="15.75" customHeight="1">
      <c r="A57" s="72" t="str">
        <f>dim_lab_sca_map!$B57&amp;"|"&amp;dim_lab_sca_map!$D57</f>
        <v>PCM|1 Hr</v>
      </c>
      <c r="B57" s="72" t="s">
        <v>988</v>
      </c>
      <c r="C57" s="72" t="s">
        <v>1101</v>
      </c>
      <c r="D57" s="72" t="s">
        <v>984</v>
      </c>
      <c r="E57" s="76">
        <f t="array" ref="E57">XLOOKUP(TRIM(dim_lab_sca_map!$G57), TRIM(dim_lab_sca_rates!$C$2:$C$316), dim_lab_sca_rates!$G$2:$G$316, 0, 0)</f>
        <v>29.7</v>
      </c>
      <c r="F57" s="72" t="s">
        <v>10</v>
      </c>
      <c r="G57" s="72" t="str">
        <f>dim_lab_sca_map!$F57&amp;"|"&amp;dim_lab_sca_map!$A57</f>
        <v>C000016435|PCM|1 Hr</v>
      </c>
    </row>
    <row r="58" ht="15.75" customHeight="1">
      <c r="A58" s="72" t="str">
        <f>dim_lab_sca_map!$B58&amp;"|"&amp;dim_lab_sca_map!$D58</f>
        <v>LWS|24 Hr</v>
      </c>
      <c r="B58" s="72" t="s">
        <v>1010</v>
      </c>
      <c r="C58" s="72" t="s">
        <v>1010</v>
      </c>
      <c r="D58" s="72" t="s">
        <v>985</v>
      </c>
      <c r="E58" s="76">
        <f t="array" ref="E58">XLOOKUP(TRIM(dim_lab_sca_map!$G58), TRIM(dim_lab_sca_rates!$C$2:$C$316), dim_lab_sca_rates!$G$2:$G$316, 0, 0)</f>
        <v>30.4</v>
      </c>
      <c r="F58" s="72" t="s">
        <v>10</v>
      </c>
      <c r="G58" s="72" t="str">
        <f>dim_lab_sca_map!$F58&amp;"|"&amp;dim_lab_sca_map!$A58</f>
        <v>C000016435|LWS|24 Hr</v>
      </c>
    </row>
    <row r="59" ht="15.75" customHeight="1">
      <c r="A59" s="72" t="str">
        <f>dim_lab_sca_map!$B59&amp;"|"&amp;dim_lab_sca_map!$D59</f>
        <v>PCB|48 Hr</v>
      </c>
      <c r="B59" s="72" t="s">
        <v>952</v>
      </c>
      <c r="C59" s="72" t="s">
        <v>952</v>
      </c>
      <c r="D59" s="72" t="s">
        <v>1006</v>
      </c>
      <c r="E59" s="76">
        <f t="array" ref="E59">XLOOKUP(TRIM(dim_lab_sca_map!$G59), TRIM(dim_lab_sca_rates!$C$2:$C$316), dim_lab_sca_rates!$G$2:$G$316, 0, 0)</f>
        <v>0</v>
      </c>
      <c r="F59" s="72" t="s">
        <v>10</v>
      </c>
      <c r="G59" s="72" t="str">
        <f>dim_lab_sca_map!$F59&amp;"|"&amp;dim_lab_sca_map!$A59</f>
        <v>C000016435|PCB|48 Hr</v>
      </c>
    </row>
    <row r="60" ht="15.75" customHeight="1">
      <c r="A60" s="72" t="str">
        <f>dim_lab_sca_map!$B60&amp;"|"&amp;dim_lab_sca_map!$D60</f>
        <v>WMF|0 Hr</v>
      </c>
      <c r="B60" s="72" t="s">
        <v>1103</v>
      </c>
      <c r="C60" s="72" t="s">
        <v>1103</v>
      </c>
      <c r="D60" s="72" t="s">
        <v>1002</v>
      </c>
      <c r="E60" s="76">
        <f t="array" ref="E60">XLOOKUP(TRIM(dim_lab_sca_map!$G60), TRIM(dim_lab_sca_rates!$C$2:$C$316), dim_lab_sca_rates!$G$2:$G$316, 0, 0)</f>
        <v>0</v>
      </c>
      <c r="F60" s="72" t="s">
        <v>10</v>
      </c>
      <c r="G60" s="72" t="str">
        <f>dim_lab_sca_map!$F60&amp;"|"&amp;dim_lab_sca_map!$A60</f>
        <v>C000016435|WMF|0 Hr</v>
      </c>
    </row>
    <row r="61" ht="15.75" customHeight="1">
      <c r="A61" s="72" t="str">
        <f>dim_lab_sca_map!$B61&amp;"|"&amp;dim_lab_sca_map!$D61</f>
        <v>WCF|0 Hr</v>
      </c>
      <c r="B61" s="72" t="s">
        <v>1104</v>
      </c>
      <c r="C61" s="72" t="s">
        <v>1104</v>
      </c>
      <c r="D61" s="72" t="s">
        <v>1002</v>
      </c>
      <c r="E61" s="76">
        <f t="array" ref="E61">XLOOKUP(TRIM(dim_lab_sca_map!$G61), TRIM(dim_lab_sca_rates!$C$2:$C$316), dim_lab_sca_rates!$G$2:$G$316, 0, 0)</f>
        <v>0</v>
      </c>
      <c r="F61" s="72" t="s">
        <v>10</v>
      </c>
      <c r="G61" s="72" t="str">
        <f>dim_lab_sca_map!$F61&amp;"|"&amp;dim_lab_sca_map!$A61</f>
        <v>C000016435|WCF|0 Hr</v>
      </c>
    </row>
    <row r="62" ht="15.75" customHeight="1">
      <c r="A62" s="72" t="str">
        <f>dim_lab_sca_map!$B62&amp;"|"&amp;dim_lab_sca_map!$D62</f>
        <v>LWS|24 Hr</v>
      </c>
      <c r="B62" s="72" t="s">
        <v>1010</v>
      </c>
      <c r="C62" s="72" t="s">
        <v>1010</v>
      </c>
      <c r="D62" s="72" t="s">
        <v>985</v>
      </c>
      <c r="E62" s="76">
        <f t="array" ref="E62">XLOOKUP(TRIM(dim_lab_sca_map!$G62), TRIM(dim_lab_sca_rates!$C$2:$C$316), dim_lab_sca_rates!$G$2:$G$316, 0, 0)</f>
        <v>30.4</v>
      </c>
      <c r="F62" s="72" t="s">
        <v>10</v>
      </c>
      <c r="G62" s="72" t="str">
        <f>dim_lab_sca_map!$F62&amp;"|"&amp;dim_lab_sca_map!$A62</f>
        <v>C000016435|LWS|24 Hr</v>
      </c>
    </row>
    <row r="63" ht="15.75" customHeight="1">
      <c r="A63" s="72" t="str">
        <f>dim_lab_sca_map!$B63&amp;"|"&amp;dim_lab_sca_map!$D63</f>
        <v>AMPH|2 Day</v>
      </c>
      <c r="B63" s="72" t="s">
        <v>1114</v>
      </c>
      <c r="C63" s="72" t="s">
        <v>1107</v>
      </c>
      <c r="D63" s="72" t="s">
        <v>976</v>
      </c>
      <c r="E63" s="76">
        <f t="array" ref="E63">XLOOKUP(TRIM(dim_lab_sca_map!$G63), TRIM(dim_lab_sca_rates!$C$2:$C$316), dim_lab_sca_rates!$G$2:$G$316, 0, 0)</f>
        <v>618</v>
      </c>
      <c r="F63" s="72" t="s">
        <v>10</v>
      </c>
      <c r="G63" s="72" t="str">
        <f>dim_lab_sca_map!$F63&amp;"|"&amp;dim_lab_sca_map!$A63</f>
        <v>C000016435|AMPH|2 Day</v>
      </c>
    </row>
    <row r="64" ht="15.75" customHeight="1">
      <c r="A64" s="72" t="str">
        <f>dim_lab_sca_map!$B64&amp;"|"&amp;dim_lab_sca_map!$D64</f>
        <v>CHRYS|2 Day</v>
      </c>
      <c r="B64" s="72" t="s">
        <v>1115</v>
      </c>
      <c r="C64" s="72" t="s">
        <v>1108</v>
      </c>
      <c r="D64" s="72" t="s">
        <v>976</v>
      </c>
      <c r="E64" s="76">
        <f t="array" ref="E64">XLOOKUP(TRIM(dim_lab_sca_map!$G64), TRIM(dim_lab_sca_rates!$C$2:$C$316), dim_lab_sca_rates!$G$2:$G$316, 0, 0)</f>
        <v>510</v>
      </c>
      <c r="F64" s="72" t="s">
        <v>10</v>
      </c>
      <c r="G64" s="72" t="str">
        <f>dim_lab_sca_map!$F64&amp;"|"&amp;dim_lab_sca_map!$A64</f>
        <v>C000016435|CHRYS|2 Day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8.63"/>
    <col customWidth="1" min="3" max="3" width="11.38"/>
    <col customWidth="1" min="4" max="18" width="8.63"/>
  </cols>
  <sheetData>
    <row r="1">
      <c r="A1" s="72" t="s">
        <v>1116</v>
      </c>
      <c r="B1" s="72" t="s">
        <v>136</v>
      </c>
      <c r="C1" s="71" t="s">
        <v>1117</v>
      </c>
    </row>
    <row r="2">
      <c r="A2" s="72">
        <f t="array" ref="A2">XLOOKUP(dim_fixed_fees!$B2,dim_job!$B$2:$B$6,dim_job!$A$2:$A$6,"",0)</f>
        <v>3</v>
      </c>
      <c r="B2" s="71" t="s">
        <v>342</v>
      </c>
      <c r="C2" s="72">
        <v>700.0</v>
      </c>
    </row>
    <row r="3">
      <c r="A3" s="72">
        <f t="array" ref="A3">XLOOKUP(dim_fixed_fees!$B3,dim_job!$B$2:$B$6,dim_job!$A$2:$A$6,"",0)</f>
        <v>5</v>
      </c>
      <c r="B3" s="72" t="s">
        <v>358</v>
      </c>
      <c r="C3" s="72">
        <v>775.0</v>
      </c>
    </row>
    <row r="4">
      <c r="A4" s="72">
        <f t="array" ref="A4">XLOOKUP(dim_fixed_fees!$B4,dim_job!$B$2:$B$6,dim_job!$A$2:$A$6,"",0)</f>
        <v>4</v>
      </c>
      <c r="B4" s="71" t="s">
        <v>268</v>
      </c>
      <c r="C4" s="72">
        <v>700.0</v>
      </c>
    </row>
    <row r="5">
      <c r="A5" s="72">
        <f t="array" ref="A5">XLOOKUP(dim_fixed_fees!$B5,dim_job!$B$2:$B$6,dim_job!$A$2:$A$6,"",0)</f>
        <v>2</v>
      </c>
      <c r="B5" s="72" t="s">
        <v>298</v>
      </c>
      <c r="C5" s="72">
        <v>200.0</v>
      </c>
    </row>
    <row r="6">
      <c r="A6" s="72">
        <f t="array" ref="A6">XLOOKUP(dim_fixed_fees!$B6,dim_job!$B$2:$B$6,dim_job!$A$2:$A$6,"",0)</f>
        <v>1</v>
      </c>
      <c r="B6" s="72" t="s">
        <v>178</v>
      </c>
      <c r="C6" s="72">
        <v>700.0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88"/>
    <col customWidth="1" min="2" max="3" width="20.88"/>
    <col customWidth="1" min="4" max="4" width="13.38"/>
    <col customWidth="1" min="5" max="5" width="16.63"/>
    <col customWidth="1" min="6" max="6" width="11.0"/>
    <col customWidth="1" min="7" max="7" width="13.75"/>
    <col customWidth="1" min="8" max="8" width="14.25"/>
    <col customWidth="1" min="9" max="9" width="10.63"/>
    <col customWidth="1" min="10" max="10" width="13.75"/>
    <col customWidth="1" min="11" max="11" width="16.75"/>
    <col customWidth="1" min="12" max="12" width="16.88"/>
    <col customWidth="1" min="13" max="13" width="23.25"/>
    <col customWidth="1" min="14" max="14" width="37.0"/>
    <col customWidth="1" min="15" max="15" width="19.88"/>
    <col customWidth="1" min="16" max="17" width="20.25"/>
    <col customWidth="1" min="18" max="18" width="10.63"/>
    <col customWidth="1" min="19" max="19" width="14.13"/>
    <col customWidth="1" min="20" max="20" width="12.0"/>
    <col customWidth="1" min="21" max="21" width="13.0"/>
    <col customWidth="1" min="22" max="26" width="8.63"/>
  </cols>
  <sheetData>
    <row r="1">
      <c r="A1" s="98" t="s">
        <v>656</v>
      </c>
      <c r="B1" s="98" t="s">
        <v>646</v>
      </c>
      <c r="C1" s="98" t="s">
        <v>880</v>
      </c>
      <c r="D1" s="98" t="s">
        <v>729</v>
      </c>
      <c r="E1" s="98" t="s">
        <v>891</v>
      </c>
      <c r="F1" s="98" t="s">
        <v>1118</v>
      </c>
      <c r="G1" s="98" t="s">
        <v>1119</v>
      </c>
      <c r="H1" s="98" t="s">
        <v>1120</v>
      </c>
      <c r="I1" s="98" t="s">
        <v>136</v>
      </c>
      <c r="J1" s="98" t="s">
        <v>1121</v>
      </c>
      <c r="K1" s="98" t="s">
        <v>1122</v>
      </c>
      <c r="L1" s="98" t="s">
        <v>102</v>
      </c>
      <c r="M1" s="98" t="s">
        <v>1123</v>
      </c>
      <c r="N1" s="98" t="s">
        <v>1124</v>
      </c>
      <c r="O1" s="98" t="s">
        <v>1125</v>
      </c>
      <c r="P1" s="98" t="s">
        <v>1126</v>
      </c>
      <c r="Q1" s="98" t="s">
        <v>1127</v>
      </c>
      <c r="R1" s="98" t="s">
        <v>1128</v>
      </c>
      <c r="S1" s="98" t="s">
        <v>1129</v>
      </c>
      <c r="T1" s="98" t="s">
        <v>1130</v>
      </c>
      <c r="U1" s="98" t="s">
        <v>1131</v>
      </c>
      <c r="V1" s="96" t="s">
        <v>1132</v>
      </c>
    </row>
    <row r="2">
      <c r="A2" s="104">
        <f t="array" ref="A2">XLOOKUP(fact_labor!$B2,dim_technician!$H$2:$H$39,dim_technician!$A$2:$A$39,"",0)</f>
        <v>15</v>
      </c>
      <c r="B2" s="72" t="str">
        <f>LOWER(SUBSTITUTE(fact_labor!$C2," ","")&amp;TEXT(fact_labor!$D2,"00"))</f>
        <v>igorgroysman01</v>
      </c>
      <c r="C2" s="72" t="str">
        <f>stg_payroll!$A2</f>
        <v>Igor Groysman</v>
      </c>
      <c r="D2" s="97">
        <f>stg_payroll!$B2</f>
        <v>1</v>
      </c>
      <c r="E2" s="105">
        <f>stg_payroll!$C2</f>
        <v>38</v>
      </c>
      <c r="F2" s="75">
        <f>stg_payroll!$E2</f>
        <v>44910</v>
      </c>
      <c r="G2" s="75">
        <f t="array" ref="G2">XLOOKUP(fact_labor!$F2,dim_date!$A$2:$A$2924,dim_date!$G$2:$G$2924,"",0)</f>
        <v>44912</v>
      </c>
      <c r="H2" s="106">
        <f>stg_payroll!$G2</f>
        <v>6.5</v>
      </c>
      <c r="I2" s="107" t="str">
        <f>stg_payroll!$H2</f>
        <v>22S-079</v>
      </c>
      <c r="J2" s="76" t="str">
        <f>stg_payroll!$J2</f>
        <v/>
      </c>
      <c r="K2" s="72" t="str">
        <f>TRIM(fact_labor!$I2)</f>
        <v>22S-079</v>
      </c>
      <c r="L2" s="72" t="str">
        <f t="array" ref="L2">XLOOKUP(fact_labor!$K2,TRIM(dim_job!$B$2:$B$6),#REF!,"no contract",0)</f>
        <v>#N/A</v>
      </c>
      <c r="M2" s="72" t="str">
        <f t="array" ref="M2">XLOOKUP(fact_labor!$A2,dim_technician!$A$2:$A$39,#REF!,"",0)</f>
        <v>#N/A</v>
      </c>
      <c r="N2" s="72" t="str">
        <f>fact_labor!$L2&amp;" "&amp;fact_labor!$M2</f>
        <v>#N/A</v>
      </c>
      <c r="O2" s="72" t="str">
        <f t="array" ref="O2">XLOOKUP(fact_labor!$L2, stg_contract_values!$A$2:$A$4,stg_contract_values!$E$2:$E$4,"",0)</f>
        <v>#N/A</v>
      </c>
      <c r="P2" s="105" t="str">
        <f t="array" ref="P2">XLOOKUP(fact_labor!$N2,dim_sca_labor_rate!$F$2:$F$100, dim_sca_labor_rate!$J$2:$J$100,0,0)</f>
        <v>#N/A</v>
      </c>
      <c r="Q2" s="105" t="str">
        <f>fact_labor!$E2*fact_labor!$O2</f>
        <v>#N/A</v>
      </c>
      <c r="R2" s="105" t="str">
        <f>IF(fact_labor!$L2="no contract",0,fact_labor!$E2*fact_labor!$H2)</f>
        <v>#N/A</v>
      </c>
      <c r="S2" s="105" t="str">
        <f>IF(fact_labor!$L2="no contract",0,fact_labor!$P2*fact_labor!$H2)</f>
        <v>#N/A</v>
      </c>
      <c r="T2" s="105" t="str">
        <f>fact_labor!$S2-fact_labor!$R2</f>
        <v>#N/A</v>
      </c>
      <c r="U2" s="108" t="str">
        <f>IF(fact_labor!$L2="no contract",0,((fact_labor!$S2-fact_labor!$R2)/fact_labor!$S2))</f>
        <v>#N/A</v>
      </c>
      <c r="V2" s="109"/>
    </row>
    <row r="3">
      <c r="A3" s="104">
        <f t="array" ref="A3">XLOOKUP(fact_labor!$B3,dim_technician!$H$2:$H$39,dim_technician!$A$2:$A$39,"",0)</f>
        <v>15</v>
      </c>
      <c r="B3" s="72" t="str">
        <f>LOWER(SUBSTITUTE(fact_labor!$C3," ","")&amp;TEXT(fact_labor!$D3,"00"))</f>
        <v>igorgroysman01</v>
      </c>
      <c r="C3" s="72" t="str">
        <f>stg_payroll!$A3</f>
        <v>Igor Groysman</v>
      </c>
      <c r="D3" s="97">
        <f>stg_payroll!$B3</f>
        <v>1</v>
      </c>
      <c r="E3" s="105">
        <f>stg_payroll!$C3</f>
        <v>38</v>
      </c>
      <c r="F3" s="75">
        <f>stg_payroll!$E3</f>
        <v>44911</v>
      </c>
      <c r="G3" s="75">
        <f t="array" ref="G3">XLOOKUP(fact_labor!$F3,dim_date!$A$2:$A$2924,dim_date!$G$2:$G$2924,"",0)</f>
        <v>44912</v>
      </c>
      <c r="H3" s="106">
        <f>stg_payroll!$G3</f>
        <v>4.5</v>
      </c>
      <c r="I3" s="107" t="str">
        <f>stg_payroll!$H3</f>
        <v>22S-079</v>
      </c>
      <c r="J3" s="76" t="str">
        <f>stg_payroll!$J3</f>
        <v/>
      </c>
      <c r="K3" s="72" t="str">
        <f>TRIM(fact_labor!$I3)</f>
        <v>22S-079</v>
      </c>
      <c r="L3" s="72" t="str">
        <f t="array" ref="L3">XLOOKUP(fact_labor!$K3,TRIM(dim_job!$B$2:$B$6),#REF!,"no contract",0)</f>
        <v>#N/A</v>
      </c>
      <c r="M3" s="72" t="str">
        <f t="array" ref="M3">XLOOKUP(fact_labor!$A3,dim_technician!$A$2:$A$39,#REF!,"",0)</f>
        <v>#N/A</v>
      </c>
      <c r="N3" s="72" t="str">
        <f>fact_labor!$L3&amp;" "&amp;fact_labor!$M3</f>
        <v>#N/A</v>
      </c>
      <c r="O3" s="72" t="str">
        <f t="array" ref="O3">XLOOKUP(fact_labor!$L3, stg_contract_values!$A$2:$A$4,stg_contract_values!$E$2:$E$4,"",0)</f>
        <v>#N/A</v>
      </c>
      <c r="P3" s="105" t="str">
        <f t="array" ref="P3">XLOOKUP(fact_labor!$N3,dim_sca_labor_rate!$F$2:$F$100, dim_sca_labor_rate!$J$2:$J$100,0,0)</f>
        <v>#N/A</v>
      </c>
      <c r="Q3" s="105" t="str">
        <f>fact_labor!$E3*fact_labor!$O3</f>
        <v>#N/A</v>
      </c>
      <c r="R3" s="105" t="str">
        <f>IF(fact_labor!$L3="no contract",0,fact_labor!$E3*fact_labor!$H3)</f>
        <v>#N/A</v>
      </c>
      <c r="S3" s="105" t="str">
        <f>IF(fact_labor!$L3="no contract",0,fact_labor!$P3*fact_labor!$H3)</f>
        <v>#N/A</v>
      </c>
      <c r="T3" s="105" t="str">
        <f>fact_labor!$S3-fact_labor!$R3</f>
        <v>#N/A</v>
      </c>
      <c r="U3" s="108" t="str">
        <f>IF(fact_labor!$L3="no contract",0,((fact_labor!$S3-fact_labor!$R3)/fact_labor!$S3))</f>
        <v>#N/A</v>
      </c>
      <c r="V3" s="109"/>
    </row>
    <row r="4">
      <c r="A4" s="104">
        <f t="array" ref="A4">XLOOKUP(fact_labor!$B4,dim_technician!$H$2:$H$39,dim_technician!$A$2:$A$39,"",0)</f>
        <v>18</v>
      </c>
      <c r="B4" s="72" t="str">
        <f>LOWER(SUBSTITUTE(fact_labor!$C4," ","")&amp;TEXT(fact_labor!$D4,"00"))</f>
        <v>ricardovilchez01</v>
      </c>
      <c r="C4" s="72" t="str">
        <f>stg_payroll!$A4</f>
        <v>Ricardo Vilchez</v>
      </c>
      <c r="D4" s="97">
        <f>stg_payroll!$B4</f>
        <v>1</v>
      </c>
      <c r="E4" s="105">
        <f>stg_payroll!$C4</f>
        <v>38</v>
      </c>
      <c r="F4" s="75">
        <f>stg_payroll!$E4</f>
        <v>45120</v>
      </c>
      <c r="G4" s="75">
        <f t="array" ref="G4">XLOOKUP(fact_labor!$F4,dim_date!$A$2:$A$2924,dim_date!$G$2:$G$2924,"",0)</f>
        <v>45122</v>
      </c>
      <c r="H4" s="106">
        <f>stg_payroll!$G4</f>
        <v>11</v>
      </c>
      <c r="I4" s="107" t="str">
        <f>stg_payroll!$H4</f>
        <v>23S-056</v>
      </c>
      <c r="J4" s="76">
        <f>stg_payroll!$J4</f>
        <v>6.55</v>
      </c>
      <c r="K4" s="72" t="str">
        <f>TRIM(fact_labor!$I4)</f>
        <v>23S-056</v>
      </c>
      <c r="L4" s="72" t="str">
        <f t="array" ref="L4">XLOOKUP(fact_labor!$K4,TRIM(dim_job!$B$2:$B$6),#REF!,"no contract",0)</f>
        <v>#N/A</v>
      </c>
      <c r="M4" s="72" t="str">
        <f t="array" ref="M4">XLOOKUP(fact_labor!$A4,dim_technician!$A$2:$A$39,#REF!,"",0)</f>
        <v>#N/A</v>
      </c>
      <c r="N4" s="72" t="str">
        <f>fact_labor!$L4&amp;" "&amp;fact_labor!$M4</f>
        <v>#N/A</v>
      </c>
      <c r="O4" s="72" t="str">
        <f t="array" ref="O4">XLOOKUP(fact_labor!$L4, stg_contract_values!$A$2:$A$4,stg_contract_values!$E$2:$E$4,"",0)</f>
        <v>#N/A</v>
      </c>
      <c r="P4" s="105" t="str">
        <f t="array" ref="P4">XLOOKUP(fact_labor!$N4,dim_sca_labor_rate!$F$2:$F$100, dim_sca_labor_rate!$J$2:$J$100,0,0)</f>
        <v>#N/A</v>
      </c>
      <c r="Q4" s="105" t="str">
        <f>fact_labor!$E4*fact_labor!$O4</f>
        <v>#N/A</v>
      </c>
      <c r="R4" s="105" t="str">
        <f>IF(fact_labor!$L4="no contract",0,fact_labor!$E4*fact_labor!$H4)</f>
        <v>#N/A</v>
      </c>
      <c r="S4" s="105" t="str">
        <f>IF(fact_labor!$L4="no contract",0,fact_labor!$P4*fact_labor!$H4)</f>
        <v>#N/A</v>
      </c>
      <c r="T4" s="105" t="str">
        <f>fact_labor!$S4-fact_labor!$R4</f>
        <v>#N/A</v>
      </c>
      <c r="U4" s="108" t="str">
        <f>IF(fact_labor!$L4="no contract",0,((fact_labor!$S4-fact_labor!$R4)/fact_labor!$S4))</f>
        <v>#N/A</v>
      </c>
      <c r="V4" s="109"/>
    </row>
    <row r="5">
      <c r="A5" s="104">
        <f t="array" ref="A5">XLOOKUP(fact_labor!$B5,dim_technician!$H$2:$H$39,dim_technician!$A$2:$A$39,"",0)</f>
        <v>1</v>
      </c>
      <c r="B5" s="72" t="str">
        <f>LOWER(SUBSTITUTE(fact_labor!$C5," ","")&amp;TEXT(fact_labor!$D5,"00"))</f>
        <v>cornelalbu01</v>
      </c>
      <c r="C5" s="72" t="str">
        <f>stg_payroll!$A5</f>
        <v>Cornel Albu</v>
      </c>
      <c r="D5" s="97">
        <f>stg_payroll!$B5</f>
        <v>1</v>
      </c>
      <c r="E5" s="105">
        <f>stg_payroll!$C5</f>
        <v>38</v>
      </c>
      <c r="F5" s="75">
        <f>stg_payroll!$E5</f>
        <v>45583</v>
      </c>
      <c r="G5" s="75">
        <f t="array" ref="G5">XLOOKUP(fact_labor!$F5,dim_date!$A$2:$A$2924,dim_date!$G$2:$G$2924,"",0)</f>
        <v>45584</v>
      </c>
      <c r="H5" s="106">
        <f>stg_payroll!$G5</f>
        <v>7.5</v>
      </c>
      <c r="I5" s="107" t="str">
        <f>stg_payroll!$H5</f>
        <v>24S-114</v>
      </c>
      <c r="J5" s="76" t="str">
        <f>stg_payroll!$J5</f>
        <v/>
      </c>
      <c r="K5" s="72" t="str">
        <f>TRIM(fact_labor!$I5)</f>
        <v>24S-114</v>
      </c>
      <c r="L5" s="72" t="str">
        <f t="array" ref="L5">XLOOKUP(fact_labor!$K5,TRIM(dim_job!$B$2:$B$6),#REF!,"no contract",0)</f>
        <v>#N/A</v>
      </c>
      <c r="M5" s="72" t="str">
        <f t="array" ref="M5">XLOOKUP(fact_labor!$A5,dim_technician!$A$2:$A$39,#REF!,"",0)</f>
        <v>#N/A</v>
      </c>
      <c r="N5" s="72" t="str">
        <f>fact_labor!$L5&amp;" "&amp;fact_labor!$M5</f>
        <v>#N/A</v>
      </c>
      <c r="O5" s="72" t="str">
        <f t="array" ref="O5">XLOOKUP(fact_labor!$L5, stg_contract_values!$A$2:$A$4,stg_contract_values!$E$2:$E$4,"",0)</f>
        <v>#N/A</v>
      </c>
      <c r="P5" s="105" t="str">
        <f t="array" ref="P5">XLOOKUP(fact_labor!$N5,dim_sca_labor_rate!$F$2:$F$100, dim_sca_labor_rate!$J$2:$J$100,0,0)</f>
        <v>#N/A</v>
      </c>
      <c r="Q5" s="105" t="str">
        <f>fact_labor!$E5*fact_labor!$O5</f>
        <v>#N/A</v>
      </c>
      <c r="R5" s="105" t="str">
        <f>IF(fact_labor!$L5="no contract",0,fact_labor!$E5*fact_labor!$H5)</f>
        <v>#N/A</v>
      </c>
      <c r="S5" s="105" t="str">
        <f>IF(fact_labor!$L5="no contract",0,fact_labor!$P5*fact_labor!$H5)</f>
        <v>#N/A</v>
      </c>
      <c r="T5" s="105" t="str">
        <f>fact_labor!$S5-fact_labor!$R5</f>
        <v>#N/A</v>
      </c>
      <c r="U5" s="108" t="str">
        <f>IF(fact_labor!$L5="no contract",0,((fact_labor!$S5-fact_labor!$R5)/fact_labor!$S5))</f>
        <v>#N/A</v>
      </c>
      <c r="V5" s="109"/>
    </row>
    <row r="6">
      <c r="A6" s="104">
        <f t="array" ref="A6">XLOOKUP(fact_labor!$B6,dim_technician!$H$2:$H$39,dim_technician!$A$2:$A$39,"",0)</f>
        <v>1</v>
      </c>
      <c r="B6" s="72" t="str">
        <f>LOWER(SUBSTITUTE(fact_labor!$C6," ","")&amp;TEXT(fact_labor!$D6,"00"))</f>
        <v>cornelalbu01</v>
      </c>
      <c r="C6" s="72" t="str">
        <f>stg_payroll!$A6</f>
        <v>Cornel Albu</v>
      </c>
      <c r="D6" s="97">
        <f>stg_payroll!$B6</f>
        <v>1</v>
      </c>
      <c r="E6" s="105">
        <f>stg_payroll!$C6</f>
        <v>38</v>
      </c>
      <c r="F6" s="75">
        <f>stg_payroll!$E6</f>
        <v>45584</v>
      </c>
      <c r="G6" s="75">
        <f t="array" ref="G6">XLOOKUP(fact_labor!$F6,dim_date!$A$2:$A$2924,dim_date!$G$2:$G$2924,"",0)</f>
        <v>45584</v>
      </c>
      <c r="H6" s="106">
        <f>stg_payroll!$G6</f>
        <v>18.5</v>
      </c>
      <c r="I6" s="107" t="str">
        <f>stg_payroll!$H6</f>
        <v>24S-114</v>
      </c>
      <c r="J6" s="76" t="str">
        <f>stg_payroll!$J6</f>
        <v/>
      </c>
      <c r="K6" s="72" t="str">
        <f>TRIM(fact_labor!$I6)</f>
        <v>24S-114</v>
      </c>
      <c r="L6" s="72" t="str">
        <f t="array" ref="L6">XLOOKUP(fact_labor!$K6,TRIM(dim_job!$B$2:$B$6),#REF!,"no contract",0)</f>
        <v>#N/A</v>
      </c>
      <c r="M6" s="72" t="str">
        <f t="array" ref="M6">XLOOKUP(fact_labor!$A6,dim_technician!$A$2:$A$39,#REF!,"",0)</f>
        <v>#N/A</v>
      </c>
      <c r="N6" s="72" t="str">
        <f>fact_labor!$L6&amp;" "&amp;fact_labor!$M6</f>
        <v>#N/A</v>
      </c>
      <c r="O6" s="72" t="str">
        <f t="array" ref="O6">XLOOKUP(fact_labor!$L6, stg_contract_values!$A$2:$A$4,stg_contract_values!$E$2:$E$4,"",0)</f>
        <v>#N/A</v>
      </c>
      <c r="P6" s="105" t="str">
        <f t="array" ref="P6">XLOOKUP(fact_labor!$N6,dim_sca_labor_rate!$F$2:$F$100, dim_sca_labor_rate!$J$2:$J$100,0,0)</f>
        <v>#N/A</v>
      </c>
      <c r="Q6" s="105" t="str">
        <f>fact_labor!$E6*fact_labor!$O6</f>
        <v>#N/A</v>
      </c>
      <c r="R6" s="105" t="str">
        <f>IF(fact_labor!$L6="no contract",0,fact_labor!$E6*fact_labor!$H6)</f>
        <v>#N/A</v>
      </c>
      <c r="S6" s="105" t="str">
        <f>IF(fact_labor!$L6="no contract",0,fact_labor!$P6*fact_labor!$H6)</f>
        <v>#N/A</v>
      </c>
      <c r="T6" s="105" t="str">
        <f>fact_labor!$S6-fact_labor!$R6</f>
        <v>#N/A</v>
      </c>
      <c r="U6" s="108" t="str">
        <f>IF(fact_labor!$L6="no contract",0,((fact_labor!$S6-fact_labor!$R6)/fact_labor!$S6))</f>
        <v>#N/A</v>
      </c>
      <c r="V6" s="109"/>
    </row>
    <row r="7">
      <c r="A7" s="104">
        <f t="array" ref="A7">XLOOKUP(fact_labor!$B7,dim_technician!$H$2:$H$39,dim_technician!$A$2:$A$39,"",0)</f>
        <v>3</v>
      </c>
      <c r="B7" s="72" t="str">
        <f>LOWER(SUBSTITUTE(fact_labor!$C7," ","")&amp;TEXT(fact_labor!$D7,"00"))</f>
        <v>cornelalbu03</v>
      </c>
      <c r="C7" s="72" t="str">
        <f>stg_payroll!$A7</f>
        <v>Cornel Albu</v>
      </c>
      <c r="D7" s="97">
        <f>stg_payroll!$B7</f>
        <v>3</v>
      </c>
      <c r="E7" s="105">
        <f>stg_payroll!$C7</f>
        <v>45</v>
      </c>
      <c r="F7" s="75">
        <f>stg_payroll!$E7</f>
        <v>45698</v>
      </c>
      <c r="G7" s="75">
        <f t="array" ref="G7">XLOOKUP(fact_labor!$F7,dim_date!$A$2:$A$2924,dim_date!$G$2:$G$2924,"",0)</f>
        <v>45703</v>
      </c>
      <c r="H7" s="106">
        <f>stg_payroll!$G7</f>
        <v>9</v>
      </c>
      <c r="I7" s="107" t="str">
        <f>stg_payroll!$H7</f>
        <v>25S-010</v>
      </c>
      <c r="J7" s="76" t="str">
        <f>stg_payroll!$J7</f>
        <v/>
      </c>
      <c r="K7" s="72" t="str">
        <f>TRIM(fact_labor!$I7)</f>
        <v>25S-010</v>
      </c>
      <c r="L7" s="72" t="str">
        <f t="array" ref="L7">XLOOKUP(fact_labor!$K7,TRIM(dim_job!$B$2:$B$6),#REF!,"no contract",0)</f>
        <v>#N/A</v>
      </c>
      <c r="M7" s="72" t="str">
        <f t="array" ref="M7">XLOOKUP(fact_labor!$A7,dim_technician!$A$2:$A$39,#REF!,"",0)</f>
        <v>#N/A</v>
      </c>
      <c r="N7" s="72" t="str">
        <f>fact_labor!$L7&amp;" "&amp;fact_labor!$M7</f>
        <v>#N/A</v>
      </c>
      <c r="O7" s="72" t="str">
        <f t="array" ref="O7">XLOOKUP(fact_labor!$L7, stg_contract_values!$A$2:$A$4,stg_contract_values!$E$2:$E$4,"",0)</f>
        <v>#N/A</v>
      </c>
      <c r="P7" s="105" t="str">
        <f t="array" ref="P7">XLOOKUP(fact_labor!$N7,dim_sca_labor_rate!$F$2:$F$100, dim_sca_labor_rate!$J$2:$J$100,0,0)</f>
        <v>#N/A</v>
      </c>
      <c r="Q7" s="105" t="str">
        <f>fact_labor!$E7*fact_labor!$O7</f>
        <v>#N/A</v>
      </c>
      <c r="R7" s="105" t="str">
        <f>IF(fact_labor!$L7="no contract",0,fact_labor!$E7*fact_labor!$H7)</f>
        <v>#N/A</v>
      </c>
      <c r="S7" s="105" t="str">
        <f>IF(fact_labor!$L7="no contract",0,fact_labor!$P7*fact_labor!$H7)</f>
        <v>#N/A</v>
      </c>
      <c r="T7" s="105" t="str">
        <f>fact_labor!$S7-fact_labor!$R7</f>
        <v>#N/A</v>
      </c>
      <c r="U7" s="108" t="str">
        <f>IF(fact_labor!$L7="no contract",0,((fact_labor!$S7-fact_labor!$R7)/fact_labor!$S7))</f>
        <v>#N/A</v>
      </c>
      <c r="V7" s="109"/>
    </row>
    <row r="8">
      <c r="A8" s="104">
        <f t="array" ref="A8">XLOOKUP(fact_labor!$B8,dim_technician!$H$2:$H$39,dim_technician!$A$2:$A$39,"",0)</f>
        <v>1</v>
      </c>
      <c r="B8" s="72" t="str">
        <f>LOWER(SUBSTITUTE(fact_labor!$C8," ","")&amp;TEXT(fact_labor!$D8,"00"))</f>
        <v>cornelalbu01</v>
      </c>
      <c r="C8" s="72" t="str">
        <f>stg_payroll!$A8</f>
        <v>Cornel Albu</v>
      </c>
      <c r="D8" s="97">
        <f>stg_payroll!$B8</f>
        <v>1</v>
      </c>
      <c r="E8" s="105">
        <f>stg_payroll!$C8</f>
        <v>38</v>
      </c>
      <c r="F8" s="75">
        <f>stg_payroll!$E8</f>
        <v>45743</v>
      </c>
      <c r="G8" s="75">
        <f t="array" ref="G8">XLOOKUP(fact_labor!$F8,dim_date!$A$2:$A$2924,dim_date!$G$2:$G$2924,"",0)</f>
        <v>45745</v>
      </c>
      <c r="H8" s="106">
        <f>stg_payroll!$G8</f>
        <v>5</v>
      </c>
      <c r="I8" s="107" t="str">
        <f>stg_payroll!$H8</f>
        <v>25S-010</v>
      </c>
      <c r="J8" s="76" t="str">
        <f>stg_payroll!$J8</f>
        <v/>
      </c>
      <c r="K8" s="72" t="str">
        <f>TRIM(fact_labor!$I8)</f>
        <v>25S-010</v>
      </c>
      <c r="L8" s="72" t="str">
        <f t="array" ref="L8">XLOOKUP(fact_labor!$K8,TRIM(dim_job!$B$2:$B$6),#REF!,"no contract",0)</f>
        <v>#N/A</v>
      </c>
      <c r="M8" s="72" t="str">
        <f t="array" ref="M8">XLOOKUP(fact_labor!$A8,dim_technician!$A$2:$A$39,#REF!,"",0)</f>
        <v>#N/A</v>
      </c>
      <c r="N8" s="72" t="str">
        <f>fact_labor!$L8&amp;" "&amp;fact_labor!$M8</f>
        <v>#N/A</v>
      </c>
      <c r="O8" s="72" t="str">
        <f t="array" ref="O8">XLOOKUP(fact_labor!$L8, stg_contract_values!$A$2:$A$4,stg_contract_values!$E$2:$E$4,"",0)</f>
        <v>#N/A</v>
      </c>
      <c r="P8" s="105" t="str">
        <f t="array" ref="P8">XLOOKUP(fact_labor!$N8,dim_sca_labor_rate!$F$2:$F$100, dim_sca_labor_rate!$J$2:$J$100,0,0)</f>
        <v>#N/A</v>
      </c>
      <c r="Q8" s="105" t="str">
        <f>fact_labor!$E8*fact_labor!$O8</f>
        <v>#N/A</v>
      </c>
      <c r="R8" s="105" t="str">
        <f>IF(fact_labor!$L8="no contract",0,fact_labor!$E8*fact_labor!$H8)</f>
        <v>#N/A</v>
      </c>
      <c r="S8" s="105" t="str">
        <f>IF(fact_labor!$L8="no contract",0,fact_labor!$P8*fact_labor!$H8)</f>
        <v>#N/A</v>
      </c>
      <c r="T8" s="105" t="str">
        <f>fact_labor!$S8-fact_labor!$R8</f>
        <v>#N/A</v>
      </c>
      <c r="U8" s="108" t="str">
        <f>IF(fact_labor!$L8="no contract",0,((fact_labor!$S8-fact_labor!$R8)/fact_labor!$S8))</f>
        <v>#N/A</v>
      </c>
      <c r="V8" s="109"/>
    </row>
    <row r="9">
      <c r="A9" s="104">
        <f t="array" ref="A9">XLOOKUP(fact_labor!$B9,dim_technician!$H$2:$H$39,dim_technician!$A$2:$A$39,"",0)</f>
        <v>1</v>
      </c>
      <c r="B9" s="72" t="str">
        <f>LOWER(SUBSTITUTE(fact_labor!$C9," ","")&amp;TEXT(fact_labor!$D9,"00"))</f>
        <v>cornelalbu01</v>
      </c>
      <c r="C9" s="72" t="str">
        <f>stg_payroll!$A9</f>
        <v>Cornel Albu</v>
      </c>
      <c r="D9" s="97">
        <f>stg_payroll!$B9</f>
        <v>1</v>
      </c>
      <c r="E9" s="105">
        <f>stg_payroll!$C9</f>
        <v>38</v>
      </c>
      <c r="F9" s="75">
        <f>stg_payroll!$E9</f>
        <v>45744</v>
      </c>
      <c r="G9" s="75">
        <f t="array" ref="G9">XLOOKUP(fact_labor!$F9,dim_date!$A$2:$A$2924,dim_date!$G$2:$G$2924,"",0)</f>
        <v>45745</v>
      </c>
      <c r="H9" s="106">
        <f>stg_payroll!$G9</f>
        <v>6.5</v>
      </c>
      <c r="I9" s="107" t="str">
        <f>stg_payroll!$H9</f>
        <v>25S-010</v>
      </c>
      <c r="J9" s="76" t="str">
        <f>stg_payroll!$J9</f>
        <v/>
      </c>
      <c r="K9" s="72" t="str">
        <f>TRIM(fact_labor!$I9)</f>
        <v>25S-010</v>
      </c>
      <c r="L9" s="72" t="str">
        <f t="array" ref="L9">XLOOKUP(fact_labor!$K9,TRIM(dim_job!$B$2:$B$6),#REF!,"no contract",0)</f>
        <v>#N/A</v>
      </c>
      <c r="M9" s="72" t="str">
        <f t="array" ref="M9">XLOOKUP(fact_labor!$A9,dim_technician!$A$2:$A$39,#REF!,"",0)</f>
        <v>#N/A</v>
      </c>
      <c r="N9" s="72" t="str">
        <f>fact_labor!$L9&amp;" "&amp;fact_labor!$M9</f>
        <v>#N/A</v>
      </c>
      <c r="O9" s="72" t="str">
        <f t="array" ref="O9">XLOOKUP(fact_labor!$L9, stg_contract_values!$A$2:$A$4,stg_contract_values!$E$2:$E$4,"",0)</f>
        <v>#N/A</v>
      </c>
      <c r="P9" s="105" t="str">
        <f t="array" ref="P9">XLOOKUP(fact_labor!$N9,dim_sca_labor_rate!$F$2:$F$100, dim_sca_labor_rate!$J$2:$J$100,0,0)</f>
        <v>#N/A</v>
      </c>
      <c r="Q9" s="105" t="str">
        <f>fact_labor!$E9*fact_labor!$O9</f>
        <v>#N/A</v>
      </c>
      <c r="R9" s="105" t="str">
        <f>IF(fact_labor!$L9="no contract",0,fact_labor!$E9*fact_labor!$H9)</f>
        <v>#N/A</v>
      </c>
      <c r="S9" s="105" t="str">
        <f>IF(fact_labor!$L9="no contract",0,fact_labor!$P9*fact_labor!$H9)</f>
        <v>#N/A</v>
      </c>
      <c r="T9" s="105" t="str">
        <f>fact_labor!$S9-fact_labor!$R9</f>
        <v>#N/A</v>
      </c>
      <c r="U9" s="108" t="str">
        <f>IF(fact_labor!$L9="no contract",0,((fact_labor!$S9-fact_labor!$R9)/fact_labor!$S9))</f>
        <v>#N/A</v>
      </c>
      <c r="V9" s="109"/>
    </row>
    <row r="10">
      <c r="A10" s="104">
        <f t="array" ref="A10">XLOOKUP(fact_labor!$B10,dim_technician!$H$2:$H$39,dim_technician!$A$2:$A$39,"",0)</f>
        <v>1</v>
      </c>
      <c r="B10" s="72" t="str">
        <f>LOWER(SUBSTITUTE(fact_labor!$C10," ","")&amp;TEXT(fact_labor!$D10,"00"))</f>
        <v>cornelalbu01</v>
      </c>
      <c r="C10" s="72" t="str">
        <f>stg_payroll!$A10</f>
        <v>Cornel Albu</v>
      </c>
      <c r="D10" s="97">
        <f>stg_payroll!$B10</f>
        <v>1</v>
      </c>
      <c r="E10" s="105">
        <f>stg_payroll!$C10</f>
        <v>38</v>
      </c>
      <c r="F10" s="75">
        <f>stg_payroll!$E10</f>
        <v>45745</v>
      </c>
      <c r="G10" s="75">
        <f t="array" ref="G10">XLOOKUP(fact_labor!$F10,dim_date!$A$2:$A$2924,dim_date!$G$2:$G$2924,"",0)</f>
        <v>45745</v>
      </c>
      <c r="H10" s="106">
        <f>stg_payroll!$G10</f>
        <v>21</v>
      </c>
      <c r="I10" s="107" t="str">
        <f>stg_payroll!$H10</f>
        <v>25S-010</v>
      </c>
      <c r="J10" s="76">
        <f>stg_payroll!$J10</f>
        <v>27.76</v>
      </c>
      <c r="K10" s="72" t="str">
        <f>TRIM(fact_labor!$I10)</f>
        <v>25S-010</v>
      </c>
      <c r="L10" s="72" t="str">
        <f t="array" ref="L10">XLOOKUP(fact_labor!$K10,TRIM(dim_job!$B$2:$B$6),#REF!,"no contract",0)</f>
        <v>#N/A</v>
      </c>
      <c r="M10" s="72" t="str">
        <f t="array" ref="M10">XLOOKUP(fact_labor!$A10,dim_technician!$A$2:$A$39,#REF!,"",0)</f>
        <v>#N/A</v>
      </c>
      <c r="N10" s="72" t="str">
        <f>fact_labor!$L10&amp;" "&amp;fact_labor!$M10</f>
        <v>#N/A</v>
      </c>
      <c r="O10" s="72" t="str">
        <f t="array" ref="O10">XLOOKUP(fact_labor!$L10, stg_contract_values!$A$2:$A$4,stg_contract_values!$E$2:$E$4,"",0)</f>
        <v>#N/A</v>
      </c>
      <c r="P10" s="105" t="str">
        <f t="array" ref="P10">XLOOKUP(fact_labor!$N10,dim_sca_labor_rate!$F$2:$F$100, dim_sca_labor_rate!$J$2:$J$100,0,0)</f>
        <v>#N/A</v>
      </c>
      <c r="Q10" s="105" t="str">
        <f>fact_labor!$E10*fact_labor!$O10</f>
        <v>#N/A</v>
      </c>
      <c r="R10" s="105" t="str">
        <f>IF(fact_labor!$L10="no contract",0,fact_labor!$E10*fact_labor!$H10)</f>
        <v>#N/A</v>
      </c>
      <c r="S10" s="105" t="str">
        <f>IF(fact_labor!$L10="no contract",0,fact_labor!$P10*fact_labor!$H10)</f>
        <v>#N/A</v>
      </c>
      <c r="T10" s="105" t="str">
        <f>fact_labor!$S10-fact_labor!$R10</f>
        <v>#N/A</v>
      </c>
      <c r="U10" s="108" t="str">
        <f>IF(fact_labor!$L10="no contract",0,((fact_labor!$S10-fact_labor!$R10)/fact_labor!$S10))</f>
        <v>#N/A</v>
      </c>
      <c r="V10" s="109"/>
    </row>
    <row r="11">
      <c r="A11" s="104">
        <f t="array" ref="A11">XLOOKUP(fact_labor!$B11,dim_technician!$H$2:$H$39,dim_technician!$A$2:$A$39,"",0)</f>
        <v>1</v>
      </c>
      <c r="B11" s="72" t="str">
        <f>LOWER(SUBSTITUTE(fact_labor!$C11," ","")&amp;TEXT(fact_labor!$D11,"00"))</f>
        <v>cornelalbu01</v>
      </c>
      <c r="C11" s="72" t="str">
        <f>stg_payroll!$A11</f>
        <v>Cornel Albu</v>
      </c>
      <c r="D11" s="97">
        <f>stg_payroll!$B11</f>
        <v>1</v>
      </c>
      <c r="E11" s="105">
        <f>stg_payroll!$C11</f>
        <v>38</v>
      </c>
      <c r="F11" s="75">
        <f>stg_payroll!$E11</f>
        <v>45750</v>
      </c>
      <c r="G11" s="75">
        <f t="array" ref="G11">XLOOKUP(fact_labor!$F11,dim_date!$A$2:$A$2924,dim_date!$G$2:$G$2924,"",0)</f>
        <v>45752</v>
      </c>
      <c r="H11" s="106">
        <f>stg_payroll!$G11</f>
        <v>6</v>
      </c>
      <c r="I11" s="107" t="str">
        <f>stg_payroll!$H11</f>
        <v>25S-010</v>
      </c>
      <c r="J11" s="76" t="str">
        <f>stg_payroll!$J11</f>
        <v/>
      </c>
      <c r="K11" s="72" t="str">
        <f>TRIM(fact_labor!$I11)</f>
        <v>25S-010</v>
      </c>
      <c r="L11" s="72" t="str">
        <f t="array" ref="L11">XLOOKUP(fact_labor!$K11,TRIM(dim_job!$B$2:$B$6),#REF!,"no contract",0)</f>
        <v>#N/A</v>
      </c>
      <c r="M11" s="72" t="str">
        <f t="array" ref="M11">XLOOKUP(fact_labor!$A11,dim_technician!$A$2:$A$39,#REF!,"",0)</f>
        <v>#N/A</v>
      </c>
      <c r="N11" s="72" t="str">
        <f>fact_labor!$L11&amp;" "&amp;fact_labor!$M11</f>
        <v>#N/A</v>
      </c>
      <c r="O11" s="72" t="str">
        <f t="array" ref="O11">XLOOKUP(fact_labor!$L11, stg_contract_values!$A$2:$A$4,stg_contract_values!$E$2:$E$4,"",0)</f>
        <v>#N/A</v>
      </c>
      <c r="P11" s="105" t="str">
        <f t="array" ref="P11">XLOOKUP(fact_labor!$N11,dim_sca_labor_rate!$F$2:$F$100, dim_sca_labor_rate!$J$2:$J$100,0,0)</f>
        <v>#N/A</v>
      </c>
      <c r="Q11" s="105" t="str">
        <f>fact_labor!$E11*fact_labor!$O11</f>
        <v>#N/A</v>
      </c>
      <c r="R11" s="105" t="str">
        <f>IF(fact_labor!$L11="no contract",0,fact_labor!$E11*fact_labor!$H11)</f>
        <v>#N/A</v>
      </c>
      <c r="S11" s="105" t="str">
        <f>IF(fact_labor!$L11="no contract",0,fact_labor!$P11*fact_labor!$H11)</f>
        <v>#N/A</v>
      </c>
      <c r="T11" s="105" t="str">
        <f>fact_labor!$S11-fact_labor!$R11</f>
        <v>#N/A</v>
      </c>
      <c r="U11" s="108" t="str">
        <f>IF(fact_labor!$L11="no contract",0,((fact_labor!$S11-fact_labor!$R11)/fact_labor!$S11))</f>
        <v>#N/A</v>
      </c>
      <c r="V11" s="109"/>
    </row>
    <row r="12">
      <c r="A12" s="104">
        <f t="array" ref="A12">XLOOKUP(fact_labor!$B12,dim_technician!$H$2:$H$39,dim_technician!$A$2:$A$39,"",0)</f>
        <v>1</v>
      </c>
      <c r="B12" s="72" t="str">
        <f>LOWER(SUBSTITUTE(fact_labor!$C12," ","")&amp;TEXT(fact_labor!$D12,"00"))</f>
        <v>cornelalbu01</v>
      </c>
      <c r="C12" s="72" t="str">
        <f>stg_payroll!$A12</f>
        <v>Cornel Albu</v>
      </c>
      <c r="D12" s="97">
        <f>stg_payroll!$B12</f>
        <v>1</v>
      </c>
      <c r="E12" s="105">
        <f>stg_payroll!$C12</f>
        <v>38</v>
      </c>
      <c r="F12" s="75">
        <f>stg_payroll!$E12</f>
        <v>45751</v>
      </c>
      <c r="G12" s="75">
        <f t="array" ref="G12">XLOOKUP(fact_labor!$F12,dim_date!$A$2:$A$2924,dim_date!$G$2:$G$2924,"",0)</f>
        <v>45752</v>
      </c>
      <c r="H12" s="106">
        <f>stg_payroll!$G12</f>
        <v>6.5</v>
      </c>
      <c r="I12" s="107" t="str">
        <f>stg_payroll!$H12</f>
        <v>25S-010</v>
      </c>
      <c r="J12" s="76" t="str">
        <f>stg_payroll!$J12</f>
        <v/>
      </c>
      <c r="K12" s="72" t="str">
        <f>TRIM(fact_labor!$I12)</f>
        <v>25S-010</v>
      </c>
      <c r="L12" s="72" t="str">
        <f t="array" ref="L12">XLOOKUP(fact_labor!$K12,TRIM(dim_job!$B$2:$B$6),#REF!,"no contract",0)</f>
        <v>#N/A</v>
      </c>
      <c r="M12" s="72" t="str">
        <f t="array" ref="M12">XLOOKUP(fact_labor!$A12,dim_technician!$A$2:$A$39,#REF!,"",0)</f>
        <v>#N/A</v>
      </c>
      <c r="N12" s="72" t="str">
        <f>fact_labor!$L12&amp;" "&amp;fact_labor!$M12</f>
        <v>#N/A</v>
      </c>
      <c r="O12" s="72" t="str">
        <f t="array" ref="O12">XLOOKUP(fact_labor!$L12, stg_contract_values!$A$2:$A$4,stg_contract_values!$E$2:$E$4,"",0)</f>
        <v>#N/A</v>
      </c>
      <c r="P12" s="105" t="str">
        <f t="array" ref="P12">XLOOKUP(fact_labor!$N12,dim_sca_labor_rate!$F$2:$F$100, dim_sca_labor_rate!$J$2:$J$100,0,0)</f>
        <v>#N/A</v>
      </c>
      <c r="Q12" s="105" t="str">
        <f>fact_labor!$E12*fact_labor!$O12</f>
        <v>#N/A</v>
      </c>
      <c r="R12" s="105" t="str">
        <f>IF(fact_labor!$L12="no contract",0,fact_labor!$E12*fact_labor!$H12)</f>
        <v>#N/A</v>
      </c>
      <c r="S12" s="105" t="str">
        <f>IF(fact_labor!$L12="no contract",0,fact_labor!$P12*fact_labor!$H12)</f>
        <v>#N/A</v>
      </c>
      <c r="T12" s="105" t="str">
        <f>fact_labor!$S12-fact_labor!$R12</f>
        <v>#N/A</v>
      </c>
      <c r="U12" s="108" t="str">
        <f>IF(fact_labor!$L12="no contract",0,((fact_labor!$S12-fact_labor!$R12)/fact_labor!$S12))</f>
        <v>#N/A</v>
      </c>
      <c r="V12" s="109"/>
    </row>
    <row r="13">
      <c r="A13" s="104">
        <f t="array" ref="A13">XLOOKUP(fact_labor!$B13,dim_technician!$H$2:$H$39,dim_technician!$A$2:$A$39,"",0)</f>
        <v>1</v>
      </c>
      <c r="B13" s="72" t="str">
        <f>LOWER(SUBSTITUTE(fact_labor!$C13," ","")&amp;TEXT(fact_labor!$D13,"00"))</f>
        <v>cornelalbu01</v>
      </c>
      <c r="C13" s="72" t="str">
        <f>stg_payroll!$A13</f>
        <v>Cornel Albu</v>
      </c>
      <c r="D13" s="97">
        <f>stg_payroll!$B13</f>
        <v>1</v>
      </c>
      <c r="E13" s="105">
        <f>stg_payroll!$C13</f>
        <v>38</v>
      </c>
      <c r="F13" s="75">
        <f>stg_payroll!$E13</f>
        <v>45752</v>
      </c>
      <c r="G13" s="75">
        <f t="array" ref="G13">XLOOKUP(fact_labor!$F13,dim_date!$A$2:$A$2924,dim_date!$G$2:$G$2924,"",0)</f>
        <v>45752</v>
      </c>
      <c r="H13" s="106">
        <f>stg_payroll!$G13</f>
        <v>20.5</v>
      </c>
      <c r="I13" s="107" t="str">
        <f>stg_payroll!$H13</f>
        <v>25S-010</v>
      </c>
      <c r="J13" s="76">
        <f>stg_payroll!$J13</f>
        <v>34.7</v>
      </c>
      <c r="K13" s="72" t="str">
        <f>TRIM(fact_labor!$I13)</f>
        <v>25S-010</v>
      </c>
      <c r="L13" s="72" t="str">
        <f t="array" ref="L13">XLOOKUP(fact_labor!$K13,TRIM(dim_job!$B$2:$B$6),#REF!,"no contract",0)</f>
        <v>#N/A</v>
      </c>
      <c r="M13" s="72" t="str">
        <f t="array" ref="M13">XLOOKUP(fact_labor!$A13,dim_technician!$A$2:$A$39,#REF!,"",0)</f>
        <v>#N/A</v>
      </c>
      <c r="N13" s="72" t="str">
        <f>fact_labor!$L13&amp;" "&amp;fact_labor!$M13</f>
        <v>#N/A</v>
      </c>
      <c r="O13" s="72" t="str">
        <f t="array" ref="O13">XLOOKUP(fact_labor!$L13, stg_contract_values!$A$2:$A$4,stg_contract_values!$E$2:$E$4,"",0)</f>
        <v>#N/A</v>
      </c>
      <c r="P13" s="105" t="str">
        <f t="array" ref="P13">XLOOKUP(fact_labor!$N13,dim_sca_labor_rate!$F$2:$F$100, dim_sca_labor_rate!$J$2:$J$100,0,0)</f>
        <v>#N/A</v>
      </c>
      <c r="Q13" s="105" t="str">
        <f>fact_labor!$E13*fact_labor!$O13</f>
        <v>#N/A</v>
      </c>
      <c r="R13" s="105" t="str">
        <f>IF(fact_labor!$L13="no contract",0,fact_labor!$E13*fact_labor!$H13)</f>
        <v>#N/A</v>
      </c>
      <c r="S13" s="105" t="str">
        <f>IF(fact_labor!$L13="no contract",0,fact_labor!$P13*fact_labor!$H13)</f>
        <v>#N/A</v>
      </c>
      <c r="T13" s="105" t="str">
        <f>fact_labor!$S13-fact_labor!$R13</f>
        <v>#N/A</v>
      </c>
      <c r="U13" s="108" t="str">
        <f>IF(fact_labor!$L13="no contract",0,((fact_labor!$S13-fact_labor!$R13)/fact_labor!$S13))</f>
        <v>#N/A</v>
      </c>
      <c r="V13" s="109"/>
    </row>
    <row r="14">
      <c r="A14" s="104">
        <f t="array" ref="A14">XLOOKUP(fact_labor!$B14,dim_technician!$H$2:$H$39,dim_technician!$A$2:$A$39,"",0)</f>
        <v>25</v>
      </c>
      <c r="B14" s="72" t="str">
        <f>LOWER(SUBSTITUTE(fact_labor!$C14," ","")&amp;TEXT(fact_labor!$D14,"00"))</f>
        <v>soslanlazarov01</v>
      </c>
      <c r="C14" s="72" t="str">
        <f>stg_payroll!$A14</f>
        <v>Soslan Lazarov</v>
      </c>
      <c r="D14" s="97">
        <f>stg_payroll!$B14</f>
        <v>1</v>
      </c>
      <c r="E14" s="105">
        <f>stg_payroll!$C14</f>
        <v>33</v>
      </c>
      <c r="F14" s="75">
        <f>stg_payroll!$E14</f>
        <v>45744</v>
      </c>
      <c r="G14" s="75">
        <f t="array" ref="G14">XLOOKUP(fact_labor!$F14,dim_date!$A$2:$A$2924,dim_date!$G$2:$G$2924,"",0)</f>
        <v>45745</v>
      </c>
      <c r="H14" s="106">
        <f>stg_payroll!$G14</f>
        <v>5</v>
      </c>
      <c r="I14" s="107" t="str">
        <f>stg_payroll!$H14</f>
        <v>25S-010</v>
      </c>
      <c r="J14" s="76" t="str">
        <f>stg_payroll!$J14</f>
        <v/>
      </c>
      <c r="K14" s="72" t="str">
        <f>TRIM(fact_labor!$I14)</f>
        <v>25S-010</v>
      </c>
      <c r="L14" s="72" t="str">
        <f t="array" ref="L14">XLOOKUP(fact_labor!$K14,TRIM(dim_job!$B$2:$B$6),#REF!,"no contract",0)</f>
        <v>#N/A</v>
      </c>
      <c r="M14" s="72" t="str">
        <f t="array" ref="M14">XLOOKUP(fact_labor!$A14,dim_technician!$A$2:$A$39,#REF!,"",0)</f>
        <v>#N/A</v>
      </c>
      <c r="N14" s="72" t="str">
        <f>fact_labor!$L14&amp;" "&amp;fact_labor!$M14</f>
        <v>#N/A</v>
      </c>
      <c r="O14" s="72" t="str">
        <f t="array" ref="O14">XLOOKUP(fact_labor!$L14, stg_contract_values!$A$2:$A$4,stg_contract_values!$E$2:$E$4,"",0)</f>
        <v>#N/A</v>
      </c>
      <c r="P14" s="105" t="str">
        <f t="array" ref="P14">XLOOKUP(fact_labor!$N14,dim_sca_labor_rate!$F$2:$F$100, dim_sca_labor_rate!$J$2:$J$100,0,0)</f>
        <v>#N/A</v>
      </c>
      <c r="Q14" s="105" t="str">
        <f>fact_labor!$E14*fact_labor!$O14</f>
        <v>#N/A</v>
      </c>
      <c r="R14" s="105" t="str">
        <f>IF(fact_labor!$L14="no contract",0,fact_labor!$E14*fact_labor!$H14)</f>
        <v>#N/A</v>
      </c>
      <c r="S14" s="105" t="str">
        <f>IF(fact_labor!$L14="no contract",0,fact_labor!$P14*fact_labor!$H14)</f>
        <v>#N/A</v>
      </c>
      <c r="T14" s="105" t="str">
        <f>fact_labor!$S14-fact_labor!$R14</f>
        <v>#N/A</v>
      </c>
      <c r="U14" s="108" t="str">
        <f>IF(fact_labor!$L14="no contract",0,((fact_labor!$S14-fact_labor!$R14)/fact_labor!$S14))</f>
        <v>#N/A</v>
      </c>
      <c r="V14" s="109"/>
    </row>
    <row r="15">
      <c r="A15" s="104">
        <f t="array" ref="A15">XLOOKUP(fact_labor!$B15,dim_technician!$H$2:$H$39,dim_technician!$A$2:$A$39,"",0)</f>
        <v>25</v>
      </c>
      <c r="B15" s="72" t="str">
        <f>LOWER(SUBSTITUTE(fact_labor!$C15," ","")&amp;TEXT(fact_labor!$D15,"00"))</f>
        <v>soslanlazarov01</v>
      </c>
      <c r="C15" s="72" t="str">
        <f>stg_payroll!$A15</f>
        <v>Soslan Lazarov</v>
      </c>
      <c r="D15" s="97">
        <f>stg_payroll!$B15</f>
        <v>1</v>
      </c>
      <c r="E15" s="105">
        <f>stg_payroll!$C15</f>
        <v>33</v>
      </c>
      <c r="F15" s="75">
        <f>stg_payroll!$E15</f>
        <v>45745</v>
      </c>
      <c r="G15" s="75">
        <f t="array" ref="G15">XLOOKUP(fact_labor!$F15,dim_date!$A$2:$A$2924,dim_date!$G$2:$G$2924,"",0)</f>
        <v>45745</v>
      </c>
      <c r="H15" s="106">
        <f>stg_payroll!$G15</f>
        <v>14</v>
      </c>
      <c r="I15" s="107" t="str">
        <f>stg_payroll!$H15</f>
        <v>25S-010</v>
      </c>
      <c r="J15" s="76" t="str">
        <f>stg_payroll!$J15</f>
        <v/>
      </c>
      <c r="K15" s="72" t="str">
        <f>TRIM(fact_labor!$I15)</f>
        <v>25S-010</v>
      </c>
      <c r="L15" s="72" t="str">
        <f t="array" ref="L15">XLOOKUP(fact_labor!$K15,TRIM(dim_job!$B$2:$B$6),#REF!,"no contract",0)</f>
        <v>#N/A</v>
      </c>
      <c r="M15" s="72" t="str">
        <f t="array" ref="M15">XLOOKUP(fact_labor!$A15,dim_technician!$A$2:$A$39,#REF!,"",0)</f>
        <v>#N/A</v>
      </c>
      <c r="N15" s="72" t="str">
        <f>fact_labor!$L15&amp;" "&amp;fact_labor!$M15</f>
        <v>#N/A</v>
      </c>
      <c r="O15" s="72" t="str">
        <f t="array" ref="O15">XLOOKUP(fact_labor!$L15, stg_contract_values!$A$2:$A$4,stg_contract_values!$E$2:$E$4,"",0)</f>
        <v>#N/A</v>
      </c>
      <c r="P15" s="105" t="str">
        <f t="array" ref="P15">XLOOKUP(fact_labor!$N15,dim_sca_labor_rate!$F$2:$F$100, dim_sca_labor_rate!$J$2:$J$100,0,0)</f>
        <v>#N/A</v>
      </c>
      <c r="Q15" s="105" t="str">
        <f>fact_labor!$E15*fact_labor!$O15</f>
        <v>#N/A</v>
      </c>
      <c r="R15" s="105" t="str">
        <f>IF(fact_labor!$L15="no contract",0,fact_labor!$E15*fact_labor!$H15)</f>
        <v>#N/A</v>
      </c>
      <c r="S15" s="105" t="str">
        <f>IF(fact_labor!$L15="no contract",0,fact_labor!$P15*fact_labor!$H15)</f>
        <v>#N/A</v>
      </c>
      <c r="T15" s="105" t="str">
        <f>fact_labor!$S15-fact_labor!$R15</f>
        <v>#N/A</v>
      </c>
      <c r="U15" s="108" t="str">
        <f>IF(fact_labor!$L15="no contract",0,((fact_labor!$S15-fact_labor!$R15)/fact_labor!$S15))</f>
        <v>#N/A</v>
      </c>
      <c r="V15" s="109"/>
    </row>
    <row r="16">
      <c r="A16" s="104">
        <f t="array" ref="A16">XLOOKUP(fact_labor!$B16,dim_technician!$H$2:$H$39,dim_technician!$A$2:$A$39,"",0)</f>
        <v>25</v>
      </c>
      <c r="B16" s="72" t="str">
        <f>LOWER(SUBSTITUTE(fact_labor!$C16," ","")&amp;TEXT(fact_labor!$D16,"00"))</f>
        <v>soslanlazarov01</v>
      </c>
      <c r="C16" s="72" t="str">
        <f>stg_payroll!$A16</f>
        <v>Soslan Lazarov</v>
      </c>
      <c r="D16" s="97">
        <f>stg_payroll!$B16</f>
        <v>1</v>
      </c>
      <c r="E16" s="105">
        <f>stg_payroll!$C16</f>
        <v>33</v>
      </c>
      <c r="F16" s="75">
        <f>stg_payroll!$E16</f>
        <v>45746</v>
      </c>
      <c r="G16" s="75">
        <f t="array" ref="G16">XLOOKUP(fact_labor!$F16,dim_date!$A$2:$A$2924,dim_date!$G$2:$G$2924,"",0)</f>
        <v>45752</v>
      </c>
      <c r="H16" s="106">
        <f>stg_payroll!$G16</f>
        <v>15</v>
      </c>
      <c r="I16" s="107" t="str">
        <f>stg_payroll!$H16</f>
        <v>25S-010</v>
      </c>
      <c r="J16" s="76">
        <f>stg_payroll!$J16</f>
        <v>9</v>
      </c>
      <c r="K16" s="72" t="str">
        <f>TRIM(fact_labor!$I16)</f>
        <v>25S-010</v>
      </c>
      <c r="L16" s="72" t="str">
        <f t="array" ref="L16">XLOOKUP(fact_labor!$K16,TRIM(dim_job!$B$2:$B$6),#REF!,"no contract",0)</f>
        <v>#N/A</v>
      </c>
      <c r="M16" s="72" t="str">
        <f t="array" ref="M16">XLOOKUP(fact_labor!$A16,dim_technician!$A$2:$A$39,#REF!,"",0)</f>
        <v>#N/A</v>
      </c>
      <c r="N16" s="72" t="str">
        <f>fact_labor!$L16&amp;" "&amp;fact_labor!$M16</f>
        <v>#N/A</v>
      </c>
      <c r="O16" s="72" t="str">
        <f t="array" ref="O16">XLOOKUP(fact_labor!$L16, stg_contract_values!$A$2:$A$4,stg_contract_values!$E$2:$E$4,"",0)</f>
        <v>#N/A</v>
      </c>
      <c r="P16" s="105" t="str">
        <f t="array" ref="P16">XLOOKUP(fact_labor!$N16,dim_sca_labor_rate!$F$2:$F$100, dim_sca_labor_rate!$J$2:$J$100,0,0)</f>
        <v>#N/A</v>
      </c>
      <c r="Q16" s="105" t="str">
        <f>fact_labor!$E16*fact_labor!$O16</f>
        <v>#N/A</v>
      </c>
      <c r="R16" s="105" t="str">
        <f>IF(fact_labor!$L16="no contract",0,fact_labor!$E16*fact_labor!$H16)</f>
        <v>#N/A</v>
      </c>
      <c r="S16" s="105" t="str">
        <f>IF(fact_labor!$L16="no contract",0,fact_labor!$P16*fact_labor!$H16)</f>
        <v>#N/A</v>
      </c>
      <c r="T16" s="105" t="str">
        <f>fact_labor!$S16-fact_labor!$R16</f>
        <v>#N/A</v>
      </c>
      <c r="U16" s="108" t="str">
        <f>IF(fact_labor!$L16="no contract",0,((fact_labor!$S16-fact_labor!$R16)/fact_labor!$S16))</f>
        <v>#N/A</v>
      </c>
      <c r="V16" s="109"/>
    </row>
    <row r="17">
      <c r="A17" s="104">
        <f t="array" ref="A17">XLOOKUP(fact_labor!$B17,dim_technician!$H$2:$H$39,dim_technician!$A$2:$A$39,"",0)</f>
        <v>25</v>
      </c>
      <c r="B17" s="72" t="str">
        <f>LOWER(SUBSTITUTE(fact_labor!$C17," ","")&amp;TEXT(fact_labor!$D17,"00"))</f>
        <v>soslanlazarov01</v>
      </c>
      <c r="C17" s="72" t="str">
        <f>stg_payroll!$A17</f>
        <v>Soslan Lazarov</v>
      </c>
      <c r="D17" s="97">
        <f>stg_payroll!$B17</f>
        <v>1</v>
      </c>
      <c r="E17" s="105">
        <f>stg_payroll!$C17</f>
        <v>33</v>
      </c>
      <c r="F17" s="75">
        <f>stg_payroll!$E17</f>
        <v>45752</v>
      </c>
      <c r="G17" s="75">
        <f t="array" ref="G17">XLOOKUP(fact_labor!$F17,dim_date!$A$2:$A$2924,dim_date!$G$2:$G$2924,"",0)</f>
        <v>45752</v>
      </c>
      <c r="H17" s="106">
        <f>stg_payroll!$G17</f>
        <v>14</v>
      </c>
      <c r="I17" s="107" t="str">
        <f>stg_payroll!$H17</f>
        <v>25S-010</v>
      </c>
      <c r="J17" s="76" t="str">
        <f>stg_payroll!$J17</f>
        <v/>
      </c>
      <c r="K17" s="72" t="str">
        <f>TRIM(fact_labor!$I17)</f>
        <v>25S-010</v>
      </c>
      <c r="L17" s="72" t="str">
        <f t="array" ref="L17">XLOOKUP(fact_labor!$K17,TRIM(dim_job!$B$2:$B$6),#REF!,"no contract",0)</f>
        <v>#N/A</v>
      </c>
      <c r="M17" s="72" t="str">
        <f t="array" ref="M17">XLOOKUP(fact_labor!$A17,dim_technician!$A$2:$A$39,#REF!,"",0)</f>
        <v>#N/A</v>
      </c>
      <c r="N17" s="72" t="str">
        <f>fact_labor!$L17&amp;" "&amp;fact_labor!$M17</f>
        <v>#N/A</v>
      </c>
      <c r="O17" s="72" t="str">
        <f t="array" ref="O17">XLOOKUP(fact_labor!$L17, stg_contract_values!$A$2:$A$4,stg_contract_values!$E$2:$E$4,"",0)</f>
        <v>#N/A</v>
      </c>
      <c r="P17" s="105" t="str">
        <f t="array" ref="P17">XLOOKUP(fact_labor!$N17,dim_sca_labor_rate!$F$2:$F$100, dim_sca_labor_rate!$J$2:$J$100,0,0)</f>
        <v>#N/A</v>
      </c>
      <c r="Q17" s="105" t="str">
        <f>fact_labor!$E17*fact_labor!$O17</f>
        <v>#N/A</v>
      </c>
      <c r="R17" s="105" t="str">
        <f>IF(fact_labor!$L17="no contract",0,fact_labor!$E17*fact_labor!$H17)</f>
        <v>#N/A</v>
      </c>
      <c r="S17" s="105" t="str">
        <f>IF(fact_labor!$L17="no contract",0,fact_labor!$P17*fact_labor!$H17)</f>
        <v>#N/A</v>
      </c>
      <c r="T17" s="105" t="str">
        <f>fact_labor!$S17-fact_labor!$R17</f>
        <v>#N/A</v>
      </c>
      <c r="U17" s="108" t="str">
        <f>IF(fact_labor!$L17="no contract",0,((fact_labor!$S17-fact_labor!$R17)/fact_labor!$S17))</f>
        <v>#N/A</v>
      </c>
      <c r="V17" s="109"/>
    </row>
    <row r="18">
      <c r="A18" s="104">
        <f t="array" ref="A18">XLOOKUP(fact_labor!$B18,dim_technician!$H$2:$H$39,dim_technician!$A$2:$A$39,"",0)</f>
        <v>25</v>
      </c>
      <c r="B18" s="72" t="str">
        <f>LOWER(SUBSTITUTE(fact_labor!$C18," ","")&amp;TEXT(fact_labor!$D18,"00"))</f>
        <v>soslanlazarov01</v>
      </c>
      <c r="C18" s="72" t="str">
        <f>stg_payroll!$A18</f>
        <v>Soslan Lazarov</v>
      </c>
      <c r="D18" s="97">
        <f>stg_payroll!$B18</f>
        <v>1</v>
      </c>
      <c r="E18" s="105">
        <f>stg_payroll!$C18</f>
        <v>33</v>
      </c>
      <c r="F18" s="75">
        <f>stg_payroll!$E18</f>
        <v>45753</v>
      </c>
      <c r="G18" s="75">
        <f t="array" ref="G18">XLOOKUP(fact_labor!$F18,dim_date!$A$2:$A$2924,dim_date!$G$2:$G$2924,"",0)</f>
        <v>45759</v>
      </c>
      <c r="H18" s="106">
        <f>stg_payroll!$G18</f>
        <v>15</v>
      </c>
      <c r="I18" s="107" t="str">
        <f>stg_payroll!$H18</f>
        <v>25S-010</v>
      </c>
      <c r="J18" s="76">
        <f>stg_payroll!$J18</f>
        <v>9</v>
      </c>
      <c r="K18" s="72" t="str">
        <f>TRIM(fact_labor!$I18)</f>
        <v>25S-010</v>
      </c>
      <c r="L18" s="72" t="str">
        <f t="array" ref="L18">XLOOKUP(fact_labor!$K18,TRIM(dim_job!$B$2:$B$6),#REF!,"no contract",0)</f>
        <v>#N/A</v>
      </c>
      <c r="M18" s="72" t="str">
        <f t="array" ref="M18">XLOOKUP(fact_labor!$A18,dim_technician!$A$2:$A$39,#REF!,"",0)</f>
        <v>#N/A</v>
      </c>
      <c r="N18" s="72" t="str">
        <f>fact_labor!$L18&amp;" "&amp;fact_labor!$M18</f>
        <v>#N/A</v>
      </c>
      <c r="O18" s="72" t="str">
        <f t="array" ref="O18">XLOOKUP(fact_labor!$L18, stg_contract_values!$A$2:$A$4,stg_contract_values!$E$2:$E$4,"",0)</f>
        <v>#N/A</v>
      </c>
      <c r="P18" s="105" t="str">
        <f t="array" ref="P18">XLOOKUP(fact_labor!$N18,dim_sca_labor_rate!$F$2:$F$100, dim_sca_labor_rate!$J$2:$J$100,0,0)</f>
        <v>#N/A</v>
      </c>
      <c r="Q18" s="105" t="str">
        <f>fact_labor!$E18*fact_labor!$O18</f>
        <v>#N/A</v>
      </c>
      <c r="R18" s="105" t="str">
        <f>IF(fact_labor!$L18="no contract",0,fact_labor!$E18*fact_labor!$H18)</f>
        <v>#N/A</v>
      </c>
      <c r="S18" s="105" t="str">
        <f>IF(fact_labor!$L18="no contract",0,fact_labor!$P18*fact_labor!$H18)</f>
        <v>#N/A</v>
      </c>
      <c r="T18" s="105" t="str">
        <f>fact_labor!$S18-fact_labor!$R18</f>
        <v>#N/A</v>
      </c>
      <c r="U18" s="108" t="str">
        <f>IF(fact_labor!$L18="no contract",0,((fact_labor!$S18-fact_labor!$R18)/fact_labor!$S18))</f>
        <v>#N/A</v>
      </c>
      <c r="V18" s="109"/>
    </row>
    <row r="19">
      <c r="A19" s="104">
        <f t="array" ref="A19">XLOOKUP(fact_labor!$B19,dim_technician!$H$2:$H$39,dim_technician!$A$2:$A$39,"",0)</f>
        <v>25</v>
      </c>
      <c r="B19" s="72" t="str">
        <f>LOWER(SUBSTITUTE(fact_labor!$C19," ","")&amp;TEXT(fact_labor!$D19,"00"))</f>
        <v>soslanlazarov01</v>
      </c>
      <c r="C19" s="72" t="str">
        <f>stg_payroll!$A19</f>
        <v>Soslan Lazarov</v>
      </c>
      <c r="D19" s="97">
        <f>stg_payroll!$B19</f>
        <v>1</v>
      </c>
      <c r="E19" s="105">
        <f>stg_payroll!$C19</f>
        <v>33</v>
      </c>
      <c r="F19" s="75">
        <f>stg_payroll!$E19</f>
        <v>45757</v>
      </c>
      <c r="G19" s="75">
        <f t="array" ref="G19">XLOOKUP(fact_labor!$F19,dim_date!$A$2:$A$2924,dim_date!$G$2:$G$2924,"",0)</f>
        <v>45759</v>
      </c>
      <c r="H19" s="106">
        <f>stg_payroll!$G19</f>
        <v>5</v>
      </c>
      <c r="I19" s="107" t="str">
        <f>stg_payroll!$H19</f>
        <v>25S-010</v>
      </c>
      <c r="J19" s="76" t="str">
        <f>stg_payroll!$J19</f>
        <v/>
      </c>
      <c r="K19" s="72" t="str">
        <f>TRIM(fact_labor!$I19)</f>
        <v>25S-010</v>
      </c>
      <c r="L19" s="72" t="str">
        <f t="array" ref="L19">XLOOKUP(fact_labor!$K19,TRIM(dim_job!$B$2:$B$6),#REF!,"no contract",0)</f>
        <v>#N/A</v>
      </c>
      <c r="M19" s="72" t="str">
        <f t="array" ref="M19">XLOOKUP(fact_labor!$A19,dim_technician!$A$2:$A$39,#REF!,"",0)</f>
        <v>#N/A</v>
      </c>
      <c r="N19" s="72" t="str">
        <f>fact_labor!$L19&amp;" "&amp;fact_labor!$M19</f>
        <v>#N/A</v>
      </c>
      <c r="O19" s="72" t="str">
        <f t="array" ref="O19">XLOOKUP(fact_labor!$L19, stg_contract_values!$A$2:$A$4,stg_contract_values!$E$2:$E$4,"",0)</f>
        <v>#N/A</v>
      </c>
      <c r="P19" s="105" t="str">
        <f t="array" ref="P19">XLOOKUP(fact_labor!$N19,dim_sca_labor_rate!$F$2:$F$100, dim_sca_labor_rate!$J$2:$J$100,0,0)</f>
        <v>#N/A</v>
      </c>
      <c r="Q19" s="105" t="str">
        <f>fact_labor!$E19*fact_labor!$O19</f>
        <v>#N/A</v>
      </c>
      <c r="R19" s="105" t="str">
        <f>IF(fact_labor!$L19="no contract",0,fact_labor!$E19*fact_labor!$H19)</f>
        <v>#N/A</v>
      </c>
      <c r="S19" s="105" t="str">
        <f>IF(fact_labor!$L19="no contract",0,fact_labor!$P19*fact_labor!$H19)</f>
        <v>#N/A</v>
      </c>
      <c r="T19" s="105" t="str">
        <f>fact_labor!$S19-fact_labor!$R19</f>
        <v>#N/A</v>
      </c>
      <c r="U19" s="108" t="str">
        <f>IF(fact_labor!$L19="no contract",0,((fact_labor!$S19-fact_labor!$R19)/fact_labor!$S19))</f>
        <v>#N/A</v>
      </c>
      <c r="V19" s="109"/>
    </row>
    <row r="20">
      <c r="A20" s="104">
        <f t="array" ref="A20">XLOOKUP(fact_labor!$B20,dim_technician!$H$2:$H$39,dim_technician!$A$2:$A$39,"",0)</f>
        <v>25</v>
      </c>
      <c r="B20" s="72" t="str">
        <f>LOWER(SUBSTITUTE(fact_labor!$C20," ","")&amp;TEXT(fact_labor!$D20,"00"))</f>
        <v>soslanlazarov01</v>
      </c>
      <c r="C20" s="72" t="str">
        <f>stg_payroll!$A20</f>
        <v>Soslan Lazarov</v>
      </c>
      <c r="D20" s="97">
        <f>stg_payroll!$B20</f>
        <v>1</v>
      </c>
      <c r="E20" s="105">
        <f>stg_payroll!$C20</f>
        <v>33</v>
      </c>
      <c r="F20" s="75">
        <f>stg_payroll!$E20</f>
        <v>45758</v>
      </c>
      <c r="G20" s="75">
        <f t="array" ref="G20">XLOOKUP(fact_labor!$F20,dim_date!$A$2:$A$2924,dim_date!$G$2:$G$2924,"",0)</f>
        <v>45759</v>
      </c>
      <c r="H20" s="106">
        <f>stg_payroll!$G20</f>
        <v>5.5</v>
      </c>
      <c r="I20" s="107" t="str">
        <f>stg_payroll!$H20</f>
        <v>25S-010</v>
      </c>
      <c r="J20" s="76" t="str">
        <f>stg_payroll!$J20</f>
        <v/>
      </c>
      <c r="K20" s="72" t="str">
        <f>TRIM(fact_labor!$I20)</f>
        <v>25S-010</v>
      </c>
      <c r="L20" s="72" t="str">
        <f t="array" ref="L20">XLOOKUP(fact_labor!$K20,TRIM(dim_job!$B$2:$B$6),#REF!,"no contract",0)</f>
        <v>#N/A</v>
      </c>
      <c r="M20" s="72" t="str">
        <f t="array" ref="M20">XLOOKUP(fact_labor!$A20,dim_technician!$A$2:$A$39,#REF!,"",0)</f>
        <v>#N/A</v>
      </c>
      <c r="N20" s="72" t="str">
        <f>fact_labor!$L20&amp;" "&amp;fact_labor!$M20</f>
        <v>#N/A</v>
      </c>
      <c r="O20" s="72" t="str">
        <f t="array" ref="O20">XLOOKUP(fact_labor!$L20, stg_contract_values!$A$2:$A$4,stg_contract_values!$E$2:$E$4,"",0)</f>
        <v>#N/A</v>
      </c>
      <c r="P20" s="105" t="str">
        <f t="array" ref="P20">XLOOKUP(fact_labor!$N20,dim_sca_labor_rate!$F$2:$F$100, dim_sca_labor_rate!$J$2:$J$100,0,0)</f>
        <v>#N/A</v>
      </c>
      <c r="Q20" s="105" t="str">
        <f>fact_labor!$E20*fact_labor!$O20</f>
        <v>#N/A</v>
      </c>
      <c r="R20" s="105" t="str">
        <f>IF(fact_labor!$L20="no contract",0,fact_labor!$E20*fact_labor!$H20)</f>
        <v>#N/A</v>
      </c>
      <c r="S20" s="105" t="str">
        <f>IF(fact_labor!$L20="no contract",0,fact_labor!$P20*fact_labor!$H20)</f>
        <v>#N/A</v>
      </c>
      <c r="T20" s="105" t="str">
        <f>fact_labor!$S20-fact_labor!$R20</f>
        <v>#N/A</v>
      </c>
      <c r="U20" s="108" t="str">
        <f>IF(fact_labor!$L20="no contract",0,((fact_labor!$S20-fact_labor!$R20)/fact_labor!$S20))</f>
        <v>#N/A</v>
      </c>
      <c r="V20" s="109"/>
    </row>
    <row r="21" ht="15.75" customHeight="1">
      <c r="A21" s="104">
        <f t="array" ref="A21">XLOOKUP(fact_labor!$B21,dim_technician!$H$2:$H$39,dim_technician!$A$2:$A$39,"",0)</f>
        <v>25</v>
      </c>
      <c r="B21" s="72" t="str">
        <f>LOWER(SUBSTITUTE(fact_labor!$C21," ","")&amp;TEXT(fact_labor!$D21,"00"))</f>
        <v>soslanlazarov01</v>
      </c>
      <c r="C21" s="72" t="str">
        <f>stg_payroll!$A21</f>
        <v>Soslan Lazarov</v>
      </c>
      <c r="D21" s="97">
        <f>stg_payroll!$B21</f>
        <v>1</v>
      </c>
      <c r="E21" s="105">
        <f>stg_payroll!$C21</f>
        <v>33</v>
      </c>
      <c r="F21" s="75">
        <f>stg_payroll!$E21</f>
        <v>45759</v>
      </c>
      <c r="G21" s="75">
        <f t="array" ref="G21">XLOOKUP(fact_labor!$F21,dim_date!$A$2:$A$2924,dim_date!$G$2:$G$2924,"",0)</f>
        <v>45759</v>
      </c>
      <c r="H21" s="106">
        <f>stg_payroll!$G21</f>
        <v>16.5</v>
      </c>
      <c r="I21" s="107" t="str">
        <f>stg_payroll!$H21</f>
        <v>25S-010</v>
      </c>
      <c r="J21" s="76" t="str">
        <f>stg_payroll!$J21</f>
        <v/>
      </c>
      <c r="K21" s="72" t="str">
        <f>TRIM(fact_labor!$I21)</f>
        <v>25S-010</v>
      </c>
      <c r="L21" s="72" t="str">
        <f t="array" ref="L21">XLOOKUP(fact_labor!$K21,TRIM(dim_job!$B$2:$B$6),#REF!,"no contract",0)</f>
        <v>#N/A</v>
      </c>
      <c r="M21" s="72" t="str">
        <f t="array" ref="M21">XLOOKUP(fact_labor!$A21,dim_technician!$A$2:$A$39,#REF!,"",0)</f>
        <v>#N/A</v>
      </c>
      <c r="N21" s="72" t="str">
        <f>fact_labor!$L21&amp;" "&amp;fact_labor!$M21</f>
        <v>#N/A</v>
      </c>
      <c r="O21" s="72" t="str">
        <f t="array" ref="O21">XLOOKUP(fact_labor!$L21, stg_contract_values!$A$2:$A$4,stg_contract_values!$E$2:$E$4,"",0)</f>
        <v>#N/A</v>
      </c>
      <c r="P21" s="105" t="str">
        <f t="array" ref="P21">XLOOKUP(fact_labor!$N21,dim_sca_labor_rate!$F$2:$F$100, dim_sca_labor_rate!$J$2:$J$100,0,0)</f>
        <v>#N/A</v>
      </c>
      <c r="Q21" s="105" t="str">
        <f>fact_labor!$E21*fact_labor!$O21</f>
        <v>#N/A</v>
      </c>
      <c r="R21" s="105" t="str">
        <f>IF(fact_labor!$L21="no contract",0,fact_labor!$E21*fact_labor!$H21)</f>
        <v>#N/A</v>
      </c>
      <c r="S21" s="105" t="str">
        <f>IF(fact_labor!$L21="no contract",0,fact_labor!$P21*fact_labor!$H21)</f>
        <v>#N/A</v>
      </c>
      <c r="T21" s="105" t="str">
        <f>fact_labor!$S21-fact_labor!$R21</f>
        <v>#N/A</v>
      </c>
      <c r="U21" s="108" t="str">
        <f>IF(fact_labor!$L21="no contract",0,((fact_labor!$S21-fact_labor!$R21)/fact_labor!$S21))</f>
        <v>#N/A</v>
      </c>
      <c r="V21" s="109"/>
    </row>
    <row r="22" ht="15.75" customHeight="1">
      <c r="A22" s="104">
        <f t="array" ref="A22">XLOOKUP(fact_labor!$B22,dim_technician!$H$2:$H$39,dim_technician!$A$2:$A$39,"",0)</f>
        <v>13</v>
      </c>
      <c r="B22" s="72" t="str">
        <f>LOWER(SUBSTITUTE(fact_labor!$C22," ","")&amp;TEXT(fact_labor!$D22,"00"))</f>
        <v>leongroysman01</v>
      </c>
      <c r="C22" s="72" t="str">
        <f>stg_payroll!$A22</f>
        <v>Leon Groysman</v>
      </c>
      <c r="D22" s="97">
        <f>stg_payroll!$B22</f>
        <v>1</v>
      </c>
      <c r="E22" s="105">
        <f>stg_payroll!$C22</f>
        <v>30</v>
      </c>
      <c r="F22" s="75">
        <f>stg_payroll!$E22</f>
        <v>45696</v>
      </c>
      <c r="G22" s="75">
        <f t="array" ref="G22">XLOOKUP(fact_labor!$F22,dim_date!$A$2:$A$2924,dim_date!$G$2:$G$2924,"",0)</f>
        <v>45696</v>
      </c>
      <c r="H22" s="106">
        <f>stg_payroll!$G22</f>
        <v>7.5</v>
      </c>
      <c r="I22" s="107" t="str">
        <f>stg_payroll!$H22</f>
        <v>25S-010</v>
      </c>
      <c r="J22" s="76">
        <f>stg_payroll!$J22</f>
        <v>6.95</v>
      </c>
      <c r="K22" s="72" t="str">
        <f>TRIM(fact_labor!$I22)</f>
        <v>25S-010</v>
      </c>
      <c r="L22" s="72" t="str">
        <f t="array" ref="L22">XLOOKUP(fact_labor!$K22,TRIM(dim_job!$B$2:$B$6),#REF!,"no contract",0)</f>
        <v>#N/A</v>
      </c>
      <c r="M22" s="72" t="str">
        <f t="array" ref="M22">XLOOKUP(fact_labor!$A22,dim_technician!$A$2:$A$39,#REF!,"",0)</f>
        <v>#N/A</v>
      </c>
      <c r="N22" s="72" t="str">
        <f>fact_labor!$L22&amp;" "&amp;fact_labor!$M22</f>
        <v>#N/A</v>
      </c>
      <c r="O22" s="72" t="str">
        <f t="array" ref="O22">XLOOKUP(fact_labor!$L22, stg_contract_values!$A$2:$A$4,stg_contract_values!$E$2:$E$4,"",0)</f>
        <v>#N/A</v>
      </c>
      <c r="P22" s="105" t="str">
        <f t="array" ref="P22">XLOOKUP(fact_labor!$N22,dim_sca_labor_rate!$F$2:$F$100, dim_sca_labor_rate!$J$2:$J$100,0,0)</f>
        <v>#N/A</v>
      </c>
      <c r="Q22" s="105" t="str">
        <f>fact_labor!$E22*fact_labor!$O22</f>
        <v>#N/A</v>
      </c>
      <c r="R22" s="105" t="str">
        <f>IF(fact_labor!$L22="no contract",0,fact_labor!$E22*fact_labor!$H22)</f>
        <v>#N/A</v>
      </c>
      <c r="S22" s="105" t="str">
        <f>IF(fact_labor!$L22="no contract",0,fact_labor!$P22*fact_labor!$H22)</f>
        <v>#N/A</v>
      </c>
      <c r="T22" s="105" t="str">
        <f>fact_labor!$S22-fact_labor!$R22</f>
        <v>#N/A</v>
      </c>
      <c r="U22" s="108" t="str">
        <f>IF(fact_labor!$L22="no contract",0,((fact_labor!$S22-fact_labor!$R22)/fact_labor!$S22))</f>
        <v>#N/A</v>
      </c>
      <c r="V22" s="109"/>
    </row>
    <row r="23" ht="15.75" customHeight="1">
      <c r="A23" s="104">
        <f t="array" ref="A23">XLOOKUP(fact_labor!$B23,dim_technician!$H$2:$H$39,dim_technician!$A$2:$A$39,"",0)</f>
        <v>13</v>
      </c>
      <c r="B23" s="72" t="str">
        <f>LOWER(SUBSTITUTE(fact_labor!$C23," ","")&amp;TEXT(fact_labor!$D23,"00"))</f>
        <v>leongroysman01</v>
      </c>
      <c r="C23" s="72" t="str">
        <f>stg_payroll!$A23</f>
        <v>Leon Groysman</v>
      </c>
      <c r="D23" s="97">
        <f>stg_payroll!$B23</f>
        <v>1</v>
      </c>
      <c r="E23" s="105">
        <f>stg_payroll!$C23</f>
        <v>30</v>
      </c>
      <c r="F23" s="75">
        <f>stg_payroll!$E23</f>
        <v>45697</v>
      </c>
      <c r="G23" s="75">
        <f t="array" ref="G23">XLOOKUP(fact_labor!$F23,dim_date!$A$2:$A$2924,dim_date!$G$2:$G$2924,"",0)</f>
        <v>45703</v>
      </c>
      <c r="H23" s="106">
        <f>stg_payroll!$G23</f>
        <v>8.5</v>
      </c>
      <c r="I23" s="107" t="str">
        <f>stg_payroll!$H23</f>
        <v>25S-010</v>
      </c>
      <c r="J23" s="76">
        <f>stg_payroll!$J23</f>
        <v>6.95</v>
      </c>
      <c r="K23" s="72" t="str">
        <f>TRIM(fact_labor!$I23)</f>
        <v>25S-010</v>
      </c>
      <c r="L23" s="72" t="str">
        <f t="array" ref="L23">XLOOKUP(fact_labor!$K23,TRIM(dim_job!$B$2:$B$6),#REF!,"no contract",0)</f>
        <v>#N/A</v>
      </c>
      <c r="M23" s="72" t="str">
        <f t="array" ref="M23">XLOOKUP(fact_labor!$A23,dim_technician!$A$2:$A$39,#REF!,"",0)</f>
        <v>#N/A</v>
      </c>
      <c r="N23" s="72" t="str">
        <f>fact_labor!$L23&amp;" "&amp;fact_labor!$M23</f>
        <v>#N/A</v>
      </c>
      <c r="O23" s="72" t="str">
        <f t="array" ref="O23">XLOOKUP(fact_labor!$L23, stg_contract_values!$A$2:$A$4,stg_contract_values!$E$2:$E$4,"",0)</f>
        <v>#N/A</v>
      </c>
      <c r="P23" s="105" t="str">
        <f t="array" ref="P23">XLOOKUP(fact_labor!$N23,dim_sca_labor_rate!$F$2:$F$100, dim_sca_labor_rate!$J$2:$J$100,0,0)</f>
        <v>#N/A</v>
      </c>
      <c r="Q23" s="105" t="str">
        <f>fact_labor!$E23*fact_labor!$O23</f>
        <v>#N/A</v>
      </c>
      <c r="R23" s="105" t="str">
        <f>IF(fact_labor!$L23="no contract",0,fact_labor!$E23*fact_labor!$H23)</f>
        <v>#N/A</v>
      </c>
      <c r="S23" s="105" t="str">
        <f>IF(fact_labor!$L23="no contract",0,fact_labor!$P23*fact_labor!$H23)</f>
        <v>#N/A</v>
      </c>
      <c r="T23" s="105" t="str">
        <f>fact_labor!$S23-fact_labor!$R23</f>
        <v>#N/A</v>
      </c>
      <c r="U23" s="108" t="str">
        <f>IF(fact_labor!$L23="no contract",0,((fact_labor!$S23-fact_labor!$R23)/fact_labor!$S23))</f>
        <v>#N/A</v>
      </c>
      <c r="V23" s="109"/>
    </row>
    <row r="24" ht="15.75" customHeight="1">
      <c r="A24" s="104">
        <f t="array" ref="A24">XLOOKUP(fact_labor!$B24,dim_technician!$H$2:$H$39,dim_technician!$A$2:$A$39,"",0)</f>
        <v>13</v>
      </c>
      <c r="B24" s="72" t="str">
        <f>LOWER(SUBSTITUTE(fact_labor!$C24," ","")&amp;TEXT(fact_labor!$D24,"00"))</f>
        <v>leongroysman01</v>
      </c>
      <c r="C24" s="72" t="str">
        <f>stg_payroll!$A24</f>
        <v>Leon Groysman</v>
      </c>
      <c r="D24" s="97">
        <f>stg_payroll!$B24</f>
        <v>1</v>
      </c>
      <c r="E24" s="105">
        <f>stg_payroll!$C24</f>
        <v>35</v>
      </c>
      <c r="F24" s="75">
        <f>stg_payroll!$E24</f>
        <v>45759</v>
      </c>
      <c r="G24" s="75">
        <f t="array" ref="G24">XLOOKUP(fact_labor!$F24,dim_date!$A$2:$A$2924,dim_date!$G$2:$G$2924,"",0)</f>
        <v>45759</v>
      </c>
      <c r="H24" s="106">
        <f>stg_payroll!$G24</f>
        <v>16.5</v>
      </c>
      <c r="I24" s="107" t="str">
        <f>stg_payroll!$H24</f>
        <v>25S-010</v>
      </c>
      <c r="J24" s="76">
        <f>stg_payroll!$J24</f>
        <v>13.9</v>
      </c>
      <c r="K24" s="72" t="str">
        <f>TRIM(fact_labor!$I24)</f>
        <v>25S-010</v>
      </c>
      <c r="L24" s="72" t="str">
        <f t="array" ref="L24">XLOOKUP(fact_labor!$K24,TRIM(dim_job!$B$2:$B$6),#REF!,"no contract",0)</f>
        <v>#N/A</v>
      </c>
      <c r="M24" s="72" t="str">
        <f t="array" ref="M24">XLOOKUP(fact_labor!$A24,dim_technician!$A$2:$A$39,#REF!,"",0)</f>
        <v>#N/A</v>
      </c>
      <c r="N24" s="72" t="str">
        <f>fact_labor!$L24&amp;" "&amp;fact_labor!$M24</f>
        <v>#N/A</v>
      </c>
      <c r="O24" s="72" t="str">
        <f t="array" ref="O24">XLOOKUP(fact_labor!$L24, stg_contract_values!$A$2:$A$4,stg_contract_values!$E$2:$E$4,"",0)</f>
        <v>#N/A</v>
      </c>
      <c r="P24" s="105" t="str">
        <f t="array" ref="P24">XLOOKUP(fact_labor!$N24,dim_sca_labor_rate!$F$2:$F$100, dim_sca_labor_rate!$J$2:$J$100,0,0)</f>
        <v>#N/A</v>
      </c>
      <c r="Q24" s="105" t="str">
        <f>fact_labor!$E24*fact_labor!$O24</f>
        <v>#N/A</v>
      </c>
      <c r="R24" s="105" t="str">
        <f>IF(fact_labor!$L24="no contract",0,fact_labor!$E24*fact_labor!$H24)</f>
        <v>#N/A</v>
      </c>
      <c r="S24" s="105" t="str">
        <f>IF(fact_labor!$L24="no contract",0,fact_labor!$P24*fact_labor!$H24)</f>
        <v>#N/A</v>
      </c>
      <c r="T24" s="105" t="str">
        <f>fact_labor!$S24-fact_labor!$R24</f>
        <v>#N/A</v>
      </c>
      <c r="U24" s="108" t="str">
        <f>IF(fact_labor!$L24="no contract",0,((fact_labor!$S24-fact_labor!$R24)/fact_labor!$S24))</f>
        <v>#N/A</v>
      </c>
      <c r="V24" s="109"/>
    </row>
    <row r="25" ht="15.75" customHeight="1">
      <c r="A25" s="104">
        <f t="array" ref="A25">XLOOKUP(fact_labor!$B25,dim_technician!$H$2:$H$39,dim_technician!$A$2:$A$39,"",0)</f>
        <v>13</v>
      </c>
      <c r="B25" s="72" t="str">
        <f>LOWER(SUBSTITUTE(fact_labor!$C25," ","")&amp;TEXT(fact_labor!$D25,"00"))</f>
        <v>leongroysman01</v>
      </c>
      <c r="C25" s="72" t="str">
        <f>stg_payroll!$A25</f>
        <v>Leon Groysman</v>
      </c>
      <c r="D25" s="97">
        <f>stg_payroll!$B25</f>
        <v>1</v>
      </c>
      <c r="E25" s="105">
        <f>stg_payroll!$C25</f>
        <v>35</v>
      </c>
      <c r="F25" s="75">
        <f>stg_payroll!$E25</f>
        <v>45760</v>
      </c>
      <c r="G25" s="75">
        <f t="array" ref="G25">XLOOKUP(fact_labor!$F25,dim_date!$A$2:$A$2924,dim_date!$G$2:$G$2924,"",0)</f>
        <v>45766</v>
      </c>
      <c r="H25" s="106">
        <f>stg_payroll!$G25</f>
        <v>16</v>
      </c>
      <c r="I25" s="107" t="str">
        <f>stg_payroll!$H25</f>
        <v>25S-010</v>
      </c>
      <c r="J25" s="76">
        <f>stg_payroll!$J25</f>
        <v>13.9</v>
      </c>
      <c r="K25" s="72" t="str">
        <f>TRIM(fact_labor!$I25)</f>
        <v>25S-010</v>
      </c>
      <c r="L25" s="72" t="str">
        <f t="array" ref="L25">XLOOKUP(fact_labor!$K25,TRIM(dim_job!$B$2:$B$6),#REF!,"no contract",0)</f>
        <v>#N/A</v>
      </c>
      <c r="M25" s="72" t="str">
        <f t="array" ref="M25">XLOOKUP(fact_labor!$A25,dim_technician!$A$2:$A$39,#REF!,"",0)</f>
        <v>#N/A</v>
      </c>
      <c r="N25" s="72" t="str">
        <f>fact_labor!$L25&amp;" "&amp;fact_labor!$M25</f>
        <v>#N/A</v>
      </c>
      <c r="O25" s="72" t="str">
        <f t="array" ref="O25">XLOOKUP(fact_labor!$L25, stg_contract_values!$A$2:$A$4,stg_contract_values!$E$2:$E$4,"",0)</f>
        <v>#N/A</v>
      </c>
      <c r="P25" s="105" t="str">
        <f t="array" ref="P25">XLOOKUP(fact_labor!$N25,dim_sca_labor_rate!$F$2:$F$100, dim_sca_labor_rate!$J$2:$J$100,0,0)</f>
        <v>#N/A</v>
      </c>
      <c r="Q25" s="105" t="str">
        <f>fact_labor!$E25*fact_labor!$O25</f>
        <v>#N/A</v>
      </c>
      <c r="R25" s="105" t="str">
        <f>IF(fact_labor!$L25="no contract",0,fact_labor!$E25*fact_labor!$H25)</f>
        <v>#N/A</v>
      </c>
      <c r="S25" s="105" t="str">
        <f>IF(fact_labor!$L25="no contract",0,fact_labor!$P25*fact_labor!$H25)</f>
        <v>#N/A</v>
      </c>
      <c r="T25" s="105" t="str">
        <f>fact_labor!$S25-fact_labor!$R25</f>
        <v>#N/A</v>
      </c>
      <c r="U25" s="108" t="str">
        <f>IF(fact_labor!$L25="no contract",0,((fact_labor!$S25-fact_labor!$R25)/fact_labor!$S25))</f>
        <v>#N/A</v>
      </c>
      <c r="V25" s="109"/>
    </row>
    <row r="26" ht="15.75" customHeight="1">
      <c r="A26" s="104">
        <f t="array" ref="A26">XLOOKUP(fact_labor!$B26,dim_technician!$H$2:$H$39,dim_technician!$A$2:$A$39,"",0)</f>
        <v>1</v>
      </c>
      <c r="B26" s="72" t="str">
        <f>LOWER(SUBSTITUTE(fact_labor!$C26," ","")&amp;TEXT(fact_labor!$D26,"00"))</f>
        <v>cornelalbu01</v>
      </c>
      <c r="C26" s="72" t="str">
        <f>stg_payroll!$A26</f>
        <v>Cornel Albu</v>
      </c>
      <c r="D26" s="97">
        <f>stg_payroll!$B26</f>
        <v>1</v>
      </c>
      <c r="E26" s="105">
        <f>stg_payroll!$C26</f>
        <v>38</v>
      </c>
      <c r="F26" s="75">
        <f>stg_payroll!$E26</f>
        <v>45675</v>
      </c>
      <c r="G26" s="75">
        <f t="array" ref="G26">XLOOKUP(fact_labor!$F26,dim_date!$A$2:$A$2924,dim_date!$G$2:$G$2924,"",0)</f>
        <v>45675</v>
      </c>
      <c r="H26" s="106">
        <f>stg_payroll!$G26</f>
        <v>6</v>
      </c>
      <c r="I26" s="107" t="str">
        <f>stg_payroll!$H26</f>
        <v>25S-002</v>
      </c>
      <c r="J26" s="76" t="str">
        <f>stg_payroll!$J26</f>
        <v/>
      </c>
      <c r="K26" s="72" t="str">
        <f>TRIM(fact_labor!$I26)</f>
        <v>25S-002</v>
      </c>
      <c r="L26" s="72" t="str">
        <f t="array" ref="L26">XLOOKUP(fact_labor!$K26,TRIM(dim_job!$B$2:$B$6),#REF!,"no contract",0)</f>
        <v>#N/A</v>
      </c>
      <c r="M26" s="72" t="str">
        <f t="array" ref="M26">XLOOKUP(fact_labor!$A26,dim_technician!$A$2:$A$39,#REF!,"",0)</f>
        <v>#N/A</v>
      </c>
      <c r="N26" s="72" t="str">
        <f>fact_labor!$L26&amp;" "&amp;fact_labor!$M26</f>
        <v>#N/A</v>
      </c>
      <c r="O26" s="72" t="str">
        <f t="array" ref="O26">XLOOKUP(fact_labor!$L26, stg_contract_values!$A$2:$A$4,stg_contract_values!$E$2:$E$4,"",0)</f>
        <v>#N/A</v>
      </c>
      <c r="P26" s="105" t="str">
        <f t="array" ref="P26">XLOOKUP(fact_labor!$N26,dim_sca_labor_rate!$F$2:$F$100, dim_sca_labor_rate!$J$2:$J$100,0,0)</f>
        <v>#N/A</v>
      </c>
      <c r="Q26" s="105" t="str">
        <f>fact_labor!$E26*fact_labor!$O26</f>
        <v>#N/A</v>
      </c>
      <c r="R26" s="105" t="str">
        <f>IF(fact_labor!$L26="no contract",0,fact_labor!$E26*fact_labor!$H26)</f>
        <v>#N/A</v>
      </c>
      <c r="S26" s="105" t="str">
        <f>IF(fact_labor!$L26="no contract",0,fact_labor!$P26*fact_labor!$H26)</f>
        <v>#N/A</v>
      </c>
      <c r="T26" s="105" t="str">
        <f>fact_labor!$S26-fact_labor!$R26</f>
        <v>#N/A</v>
      </c>
      <c r="U26" s="108" t="str">
        <f>IF(fact_labor!$L26="no contract",0,((fact_labor!$S26-fact_labor!$R26)/fact_labor!$S26))</f>
        <v>#N/A</v>
      </c>
      <c r="V26" s="109"/>
    </row>
    <row r="27" ht="15.75" customHeight="1">
      <c r="A27" s="104">
        <f t="array" ref="A27">XLOOKUP(fact_labor!$B27,dim_technician!$H$2:$H$39,dim_technician!$A$2:$A$39,"",0)</f>
        <v>1</v>
      </c>
      <c r="B27" s="72" t="str">
        <f>LOWER(SUBSTITUTE(fact_labor!$C27," ","")&amp;TEXT(fact_labor!$D27,"00"))</f>
        <v>cornelalbu01</v>
      </c>
      <c r="C27" s="72" t="str">
        <f>stg_payroll!$A27</f>
        <v>Cornel Albu</v>
      </c>
      <c r="D27" s="97">
        <f>stg_payroll!$B27</f>
        <v>1</v>
      </c>
      <c r="E27" s="105">
        <f>stg_payroll!$C27</f>
        <v>38</v>
      </c>
      <c r="F27" s="75">
        <f>stg_payroll!$E27</f>
        <v>45676</v>
      </c>
      <c r="G27" s="75">
        <f t="array" ref="G27">XLOOKUP(fact_labor!$F27,dim_date!$A$2:$A$2924,dim_date!$G$2:$G$2924,"",0)</f>
        <v>45682</v>
      </c>
      <c r="H27" s="106">
        <f>stg_payroll!$G27</f>
        <v>6.5</v>
      </c>
      <c r="I27" s="107" t="str">
        <f>stg_payroll!$H27</f>
        <v>25S-002</v>
      </c>
      <c r="J27" s="76" t="str">
        <f>stg_payroll!$J27</f>
        <v/>
      </c>
      <c r="K27" s="72" t="str">
        <f>TRIM(fact_labor!$I27)</f>
        <v>25S-002</v>
      </c>
      <c r="L27" s="72" t="str">
        <f t="array" ref="L27">XLOOKUP(fact_labor!$K27,TRIM(dim_job!$B$2:$B$6),#REF!,"no contract",0)</f>
        <v>#N/A</v>
      </c>
      <c r="M27" s="72" t="str">
        <f t="array" ref="M27">XLOOKUP(fact_labor!$A27,dim_technician!$A$2:$A$39,#REF!,"",0)</f>
        <v>#N/A</v>
      </c>
      <c r="N27" s="72" t="str">
        <f>fact_labor!$L27&amp;" "&amp;fact_labor!$M27</f>
        <v>#N/A</v>
      </c>
      <c r="O27" s="72" t="str">
        <f t="array" ref="O27">XLOOKUP(fact_labor!$L27, stg_contract_values!$A$2:$A$4,stg_contract_values!$E$2:$E$4,"",0)</f>
        <v>#N/A</v>
      </c>
      <c r="P27" s="105" t="str">
        <f t="array" ref="P27">XLOOKUP(fact_labor!$N27,dim_sca_labor_rate!$F$2:$F$100, dim_sca_labor_rate!$J$2:$J$100,0,0)</f>
        <v>#N/A</v>
      </c>
      <c r="Q27" s="105" t="str">
        <f>fact_labor!$E27*fact_labor!$O27</f>
        <v>#N/A</v>
      </c>
      <c r="R27" s="105" t="str">
        <f>IF(fact_labor!$L27="no contract",0,fact_labor!$E27*fact_labor!$H27)</f>
        <v>#N/A</v>
      </c>
      <c r="S27" s="105" t="str">
        <f>IF(fact_labor!$L27="no contract",0,fact_labor!$P27*fact_labor!$H27)</f>
        <v>#N/A</v>
      </c>
      <c r="T27" s="105" t="str">
        <f>fact_labor!$S27-fact_labor!$R27</f>
        <v>#N/A</v>
      </c>
      <c r="U27" s="108" t="str">
        <f>IF(fact_labor!$L27="no contract",0,((fact_labor!$S27-fact_labor!$R27)/fact_labor!$S27))</f>
        <v>#N/A</v>
      </c>
      <c r="V27" s="109"/>
    </row>
    <row r="28" ht="15.75" customHeight="1">
      <c r="A28" s="104">
        <f t="array" ref="A28">XLOOKUP(fact_labor!$B28,dim_technician!$H$2:$H$39,dim_technician!$A$2:$A$39,"",0)</f>
        <v>15</v>
      </c>
      <c r="B28" s="72" t="str">
        <f>LOWER(SUBSTITUTE(fact_labor!$C28," ","")&amp;TEXT(fact_labor!$D28,"00"))</f>
        <v>igorgroysman01</v>
      </c>
      <c r="C28" s="72" t="str">
        <f>stg_payroll!$A28</f>
        <v>Igor Groysman</v>
      </c>
      <c r="D28" s="97">
        <f>stg_payroll!$B28</f>
        <v>1</v>
      </c>
      <c r="E28" s="105">
        <f>stg_payroll!$C28</f>
        <v>38</v>
      </c>
      <c r="F28" s="75">
        <f>stg_payroll!$E28</f>
        <v>44757</v>
      </c>
      <c r="G28" s="75">
        <f t="array" ref="G28">XLOOKUP(fact_labor!$F28,dim_date!$A$2:$A$2924,dim_date!$G$2:$G$2924,"",0)</f>
        <v>44758</v>
      </c>
      <c r="H28" s="106">
        <f>stg_payroll!$G28</f>
        <v>10.5</v>
      </c>
      <c r="I28" s="107" t="str">
        <f>stg_payroll!$H28</f>
        <v>22S-029</v>
      </c>
      <c r="J28" s="76" t="str">
        <f>stg_payroll!$J28</f>
        <v/>
      </c>
      <c r="K28" s="72" t="str">
        <f>TRIM(fact_labor!$I28)</f>
        <v>22S-029</v>
      </c>
      <c r="L28" s="72" t="str">
        <f t="array" ref="L28">XLOOKUP(fact_labor!$K28,TRIM(dim_job!$B$2:$B$6),#REF!,"no contract",0)</f>
        <v>#N/A</v>
      </c>
      <c r="M28" s="72" t="str">
        <f t="array" ref="M28">XLOOKUP(fact_labor!$A28,dim_technician!$A$2:$A$39,#REF!,"",0)</f>
        <v>#N/A</v>
      </c>
      <c r="N28" s="72" t="str">
        <f>fact_labor!$L28&amp;" "&amp;fact_labor!$M28</f>
        <v>#N/A</v>
      </c>
      <c r="O28" s="72" t="str">
        <f t="array" ref="O28">XLOOKUP(fact_labor!$L28, stg_contract_values!$A$2:$A$4,stg_contract_values!$E$2:$E$4,"",0)</f>
        <v>#N/A</v>
      </c>
      <c r="P28" s="105" t="str">
        <f t="array" ref="P28">XLOOKUP(fact_labor!$N28,dim_sca_labor_rate!$F$2:$F$100, dim_sca_labor_rate!$J$2:$J$100,0,0)</f>
        <v>#N/A</v>
      </c>
      <c r="Q28" s="105" t="str">
        <f>fact_labor!$E28*fact_labor!$O28</f>
        <v>#N/A</v>
      </c>
      <c r="R28" s="105" t="str">
        <f>IF(fact_labor!$L28="no contract",0,fact_labor!$E28*fact_labor!$H28)</f>
        <v>#N/A</v>
      </c>
      <c r="S28" s="105" t="str">
        <f>IF(fact_labor!$L28="no contract",0,fact_labor!$P28*fact_labor!$H28)</f>
        <v>#N/A</v>
      </c>
      <c r="T28" s="105" t="str">
        <f>fact_labor!$S28-fact_labor!$R28</f>
        <v>#N/A</v>
      </c>
      <c r="U28" s="108" t="str">
        <f>IF(fact_labor!$L28="no contract",0,((fact_labor!$S28-fact_labor!$R28)/fact_labor!$S28))</f>
        <v>#N/A</v>
      </c>
      <c r="V28" s="109"/>
    </row>
    <row r="29" ht="15.75" customHeight="1">
      <c r="A29" s="104">
        <f t="array" ref="A29">XLOOKUP(fact_labor!$B29,dim_technician!$H$2:$H$39,dim_technician!$A$2:$A$39,"",0)</f>
        <v>32</v>
      </c>
      <c r="B29" s="72" t="str">
        <f>LOWER(SUBSTITUTE(fact_labor!$C29," ","")&amp;TEXT(fact_labor!$D29,"00"))</f>
        <v>dimitribellos03</v>
      </c>
      <c r="C29" s="72" t="str">
        <f>stg_payroll!$A29</f>
        <v>Dimitri Bellos</v>
      </c>
      <c r="D29" s="97">
        <f>stg_payroll!$B29</f>
        <v>3</v>
      </c>
      <c r="E29" s="105">
        <f>stg_payroll!$C29</f>
        <v>89</v>
      </c>
      <c r="F29" s="75">
        <f>stg_payroll!$E29</f>
        <v>44749</v>
      </c>
      <c r="G29" s="75">
        <f t="array" ref="G29">XLOOKUP(fact_labor!$F29,dim_date!$A$2:$A$2924,dim_date!$G$2:$G$2924,"",0)</f>
        <v>44751</v>
      </c>
      <c r="H29" s="106">
        <f>stg_payroll!$G29</f>
        <v>6</v>
      </c>
      <c r="I29" s="107" t="str">
        <f>stg_payroll!$H29</f>
        <v>22S-029</v>
      </c>
      <c r="J29" s="76" t="str">
        <f>stg_payroll!$J29</f>
        <v/>
      </c>
      <c r="K29" s="72" t="str">
        <f>TRIM(fact_labor!$I29)</f>
        <v>22S-029</v>
      </c>
      <c r="L29" s="72" t="str">
        <f t="array" ref="L29">XLOOKUP(fact_labor!$K29,TRIM(dim_job!$B$2:$B$6),#REF!,"no contract",0)</f>
        <v>#N/A</v>
      </c>
      <c r="M29" s="72" t="str">
        <f t="array" ref="M29">XLOOKUP(fact_labor!$A29,dim_technician!$A$2:$A$39,#REF!,"",0)</f>
        <v>#N/A</v>
      </c>
      <c r="N29" s="72" t="str">
        <f>fact_labor!$L29&amp;" "&amp;fact_labor!$M29</f>
        <v>#N/A</v>
      </c>
      <c r="O29" s="72" t="str">
        <f t="array" ref="O29">XLOOKUP(fact_labor!$L29, stg_contract_values!$A$2:$A$4,stg_contract_values!$E$2:$E$4,"",0)</f>
        <v>#N/A</v>
      </c>
      <c r="P29" s="105" t="str">
        <f t="array" ref="P29">XLOOKUP(fact_labor!$N29,dim_sca_labor_rate!$F$2:$F$100, dim_sca_labor_rate!$J$2:$J$100,0,0)</f>
        <v>#N/A</v>
      </c>
      <c r="Q29" s="105" t="str">
        <f>fact_labor!$E29*fact_labor!$O29</f>
        <v>#N/A</v>
      </c>
      <c r="R29" s="105" t="str">
        <f>IF(fact_labor!$L29="no contract",0,fact_labor!$E29*fact_labor!$H29)</f>
        <v>#N/A</v>
      </c>
      <c r="S29" s="105" t="str">
        <f>IF(fact_labor!$L29="no contract",0,fact_labor!$P29*fact_labor!$H29)</f>
        <v>#N/A</v>
      </c>
      <c r="T29" s="105" t="str">
        <f>fact_labor!$S29-fact_labor!$R29</f>
        <v>#N/A</v>
      </c>
      <c r="U29" s="108" t="str">
        <f>IF(fact_labor!$L29="no contract",0,((fact_labor!$S29-fact_labor!$R29)/fact_labor!$S29))</f>
        <v>#N/A</v>
      </c>
      <c r="V29" s="109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63"/>
    <col customWidth="1" min="3" max="3" width="14.63"/>
    <col customWidth="1" min="4" max="5" width="11.0"/>
    <col customWidth="1" min="6" max="6" width="8.63"/>
    <col customWidth="1" min="7" max="7" width="9.38"/>
    <col customWidth="1" min="8" max="8" width="14.0"/>
    <col customWidth="1" min="9" max="9" width="14.13"/>
    <col customWidth="1" min="10" max="12" width="11.13"/>
    <col customWidth="1" min="13" max="13" width="8.63"/>
    <col customWidth="1" min="14" max="14" width="20.75"/>
    <col customWidth="1" min="15" max="16" width="28.38"/>
    <col customWidth="1" min="17" max="17" width="12.88"/>
    <col customWidth="1" min="18" max="26" width="8.63"/>
  </cols>
  <sheetData>
    <row r="1">
      <c r="A1" s="72" t="s">
        <v>136</v>
      </c>
      <c r="B1" s="72" t="s">
        <v>1133</v>
      </c>
      <c r="C1" s="72" t="s">
        <v>1093</v>
      </c>
      <c r="D1" s="72" t="s">
        <v>1134</v>
      </c>
      <c r="E1" s="72" t="s">
        <v>1135</v>
      </c>
      <c r="F1" s="72" t="s">
        <v>1094</v>
      </c>
      <c r="G1" s="72" t="s">
        <v>1092</v>
      </c>
      <c r="H1" s="72" t="s">
        <v>102</v>
      </c>
      <c r="I1" s="72" t="s">
        <v>1136</v>
      </c>
      <c r="J1" s="72" t="s">
        <v>1137</v>
      </c>
      <c r="K1" s="72" t="s">
        <v>1138</v>
      </c>
      <c r="L1" s="72" t="s">
        <v>1139</v>
      </c>
      <c r="M1" s="72" t="s">
        <v>1140</v>
      </c>
      <c r="N1" s="72" t="s">
        <v>1109</v>
      </c>
      <c r="O1" s="72" t="s">
        <v>1113</v>
      </c>
      <c r="P1" s="72" t="s">
        <v>1141</v>
      </c>
      <c r="Q1" s="72" t="s">
        <v>1142</v>
      </c>
      <c r="R1" s="72" t="s">
        <v>1143</v>
      </c>
    </row>
    <row r="2">
      <c r="A2" s="72" t="str">
        <f t="array" ref="A2">XLOOKUP(
   TRIM(fact_lab!$Q2),
   dim_job!$B$2:$B$6,
   dim_job!$B$2:$B$6,
   ""
)</f>
        <v>25S-010</v>
      </c>
      <c r="B2" s="72" t="str">
        <f>stg_lab_reports!$A2</f>
        <v>SCA</v>
      </c>
      <c r="C2" s="72" t="str">
        <f>stg_lab_reports!$F2</f>
        <v>Durings</v>
      </c>
      <c r="D2" s="72" t="str">
        <f t="array" ref="D2">XLOOKUP(fact_lab!$C2,dim_lab_sca_map!$C$2:$C$64, dim_lab_sca_map!$B$2:$B$64, 0)</f>
        <v>PCM</v>
      </c>
      <c r="E2" s="99">
        <f>stg_lab_reports!$G2</f>
        <v>4</v>
      </c>
      <c r="F2" s="72" t="str">
        <f t="array" ref="F2">XLOOKUP(fact_lab!$D2, dim_lab_sca_map!$B$2:$B$64, dim_lab_sca_map!$D$2:$D$64)</f>
        <v>1 Hr</v>
      </c>
      <c r="G2" s="72" t="str">
        <f>stg_lab_reports!$I2</f>
        <v>LTS</v>
      </c>
      <c r="H2" s="72" t="str">
        <f t="array" ref="H2">XLOOKUP(fact_lab!$A2,
         dim_job!$B$2:$B$6,
         dim_job!$H$2:$H$6,
         "Missing Contract")</f>
        <v>C000015869</v>
      </c>
      <c r="I2" s="76">
        <f t="array" ref="I2">XLOOKUP(fact_lab!$P2, dim_lab_vendor_rates!$A$2:$A$49, dim_lab_vendor_rates!$E$2:$E$49, "No Rate")</f>
        <v>6</v>
      </c>
      <c r="J2" s="76">
        <f t="array" ref="J2">XLOOKUP(
   fact_lab!$O2,
   dim_lab_sca_map!$G$2:$G$64,
   dim_lab_sca_map!$E$2:$E$64,
   0
)</f>
        <v>27</v>
      </c>
      <c r="K2" s="76">
        <f>fact_lab!$E2*fact_lab!$I2</f>
        <v>24</v>
      </c>
      <c r="L2" s="76">
        <f>IF(fact_lab!$B2="SCA",fact_lab!$E2*fact_lab!$J2, fact_lab!$K2)</f>
        <v>108</v>
      </c>
      <c r="M2" s="76">
        <f>IF(fact_lab!$H2="Missing Contract", 0, fact_lab!$L2-fact_lab!$K2)</f>
        <v>84</v>
      </c>
      <c r="N2" s="72" t="str">
        <f>fact_lab!$D2&amp;"|"&amp;fact_lab!$F2</f>
        <v>PCM|1 Hr</v>
      </c>
      <c r="O2" s="72" t="str">
        <f>fact_lab!$H2&amp;"|"&amp;fact_lab!$N2</f>
        <v>C000015869|PCM|1 Hr</v>
      </c>
      <c r="P2" s="72" t="str">
        <f>fact_lab!$G2&amp;"|"&amp;fact_lab!$C2</f>
        <v>LTS|Durings</v>
      </c>
      <c r="Q2" s="72" t="str">
        <f>TRIM(stg_lab_reports!$C2)</f>
        <v>25S-010</v>
      </c>
      <c r="R2" s="72" t="str">
        <f t="array" ref="R2">XLOOKUP(
   TRIM(fact_lab!$Q2),
   dim_job!$B$2:$B$6,
   dim_job!$B$2:$B$6,
   ""
)</f>
        <v>25S-010</v>
      </c>
    </row>
    <row r="3">
      <c r="A3" s="72" t="str">
        <f t="array" ref="A3">XLOOKUP(
   TRIM(fact_lab!$Q3),
   dim_job!$B$2:$B$6,
   dim_job!$B$2:$B$6,
   ""
)</f>
        <v>25S-010</v>
      </c>
      <c r="B3" s="72" t="str">
        <f>stg_lab_reports!$A3</f>
        <v>SCA</v>
      </c>
      <c r="C3" s="72" t="str">
        <f>stg_lab_reports!$F3</f>
        <v>Finals</v>
      </c>
      <c r="D3" s="72" t="str">
        <f t="array" ref="D3">XLOOKUP(fact_lab!$C3,dim_lab_sca_map!$C$2:$C$64, dim_lab_sca_map!$B$2:$B$64, 0)</f>
        <v>PCM</v>
      </c>
      <c r="E3" s="99">
        <f>stg_lab_reports!$G3</f>
        <v>8</v>
      </c>
      <c r="F3" s="72" t="str">
        <f t="array" ref="F3">XLOOKUP(fact_lab!$D3, dim_lab_sca_map!$B$2:$B$64, dim_lab_sca_map!$D$2:$D$64)</f>
        <v>1 Hr</v>
      </c>
      <c r="G3" s="72" t="str">
        <f>stg_lab_reports!$I3</f>
        <v>LTS</v>
      </c>
      <c r="H3" s="72" t="str">
        <f t="array" ref="H3">XLOOKUP(fact_lab!$A3,
         dim_job!$B$2:$B$6,
         dim_job!$H$2:$H$6,
         "Missing Contract")</f>
        <v>C000015869</v>
      </c>
      <c r="I3" s="76">
        <f t="array" ref="I3">XLOOKUP(fact_lab!$P3, dim_lab_vendor_rates!$A$2:$A$49, dim_lab_vendor_rates!$E$2:$E$49, "No Rate")</f>
        <v>6</v>
      </c>
      <c r="J3" s="76">
        <f t="array" ref="J3">XLOOKUP(
   fact_lab!$O3,
   dim_lab_sca_map!$G$2:$G$64,
   dim_lab_sca_map!$E$2:$E$64,
   0
)</f>
        <v>27</v>
      </c>
      <c r="K3" s="76">
        <f>fact_lab!$E3*fact_lab!$I3</f>
        <v>48</v>
      </c>
      <c r="L3" s="76">
        <f>IF(fact_lab!$B3="SCA",fact_lab!$E3*fact_lab!$J3, fact_lab!$K3)</f>
        <v>216</v>
      </c>
      <c r="M3" s="76">
        <f>IF(fact_lab!$H3="Missing Contract", 0, fact_lab!$L3-fact_lab!$K3)</f>
        <v>168</v>
      </c>
      <c r="N3" s="72" t="str">
        <f>fact_lab!$D3&amp;"|"&amp;fact_lab!$F3</f>
        <v>PCM|1 Hr</v>
      </c>
      <c r="O3" s="72" t="str">
        <f>fact_lab!$H3&amp;"|"&amp;fact_lab!$N3</f>
        <v>C000015869|PCM|1 Hr</v>
      </c>
      <c r="P3" s="72" t="str">
        <f>fact_lab!$G3&amp;"|"&amp;fact_lab!$C3</f>
        <v>LTS|Finals</v>
      </c>
      <c r="Q3" s="72" t="str">
        <f>TRIM(stg_lab_reports!$C3)</f>
        <v>25S-010</v>
      </c>
      <c r="R3" s="72" t="str">
        <f t="array" ref="R3">XLOOKUP(
   TRIM(fact_lab!$Q3),
   dim_job!$B$2:$B$6,
   dim_job!$B$2:$B$6,
   ""
)</f>
        <v>25S-010</v>
      </c>
    </row>
    <row r="4">
      <c r="A4" s="72" t="str">
        <f t="array" ref="A4">XLOOKUP(
   TRIM(fact_lab!$Q4),
   dim_job!$B$2:$B$6,
   dim_job!$B$2:$B$6,
   ""
)</f>
        <v>25S-010</v>
      </c>
      <c r="B4" s="72" t="str">
        <f>stg_lab_reports!$A4</f>
        <v>SCA</v>
      </c>
      <c r="C4" s="72" t="str">
        <f>stg_lab_reports!$F4</f>
        <v>Backgrounds</v>
      </c>
      <c r="D4" s="72" t="str">
        <f t="array" ref="D4">XLOOKUP(fact_lab!$C4,dim_lab_sca_map!$C$2:$C$64, dim_lab_sca_map!$B$2:$B$64, 0)</f>
        <v>PCM</v>
      </c>
      <c r="E4" s="99">
        <f>stg_lab_reports!$G4</f>
        <v>12</v>
      </c>
      <c r="F4" s="72" t="str">
        <f t="array" ref="F4">XLOOKUP(fact_lab!$D4, dim_lab_sca_map!$B$2:$B$64, dim_lab_sca_map!$D$2:$D$64)</f>
        <v>1 Hr</v>
      </c>
      <c r="G4" s="72" t="str">
        <f>stg_lab_reports!$I4</f>
        <v>LTS</v>
      </c>
      <c r="H4" s="72" t="str">
        <f t="array" ref="H4">XLOOKUP(fact_lab!$A4,
         dim_job!$B$2:$B$6,
         dim_job!$H$2:$H$6,
         "Missing Contract")</f>
        <v>C000015869</v>
      </c>
      <c r="I4" s="76">
        <f t="array" ref="I4">XLOOKUP(fact_lab!$P4, dim_lab_vendor_rates!$A$2:$A$49, dim_lab_vendor_rates!$E$2:$E$49, "No Rate")</f>
        <v>6</v>
      </c>
      <c r="J4" s="76">
        <f t="array" ref="J4">XLOOKUP(
   fact_lab!$O4,
   dim_lab_sca_map!$G$2:$G$64,
   dim_lab_sca_map!$E$2:$E$64,
   0
)</f>
        <v>27</v>
      </c>
      <c r="K4" s="76">
        <f>fact_lab!$E4*fact_lab!$I4</f>
        <v>72</v>
      </c>
      <c r="L4" s="76">
        <f>IF(fact_lab!$B4="SCA",fact_lab!$E4*fact_lab!$J4, fact_lab!$K4)</f>
        <v>324</v>
      </c>
      <c r="M4" s="76">
        <f>IF(fact_lab!$H4="Missing Contract", 0, fact_lab!$L4-fact_lab!$K4)</f>
        <v>252</v>
      </c>
      <c r="N4" s="72" t="str">
        <f>fact_lab!$D4&amp;"|"&amp;fact_lab!$F4</f>
        <v>PCM|1 Hr</v>
      </c>
      <c r="O4" s="72" t="str">
        <f>fact_lab!$H4&amp;"|"&amp;fact_lab!$N4</f>
        <v>C000015869|PCM|1 Hr</v>
      </c>
      <c r="P4" s="72" t="str">
        <f>fact_lab!$G4&amp;"|"&amp;fact_lab!$C4</f>
        <v>LTS|Backgrounds</v>
      </c>
      <c r="Q4" s="72" t="str">
        <f>TRIM(stg_lab_reports!$C4)</f>
        <v>25S-010</v>
      </c>
      <c r="R4" s="72" t="str">
        <f t="array" ref="R4">XLOOKUP(
   TRIM(fact_lab!$Q4),
   dim_job!$B$2:$B$6,
   dim_job!$B$2:$B$6,
   ""
)</f>
        <v>25S-010</v>
      </c>
    </row>
    <row r="5">
      <c r="A5" s="72" t="str">
        <f t="array" ref="A5">XLOOKUP(
   TRIM(fact_lab!$Q5),
   dim_job!$B$2:$B$6,
   dim_job!$B$2:$B$6,
   ""
)</f>
        <v>25S-010</v>
      </c>
      <c r="B5" s="72" t="str">
        <f>stg_lab_reports!$A5</f>
        <v>SCA</v>
      </c>
      <c r="C5" s="72" t="str">
        <f>stg_lab_reports!$F5</f>
        <v>Backgrounds</v>
      </c>
      <c r="D5" s="72" t="str">
        <f t="array" ref="D5">XLOOKUP(fact_lab!$C5,dim_lab_sca_map!$C$2:$C$64, dim_lab_sca_map!$B$2:$B$64, 0)</f>
        <v>PCM</v>
      </c>
      <c r="E5" s="99">
        <f>stg_lab_reports!$G5</f>
        <v>12</v>
      </c>
      <c r="F5" s="72" t="str">
        <f t="array" ref="F5">XLOOKUP(fact_lab!$D5, dim_lab_sca_map!$B$2:$B$64, dim_lab_sca_map!$D$2:$D$64)</f>
        <v>1 Hr</v>
      </c>
      <c r="G5" s="72" t="str">
        <f>stg_lab_reports!$I5</f>
        <v>LTS</v>
      </c>
      <c r="H5" s="72" t="str">
        <f t="array" ref="H5">XLOOKUP(fact_lab!$A5,
         dim_job!$B$2:$B$6,
         dim_job!$H$2:$H$6,
         "Missing Contract")</f>
        <v>C000015869</v>
      </c>
      <c r="I5" s="76">
        <f t="array" ref="I5">XLOOKUP(fact_lab!$P5, dim_lab_vendor_rates!$A$2:$A$49, dim_lab_vendor_rates!$E$2:$E$49, "No Rate")</f>
        <v>6</v>
      </c>
      <c r="J5" s="76">
        <f t="array" ref="J5">XLOOKUP(
   fact_lab!$O5,
   dim_lab_sca_map!$G$2:$G$64,
   dim_lab_sca_map!$E$2:$E$64,
   0
)</f>
        <v>27</v>
      </c>
      <c r="K5" s="76">
        <f>fact_lab!$E5*fact_lab!$I5</f>
        <v>72</v>
      </c>
      <c r="L5" s="76">
        <f>IF(fact_lab!$B5="SCA",fact_lab!$E5*fact_lab!$J5, fact_lab!$K5)</f>
        <v>324</v>
      </c>
      <c r="M5" s="76">
        <f>IF(fact_lab!$H5="Missing Contract", 0, fact_lab!$L5-fact_lab!$K5)</f>
        <v>252</v>
      </c>
      <c r="N5" s="72" t="str">
        <f>fact_lab!$D5&amp;"|"&amp;fact_lab!$F5</f>
        <v>PCM|1 Hr</v>
      </c>
      <c r="O5" s="72" t="str">
        <f>fact_lab!$H5&amp;"|"&amp;fact_lab!$N5</f>
        <v>C000015869|PCM|1 Hr</v>
      </c>
      <c r="P5" s="72" t="str">
        <f>fact_lab!$G5&amp;"|"&amp;fact_lab!$C5</f>
        <v>LTS|Backgrounds</v>
      </c>
      <c r="Q5" s="72" t="str">
        <f>TRIM(stg_lab_reports!$C5)</f>
        <v>25S-010</v>
      </c>
      <c r="R5" s="72" t="str">
        <f t="array" ref="R5">XLOOKUP(
   TRIM(fact_lab!$Q5),
   dim_job!$B$2:$B$6,
   dim_job!$B$2:$B$6,
   ""
)</f>
        <v>25S-010</v>
      </c>
    </row>
    <row r="6">
      <c r="A6" s="72" t="str">
        <f t="array" ref="A6">XLOOKUP(
   TRIM(fact_lab!$Q6),
   dim_job!$B$2:$B$6,
   dim_job!$B$2:$B$6,
   ""
)</f>
        <v>25S-010</v>
      </c>
      <c r="B6" s="72" t="str">
        <f>stg_lab_reports!$A6</f>
        <v>SCA</v>
      </c>
      <c r="C6" s="72" t="str">
        <f>stg_lab_reports!$F6</f>
        <v>Pre</v>
      </c>
      <c r="D6" s="72" t="str">
        <f t="array" ref="D6">XLOOKUP(fact_lab!$C6,dim_lab_sca_map!$C$2:$C$64, dim_lab_sca_map!$B$2:$B$64, 0)</f>
        <v>PCM</v>
      </c>
      <c r="E6" s="99">
        <f>stg_lab_reports!$G6</f>
        <v>12</v>
      </c>
      <c r="F6" s="72" t="str">
        <f t="array" ref="F6">XLOOKUP(fact_lab!$D6, dim_lab_sca_map!$B$2:$B$64, dim_lab_sca_map!$D$2:$D$64)</f>
        <v>1 Hr</v>
      </c>
      <c r="G6" s="72" t="str">
        <f>stg_lab_reports!$I6</f>
        <v>LTS</v>
      </c>
      <c r="H6" s="72" t="str">
        <f t="array" ref="H6">XLOOKUP(fact_lab!$A6,
         dim_job!$B$2:$B$6,
         dim_job!$H$2:$H$6,
         "Missing Contract")</f>
        <v>C000015869</v>
      </c>
      <c r="I6" s="76">
        <f t="array" ref="I6">XLOOKUP(fact_lab!$P6, dim_lab_vendor_rates!$A$2:$A$49, dim_lab_vendor_rates!$E$2:$E$49, "No Rate")</f>
        <v>6</v>
      </c>
      <c r="J6" s="76">
        <f t="array" ref="J6">XLOOKUP(
   fact_lab!$O6,
   dim_lab_sca_map!$G$2:$G$64,
   dim_lab_sca_map!$E$2:$E$64,
   0
)</f>
        <v>27</v>
      </c>
      <c r="K6" s="76">
        <f>fact_lab!$E6*fact_lab!$I6</f>
        <v>72</v>
      </c>
      <c r="L6" s="76">
        <f>IF(fact_lab!$B6="SCA",fact_lab!$E6*fact_lab!$J6, fact_lab!$K6)</f>
        <v>324</v>
      </c>
      <c r="M6" s="76">
        <f>IF(fact_lab!$H6="Missing Contract", 0, fact_lab!$L6-fact_lab!$K6)</f>
        <v>252</v>
      </c>
      <c r="N6" s="72" t="str">
        <f>fact_lab!$D6&amp;"|"&amp;fact_lab!$F6</f>
        <v>PCM|1 Hr</v>
      </c>
      <c r="O6" s="72" t="str">
        <f>fact_lab!$H6&amp;"|"&amp;fact_lab!$N6</f>
        <v>C000015869|PCM|1 Hr</v>
      </c>
      <c r="P6" s="72" t="str">
        <f>fact_lab!$G6&amp;"|"&amp;fact_lab!$C6</f>
        <v>LTS|Pre</v>
      </c>
      <c r="Q6" s="72" t="str">
        <f>TRIM(stg_lab_reports!$C6)</f>
        <v>25S-010</v>
      </c>
      <c r="R6" s="72" t="str">
        <f t="array" ref="R6">XLOOKUP(
   TRIM(fact_lab!$Q6),
   dim_job!$B$2:$B$6,
   dim_job!$B$2:$B$6,
   ""
)</f>
        <v>25S-010</v>
      </c>
    </row>
    <row r="7">
      <c r="A7" s="72" t="str">
        <f t="array" ref="A7">XLOOKUP(
   TRIM(fact_lab!$Q7),
   dim_job!$B$2:$B$6,
   dim_job!$B$2:$B$6,
   ""
)</f>
        <v>25S-010</v>
      </c>
      <c r="B7" s="72" t="str">
        <f>stg_lab_reports!$A7</f>
        <v>SCA</v>
      </c>
      <c r="C7" s="72" t="str">
        <f>stg_lab_reports!$F7</f>
        <v>Durings</v>
      </c>
      <c r="D7" s="72" t="str">
        <f t="array" ref="D7">XLOOKUP(fact_lab!$C7,dim_lab_sca_map!$C$2:$C$64, dim_lab_sca_map!$B$2:$B$64, 0)</f>
        <v>PCM</v>
      </c>
      <c r="E7" s="99">
        <f>stg_lab_reports!$G7</f>
        <v>18</v>
      </c>
      <c r="F7" s="72" t="str">
        <f t="array" ref="F7">XLOOKUP(fact_lab!$D7, dim_lab_sca_map!$B$2:$B$64, dim_lab_sca_map!$D$2:$D$64)</f>
        <v>1 Hr</v>
      </c>
      <c r="G7" s="72" t="str">
        <f>stg_lab_reports!$I7</f>
        <v>LTS</v>
      </c>
      <c r="H7" s="72" t="str">
        <f t="array" ref="H7">XLOOKUP(fact_lab!$A7,
         dim_job!$B$2:$B$6,
         dim_job!$H$2:$H$6,
         "Missing Contract")</f>
        <v>C000015869</v>
      </c>
      <c r="I7" s="76">
        <f t="array" ref="I7">XLOOKUP(fact_lab!$P7, dim_lab_vendor_rates!$A$2:$A$49, dim_lab_vendor_rates!$E$2:$E$49, "No Rate")</f>
        <v>6</v>
      </c>
      <c r="J7" s="76">
        <f t="array" ref="J7">XLOOKUP(
   fact_lab!$O7,
   dim_lab_sca_map!$G$2:$G$64,
   dim_lab_sca_map!$E$2:$E$64,
   0
)</f>
        <v>27</v>
      </c>
      <c r="K7" s="76">
        <f>fact_lab!$E7*fact_lab!$I7</f>
        <v>108</v>
      </c>
      <c r="L7" s="76">
        <f>IF(fact_lab!$B7="SCA",fact_lab!$E7*fact_lab!$J7, fact_lab!$K7)</f>
        <v>486</v>
      </c>
      <c r="M7" s="76">
        <f>IF(fact_lab!$H7="Missing Contract", 0, fact_lab!$L7-fact_lab!$K7)</f>
        <v>378</v>
      </c>
      <c r="N7" s="72" t="str">
        <f>fact_lab!$D7&amp;"|"&amp;fact_lab!$F7</f>
        <v>PCM|1 Hr</v>
      </c>
      <c r="O7" s="72" t="str">
        <f>fact_lab!$H7&amp;"|"&amp;fact_lab!$N7</f>
        <v>C000015869|PCM|1 Hr</v>
      </c>
      <c r="P7" s="72" t="str">
        <f>fact_lab!$G7&amp;"|"&amp;fact_lab!$C7</f>
        <v>LTS|Durings</v>
      </c>
      <c r="Q7" s="72" t="str">
        <f>TRIM(stg_lab_reports!$C7)</f>
        <v>25S-010</v>
      </c>
      <c r="R7" s="72" t="str">
        <f t="array" ref="R7">XLOOKUP(
   TRIM(fact_lab!$Q7),
   dim_job!$B$2:$B$6,
   dim_job!$B$2:$B$6,
   ""
)</f>
        <v>25S-010</v>
      </c>
    </row>
    <row r="8">
      <c r="A8" s="72" t="str">
        <f t="array" ref="A8">XLOOKUP(
   TRIM(fact_lab!$Q8),
   dim_job!$B$2:$B$6,
   dim_job!$B$2:$B$6,
   ""
)</f>
        <v>25S-010</v>
      </c>
      <c r="B8" s="72" t="str">
        <f>stg_lab_reports!$A8</f>
        <v>SCA</v>
      </c>
      <c r="C8" s="72" t="str">
        <f>stg_lab_reports!$F8</f>
        <v>Pre</v>
      </c>
      <c r="D8" s="72" t="str">
        <f t="array" ref="D8">XLOOKUP(fact_lab!$C8,dim_lab_sca_map!$C$2:$C$64, dim_lab_sca_map!$B$2:$B$64, 0)</f>
        <v>PCM</v>
      </c>
      <c r="E8" s="99">
        <f>stg_lab_reports!$G8</f>
        <v>12</v>
      </c>
      <c r="F8" s="72" t="str">
        <f t="array" ref="F8">XLOOKUP(fact_lab!$D8, dim_lab_sca_map!$B$2:$B$64, dim_lab_sca_map!$D$2:$D$64)</f>
        <v>1 Hr</v>
      </c>
      <c r="G8" s="72" t="str">
        <f>stg_lab_reports!$I8</f>
        <v>LTS</v>
      </c>
      <c r="H8" s="72" t="str">
        <f t="array" ref="H8">XLOOKUP(fact_lab!$A8,
         dim_job!$B$2:$B$6,
         dim_job!$H$2:$H$6,
         "Missing Contract")</f>
        <v>C000015869</v>
      </c>
      <c r="I8" s="76">
        <f t="array" ref="I8">XLOOKUP(fact_lab!$P8, dim_lab_vendor_rates!$A$2:$A$49, dim_lab_vendor_rates!$E$2:$E$49, "No Rate")</f>
        <v>6</v>
      </c>
      <c r="J8" s="76">
        <f t="array" ref="J8">XLOOKUP(
   fact_lab!$O8,
   dim_lab_sca_map!$G$2:$G$64,
   dim_lab_sca_map!$E$2:$E$64,
   0
)</f>
        <v>27</v>
      </c>
      <c r="K8" s="76">
        <f>fact_lab!$E8*fact_lab!$I8</f>
        <v>72</v>
      </c>
      <c r="L8" s="76">
        <f>IF(fact_lab!$B8="SCA",fact_lab!$E8*fact_lab!$J8, fact_lab!$K8)</f>
        <v>324</v>
      </c>
      <c r="M8" s="76">
        <f>IF(fact_lab!$H8="Missing Contract", 0, fact_lab!$L8-fact_lab!$K8)</f>
        <v>252</v>
      </c>
      <c r="N8" s="72" t="str">
        <f>fact_lab!$D8&amp;"|"&amp;fact_lab!$F8</f>
        <v>PCM|1 Hr</v>
      </c>
      <c r="O8" s="72" t="str">
        <f>fact_lab!$H8&amp;"|"&amp;fact_lab!$N8</f>
        <v>C000015869|PCM|1 Hr</v>
      </c>
      <c r="P8" s="72" t="str">
        <f>fact_lab!$G8&amp;"|"&amp;fact_lab!$C8</f>
        <v>LTS|Pre</v>
      </c>
      <c r="Q8" s="72" t="str">
        <f>TRIM(stg_lab_reports!$C8)</f>
        <v>25S-010</v>
      </c>
      <c r="R8" s="72" t="str">
        <f t="array" ref="R8">XLOOKUP(
   TRIM(fact_lab!$Q8),
   dim_job!$B$2:$B$6,
   dim_job!$B$2:$B$6,
   ""
)</f>
        <v>25S-010</v>
      </c>
    </row>
    <row r="9">
      <c r="A9" s="72" t="str">
        <f t="array" ref="A9">XLOOKUP(
   TRIM(fact_lab!$Q9),
   dim_job!$B$2:$B$6,
   dim_job!$B$2:$B$6,
   ""
)</f>
        <v>25S-010</v>
      </c>
      <c r="B9" s="72" t="str">
        <f>stg_lab_reports!$A9</f>
        <v>SCA</v>
      </c>
      <c r="C9" s="72" t="str">
        <f>stg_lab_reports!$F9</f>
        <v>Durings</v>
      </c>
      <c r="D9" s="72" t="str">
        <f t="array" ref="D9">XLOOKUP(fact_lab!$C9,dim_lab_sca_map!$C$2:$C$64, dim_lab_sca_map!$B$2:$B$64, 0)</f>
        <v>PCM</v>
      </c>
      <c r="E9" s="99">
        <f>stg_lab_reports!$G9</f>
        <v>9</v>
      </c>
      <c r="F9" s="72" t="str">
        <f t="array" ref="F9">XLOOKUP(fact_lab!$D9, dim_lab_sca_map!$B$2:$B$64, dim_lab_sca_map!$D$2:$D$64)</f>
        <v>1 Hr</v>
      </c>
      <c r="G9" s="72" t="str">
        <f>stg_lab_reports!$I9</f>
        <v>LTS</v>
      </c>
      <c r="H9" s="72" t="str">
        <f t="array" ref="H9">XLOOKUP(fact_lab!$A9,
         dim_job!$B$2:$B$6,
         dim_job!$H$2:$H$6,
         "Missing Contract")</f>
        <v>C000015869</v>
      </c>
      <c r="I9" s="76">
        <f t="array" ref="I9">XLOOKUP(fact_lab!$P9, dim_lab_vendor_rates!$A$2:$A$49, dim_lab_vendor_rates!$E$2:$E$49, "No Rate")</f>
        <v>6</v>
      </c>
      <c r="J9" s="76">
        <f t="array" ref="J9">XLOOKUP(
   fact_lab!$O9,
   dim_lab_sca_map!$G$2:$G$64,
   dim_lab_sca_map!$E$2:$E$64,
   0
)</f>
        <v>27</v>
      </c>
      <c r="K9" s="76">
        <f>fact_lab!$E9*fact_lab!$I9</f>
        <v>54</v>
      </c>
      <c r="L9" s="76">
        <f>IF(fact_lab!$B9="SCA",fact_lab!$E9*fact_lab!$J9, fact_lab!$K9)</f>
        <v>243</v>
      </c>
      <c r="M9" s="76">
        <f>IF(fact_lab!$H9="Missing Contract", 0, fact_lab!$L9-fact_lab!$K9)</f>
        <v>189</v>
      </c>
      <c r="N9" s="72" t="str">
        <f>fact_lab!$D9&amp;"|"&amp;fact_lab!$F9</f>
        <v>PCM|1 Hr</v>
      </c>
      <c r="O9" s="72" t="str">
        <f>fact_lab!$H9&amp;"|"&amp;fact_lab!$N9</f>
        <v>C000015869|PCM|1 Hr</v>
      </c>
      <c r="P9" s="72" t="str">
        <f>fact_lab!$G9&amp;"|"&amp;fact_lab!$C9</f>
        <v>LTS|Durings</v>
      </c>
      <c r="Q9" s="72" t="str">
        <f>TRIM(stg_lab_reports!$C9)</f>
        <v>25S-010</v>
      </c>
      <c r="R9" s="72" t="str">
        <f t="array" ref="R9">XLOOKUP(
   TRIM(fact_lab!$Q9),
   dim_job!$B$2:$B$6,
   dim_job!$B$2:$B$6,
   ""
)</f>
        <v>25S-010</v>
      </c>
    </row>
    <row r="10">
      <c r="A10" s="72" t="str">
        <f t="array" ref="A10">XLOOKUP(
   TRIM(fact_lab!$Q10),
   dim_job!$B$2:$B$6,
   dim_job!$B$2:$B$6,
   ""
)</f>
        <v>25S-010</v>
      </c>
      <c r="B10" s="72" t="str">
        <f>stg_lab_reports!$A10</f>
        <v>SCA</v>
      </c>
      <c r="C10" s="72" t="str">
        <f>stg_lab_reports!$F10</f>
        <v>Finals</v>
      </c>
      <c r="D10" s="72" t="str">
        <f t="array" ref="D10">XLOOKUP(fact_lab!$C10,dim_lab_sca_map!$C$2:$C$64, dim_lab_sca_map!$B$2:$B$64, 0)</f>
        <v>PCM</v>
      </c>
      <c r="E10" s="99">
        <f>stg_lab_reports!$G10</f>
        <v>12</v>
      </c>
      <c r="F10" s="72" t="str">
        <f t="array" ref="F10">XLOOKUP(fact_lab!$D10, dim_lab_sca_map!$B$2:$B$64, dim_lab_sca_map!$D$2:$D$64)</f>
        <v>1 Hr</v>
      </c>
      <c r="G10" s="72" t="str">
        <f>stg_lab_reports!$I10</f>
        <v>LTS</v>
      </c>
      <c r="H10" s="72" t="str">
        <f t="array" ref="H10">XLOOKUP(fact_lab!$A10,
         dim_job!$B$2:$B$6,
         dim_job!$H$2:$H$6,
         "Missing Contract")</f>
        <v>C000015869</v>
      </c>
      <c r="I10" s="76">
        <f t="array" ref="I10">XLOOKUP(fact_lab!$P10, dim_lab_vendor_rates!$A$2:$A$49, dim_lab_vendor_rates!$E$2:$E$49, "No Rate")</f>
        <v>6</v>
      </c>
      <c r="J10" s="76">
        <f t="array" ref="J10">XLOOKUP(
   fact_lab!$O10,
   dim_lab_sca_map!$G$2:$G$64,
   dim_lab_sca_map!$E$2:$E$64,
   0
)</f>
        <v>27</v>
      </c>
      <c r="K10" s="76">
        <f>fact_lab!$E10*fact_lab!$I10</f>
        <v>72</v>
      </c>
      <c r="L10" s="76">
        <f>IF(fact_lab!$B10="SCA",fact_lab!$E10*fact_lab!$J10, fact_lab!$K10)</f>
        <v>324</v>
      </c>
      <c r="M10" s="76">
        <f>IF(fact_lab!$H10="Missing Contract", 0, fact_lab!$L10-fact_lab!$K10)</f>
        <v>252</v>
      </c>
      <c r="N10" s="72" t="str">
        <f>fact_lab!$D10&amp;"|"&amp;fact_lab!$F10</f>
        <v>PCM|1 Hr</v>
      </c>
      <c r="O10" s="72" t="str">
        <f>fact_lab!$H10&amp;"|"&amp;fact_lab!$N10</f>
        <v>C000015869|PCM|1 Hr</v>
      </c>
      <c r="P10" s="72" t="str">
        <f>fact_lab!$G10&amp;"|"&amp;fact_lab!$C10</f>
        <v>LTS|Finals</v>
      </c>
      <c r="Q10" s="72" t="str">
        <f>TRIM(stg_lab_reports!$C10)</f>
        <v>25S-010</v>
      </c>
      <c r="R10" s="72" t="str">
        <f t="array" ref="R10">XLOOKUP(
   TRIM(fact_lab!$Q10),
   dim_job!$B$2:$B$6,
   dim_job!$B$2:$B$6,
   ""
)</f>
        <v>25S-010</v>
      </c>
    </row>
    <row r="11">
      <c r="A11" s="72" t="str">
        <f t="array" ref="A11">XLOOKUP(
   TRIM(fact_lab!$Q11),
   dim_job!$B$2:$B$6,
   dim_job!$B$2:$B$6,
   ""
)</f>
        <v>25S-010</v>
      </c>
      <c r="B11" s="72" t="str">
        <f>stg_lab_reports!$A11</f>
        <v>SCA</v>
      </c>
      <c r="C11" s="72" t="str">
        <f>stg_lab_reports!$F11</f>
        <v>Finals</v>
      </c>
      <c r="D11" s="72" t="str">
        <f t="array" ref="D11">XLOOKUP(fact_lab!$C11,dim_lab_sca_map!$C$2:$C$64, dim_lab_sca_map!$B$2:$B$64, 0)</f>
        <v>PCM</v>
      </c>
      <c r="E11" s="99">
        <f>stg_lab_reports!$G11</f>
        <v>12</v>
      </c>
      <c r="F11" s="72" t="str">
        <f t="array" ref="F11">XLOOKUP(fact_lab!$D11, dim_lab_sca_map!$B$2:$B$64, dim_lab_sca_map!$D$2:$D$64)</f>
        <v>1 Hr</v>
      </c>
      <c r="G11" s="72" t="str">
        <f>stg_lab_reports!$I11</f>
        <v>LTS</v>
      </c>
      <c r="H11" s="72" t="str">
        <f t="array" ref="H11">XLOOKUP(fact_lab!$A11,
         dim_job!$B$2:$B$6,
         dim_job!$H$2:$H$6,
         "Missing Contract")</f>
        <v>C000015869</v>
      </c>
      <c r="I11" s="76">
        <f t="array" ref="I11">XLOOKUP(fact_lab!$P11, dim_lab_vendor_rates!$A$2:$A$49, dim_lab_vendor_rates!$E$2:$E$49, "No Rate")</f>
        <v>6</v>
      </c>
      <c r="J11" s="76">
        <f t="array" ref="J11">XLOOKUP(
   fact_lab!$O11,
   dim_lab_sca_map!$G$2:$G$64,
   dim_lab_sca_map!$E$2:$E$64,
   0
)</f>
        <v>27</v>
      </c>
      <c r="K11" s="76">
        <f>fact_lab!$E11*fact_lab!$I11</f>
        <v>72</v>
      </c>
      <c r="L11" s="76">
        <f>IF(fact_lab!$B11="SCA",fact_lab!$E11*fact_lab!$J11, fact_lab!$K11)</f>
        <v>324</v>
      </c>
      <c r="M11" s="76">
        <f>IF(fact_lab!$H11="Missing Contract", 0, fact_lab!$L11-fact_lab!$K11)</f>
        <v>252</v>
      </c>
      <c r="N11" s="72" t="str">
        <f>fact_lab!$D11&amp;"|"&amp;fact_lab!$F11</f>
        <v>PCM|1 Hr</v>
      </c>
      <c r="O11" s="72" t="str">
        <f>fact_lab!$H11&amp;"|"&amp;fact_lab!$N11</f>
        <v>C000015869|PCM|1 Hr</v>
      </c>
      <c r="P11" s="72" t="str">
        <f>fact_lab!$G11&amp;"|"&amp;fact_lab!$C11</f>
        <v>LTS|Finals</v>
      </c>
      <c r="Q11" s="72" t="str">
        <f>TRIM(stg_lab_reports!$C11)</f>
        <v>25S-010</v>
      </c>
      <c r="R11" s="72" t="str">
        <f t="array" ref="R11">XLOOKUP(
   TRIM(fact_lab!$Q11),
   dim_job!$B$2:$B$6,
   dim_job!$B$2:$B$6,
   ""
)</f>
        <v>25S-010</v>
      </c>
    </row>
    <row r="12">
      <c r="A12" s="72" t="str">
        <f t="array" ref="A12">XLOOKUP(
   TRIM(fact_lab!$Q12),
   dim_job!$B$2:$B$6,
   dim_job!$B$2:$B$6,
   ""
)</f>
        <v>25S-010</v>
      </c>
      <c r="B12" s="72" t="str">
        <f>stg_lab_reports!$A12</f>
        <v>SCA</v>
      </c>
      <c r="C12" s="72" t="str">
        <f>stg_lab_reports!$F12</f>
        <v>Backgrounds</v>
      </c>
      <c r="D12" s="72" t="str">
        <f t="array" ref="D12">XLOOKUP(fact_lab!$C12,dim_lab_sca_map!$C$2:$C$64, dim_lab_sca_map!$B$2:$B$64, 0)</f>
        <v>PCM</v>
      </c>
      <c r="E12" s="99">
        <f>stg_lab_reports!$G12</f>
        <v>12</v>
      </c>
      <c r="F12" s="72" t="str">
        <f t="array" ref="F12">XLOOKUP(fact_lab!$D12, dim_lab_sca_map!$B$2:$B$64, dim_lab_sca_map!$D$2:$D$64)</f>
        <v>1 Hr</v>
      </c>
      <c r="G12" s="72" t="str">
        <f>stg_lab_reports!$I12</f>
        <v>LTS</v>
      </c>
      <c r="H12" s="72" t="str">
        <f t="array" ref="H12">XLOOKUP(fact_lab!$A12,
         dim_job!$B$2:$B$6,
         dim_job!$H$2:$H$6,
         "Missing Contract")</f>
        <v>C000015869</v>
      </c>
      <c r="I12" s="76">
        <f t="array" ref="I12">XLOOKUP(fact_lab!$P12, dim_lab_vendor_rates!$A$2:$A$49, dim_lab_vendor_rates!$E$2:$E$49, "No Rate")</f>
        <v>6</v>
      </c>
      <c r="J12" s="76">
        <f t="array" ref="J12">XLOOKUP(
   fact_lab!$O12,
   dim_lab_sca_map!$G$2:$G$64,
   dim_lab_sca_map!$E$2:$E$64,
   0
)</f>
        <v>27</v>
      </c>
      <c r="K12" s="76">
        <f>fact_lab!$E12*fact_lab!$I12</f>
        <v>72</v>
      </c>
      <c r="L12" s="76">
        <f>IF(fact_lab!$B12="SCA",fact_lab!$E12*fact_lab!$J12, fact_lab!$K12)</f>
        <v>324</v>
      </c>
      <c r="M12" s="76">
        <f>IF(fact_lab!$H12="Missing Contract", 0, fact_lab!$L12-fact_lab!$K12)</f>
        <v>252</v>
      </c>
      <c r="N12" s="72" t="str">
        <f>fact_lab!$D12&amp;"|"&amp;fact_lab!$F12</f>
        <v>PCM|1 Hr</v>
      </c>
      <c r="O12" s="72" t="str">
        <f>fact_lab!$H12&amp;"|"&amp;fact_lab!$N12</f>
        <v>C000015869|PCM|1 Hr</v>
      </c>
      <c r="P12" s="72" t="str">
        <f>fact_lab!$G12&amp;"|"&amp;fact_lab!$C12</f>
        <v>LTS|Backgrounds</v>
      </c>
      <c r="Q12" s="72" t="str">
        <f>TRIM(stg_lab_reports!$C12)</f>
        <v>25S-010</v>
      </c>
      <c r="R12" s="72" t="str">
        <f t="array" ref="R12">XLOOKUP(
   TRIM(fact_lab!$Q12),
   dim_job!$B$2:$B$6,
   dim_job!$B$2:$B$6,
   ""
)</f>
        <v>25S-010</v>
      </c>
    </row>
    <row r="13">
      <c r="A13" s="72" t="str">
        <f t="array" ref="A13">XLOOKUP(
   TRIM(fact_lab!$Q13),
   dim_job!$B$2:$B$6,
   dim_job!$B$2:$B$6,
   ""
)</f>
        <v>25S-010</v>
      </c>
      <c r="B13" s="72" t="str">
        <f>stg_lab_reports!$A13</f>
        <v>SCA</v>
      </c>
      <c r="C13" s="72" t="str">
        <f>stg_lab_reports!$F13</f>
        <v>Backgrounds</v>
      </c>
      <c r="D13" s="72" t="str">
        <f t="array" ref="D13">XLOOKUP(fact_lab!$C13,dim_lab_sca_map!$C$2:$C$64, dim_lab_sca_map!$B$2:$B$64, 0)</f>
        <v>PCM</v>
      </c>
      <c r="E13" s="99">
        <f>stg_lab_reports!$G13</f>
        <v>12</v>
      </c>
      <c r="F13" s="72" t="str">
        <f t="array" ref="F13">XLOOKUP(fact_lab!$D13, dim_lab_sca_map!$B$2:$B$64, dim_lab_sca_map!$D$2:$D$64)</f>
        <v>1 Hr</v>
      </c>
      <c r="G13" s="72" t="str">
        <f>stg_lab_reports!$I13</f>
        <v>LTS</v>
      </c>
      <c r="H13" s="72" t="str">
        <f t="array" ref="H13">XLOOKUP(fact_lab!$A13,
         dim_job!$B$2:$B$6,
         dim_job!$H$2:$H$6,
         "Missing Contract")</f>
        <v>C000015869</v>
      </c>
      <c r="I13" s="76">
        <f t="array" ref="I13">XLOOKUP(fact_lab!$P13, dim_lab_vendor_rates!$A$2:$A$49, dim_lab_vendor_rates!$E$2:$E$49, "No Rate")</f>
        <v>6</v>
      </c>
      <c r="J13" s="76">
        <f t="array" ref="J13">XLOOKUP(
   fact_lab!$O13,
   dim_lab_sca_map!$G$2:$G$64,
   dim_lab_sca_map!$E$2:$E$64,
   0
)</f>
        <v>27</v>
      </c>
      <c r="K13" s="76">
        <f>fact_lab!$E13*fact_lab!$I13</f>
        <v>72</v>
      </c>
      <c r="L13" s="76">
        <f>IF(fact_lab!$B13="SCA",fact_lab!$E13*fact_lab!$J13, fact_lab!$K13)</f>
        <v>324</v>
      </c>
      <c r="M13" s="76">
        <f>IF(fact_lab!$H13="Missing Contract", 0, fact_lab!$L13-fact_lab!$K13)</f>
        <v>252</v>
      </c>
      <c r="N13" s="72" t="str">
        <f>fact_lab!$D13&amp;"|"&amp;fact_lab!$F13</f>
        <v>PCM|1 Hr</v>
      </c>
      <c r="O13" s="72" t="str">
        <f>fact_lab!$H13&amp;"|"&amp;fact_lab!$N13</f>
        <v>C000015869|PCM|1 Hr</v>
      </c>
      <c r="P13" s="72" t="str">
        <f>fact_lab!$G13&amp;"|"&amp;fact_lab!$C13</f>
        <v>LTS|Backgrounds</v>
      </c>
      <c r="Q13" s="72" t="str">
        <f>TRIM(stg_lab_reports!$C13)</f>
        <v>25S-010</v>
      </c>
      <c r="R13" s="72" t="str">
        <f t="array" ref="R13">XLOOKUP(
   TRIM(fact_lab!$Q13),
   dim_job!$B$2:$B$6,
   dim_job!$B$2:$B$6,
   ""
)</f>
        <v>25S-010</v>
      </c>
    </row>
    <row r="14">
      <c r="A14" s="72" t="str">
        <f t="array" ref="A14">XLOOKUP(
   TRIM(fact_lab!$Q14),
   dim_job!$B$2:$B$6,
   dim_job!$B$2:$B$6,
   ""
)</f>
        <v>25S-010</v>
      </c>
      <c r="B14" s="72" t="str">
        <f>stg_lab_reports!$A14</f>
        <v>SCA</v>
      </c>
      <c r="C14" s="72" t="str">
        <f>stg_lab_reports!$F14</f>
        <v>Pre</v>
      </c>
      <c r="D14" s="72" t="str">
        <f t="array" ref="D14">XLOOKUP(fact_lab!$C14,dim_lab_sca_map!$C$2:$C$64, dim_lab_sca_map!$B$2:$B$64, 0)</f>
        <v>PCM</v>
      </c>
      <c r="E14" s="99">
        <f>stg_lab_reports!$G14</f>
        <v>12</v>
      </c>
      <c r="F14" s="72" t="str">
        <f t="array" ref="F14">XLOOKUP(fact_lab!$D14, dim_lab_sca_map!$B$2:$B$64, dim_lab_sca_map!$D$2:$D$64)</f>
        <v>1 Hr</v>
      </c>
      <c r="G14" s="72" t="str">
        <f>stg_lab_reports!$I14</f>
        <v>LTS</v>
      </c>
      <c r="H14" s="72" t="str">
        <f t="array" ref="H14">XLOOKUP(fact_lab!$A14,
         dim_job!$B$2:$B$6,
         dim_job!$H$2:$H$6,
         "Missing Contract")</f>
        <v>C000015869</v>
      </c>
      <c r="I14" s="76">
        <f t="array" ref="I14">XLOOKUP(fact_lab!$P14, dim_lab_vendor_rates!$A$2:$A$49, dim_lab_vendor_rates!$E$2:$E$49, "No Rate")</f>
        <v>6</v>
      </c>
      <c r="J14" s="76">
        <f t="array" ref="J14">XLOOKUP(
   fact_lab!$O14,
   dim_lab_sca_map!$G$2:$G$64,
   dim_lab_sca_map!$E$2:$E$64,
   0
)</f>
        <v>27</v>
      </c>
      <c r="K14" s="76">
        <f>fact_lab!$E14*fact_lab!$I14</f>
        <v>72</v>
      </c>
      <c r="L14" s="76">
        <f>IF(fact_lab!$B14="SCA",fact_lab!$E14*fact_lab!$J14, fact_lab!$K14)</f>
        <v>324</v>
      </c>
      <c r="M14" s="76">
        <f>IF(fact_lab!$H14="Missing Contract", 0, fact_lab!$L14-fact_lab!$K14)</f>
        <v>252</v>
      </c>
      <c r="N14" s="72" t="str">
        <f>fact_lab!$D14&amp;"|"&amp;fact_lab!$F14</f>
        <v>PCM|1 Hr</v>
      </c>
      <c r="O14" s="72" t="str">
        <f>fact_lab!$H14&amp;"|"&amp;fact_lab!$N14</f>
        <v>C000015869|PCM|1 Hr</v>
      </c>
      <c r="P14" s="72" t="str">
        <f>fact_lab!$G14&amp;"|"&amp;fact_lab!$C14</f>
        <v>LTS|Pre</v>
      </c>
      <c r="Q14" s="72" t="str">
        <f>TRIM(stg_lab_reports!$C14)</f>
        <v>25S-010</v>
      </c>
      <c r="R14" s="72" t="str">
        <f t="array" ref="R14">XLOOKUP(
   TRIM(fact_lab!$Q14),
   dim_job!$B$2:$B$6,
   dim_job!$B$2:$B$6,
   ""
)</f>
        <v>25S-010</v>
      </c>
    </row>
    <row r="15">
      <c r="A15" s="72" t="str">
        <f t="array" ref="A15">XLOOKUP(
   TRIM(fact_lab!$Q15),
   dim_job!$B$2:$B$6,
   dim_job!$B$2:$B$6,
   ""
)</f>
        <v>25S-010</v>
      </c>
      <c r="B15" s="72" t="str">
        <f>stg_lab_reports!$A15</f>
        <v>SCA</v>
      </c>
      <c r="C15" s="72" t="str">
        <f>stg_lab_reports!$F15</f>
        <v>Durings</v>
      </c>
      <c r="D15" s="72" t="str">
        <f t="array" ref="D15">XLOOKUP(fact_lab!$C15,dim_lab_sca_map!$C$2:$C$64, dim_lab_sca_map!$B$2:$B$64, 0)</f>
        <v>PCM</v>
      </c>
      <c r="E15" s="99">
        <f>stg_lab_reports!$G15</f>
        <v>14</v>
      </c>
      <c r="F15" s="72" t="str">
        <f t="array" ref="F15">XLOOKUP(fact_lab!$D15, dim_lab_sca_map!$B$2:$B$64, dim_lab_sca_map!$D$2:$D$64)</f>
        <v>1 Hr</v>
      </c>
      <c r="G15" s="72" t="str">
        <f>stg_lab_reports!$I15</f>
        <v>LTS</v>
      </c>
      <c r="H15" s="72" t="str">
        <f t="array" ref="H15">XLOOKUP(fact_lab!$A15,
         dim_job!$B$2:$B$6,
         dim_job!$H$2:$H$6,
         "Missing Contract")</f>
        <v>C000015869</v>
      </c>
      <c r="I15" s="76">
        <f t="array" ref="I15">XLOOKUP(fact_lab!$P15, dim_lab_vendor_rates!$A$2:$A$49, dim_lab_vendor_rates!$E$2:$E$49, "No Rate")</f>
        <v>6</v>
      </c>
      <c r="J15" s="76">
        <f t="array" ref="J15">XLOOKUP(
   fact_lab!$O15,
   dim_lab_sca_map!$G$2:$G$64,
   dim_lab_sca_map!$E$2:$E$64,
   0
)</f>
        <v>27</v>
      </c>
      <c r="K15" s="76">
        <f>fact_lab!$E15*fact_lab!$I15</f>
        <v>84</v>
      </c>
      <c r="L15" s="76">
        <f>IF(fact_lab!$B15="SCA",fact_lab!$E15*fact_lab!$J15, fact_lab!$K15)</f>
        <v>378</v>
      </c>
      <c r="M15" s="76">
        <f>IF(fact_lab!$H15="Missing Contract", 0, fact_lab!$L15-fact_lab!$K15)</f>
        <v>294</v>
      </c>
      <c r="N15" s="72" t="str">
        <f>fact_lab!$D15&amp;"|"&amp;fact_lab!$F15</f>
        <v>PCM|1 Hr</v>
      </c>
      <c r="O15" s="72" t="str">
        <f>fact_lab!$H15&amp;"|"&amp;fact_lab!$N15</f>
        <v>C000015869|PCM|1 Hr</v>
      </c>
      <c r="P15" s="72" t="str">
        <f>fact_lab!$G15&amp;"|"&amp;fact_lab!$C15</f>
        <v>LTS|Durings</v>
      </c>
      <c r="Q15" s="72" t="str">
        <f>TRIM(stg_lab_reports!$C15)</f>
        <v>25S-010</v>
      </c>
      <c r="R15" s="72" t="str">
        <f t="array" ref="R15">XLOOKUP(
   TRIM(fact_lab!$Q15),
   dim_job!$B$2:$B$6,
   dim_job!$B$2:$B$6,
   ""
)</f>
        <v>25S-010</v>
      </c>
    </row>
    <row r="16">
      <c r="A16" s="72" t="str">
        <f t="array" ref="A16">XLOOKUP(
   TRIM(fact_lab!$Q16),
   dim_job!$B$2:$B$6,
   dim_job!$B$2:$B$6,
   ""
)</f>
        <v>25S-010</v>
      </c>
      <c r="B16" s="72" t="str">
        <f>stg_lab_reports!$A16</f>
        <v>SCA</v>
      </c>
      <c r="C16" s="72" t="str">
        <f>stg_lab_reports!$F16</f>
        <v>Pre</v>
      </c>
      <c r="D16" s="72" t="str">
        <f t="array" ref="D16">XLOOKUP(fact_lab!$C16,dim_lab_sca_map!$C$2:$C$64, dim_lab_sca_map!$B$2:$B$64, 0)</f>
        <v>PCM</v>
      </c>
      <c r="E16" s="99">
        <f>stg_lab_reports!$G16</f>
        <v>12</v>
      </c>
      <c r="F16" s="72" t="str">
        <f t="array" ref="F16">XLOOKUP(fact_lab!$D16, dim_lab_sca_map!$B$2:$B$64, dim_lab_sca_map!$D$2:$D$64)</f>
        <v>1 Hr</v>
      </c>
      <c r="G16" s="72" t="str">
        <f>stg_lab_reports!$I16</f>
        <v>LTS</v>
      </c>
      <c r="H16" s="72" t="str">
        <f t="array" ref="H16">XLOOKUP(fact_lab!$A16,
         dim_job!$B$2:$B$6,
         dim_job!$H$2:$H$6,
         "Missing Contract")</f>
        <v>C000015869</v>
      </c>
      <c r="I16" s="76">
        <f t="array" ref="I16">XLOOKUP(fact_lab!$P16, dim_lab_vendor_rates!$A$2:$A$49, dim_lab_vendor_rates!$E$2:$E$49, "No Rate")</f>
        <v>6</v>
      </c>
      <c r="J16" s="76">
        <f t="array" ref="J16">XLOOKUP(
   fact_lab!$O16,
   dim_lab_sca_map!$G$2:$G$64,
   dim_lab_sca_map!$E$2:$E$64,
   0
)</f>
        <v>27</v>
      </c>
      <c r="K16" s="76">
        <f>fact_lab!$E16*fact_lab!$I16</f>
        <v>72</v>
      </c>
      <c r="L16" s="76">
        <f>IF(fact_lab!$B16="SCA",fact_lab!$E16*fact_lab!$J16, fact_lab!$K16)</f>
        <v>324</v>
      </c>
      <c r="M16" s="76">
        <f>IF(fact_lab!$H16="Missing Contract", 0, fact_lab!$L16-fact_lab!$K16)</f>
        <v>252</v>
      </c>
      <c r="N16" s="72" t="str">
        <f>fact_lab!$D16&amp;"|"&amp;fact_lab!$F16</f>
        <v>PCM|1 Hr</v>
      </c>
      <c r="O16" s="72" t="str">
        <f>fact_lab!$H16&amp;"|"&amp;fact_lab!$N16</f>
        <v>C000015869|PCM|1 Hr</v>
      </c>
      <c r="P16" s="72" t="str">
        <f>fact_lab!$G16&amp;"|"&amp;fact_lab!$C16</f>
        <v>LTS|Pre</v>
      </c>
      <c r="Q16" s="72" t="str">
        <f>TRIM(stg_lab_reports!$C16)</f>
        <v>25S-010</v>
      </c>
      <c r="R16" s="72" t="str">
        <f t="array" ref="R16">XLOOKUP(
   TRIM(fact_lab!$Q16),
   dim_job!$B$2:$B$6,
   dim_job!$B$2:$B$6,
   ""
)</f>
        <v>25S-010</v>
      </c>
    </row>
    <row r="17">
      <c r="A17" s="72" t="str">
        <f t="array" ref="A17">XLOOKUP(
   TRIM(fact_lab!$Q17),
   dim_job!$B$2:$B$6,
   dim_job!$B$2:$B$6,
   ""
)</f>
        <v>25S-010</v>
      </c>
      <c r="B17" s="72" t="str">
        <f>stg_lab_reports!$A17</f>
        <v>SCA</v>
      </c>
      <c r="C17" s="72" t="str">
        <f>stg_lab_reports!$F17</f>
        <v>Durings</v>
      </c>
      <c r="D17" s="72" t="str">
        <f t="array" ref="D17">XLOOKUP(fact_lab!$C17,dim_lab_sca_map!$C$2:$C$64, dim_lab_sca_map!$B$2:$B$64, 0)</f>
        <v>PCM</v>
      </c>
      <c r="E17" s="99">
        <f>stg_lab_reports!$G17</f>
        <v>9</v>
      </c>
      <c r="F17" s="72" t="str">
        <f t="array" ref="F17">XLOOKUP(fact_lab!$D17, dim_lab_sca_map!$B$2:$B$64, dim_lab_sca_map!$D$2:$D$64)</f>
        <v>1 Hr</v>
      </c>
      <c r="G17" s="72" t="str">
        <f>stg_lab_reports!$I17</f>
        <v>LTS</v>
      </c>
      <c r="H17" s="72" t="str">
        <f t="array" ref="H17">XLOOKUP(fact_lab!$A17,
         dim_job!$B$2:$B$6,
         dim_job!$H$2:$H$6,
         "Missing Contract")</f>
        <v>C000015869</v>
      </c>
      <c r="I17" s="76">
        <f t="array" ref="I17">XLOOKUP(fact_lab!$P17, dim_lab_vendor_rates!$A$2:$A$49, dim_lab_vendor_rates!$E$2:$E$49, "No Rate")</f>
        <v>6</v>
      </c>
      <c r="J17" s="76">
        <f t="array" ref="J17">XLOOKUP(
   fact_lab!$O17,
   dim_lab_sca_map!$G$2:$G$64,
   dim_lab_sca_map!$E$2:$E$64,
   0
)</f>
        <v>27</v>
      </c>
      <c r="K17" s="76">
        <f>fact_lab!$E17*fact_lab!$I17</f>
        <v>54</v>
      </c>
      <c r="L17" s="76">
        <f>IF(fact_lab!$B17="SCA",fact_lab!$E17*fact_lab!$J17, fact_lab!$K17)</f>
        <v>243</v>
      </c>
      <c r="M17" s="76">
        <f>IF(fact_lab!$H17="Missing Contract", 0, fact_lab!$L17-fact_lab!$K17)</f>
        <v>189</v>
      </c>
      <c r="N17" s="72" t="str">
        <f>fact_lab!$D17&amp;"|"&amp;fact_lab!$F17</f>
        <v>PCM|1 Hr</v>
      </c>
      <c r="O17" s="72" t="str">
        <f>fact_lab!$H17&amp;"|"&amp;fact_lab!$N17</f>
        <v>C000015869|PCM|1 Hr</v>
      </c>
      <c r="P17" s="72" t="str">
        <f>fact_lab!$G17&amp;"|"&amp;fact_lab!$C17</f>
        <v>LTS|Durings</v>
      </c>
      <c r="Q17" s="72" t="str">
        <f>TRIM(stg_lab_reports!$C17)</f>
        <v>25S-010</v>
      </c>
      <c r="R17" s="72" t="str">
        <f t="array" ref="R17">XLOOKUP(
   TRIM(fact_lab!$Q17),
   dim_job!$B$2:$B$6,
   dim_job!$B$2:$B$6,
   ""
)</f>
        <v>25S-010</v>
      </c>
    </row>
    <row r="18">
      <c r="A18" s="72" t="str">
        <f t="array" ref="A18">XLOOKUP(
   TRIM(fact_lab!$Q18),
   dim_job!$B$2:$B$6,
   dim_job!$B$2:$B$6,
   ""
)</f>
        <v>25S-010</v>
      </c>
      <c r="B18" s="72" t="str">
        <f>stg_lab_reports!$A18</f>
        <v>SCA</v>
      </c>
      <c r="C18" s="72" t="str">
        <f>stg_lab_reports!$F18</f>
        <v>Finals</v>
      </c>
      <c r="D18" s="72" t="str">
        <f t="array" ref="D18">XLOOKUP(fact_lab!$C18,dim_lab_sca_map!$C$2:$C$64, dim_lab_sca_map!$B$2:$B$64, 0)</f>
        <v>PCM</v>
      </c>
      <c r="E18" s="99">
        <f>stg_lab_reports!$G18</f>
        <v>12</v>
      </c>
      <c r="F18" s="72" t="str">
        <f t="array" ref="F18">XLOOKUP(fact_lab!$D18, dim_lab_sca_map!$B$2:$B$64, dim_lab_sca_map!$D$2:$D$64)</f>
        <v>1 Hr</v>
      </c>
      <c r="G18" s="72" t="str">
        <f>stg_lab_reports!$I18</f>
        <v>LTS</v>
      </c>
      <c r="H18" s="72" t="str">
        <f t="array" ref="H18">XLOOKUP(fact_lab!$A18,
         dim_job!$B$2:$B$6,
         dim_job!$H$2:$H$6,
         "Missing Contract")</f>
        <v>C000015869</v>
      </c>
      <c r="I18" s="76">
        <f t="array" ref="I18">XLOOKUP(fact_lab!$P18, dim_lab_vendor_rates!$A$2:$A$49, dim_lab_vendor_rates!$E$2:$E$49, "No Rate")</f>
        <v>6</v>
      </c>
      <c r="J18" s="76">
        <f t="array" ref="J18">XLOOKUP(
   fact_lab!$O18,
   dim_lab_sca_map!$G$2:$G$64,
   dim_lab_sca_map!$E$2:$E$64,
   0
)</f>
        <v>27</v>
      </c>
      <c r="K18" s="76">
        <f>fact_lab!$E18*fact_lab!$I18</f>
        <v>72</v>
      </c>
      <c r="L18" s="76">
        <f>IF(fact_lab!$B18="SCA",fact_lab!$E18*fact_lab!$J18, fact_lab!$K18)</f>
        <v>324</v>
      </c>
      <c r="M18" s="76">
        <f>IF(fact_lab!$H18="Missing Contract", 0, fact_lab!$L18-fact_lab!$K18)</f>
        <v>252</v>
      </c>
      <c r="N18" s="72" t="str">
        <f>fact_lab!$D18&amp;"|"&amp;fact_lab!$F18</f>
        <v>PCM|1 Hr</v>
      </c>
      <c r="O18" s="72" t="str">
        <f>fact_lab!$H18&amp;"|"&amp;fact_lab!$N18</f>
        <v>C000015869|PCM|1 Hr</v>
      </c>
      <c r="P18" s="72" t="str">
        <f>fact_lab!$G18&amp;"|"&amp;fact_lab!$C18</f>
        <v>LTS|Finals</v>
      </c>
      <c r="Q18" s="72" t="str">
        <f>TRIM(stg_lab_reports!$C18)</f>
        <v>25S-010</v>
      </c>
      <c r="R18" s="72" t="str">
        <f t="array" ref="R18">XLOOKUP(
   TRIM(fact_lab!$Q18),
   dim_job!$B$2:$B$6,
   dim_job!$B$2:$B$6,
   ""
)</f>
        <v>25S-010</v>
      </c>
    </row>
    <row r="19">
      <c r="A19" s="72" t="str">
        <f t="array" ref="A19">XLOOKUP(
   TRIM(fact_lab!$Q19),
   dim_job!$B$2:$B$6,
   dim_job!$B$2:$B$6,
   ""
)</f>
        <v>25S-010</v>
      </c>
      <c r="B19" s="72" t="str">
        <f>stg_lab_reports!$A19</f>
        <v>SCA</v>
      </c>
      <c r="C19" s="72" t="str">
        <f>stg_lab_reports!$F19</f>
        <v>Finals</v>
      </c>
      <c r="D19" s="72" t="str">
        <f t="array" ref="D19">XLOOKUP(fact_lab!$C19,dim_lab_sca_map!$C$2:$C$64, dim_lab_sca_map!$B$2:$B$64, 0)</f>
        <v>PCM</v>
      </c>
      <c r="E19" s="99">
        <f>stg_lab_reports!$G19</f>
        <v>12</v>
      </c>
      <c r="F19" s="72" t="str">
        <f t="array" ref="F19">XLOOKUP(fact_lab!$D19, dim_lab_sca_map!$B$2:$B$64, dim_lab_sca_map!$D$2:$D$64)</f>
        <v>1 Hr</v>
      </c>
      <c r="G19" s="72" t="str">
        <f>stg_lab_reports!$I19</f>
        <v>LTS</v>
      </c>
      <c r="H19" s="72" t="str">
        <f t="array" ref="H19">XLOOKUP(fact_lab!$A19,
         dim_job!$B$2:$B$6,
         dim_job!$H$2:$H$6,
         "Missing Contract")</f>
        <v>C000015869</v>
      </c>
      <c r="I19" s="76">
        <f t="array" ref="I19">XLOOKUP(fact_lab!$P19, dim_lab_vendor_rates!$A$2:$A$49, dim_lab_vendor_rates!$E$2:$E$49, "No Rate")</f>
        <v>6</v>
      </c>
      <c r="J19" s="76">
        <f t="array" ref="J19">XLOOKUP(
   fact_lab!$O19,
   dim_lab_sca_map!$G$2:$G$64,
   dim_lab_sca_map!$E$2:$E$64,
   0
)</f>
        <v>27</v>
      </c>
      <c r="K19" s="76">
        <f>fact_lab!$E19*fact_lab!$I19</f>
        <v>72</v>
      </c>
      <c r="L19" s="76">
        <f>IF(fact_lab!$B19="SCA",fact_lab!$E19*fact_lab!$J19, fact_lab!$K19)</f>
        <v>324</v>
      </c>
      <c r="M19" s="76">
        <f>IF(fact_lab!$H19="Missing Contract", 0, fact_lab!$L19-fact_lab!$K19)</f>
        <v>252</v>
      </c>
      <c r="N19" s="72" t="str">
        <f>fact_lab!$D19&amp;"|"&amp;fact_lab!$F19</f>
        <v>PCM|1 Hr</v>
      </c>
      <c r="O19" s="72" t="str">
        <f>fact_lab!$H19&amp;"|"&amp;fact_lab!$N19</f>
        <v>C000015869|PCM|1 Hr</v>
      </c>
      <c r="P19" s="72" t="str">
        <f>fact_lab!$G19&amp;"|"&amp;fact_lab!$C19</f>
        <v>LTS|Finals</v>
      </c>
      <c r="Q19" s="72" t="str">
        <f>TRIM(stg_lab_reports!$C19)</f>
        <v>25S-010</v>
      </c>
      <c r="R19" s="72" t="str">
        <f t="array" ref="R19">XLOOKUP(
   TRIM(fact_lab!$Q19),
   dim_job!$B$2:$B$6,
   dim_job!$B$2:$B$6,
   ""
)</f>
        <v>25S-010</v>
      </c>
    </row>
    <row r="20">
      <c r="A20" s="72" t="str">
        <f t="array" ref="A20">XLOOKUP(
   TRIM(fact_lab!$Q20),
   dim_job!$B$2:$B$6,
   dim_job!$B$2:$B$6,
   ""
)</f>
        <v>25S-010</v>
      </c>
      <c r="B20" s="72" t="str">
        <f>stg_lab_reports!$A20</f>
        <v>SCA</v>
      </c>
      <c r="C20" s="72" t="str">
        <f>stg_lab_reports!$F20</f>
        <v>Backgrounds</v>
      </c>
      <c r="D20" s="72" t="str">
        <f t="array" ref="D20">XLOOKUP(fact_lab!$C20,dim_lab_sca_map!$C$2:$C$64, dim_lab_sca_map!$B$2:$B$64, 0)</f>
        <v>PCM</v>
      </c>
      <c r="E20" s="99">
        <f>stg_lab_reports!$G20</f>
        <v>12</v>
      </c>
      <c r="F20" s="72" t="str">
        <f t="array" ref="F20">XLOOKUP(fact_lab!$D20, dim_lab_sca_map!$B$2:$B$64, dim_lab_sca_map!$D$2:$D$64)</f>
        <v>1 Hr</v>
      </c>
      <c r="G20" s="72" t="str">
        <f>stg_lab_reports!$I20</f>
        <v>LTS</v>
      </c>
      <c r="H20" s="72" t="str">
        <f t="array" ref="H20">XLOOKUP(fact_lab!$A20,
         dim_job!$B$2:$B$6,
         dim_job!$H$2:$H$6,
         "Missing Contract")</f>
        <v>C000015869</v>
      </c>
      <c r="I20" s="76">
        <f t="array" ref="I20">XLOOKUP(fact_lab!$P20, dim_lab_vendor_rates!$A$2:$A$49, dim_lab_vendor_rates!$E$2:$E$49, "No Rate")</f>
        <v>6</v>
      </c>
      <c r="J20" s="76">
        <f t="array" ref="J20">XLOOKUP(
   fact_lab!$O20,
   dim_lab_sca_map!$G$2:$G$64,
   dim_lab_sca_map!$E$2:$E$64,
   0
)</f>
        <v>27</v>
      </c>
      <c r="K20" s="76">
        <f>fact_lab!$E20*fact_lab!$I20</f>
        <v>72</v>
      </c>
      <c r="L20" s="76">
        <f>IF(fact_lab!$B20="SCA",fact_lab!$E20*fact_lab!$J20, fact_lab!$K20)</f>
        <v>324</v>
      </c>
      <c r="M20" s="76">
        <f>IF(fact_lab!$H20="Missing Contract", 0, fact_lab!$L20-fact_lab!$K20)</f>
        <v>252</v>
      </c>
      <c r="N20" s="72" t="str">
        <f>fact_lab!$D20&amp;"|"&amp;fact_lab!$F20</f>
        <v>PCM|1 Hr</v>
      </c>
      <c r="O20" s="72" t="str">
        <f>fact_lab!$H20&amp;"|"&amp;fact_lab!$N20</f>
        <v>C000015869|PCM|1 Hr</v>
      </c>
      <c r="P20" s="72" t="str">
        <f>fact_lab!$G20&amp;"|"&amp;fact_lab!$C20</f>
        <v>LTS|Backgrounds</v>
      </c>
      <c r="Q20" s="72" t="str">
        <f>TRIM(stg_lab_reports!$C20)</f>
        <v>25S-010</v>
      </c>
      <c r="R20" s="72" t="str">
        <f t="array" ref="R20">XLOOKUP(
   TRIM(fact_lab!$Q20),
   dim_job!$B$2:$B$6,
   dim_job!$B$2:$B$6,
   ""
)</f>
        <v>25S-010</v>
      </c>
    </row>
    <row r="21" ht="15.75" customHeight="1">
      <c r="A21" s="72" t="str">
        <f t="array" ref="A21">XLOOKUP(
   TRIM(fact_lab!$Q21),
   dim_job!$B$2:$B$6,
   dim_job!$B$2:$B$6,
   ""
)</f>
        <v>25S-010</v>
      </c>
      <c r="B21" s="72" t="str">
        <f>stg_lab_reports!$A21</f>
        <v>SCA</v>
      </c>
      <c r="C21" s="72" t="str">
        <f>stg_lab_reports!$F21</f>
        <v>Pre</v>
      </c>
      <c r="D21" s="72" t="str">
        <f t="array" ref="D21">XLOOKUP(fact_lab!$C21,dim_lab_sca_map!$C$2:$C$64, dim_lab_sca_map!$B$2:$B$64, 0)</f>
        <v>PCM</v>
      </c>
      <c r="E21" s="99">
        <f>stg_lab_reports!$G21</f>
        <v>12</v>
      </c>
      <c r="F21" s="72" t="str">
        <f t="array" ref="F21">XLOOKUP(fact_lab!$D21, dim_lab_sca_map!$B$2:$B$64, dim_lab_sca_map!$D$2:$D$64)</f>
        <v>1 Hr</v>
      </c>
      <c r="G21" s="72" t="str">
        <f>stg_lab_reports!$I21</f>
        <v>LTS</v>
      </c>
      <c r="H21" s="72" t="str">
        <f t="array" ref="H21">XLOOKUP(fact_lab!$A21,
         dim_job!$B$2:$B$6,
         dim_job!$H$2:$H$6,
         "Missing Contract")</f>
        <v>C000015869</v>
      </c>
      <c r="I21" s="76">
        <f t="array" ref="I21">XLOOKUP(fact_lab!$P21, dim_lab_vendor_rates!$A$2:$A$49, dim_lab_vendor_rates!$E$2:$E$49, "No Rate")</f>
        <v>6</v>
      </c>
      <c r="J21" s="76">
        <f t="array" ref="J21">XLOOKUP(
   fact_lab!$O21,
   dim_lab_sca_map!$G$2:$G$64,
   dim_lab_sca_map!$E$2:$E$64,
   0
)</f>
        <v>27</v>
      </c>
      <c r="K21" s="76">
        <f>fact_lab!$E21*fact_lab!$I21</f>
        <v>72</v>
      </c>
      <c r="L21" s="76">
        <f>IF(fact_lab!$B21="SCA",fact_lab!$E21*fact_lab!$J21, fact_lab!$K21)</f>
        <v>324</v>
      </c>
      <c r="M21" s="76">
        <f>IF(fact_lab!$H21="Missing Contract", 0, fact_lab!$L21-fact_lab!$K21)</f>
        <v>252</v>
      </c>
      <c r="N21" s="72" t="str">
        <f>fact_lab!$D21&amp;"|"&amp;fact_lab!$F21</f>
        <v>PCM|1 Hr</v>
      </c>
      <c r="O21" s="72" t="str">
        <f>fact_lab!$H21&amp;"|"&amp;fact_lab!$N21</f>
        <v>C000015869|PCM|1 Hr</v>
      </c>
      <c r="P21" s="72" t="str">
        <f>fact_lab!$G21&amp;"|"&amp;fact_lab!$C21</f>
        <v>LTS|Pre</v>
      </c>
      <c r="Q21" s="72" t="str">
        <f>TRIM(stg_lab_reports!$C21)</f>
        <v>25S-010</v>
      </c>
      <c r="R21" s="72" t="str">
        <f t="array" ref="R21">XLOOKUP(
   TRIM(fact_lab!$Q21),
   dim_job!$B$2:$B$6,
   dim_job!$B$2:$B$6,
   ""
)</f>
        <v>25S-010</v>
      </c>
    </row>
    <row r="22" ht="15.75" customHeight="1">
      <c r="A22" s="72" t="str">
        <f t="array" ref="A22">XLOOKUP(
   TRIM(fact_lab!$Q22),
   dim_job!$B$2:$B$6,
   dim_job!$B$2:$B$6,
   ""
)</f>
        <v>25S-010</v>
      </c>
      <c r="B22" s="72" t="str">
        <f>stg_lab_reports!$A22</f>
        <v>SCA</v>
      </c>
      <c r="C22" s="72" t="str">
        <f>stg_lab_reports!$F22</f>
        <v>Backgrounds</v>
      </c>
      <c r="D22" s="72" t="str">
        <f t="array" ref="D22">XLOOKUP(fact_lab!$C22,dim_lab_sca_map!$C$2:$C$64, dim_lab_sca_map!$B$2:$B$64, 0)</f>
        <v>PCM</v>
      </c>
      <c r="E22" s="99">
        <f>stg_lab_reports!$G22</f>
        <v>12</v>
      </c>
      <c r="F22" s="72" t="str">
        <f t="array" ref="F22">XLOOKUP(fact_lab!$D22, dim_lab_sca_map!$B$2:$B$64, dim_lab_sca_map!$D$2:$D$64)</f>
        <v>1 Hr</v>
      </c>
      <c r="G22" s="72" t="str">
        <f>stg_lab_reports!$I22</f>
        <v>LTS</v>
      </c>
      <c r="H22" s="72" t="str">
        <f t="array" ref="H22">XLOOKUP(fact_lab!$A22,
         dim_job!$B$2:$B$6,
         dim_job!$H$2:$H$6,
         "Missing Contract")</f>
        <v>C000015869</v>
      </c>
      <c r="I22" s="76">
        <f t="array" ref="I22">XLOOKUP(fact_lab!$P22, dim_lab_vendor_rates!$A$2:$A$49, dim_lab_vendor_rates!$E$2:$E$49, "No Rate")</f>
        <v>6</v>
      </c>
      <c r="J22" s="76">
        <f t="array" ref="J22">XLOOKUP(
   fact_lab!$O22,
   dim_lab_sca_map!$G$2:$G$64,
   dim_lab_sca_map!$E$2:$E$64,
   0
)</f>
        <v>27</v>
      </c>
      <c r="K22" s="76">
        <f>fact_lab!$E22*fact_lab!$I22</f>
        <v>72</v>
      </c>
      <c r="L22" s="76">
        <f>IF(fact_lab!$B22="SCA",fact_lab!$E22*fact_lab!$J22, fact_lab!$K22)</f>
        <v>324</v>
      </c>
      <c r="M22" s="76">
        <f>IF(fact_lab!$H22="Missing Contract", 0, fact_lab!$L22-fact_lab!$K22)</f>
        <v>252</v>
      </c>
      <c r="N22" s="72" t="str">
        <f>fact_lab!$D22&amp;"|"&amp;fact_lab!$F22</f>
        <v>PCM|1 Hr</v>
      </c>
      <c r="O22" s="72" t="str">
        <f>fact_lab!$H22&amp;"|"&amp;fact_lab!$N22</f>
        <v>C000015869|PCM|1 Hr</v>
      </c>
      <c r="P22" s="72" t="str">
        <f>fact_lab!$G22&amp;"|"&amp;fact_lab!$C22</f>
        <v>LTS|Backgrounds</v>
      </c>
      <c r="Q22" s="72" t="str">
        <f>TRIM(stg_lab_reports!$C22)</f>
        <v>25S-010</v>
      </c>
      <c r="R22" s="72" t="str">
        <f t="array" ref="R22">XLOOKUP(
   TRIM(fact_lab!$Q22),
   dim_job!$B$2:$B$6,
   dim_job!$B$2:$B$6,
   ""
)</f>
        <v>25S-010</v>
      </c>
    </row>
    <row r="23" ht="15.75" customHeight="1">
      <c r="A23" s="72" t="str">
        <f t="array" ref="A23">XLOOKUP(
   TRIM(fact_lab!$Q23),
   dim_job!$B$2:$B$6,
   dim_job!$B$2:$B$6,
   ""
)</f>
        <v>25S-010</v>
      </c>
      <c r="B23" s="72" t="str">
        <f>stg_lab_reports!$A23</f>
        <v>SCA</v>
      </c>
      <c r="C23" s="72" t="str">
        <f>stg_lab_reports!$F23</f>
        <v>Pre</v>
      </c>
      <c r="D23" s="72" t="str">
        <f t="array" ref="D23">XLOOKUP(fact_lab!$C23,dim_lab_sca_map!$C$2:$C$64, dim_lab_sca_map!$B$2:$B$64, 0)</f>
        <v>PCM</v>
      </c>
      <c r="E23" s="99">
        <f>stg_lab_reports!$G23</f>
        <v>12</v>
      </c>
      <c r="F23" s="72" t="str">
        <f t="array" ref="F23">XLOOKUP(fact_lab!$D23, dim_lab_sca_map!$B$2:$B$64, dim_lab_sca_map!$D$2:$D$64)</f>
        <v>1 Hr</v>
      </c>
      <c r="G23" s="72" t="str">
        <f>stg_lab_reports!$I23</f>
        <v>LTS</v>
      </c>
      <c r="H23" s="72" t="str">
        <f t="array" ref="H23">XLOOKUP(fact_lab!$A23,
         dim_job!$B$2:$B$6,
         dim_job!$H$2:$H$6,
         "Missing Contract")</f>
        <v>C000015869</v>
      </c>
      <c r="I23" s="76">
        <f t="array" ref="I23">XLOOKUP(fact_lab!$P23, dim_lab_vendor_rates!$A$2:$A$49, dim_lab_vendor_rates!$E$2:$E$49, "No Rate")</f>
        <v>6</v>
      </c>
      <c r="J23" s="76">
        <f t="array" ref="J23">XLOOKUP(
   fact_lab!$O23,
   dim_lab_sca_map!$G$2:$G$64,
   dim_lab_sca_map!$E$2:$E$64,
   0
)</f>
        <v>27</v>
      </c>
      <c r="K23" s="76">
        <f>fact_lab!$E23*fact_lab!$I23</f>
        <v>72</v>
      </c>
      <c r="L23" s="76">
        <f>IF(fact_lab!$B23="SCA",fact_lab!$E23*fact_lab!$J23, fact_lab!$K23)</f>
        <v>324</v>
      </c>
      <c r="M23" s="76">
        <f>IF(fact_lab!$H23="Missing Contract", 0, fact_lab!$L23-fact_lab!$K23)</f>
        <v>252</v>
      </c>
      <c r="N23" s="72" t="str">
        <f>fact_lab!$D23&amp;"|"&amp;fact_lab!$F23</f>
        <v>PCM|1 Hr</v>
      </c>
      <c r="O23" s="72" t="str">
        <f>fact_lab!$H23&amp;"|"&amp;fact_lab!$N23</f>
        <v>C000015869|PCM|1 Hr</v>
      </c>
      <c r="P23" s="72" t="str">
        <f>fact_lab!$G23&amp;"|"&amp;fact_lab!$C23</f>
        <v>LTS|Pre</v>
      </c>
      <c r="Q23" s="72" t="str">
        <f>TRIM(stg_lab_reports!$C23)</f>
        <v>25S-010</v>
      </c>
      <c r="R23" s="72" t="str">
        <f t="array" ref="R23">XLOOKUP(
   TRIM(fact_lab!$Q23),
   dim_job!$B$2:$B$6,
   dim_job!$B$2:$B$6,
   ""
)</f>
        <v>25S-010</v>
      </c>
    </row>
    <row r="24" ht="15.75" customHeight="1">
      <c r="A24" s="72" t="str">
        <f t="array" ref="A24">XLOOKUP(
   TRIM(fact_lab!$Q24),
   dim_job!$B$2:$B$6,
   dim_job!$B$2:$B$6,
   ""
)</f>
        <v>25S-010</v>
      </c>
      <c r="B24" s="72" t="str">
        <f>stg_lab_reports!$A24</f>
        <v>SCA</v>
      </c>
      <c r="C24" s="72" t="str">
        <f>stg_lab_reports!$F24</f>
        <v>Durings</v>
      </c>
      <c r="D24" s="72" t="str">
        <f t="array" ref="D24">XLOOKUP(fact_lab!$C24,dim_lab_sca_map!$C$2:$C$64, dim_lab_sca_map!$B$2:$B$64, 0)</f>
        <v>PCM</v>
      </c>
      <c r="E24" s="99">
        <f>stg_lab_reports!$G24</f>
        <v>9</v>
      </c>
      <c r="F24" s="72" t="str">
        <f t="array" ref="F24">XLOOKUP(fact_lab!$D24, dim_lab_sca_map!$B$2:$B$64, dim_lab_sca_map!$D$2:$D$64)</f>
        <v>1 Hr</v>
      </c>
      <c r="G24" s="72" t="str">
        <f>stg_lab_reports!$I24</f>
        <v>LTS</v>
      </c>
      <c r="H24" s="72" t="str">
        <f t="array" ref="H24">XLOOKUP(fact_lab!$A24,
         dim_job!$B$2:$B$6,
         dim_job!$H$2:$H$6,
         "Missing Contract")</f>
        <v>C000015869</v>
      </c>
      <c r="I24" s="76">
        <f t="array" ref="I24">XLOOKUP(fact_lab!$P24, dim_lab_vendor_rates!$A$2:$A$49, dim_lab_vendor_rates!$E$2:$E$49, "No Rate")</f>
        <v>6</v>
      </c>
      <c r="J24" s="76">
        <f t="array" ref="J24">XLOOKUP(
   fact_lab!$O24,
   dim_lab_sca_map!$G$2:$G$64,
   dim_lab_sca_map!$E$2:$E$64,
   0
)</f>
        <v>27</v>
      </c>
      <c r="K24" s="76">
        <f>fact_lab!$E24*fact_lab!$I24</f>
        <v>54</v>
      </c>
      <c r="L24" s="76">
        <f>IF(fact_lab!$B24="SCA",fact_lab!$E24*fact_lab!$J24, fact_lab!$K24)</f>
        <v>243</v>
      </c>
      <c r="M24" s="76">
        <f>IF(fact_lab!$H24="Missing Contract", 0, fact_lab!$L24-fact_lab!$K24)</f>
        <v>189</v>
      </c>
      <c r="N24" s="72" t="str">
        <f>fact_lab!$D24&amp;"|"&amp;fact_lab!$F24</f>
        <v>PCM|1 Hr</v>
      </c>
      <c r="O24" s="72" t="str">
        <f>fact_lab!$H24&amp;"|"&amp;fact_lab!$N24</f>
        <v>C000015869|PCM|1 Hr</v>
      </c>
      <c r="P24" s="72" t="str">
        <f>fact_lab!$G24&amp;"|"&amp;fact_lab!$C24</f>
        <v>LTS|Durings</v>
      </c>
      <c r="Q24" s="72" t="str">
        <f>TRIM(stg_lab_reports!$C24)</f>
        <v>25S-010</v>
      </c>
      <c r="R24" s="72" t="str">
        <f t="array" ref="R24">XLOOKUP(
   TRIM(fact_lab!$Q24),
   dim_job!$B$2:$B$6,
   dim_job!$B$2:$B$6,
   ""
)</f>
        <v>25S-010</v>
      </c>
    </row>
    <row r="25" ht="15.75" customHeight="1">
      <c r="A25" s="72" t="str">
        <f t="array" ref="A25">XLOOKUP(
   TRIM(fact_lab!$Q25),
   dim_job!$B$2:$B$6,
   dim_job!$B$2:$B$6,
   ""
)</f>
        <v>25S-010</v>
      </c>
      <c r="B25" s="72" t="str">
        <f>stg_lab_reports!$A25</f>
        <v>SCA</v>
      </c>
      <c r="C25" s="72" t="str">
        <f>stg_lab_reports!$F25</f>
        <v>Durings</v>
      </c>
      <c r="D25" s="72" t="str">
        <f t="array" ref="D25">XLOOKUP(fact_lab!$C25,dim_lab_sca_map!$C$2:$C$64, dim_lab_sca_map!$B$2:$B$64, 0)</f>
        <v>PCM</v>
      </c>
      <c r="E25" s="99">
        <f>stg_lab_reports!$G25</f>
        <v>8</v>
      </c>
      <c r="F25" s="72" t="str">
        <f t="array" ref="F25">XLOOKUP(fact_lab!$D25, dim_lab_sca_map!$B$2:$B$64, dim_lab_sca_map!$D$2:$D$64)</f>
        <v>1 Hr</v>
      </c>
      <c r="G25" s="72" t="str">
        <f>stg_lab_reports!$I25</f>
        <v>LTS</v>
      </c>
      <c r="H25" s="72" t="str">
        <f t="array" ref="H25">XLOOKUP(fact_lab!$A25,
         dim_job!$B$2:$B$6,
         dim_job!$H$2:$H$6,
         "Missing Contract")</f>
        <v>C000015869</v>
      </c>
      <c r="I25" s="76">
        <f t="array" ref="I25">XLOOKUP(fact_lab!$P25, dim_lab_vendor_rates!$A$2:$A$49, dim_lab_vendor_rates!$E$2:$E$49, "No Rate")</f>
        <v>6</v>
      </c>
      <c r="J25" s="76">
        <f t="array" ref="J25">XLOOKUP(
   fact_lab!$O25,
   dim_lab_sca_map!$G$2:$G$64,
   dim_lab_sca_map!$E$2:$E$64,
   0
)</f>
        <v>27</v>
      </c>
      <c r="K25" s="76">
        <f>fact_lab!$E25*fact_lab!$I25</f>
        <v>48</v>
      </c>
      <c r="L25" s="76">
        <f>IF(fact_lab!$B25="SCA",fact_lab!$E25*fact_lab!$J25, fact_lab!$K25)</f>
        <v>216</v>
      </c>
      <c r="M25" s="76">
        <f>IF(fact_lab!$H25="Missing Contract", 0, fact_lab!$L25-fact_lab!$K25)</f>
        <v>168</v>
      </c>
      <c r="N25" s="72" t="str">
        <f>fact_lab!$D25&amp;"|"&amp;fact_lab!$F25</f>
        <v>PCM|1 Hr</v>
      </c>
      <c r="O25" s="72" t="str">
        <f>fact_lab!$H25&amp;"|"&amp;fact_lab!$N25</f>
        <v>C000015869|PCM|1 Hr</v>
      </c>
      <c r="P25" s="72" t="str">
        <f>fact_lab!$G25&amp;"|"&amp;fact_lab!$C25</f>
        <v>LTS|Durings</v>
      </c>
      <c r="Q25" s="72" t="str">
        <f>TRIM(stg_lab_reports!$C25)</f>
        <v>25S-010</v>
      </c>
      <c r="R25" s="72" t="str">
        <f t="array" ref="R25">XLOOKUP(
   TRIM(fact_lab!$Q25),
   dim_job!$B$2:$B$6,
   dim_job!$B$2:$B$6,
   ""
)</f>
        <v>25S-010</v>
      </c>
    </row>
    <row r="26" ht="15.75" customHeight="1">
      <c r="A26" s="72" t="str">
        <f t="array" ref="A26">XLOOKUP(
   TRIM(fact_lab!$Q26),
   dim_job!$B$2:$B$6,
   dim_job!$B$2:$B$6,
   ""
)</f>
        <v>25S-010</v>
      </c>
      <c r="B26" s="72" t="str">
        <f>stg_lab_reports!$A26</f>
        <v>SCA</v>
      </c>
      <c r="C26" s="72" t="str">
        <f>stg_lab_reports!$F26</f>
        <v>Finals</v>
      </c>
      <c r="D26" s="72" t="str">
        <f t="array" ref="D26">XLOOKUP(fact_lab!$C26,dim_lab_sca_map!$C$2:$C$64, dim_lab_sca_map!$B$2:$B$64, 0)</f>
        <v>PCM</v>
      </c>
      <c r="E26" s="99">
        <f>stg_lab_reports!$G26</f>
        <v>12</v>
      </c>
      <c r="F26" s="72" t="str">
        <f t="array" ref="F26">XLOOKUP(fact_lab!$D26, dim_lab_sca_map!$B$2:$B$64, dim_lab_sca_map!$D$2:$D$64)</f>
        <v>1 Hr</v>
      </c>
      <c r="G26" s="72" t="str">
        <f>stg_lab_reports!$I26</f>
        <v>LTS</v>
      </c>
      <c r="H26" s="72" t="str">
        <f t="array" ref="H26">XLOOKUP(fact_lab!$A26,
         dim_job!$B$2:$B$6,
         dim_job!$H$2:$H$6,
         "Missing Contract")</f>
        <v>C000015869</v>
      </c>
      <c r="I26" s="76">
        <f t="array" ref="I26">XLOOKUP(fact_lab!$P26, dim_lab_vendor_rates!$A$2:$A$49, dim_lab_vendor_rates!$E$2:$E$49, "No Rate")</f>
        <v>6</v>
      </c>
      <c r="J26" s="76">
        <f t="array" ref="J26">XLOOKUP(
   fact_lab!$O26,
   dim_lab_sca_map!$G$2:$G$64,
   dim_lab_sca_map!$E$2:$E$64,
   0
)</f>
        <v>27</v>
      </c>
      <c r="K26" s="76">
        <f>fact_lab!$E26*fact_lab!$I26</f>
        <v>72</v>
      </c>
      <c r="L26" s="76">
        <f>IF(fact_lab!$B26="SCA",fact_lab!$E26*fact_lab!$J26, fact_lab!$K26)</f>
        <v>324</v>
      </c>
      <c r="M26" s="76">
        <f>IF(fact_lab!$H26="Missing Contract", 0, fact_lab!$L26-fact_lab!$K26)</f>
        <v>252</v>
      </c>
      <c r="N26" s="72" t="str">
        <f>fact_lab!$D26&amp;"|"&amp;fact_lab!$F26</f>
        <v>PCM|1 Hr</v>
      </c>
      <c r="O26" s="72" t="str">
        <f>fact_lab!$H26&amp;"|"&amp;fact_lab!$N26</f>
        <v>C000015869|PCM|1 Hr</v>
      </c>
      <c r="P26" s="72" t="str">
        <f>fact_lab!$G26&amp;"|"&amp;fact_lab!$C26</f>
        <v>LTS|Finals</v>
      </c>
      <c r="Q26" s="72" t="str">
        <f>TRIM(stg_lab_reports!$C26)</f>
        <v>25S-010</v>
      </c>
      <c r="R26" s="72" t="str">
        <f t="array" ref="R26">XLOOKUP(
   TRIM(fact_lab!$Q26),
   dim_job!$B$2:$B$6,
   dim_job!$B$2:$B$6,
   ""
)</f>
        <v>25S-010</v>
      </c>
    </row>
    <row r="27" ht="15.75" customHeight="1">
      <c r="A27" s="72" t="str">
        <f t="array" ref="A27">XLOOKUP(
   TRIM(fact_lab!$Q27),
   dim_job!$B$2:$B$6,
   dim_job!$B$2:$B$6,
   ""
)</f>
        <v>25S-010</v>
      </c>
      <c r="B27" s="72" t="str">
        <f>stg_lab_reports!$A27</f>
        <v>SCA</v>
      </c>
      <c r="C27" s="72" t="str">
        <f>stg_lab_reports!$F27</f>
        <v>Finals</v>
      </c>
      <c r="D27" s="72" t="str">
        <f t="array" ref="D27">XLOOKUP(fact_lab!$C27,dim_lab_sca_map!$C$2:$C$64, dim_lab_sca_map!$B$2:$B$64, 0)</f>
        <v>PCM</v>
      </c>
      <c r="E27" s="99">
        <f>stg_lab_reports!$G27</f>
        <v>12</v>
      </c>
      <c r="F27" s="72" t="str">
        <f t="array" ref="F27">XLOOKUP(fact_lab!$D27, dim_lab_sca_map!$B$2:$B$64, dim_lab_sca_map!$D$2:$D$64)</f>
        <v>1 Hr</v>
      </c>
      <c r="G27" s="72" t="str">
        <f>stg_lab_reports!$I27</f>
        <v>LTS</v>
      </c>
      <c r="H27" s="72" t="str">
        <f t="array" ref="H27">XLOOKUP(fact_lab!$A27,
         dim_job!$B$2:$B$6,
         dim_job!$H$2:$H$6,
         "Missing Contract")</f>
        <v>C000015869</v>
      </c>
      <c r="I27" s="76">
        <f t="array" ref="I27">XLOOKUP(fact_lab!$P27, dim_lab_vendor_rates!$A$2:$A$49, dim_lab_vendor_rates!$E$2:$E$49, "No Rate")</f>
        <v>6</v>
      </c>
      <c r="J27" s="76">
        <f t="array" ref="J27">XLOOKUP(
   fact_lab!$O27,
   dim_lab_sca_map!$G$2:$G$64,
   dim_lab_sca_map!$E$2:$E$64,
   0
)</f>
        <v>27</v>
      </c>
      <c r="K27" s="76">
        <f>fact_lab!$E27*fact_lab!$I27</f>
        <v>72</v>
      </c>
      <c r="L27" s="76">
        <f>IF(fact_lab!$B27="SCA",fact_lab!$E27*fact_lab!$J27, fact_lab!$K27)</f>
        <v>324</v>
      </c>
      <c r="M27" s="76">
        <f>IF(fact_lab!$H27="Missing Contract", 0, fact_lab!$L27-fact_lab!$K27)</f>
        <v>252</v>
      </c>
      <c r="N27" s="72" t="str">
        <f>fact_lab!$D27&amp;"|"&amp;fact_lab!$F27</f>
        <v>PCM|1 Hr</v>
      </c>
      <c r="O27" s="72" t="str">
        <f>fact_lab!$H27&amp;"|"&amp;fact_lab!$N27</f>
        <v>C000015869|PCM|1 Hr</v>
      </c>
      <c r="P27" s="72" t="str">
        <f>fact_lab!$G27&amp;"|"&amp;fact_lab!$C27</f>
        <v>LTS|Finals</v>
      </c>
      <c r="Q27" s="72" t="str">
        <f>TRIM(stg_lab_reports!$C27)</f>
        <v>25S-010</v>
      </c>
      <c r="R27" s="72" t="str">
        <f t="array" ref="R27">XLOOKUP(
   TRIM(fact_lab!$Q27),
   dim_job!$B$2:$B$6,
   dim_job!$B$2:$B$6,
   ""
)</f>
        <v>25S-010</v>
      </c>
    </row>
    <row r="28" ht="15.75" customHeight="1">
      <c r="A28" s="72" t="str">
        <f t="array" ref="A28">XLOOKUP(
   TRIM(fact_lab!$Q28),
   dim_job!$B$2:$B$6,
   dim_job!$B$2:$B$6,
   ""
)</f>
        <v>25S-010</v>
      </c>
      <c r="B28" s="72" t="str">
        <f>stg_lab_reports!$A28</f>
        <v>SCA</v>
      </c>
      <c r="C28" s="72" t="str">
        <f>stg_lab_reports!$F28</f>
        <v>TEM</v>
      </c>
      <c r="D28" s="72" t="str">
        <f t="array" ref="D28">XLOOKUP(fact_lab!$C28,dim_lab_sca_map!$C$2:$C$64, dim_lab_sca_map!$B$2:$B$64, 0)</f>
        <v>TEM</v>
      </c>
      <c r="E28" s="99">
        <f>stg_lab_reports!$G28</f>
        <v>5</v>
      </c>
      <c r="F28" s="72" t="str">
        <f t="array" ref="F28">XLOOKUP(fact_lab!$D28, dim_lab_sca_map!$B$2:$B$64, dim_lab_sca_map!$D$2:$D$64)</f>
        <v>3 Hr</v>
      </c>
      <c r="G28" s="72" t="str">
        <f>stg_lab_reports!$I28</f>
        <v>LTS</v>
      </c>
      <c r="H28" s="72" t="str">
        <f t="array" ref="H28">XLOOKUP(fact_lab!$A28,
         dim_job!$B$2:$B$6,
         dim_job!$H$2:$H$6,
         "Missing Contract")</f>
        <v>C000015869</v>
      </c>
      <c r="I28" s="76">
        <f t="array" ref="I28">XLOOKUP(fact_lab!$P28, dim_lab_vendor_rates!$A$2:$A$49, dim_lab_vendor_rates!$E$2:$E$49, "No Rate")</f>
        <v>40</v>
      </c>
      <c r="J28" s="76">
        <f t="array" ref="J28">XLOOKUP(
   fact_lab!$O28,
   dim_lab_sca_map!$G$2:$G$64,
   dim_lab_sca_map!$E$2:$E$64,
   0
)</f>
        <v>160</v>
      </c>
      <c r="K28" s="76">
        <f>fact_lab!$E28*fact_lab!$I28</f>
        <v>200</v>
      </c>
      <c r="L28" s="76">
        <f>IF(fact_lab!$B28="SCA",fact_lab!$E28*fact_lab!$J28, fact_lab!$K28)</f>
        <v>800</v>
      </c>
      <c r="M28" s="76">
        <f>IF(fact_lab!$H28="Missing Contract", 0, fact_lab!$L28-fact_lab!$K28)</f>
        <v>600</v>
      </c>
      <c r="N28" s="72" t="str">
        <f>fact_lab!$D28&amp;"|"&amp;fact_lab!$F28</f>
        <v>TEM|3 Hr</v>
      </c>
      <c r="O28" s="72" t="str">
        <f>fact_lab!$H28&amp;"|"&amp;fact_lab!$N28</f>
        <v>C000015869|TEM|3 Hr</v>
      </c>
      <c r="P28" s="72" t="str">
        <f>fact_lab!$G28&amp;"|"&amp;fact_lab!$C28</f>
        <v>LTS|TEM</v>
      </c>
      <c r="Q28" s="72" t="str">
        <f>TRIM(stg_lab_reports!$C28)</f>
        <v>25S-010</v>
      </c>
      <c r="R28" s="72" t="str">
        <f t="array" ref="R28">XLOOKUP(
   TRIM(fact_lab!$Q28),
   dim_job!$B$2:$B$6,
   dim_job!$B$2:$B$6,
   ""
)</f>
        <v>25S-010</v>
      </c>
    </row>
    <row r="29" ht="15.75" customHeight="1">
      <c r="A29" s="72" t="str">
        <f t="array" ref="A29">XLOOKUP(
   TRIM(fact_lab!$Q29),
   dim_job!$B$2:$B$6,
   dim_job!$B$2:$B$6,
   ""
)</f>
        <v>25S-010</v>
      </c>
      <c r="B29" s="72" t="str">
        <f>stg_lab_reports!$A29</f>
        <v>SCA</v>
      </c>
      <c r="C29" s="72" t="str">
        <f>stg_lab_reports!$F29</f>
        <v>TEM</v>
      </c>
      <c r="D29" s="72" t="str">
        <f t="array" ref="D29">XLOOKUP(fact_lab!$C29,dim_lab_sca_map!$C$2:$C$64, dim_lab_sca_map!$B$2:$B$64, 0)</f>
        <v>TEM</v>
      </c>
      <c r="E29" s="99">
        <f>stg_lab_reports!$G29</f>
        <v>5</v>
      </c>
      <c r="F29" s="72" t="str">
        <f t="array" ref="F29">XLOOKUP(fact_lab!$D29, dim_lab_sca_map!$B$2:$B$64, dim_lab_sca_map!$D$2:$D$64)</f>
        <v>3 Hr</v>
      </c>
      <c r="G29" s="72" t="str">
        <f>stg_lab_reports!$I29</f>
        <v>LTS</v>
      </c>
      <c r="H29" s="72" t="str">
        <f t="array" ref="H29">XLOOKUP(fact_lab!$A29,
         dim_job!$B$2:$B$6,
         dim_job!$H$2:$H$6,
         "Missing Contract")</f>
        <v>C000015869</v>
      </c>
      <c r="I29" s="76">
        <f t="array" ref="I29">XLOOKUP(fact_lab!$P29, dim_lab_vendor_rates!$A$2:$A$49, dim_lab_vendor_rates!$E$2:$E$49, "No Rate")</f>
        <v>40</v>
      </c>
      <c r="J29" s="76">
        <f t="array" ref="J29">XLOOKUP(
   fact_lab!$O29,
   dim_lab_sca_map!$G$2:$G$64,
   dim_lab_sca_map!$E$2:$E$64,
   0
)</f>
        <v>160</v>
      </c>
      <c r="K29" s="76">
        <f>fact_lab!$E29*fact_lab!$I29</f>
        <v>200</v>
      </c>
      <c r="L29" s="76">
        <f>IF(fact_lab!$B29="SCA",fact_lab!$E29*fact_lab!$J29, fact_lab!$K29)</f>
        <v>800</v>
      </c>
      <c r="M29" s="76">
        <f>IF(fact_lab!$H29="Missing Contract", 0, fact_lab!$L29-fact_lab!$K29)</f>
        <v>600</v>
      </c>
      <c r="N29" s="72" t="str">
        <f>fact_lab!$D29&amp;"|"&amp;fact_lab!$F29</f>
        <v>TEM|3 Hr</v>
      </c>
      <c r="O29" s="72" t="str">
        <f>fact_lab!$H29&amp;"|"&amp;fact_lab!$N29</f>
        <v>C000015869|TEM|3 Hr</v>
      </c>
      <c r="P29" s="72" t="str">
        <f>fact_lab!$G29&amp;"|"&amp;fact_lab!$C29</f>
        <v>LTS|TEM</v>
      </c>
      <c r="Q29" s="72" t="str">
        <f>TRIM(stg_lab_reports!$C29)</f>
        <v>25S-010</v>
      </c>
      <c r="R29" s="72" t="str">
        <f t="array" ref="R29">XLOOKUP(
   TRIM(fact_lab!$Q29),
   dim_job!$B$2:$B$6,
   dim_job!$B$2:$B$6,
   ""
)</f>
        <v>25S-010</v>
      </c>
    </row>
    <row r="30" ht="15.75" customHeight="1">
      <c r="A30" s="72" t="str">
        <f t="array" ref="A30">XLOOKUP(
   TRIM(fact_lab!$Q30),
   dim_job!$B$2:$B$6,
   dim_job!$B$2:$B$6,
   ""
)</f>
        <v>25S-010</v>
      </c>
      <c r="B30" s="72" t="str">
        <f>stg_lab_reports!$A30</f>
        <v>SCA</v>
      </c>
      <c r="C30" s="72" t="str">
        <f>stg_lab_reports!$F30</f>
        <v>TEM</v>
      </c>
      <c r="D30" s="72" t="str">
        <f t="array" ref="D30">XLOOKUP(fact_lab!$C30,dim_lab_sca_map!$C$2:$C$64, dim_lab_sca_map!$B$2:$B$64, 0)</f>
        <v>TEM</v>
      </c>
      <c r="E30" s="99">
        <f>stg_lab_reports!$G30</f>
        <v>5</v>
      </c>
      <c r="F30" s="72" t="str">
        <f t="array" ref="F30">XLOOKUP(fact_lab!$D30, dim_lab_sca_map!$B$2:$B$64, dim_lab_sca_map!$D$2:$D$64)</f>
        <v>3 Hr</v>
      </c>
      <c r="G30" s="72" t="str">
        <f>stg_lab_reports!$I30</f>
        <v>LTS</v>
      </c>
      <c r="H30" s="72" t="str">
        <f t="array" ref="H30">XLOOKUP(fact_lab!$A30,
         dim_job!$B$2:$B$6,
         dim_job!$H$2:$H$6,
         "Missing Contract")</f>
        <v>C000015869</v>
      </c>
      <c r="I30" s="76">
        <f t="array" ref="I30">XLOOKUP(fact_lab!$P30, dim_lab_vendor_rates!$A$2:$A$49, dim_lab_vendor_rates!$E$2:$E$49, "No Rate")</f>
        <v>40</v>
      </c>
      <c r="J30" s="76">
        <f t="array" ref="J30">XLOOKUP(
   fact_lab!$O30,
   dim_lab_sca_map!$G$2:$G$64,
   dim_lab_sca_map!$E$2:$E$64,
   0
)</f>
        <v>160</v>
      </c>
      <c r="K30" s="76">
        <f>fact_lab!$E30*fact_lab!$I30</f>
        <v>200</v>
      </c>
      <c r="L30" s="76">
        <f>IF(fact_lab!$B30="SCA",fact_lab!$E30*fact_lab!$J30, fact_lab!$K30)</f>
        <v>800</v>
      </c>
      <c r="M30" s="76">
        <f>IF(fact_lab!$H30="Missing Contract", 0, fact_lab!$L30-fact_lab!$K30)</f>
        <v>600</v>
      </c>
      <c r="N30" s="72" t="str">
        <f>fact_lab!$D30&amp;"|"&amp;fact_lab!$F30</f>
        <v>TEM|3 Hr</v>
      </c>
      <c r="O30" s="72" t="str">
        <f>fact_lab!$H30&amp;"|"&amp;fact_lab!$N30</f>
        <v>C000015869|TEM|3 Hr</v>
      </c>
      <c r="P30" s="72" t="str">
        <f>fact_lab!$G30&amp;"|"&amp;fact_lab!$C30</f>
        <v>LTS|TEM</v>
      </c>
      <c r="Q30" s="72" t="str">
        <f>TRIM(stg_lab_reports!$C30)</f>
        <v>25S-010</v>
      </c>
      <c r="R30" s="72" t="str">
        <f t="array" ref="R30">XLOOKUP(
   TRIM(fact_lab!$Q30),
   dim_job!$B$2:$B$6,
   dim_job!$B$2:$B$6,
   ""
)</f>
        <v>25S-010</v>
      </c>
    </row>
    <row r="31" ht="15.75" customHeight="1">
      <c r="A31" s="72" t="str">
        <f t="array" ref="A31">XLOOKUP(
   TRIM(fact_lab!$Q31),
   dim_job!$B$2:$B$6,
   dim_job!$B$2:$B$6,
   ""
)</f>
        <v>25S-010</v>
      </c>
      <c r="B31" s="72" t="str">
        <f>stg_lab_reports!$A31</f>
        <v>SCA</v>
      </c>
      <c r="C31" s="72" t="str">
        <f>stg_lab_reports!$F31</f>
        <v>TEM</v>
      </c>
      <c r="D31" s="72" t="str">
        <f t="array" ref="D31">XLOOKUP(fact_lab!$C31,dim_lab_sca_map!$C$2:$C$64, dim_lab_sca_map!$B$2:$B$64, 0)</f>
        <v>TEM</v>
      </c>
      <c r="E31" s="99">
        <f>stg_lab_reports!$G31</f>
        <v>5</v>
      </c>
      <c r="F31" s="72" t="str">
        <f t="array" ref="F31">XLOOKUP(fact_lab!$D31, dim_lab_sca_map!$B$2:$B$64, dim_lab_sca_map!$D$2:$D$64)</f>
        <v>3 Hr</v>
      </c>
      <c r="G31" s="72" t="str">
        <f>stg_lab_reports!$I31</f>
        <v>LTS</v>
      </c>
      <c r="H31" s="72" t="str">
        <f t="array" ref="H31">XLOOKUP(fact_lab!$A31,
         dim_job!$B$2:$B$6,
         dim_job!$H$2:$H$6,
         "Missing Contract")</f>
        <v>C000015869</v>
      </c>
      <c r="I31" s="76">
        <f t="array" ref="I31">XLOOKUP(fact_lab!$P31, dim_lab_vendor_rates!$A$2:$A$49, dim_lab_vendor_rates!$E$2:$E$49, "No Rate")</f>
        <v>40</v>
      </c>
      <c r="J31" s="76">
        <f t="array" ref="J31">XLOOKUP(
   fact_lab!$O31,
   dim_lab_sca_map!$G$2:$G$64,
   dim_lab_sca_map!$E$2:$E$64,
   0
)</f>
        <v>160</v>
      </c>
      <c r="K31" s="76">
        <f>fact_lab!$E31*fact_lab!$I31</f>
        <v>200</v>
      </c>
      <c r="L31" s="76">
        <f>IF(fact_lab!$B31="SCA",fact_lab!$E31*fact_lab!$J31, fact_lab!$K31)</f>
        <v>800</v>
      </c>
      <c r="M31" s="76">
        <f>IF(fact_lab!$H31="Missing Contract", 0, fact_lab!$L31-fact_lab!$K31)</f>
        <v>600</v>
      </c>
      <c r="N31" s="72" t="str">
        <f>fact_lab!$D31&amp;"|"&amp;fact_lab!$F31</f>
        <v>TEM|3 Hr</v>
      </c>
      <c r="O31" s="72" t="str">
        <f>fact_lab!$H31&amp;"|"&amp;fact_lab!$N31</f>
        <v>C000015869|TEM|3 Hr</v>
      </c>
      <c r="P31" s="72" t="str">
        <f>fact_lab!$G31&amp;"|"&amp;fact_lab!$C31</f>
        <v>LTS|TEM</v>
      </c>
      <c r="Q31" s="72" t="str">
        <f>TRIM(stg_lab_reports!$C31)</f>
        <v>25S-010</v>
      </c>
      <c r="R31" s="72" t="str">
        <f t="array" ref="R31">XLOOKUP(
   TRIM(fact_lab!$Q31),
   dim_job!$B$2:$B$6,
   dim_job!$B$2:$B$6,
   ""
)</f>
        <v>25S-010</v>
      </c>
    </row>
    <row r="32" ht="15.75" customHeight="1">
      <c r="A32" s="72" t="str">
        <f t="array" ref="A32">XLOOKUP(
   TRIM(fact_lab!$Q32),
   dim_job!$B$2:$B$6,
   dim_job!$B$2:$B$6,
   ""
)</f>
        <v>25S-010</v>
      </c>
      <c r="B32" s="72" t="str">
        <f>stg_lab_reports!$A32</f>
        <v>SCA</v>
      </c>
      <c r="C32" s="72" t="str">
        <f>stg_lab_reports!$F32</f>
        <v>TEM</v>
      </c>
      <c r="D32" s="72" t="str">
        <f t="array" ref="D32">XLOOKUP(fact_lab!$C32,dim_lab_sca_map!$C$2:$C$64, dim_lab_sca_map!$B$2:$B$64, 0)</f>
        <v>TEM</v>
      </c>
      <c r="E32" s="99">
        <f>stg_lab_reports!$G32</f>
        <v>5</v>
      </c>
      <c r="F32" s="72" t="str">
        <f t="array" ref="F32">XLOOKUP(fact_lab!$D32, dim_lab_sca_map!$B$2:$B$64, dim_lab_sca_map!$D$2:$D$64)</f>
        <v>3 Hr</v>
      </c>
      <c r="G32" s="72" t="str">
        <f>stg_lab_reports!$I32</f>
        <v>LTS</v>
      </c>
      <c r="H32" s="72" t="str">
        <f t="array" ref="H32">XLOOKUP(fact_lab!$A32,
         dim_job!$B$2:$B$6,
         dim_job!$H$2:$H$6,
         "Missing Contract")</f>
        <v>C000015869</v>
      </c>
      <c r="I32" s="76">
        <f t="array" ref="I32">XLOOKUP(fact_lab!$P32, dim_lab_vendor_rates!$A$2:$A$49, dim_lab_vendor_rates!$E$2:$E$49, "No Rate")</f>
        <v>40</v>
      </c>
      <c r="J32" s="76">
        <f t="array" ref="J32">XLOOKUP(
   fact_lab!$O32,
   dim_lab_sca_map!$G$2:$G$64,
   dim_lab_sca_map!$E$2:$E$64,
   0
)</f>
        <v>160</v>
      </c>
      <c r="K32" s="76">
        <f>fact_lab!$E32*fact_lab!$I32</f>
        <v>200</v>
      </c>
      <c r="L32" s="76">
        <f>IF(fact_lab!$B32="SCA",fact_lab!$E32*fact_lab!$J32, fact_lab!$K32)</f>
        <v>800</v>
      </c>
      <c r="M32" s="76">
        <f>IF(fact_lab!$H32="Missing Contract", 0, fact_lab!$L32-fact_lab!$K32)</f>
        <v>600</v>
      </c>
      <c r="N32" s="72" t="str">
        <f>fact_lab!$D32&amp;"|"&amp;fact_lab!$F32</f>
        <v>TEM|3 Hr</v>
      </c>
      <c r="O32" s="72" t="str">
        <f>fact_lab!$H32&amp;"|"&amp;fact_lab!$N32</f>
        <v>C000015869|TEM|3 Hr</v>
      </c>
      <c r="P32" s="72" t="str">
        <f>fact_lab!$G32&amp;"|"&amp;fact_lab!$C32</f>
        <v>LTS|TEM</v>
      </c>
      <c r="Q32" s="72" t="str">
        <f>TRIM(stg_lab_reports!$C32)</f>
        <v>25S-010</v>
      </c>
      <c r="R32" s="72" t="str">
        <f t="array" ref="R32">XLOOKUP(
   TRIM(fact_lab!$Q32),
   dim_job!$B$2:$B$6,
   dim_job!$B$2:$B$6,
   ""
)</f>
        <v>25S-010</v>
      </c>
    </row>
    <row r="33" ht="15.75" customHeight="1">
      <c r="A33" s="72" t="str">
        <f t="array" ref="A33">XLOOKUP(
   TRIM(fact_lab!$Q33),
   dim_job!$B$2:$B$6,
   dim_job!$B$2:$B$6,
   ""
)</f>
        <v>25S-010</v>
      </c>
      <c r="B33" s="72" t="str">
        <f>stg_lab_reports!$A33</f>
        <v>SCA</v>
      </c>
      <c r="C33" s="72" t="str">
        <f>stg_lab_reports!$F33</f>
        <v>TEM</v>
      </c>
      <c r="D33" s="72" t="str">
        <f t="array" ref="D33">XLOOKUP(fact_lab!$C33,dim_lab_sca_map!$C$2:$C$64, dim_lab_sca_map!$B$2:$B$64, 0)</f>
        <v>TEM</v>
      </c>
      <c r="E33" s="99">
        <f>stg_lab_reports!$G33</f>
        <v>3</v>
      </c>
      <c r="F33" s="72" t="str">
        <f t="array" ref="F33">XLOOKUP(fact_lab!$D33, dim_lab_sca_map!$B$2:$B$64, dim_lab_sca_map!$D$2:$D$64)</f>
        <v>3 Hr</v>
      </c>
      <c r="G33" s="72" t="str">
        <f>stg_lab_reports!$I33</f>
        <v>LTS</v>
      </c>
      <c r="H33" s="72" t="str">
        <f t="array" ref="H33">XLOOKUP(fact_lab!$A33,
         dim_job!$B$2:$B$6,
         dim_job!$H$2:$H$6,
         "Missing Contract")</f>
        <v>C000015869</v>
      </c>
      <c r="I33" s="76">
        <f t="array" ref="I33">XLOOKUP(fact_lab!$P33, dim_lab_vendor_rates!$A$2:$A$49, dim_lab_vendor_rates!$E$2:$E$49, "No Rate")</f>
        <v>40</v>
      </c>
      <c r="J33" s="76">
        <f t="array" ref="J33">XLOOKUP(
   fact_lab!$O33,
   dim_lab_sca_map!$G$2:$G$64,
   dim_lab_sca_map!$E$2:$E$64,
   0
)</f>
        <v>160</v>
      </c>
      <c r="K33" s="76">
        <f>fact_lab!$E33*fact_lab!$I33</f>
        <v>120</v>
      </c>
      <c r="L33" s="76">
        <f>IF(fact_lab!$B33="SCA",fact_lab!$E33*fact_lab!$J33, fact_lab!$K33)</f>
        <v>480</v>
      </c>
      <c r="M33" s="76">
        <f>IF(fact_lab!$H33="Missing Contract", 0, fact_lab!$L33-fact_lab!$K33)</f>
        <v>360</v>
      </c>
      <c r="N33" s="72" t="str">
        <f>fact_lab!$D33&amp;"|"&amp;fact_lab!$F33</f>
        <v>TEM|3 Hr</v>
      </c>
      <c r="O33" s="72" t="str">
        <f>fact_lab!$H33&amp;"|"&amp;fact_lab!$N33</f>
        <v>C000015869|TEM|3 Hr</v>
      </c>
      <c r="P33" s="72" t="str">
        <f>fact_lab!$G33&amp;"|"&amp;fact_lab!$C33</f>
        <v>LTS|TEM</v>
      </c>
      <c r="Q33" s="72" t="str">
        <f>TRIM(stg_lab_reports!$C33)</f>
        <v>25S-010</v>
      </c>
      <c r="R33" s="72" t="str">
        <f t="array" ref="R33">XLOOKUP(
   TRIM(fact_lab!$Q33),
   dim_job!$B$2:$B$6,
   dim_job!$B$2:$B$6,
   ""
)</f>
        <v>25S-010</v>
      </c>
    </row>
    <row r="34" ht="15.75" customHeight="1">
      <c r="A34" s="72" t="str">
        <f t="array" ref="A34">XLOOKUP(
   TRIM(fact_lab!$Q34),
   dim_job!$B$2:$B$6,
   dim_job!$B$2:$B$6,
   ""
)</f>
        <v>22S-079</v>
      </c>
      <c r="B34" s="72" t="str">
        <f>stg_lab_reports!$A34</f>
        <v>SCA</v>
      </c>
      <c r="C34" s="72" t="str">
        <f>stg_lab_reports!$F34</f>
        <v>FINALS</v>
      </c>
      <c r="D34" s="72" t="str">
        <f t="array" ref="D34">XLOOKUP(fact_lab!$C34,dim_lab_sca_map!$C$2:$C$64, dim_lab_sca_map!$B$2:$B$64, 0)</f>
        <v>PCM</v>
      </c>
      <c r="E34" s="99">
        <f>stg_lab_reports!$G34</f>
        <v>8</v>
      </c>
      <c r="F34" s="72" t="str">
        <f t="array" ref="F34">XLOOKUP(fact_lab!$D34, dim_lab_sca_map!$B$2:$B$64, dim_lab_sca_map!$D$2:$D$64)</f>
        <v>1 Hr</v>
      </c>
      <c r="G34" s="72" t="str">
        <f>stg_lab_reports!$I34</f>
        <v>ALLAB</v>
      </c>
      <c r="H34" s="72" t="str">
        <f t="array" ref="H34">XLOOKUP(fact_lab!$A34,
         dim_job!$B$2:$B$6,
         dim_job!$H$2:$H$6,
         "Missing Contract")</f>
        <v>C000015869</v>
      </c>
      <c r="I34" s="76">
        <f t="array" ref="I34">XLOOKUP(fact_lab!$P34, dim_lab_vendor_rates!$A$2:$A$49, dim_lab_vendor_rates!$E$2:$E$49, "No Rate")</f>
        <v>5</v>
      </c>
      <c r="J34" s="76">
        <f t="array" ref="J34">XLOOKUP(
   fact_lab!$O34,
   dim_lab_sca_map!$G$2:$G$64,
   dim_lab_sca_map!$E$2:$E$64,
   0
)</f>
        <v>27</v>
      </c>
      <c r="K34" s="76">
        <f>fact_lab!$E34*fact_lab!$I34</f>
        <v>40</v>
      </c>
      <c r="L34" s="76">
        <f>IF(fact_lab!$B34="SCA",fact_lab!$E34*fact_lab!$J34, fact_lab!$K34)</f>
        <v>216</v>
      </c>
      <c r="M34" s="76">
        <f>IF(fact_lab!$H34="Missing Contract", 0, fact_lab!$L34-fact_lab!$K34)</f>
        <v>176</v>
      </c>
      <c r="N34" s="72" t="str">
        <f>fact_lab!$D34&amp;"|"&amp;fact_lab!$F34</f>
        <v>PCM|1 Hr</v>
      </c>
      <c r="O34" s="72" t="str">
        <f>fact_lab!$H34&amp;"|"&amp;fact_lab!$N34</f>
        <v>C000015869|PCM|1 Hr</v>
      </c>
      <c r="P34" s="72" t="str">
        <f>fact_lab!$G34&amp;"|"&amp;fact_lab!$C34</f>
        <v>ALLAB|FINALS</v>
      </c>
      <c r="Q34" s="72" t="str">
        <f>TRIM(stg_lab_reports!$C34)</f>
        <v>22S-079</v>
      </c>
      <c r="R34" s="72" t="str">
        <f t="array" ref="R34">XLOOKUP(
   TRIM(fact_lab!$Q34),
   dim_job!$B$2:$B$6,
   dim_job!$B$2:$B$6,
   ""
)</f>
        <v>22S-079</v>
      </c>
    </row>
    <row r="35" ht="15.75" customHeight="1">
      <c r="A35" s="72" t="str">
        <f t="array" ref="A35">XLOOKUP(
   TRIM(fact_lab!$Q35),
   dim_job!$B$2:$B$6,
   dim_job!$B$2:$B$6,
   ""
)</f>
        <v>24S-114</v>
      </c>
      <c r="B35" s="72" t="str">
        <f>stg_lab_reports!$A35</f>
        <v>SCA</v>
      </c>
      <c r="C35" s="72" t="str">
        <f>stg_lab_reports!$F35</f>
        <v>DURINGS</v>
      </c>
      <c r="D35" s="72" t="str">
        <f t="array" ref="D35">XLOOKUP(fact_lab!$C35,dim_lab_sca_map!$C$2:$C$64, dim_lab_sca_map!$B$2:$B$64, 0)</f>
        <v>PCM</v>
      </c>
      <c r="E35" s="99">
        <f>stg_lab_reports!$G35</f>
        <v>6</v>
      </c>
      <c r="F35" s="72" t="str">
        <f t="array" ref="F35">XLOOKUP(fact_lab!$D35, dim_lab_sca_map!$B$2:$B$64, dim_lab_sca_map!$D$2:$D$64)</f>
        <v>1 Hr</v>
      </c>
      <c r="G35" s="72" t="str">
        <f>stg_lab_reports!$I35</f>
        <v>LTS</v>
      </c>
      <c r="H35" s="72" t="str">
        <f t="array" ref="H35">XLOOKUP(fact_lab!$A35,
         dim_job!$B$2:$B$6,
         dim_job!$H$2:$H$6,
         "Missing Contract")</f>
        <v>C000015869</v>
      </c>
      <c r="I35" s="76">
        <f t="array" ref="I35">XLOOKUP(fact_lab!$P35, dim_lab_vendor_rates!$A$2:$A$49, dim_lab_vendor_rates!$E$2:$E$49, "No Rate")</f>
        <v>6</v>
      </c>
      <c r="J35" s="76">
        <f t="array" ref="J35">XLOOKUP(
   fact_lab!$O35,
   dim_lab_sca_map!$G$2:$G$64,
   dim_lab_sca_map!$E$2:$E$64,
   0
)</f>
        <v>27</v>
      </c>
      <c r="K35" s="76">
        <f>fact_lab!$E35*fact_lab!$I35</f>
        <v>36</v>
      </c>
      <c r="L35" s="76">
        <f>IF(fact_lab!$B35="SCA",fact_lab!$E35*fact_lab!$J35, fact_lab!$K35)</f>
        <v>162</v>
      </c>
      <c r="M35" s="76">
        <f>IF(fact_lab!$H35="Missing Contract", 0, fact_lab!$L35-fact_lab!$K35)</f>
        <v>126</v>
      </c>
      <c r="N35" s="72" t="str">
        <f>fact_lab!$D35&amp;"|"&amp;fact_lab!$F35</f>
        <v>PCM|1 Hr</v>
      </c>
      <c r="O35" s="72" t="str">
        <f>fact_lab!$H35&amp;"|"&amp;fact_lab!$N35</f>
        <v>C000015869|PCM|1 Hr</v>
      </c>
      <c r="P35" s="72" t="str">
        <f>fact_lab!$G35&amp;"|"&amp;fact_lab!$C35</f>
        <v>LTS|DURINGS</v>
      </c>
      <c r="Q35" s="72" t="str">
        <f>TRIM(stg_lab_reports!$C35)</f>
        <v>24S-114</v>
      </c>
      <c r="R35" s="72" t="str">
        <f t="array" ref="R35">XLOOKUP(
   TRIM(fact_lab!$Q35),
   dim_job!$B$2:$B$6,
   dim_job!$B$2:$B$6,
   ""
)</f>
        <v>24S-114</v>
      </c>
    </row>
    <row r="36" ht="15.75" customHeight="1">
      <c r="A36" s="72" t="str">
        <f t="array" ref="A36">XLOOKUP(
   TRIM(fact_lab!$Q36),
   dim_job!$B$2:$B$6,
   dim_job!$B$2:$B$6,
   ""
)</f>
        <v>24S-114</v>
      </c>
      <c r="B36" s="72" t="str">
        <f>stg_lab_reports!$A36</f>
        <v>SCA</v>
      </c>
      <c r="C36" s="72" t="str">
        <f>stg_lab_reports!$F36</f>
        <v>FINALS</v>
      </c>
      <c r="D36" s="72" t="str">
        <f t="array" ref="D36">XLOOKUP(fact_lab!$C36,dim_lab_sca_map!$C$2:$C$64, dim_lab_sca_map!$B$2:$B$64, 0)</f>
        <v>PCM</v>
      </c>
      <c r="E36" s="99">
        <f>stg_lab_reports!$G36</f>
        <v>8</v>
      </c>
      <c r="F36" s="72" t="str">
        <f t="array" ref="F36">XLOOKUP(fact_lab!$D36, dim_lab_sca_map!$B$2:$B$64, dim_lab_sca_map!$D$2:$D$64)</f>
        <v>1 Hr</v>
      </c>
      <c r="G36" s="72" t="str">
        <f>stg_lab_reports!$I36</f>
        <v>LTS</v>
      </c>
      <c r="H36" s="72" t="str">
        <f t="array" ref="H36">XLOOKUP(fact_lab!$A36,
         dim_job!$B$2:$B$6,
         dim_job!$H$2:$H$6,
         "Missing Contract")</f>
        <v>C000015869</v>
      </c>
      <c r="I36" s="76">
        <f t="array" ref="I36">XLOOKUP(fact_lab!$P36, dim_lab_vendor_rates!$A$2:$A$49, dim_lab_vendor_rates!$E$2:$E$49, "No Rate")</f>
        <v>6</v>
      </c>
      <c r="J36" s="76">
        <f t="array" ref="J36">XLOOKUP(
   fact_lab!$O36,
   dim_lab_sca_map!$G$2:$G$64,
   dim_lab_sca_map!$E$2:$E$64,
   0
)</f>
        <v>27</v>
      </c>
      <c r="K36" s="76">
        <f>fact_lab!$E36*fact_lab!$I36</f>
        <v>48</v>
      </c>
      <c r="L36" s="76">
        <f>IF(fact_lab!$B36="SCA",fact_lab!$E36*fact_lab!$J36, fact_lab!$K36)</f>
        <v>216</v>
      </c>
      <c r="M36" s="76">
        <f>IF(fact_lab!$H36="Missing Contract", 0, fact_lab!$L36-fact_lab!$K36)</f>
        <v>168</v>
      </c>
      <c r="N36" s="72" t="str">
        <f>fact_lab!$D36&amp;"|"&amp;fact_lab!$F36</f>
        <v>PCM|1 Hr</v>
      </c>
      <c r="O36" s="72" t="str">
        <f>fact_lab!$H36&amp;"|"&amp;fact_lab!$N36</f>
        <v>C000015869|PCM|1 Hr</v>
      </c>
      <c r="P36" s="72" t="str">
        <f>fact_lab!$G36&amp;"|"&amp;fact_lab!$C36</f>
        <v>LTS|FINALS</v>
      </c>
      <c r="Q36" s="72" t="str">
        <f>TRIM(stg_lab_reports!$C36)</f>
        <v>24S-114</v>
      </c>
      <c r="R36" s="72" t="str">
        <f t="array" ref="R36">XLOOKUP(
   TRIM(fact_lab!$Q36),
   dim_job!$B$2:$B$6,
   dim_job!$B$2:$B$6,
   ""
)</f>
        <v>24S-114</v>
      </c>
    </row>
    <row r="37" ht="15.75" customHeight="1">
      <c r="A37" s="72" t="str">
        <f t="array" ref="A37">XLOOKUP(
   TRIM(fact_lab!$Q37),
   dim_job!$B$2:$B$6,
   dim_job!$B$2:$B$6,
   ""
)</f>
        <v>23S-056</v>
      </c>
      <c r="B37" s="72" t="str">
        <f>stg_lab_reports!$A37</f>
        <v>SCA</v>
      </c>
      <c r="C37" s="72" t="str">
        <f>stg_lab_reports!$F37</f>
        <v>DURINGS</v>
      </c>
      <c r="D37" s="72" t="str">
        <f t="array" ref="D37">XLOOKUP(fact_lab!$C37,dim_lab_sca_map!$C$2:$C$64, dim_lab_sca_map!$B$2:$B$64, 0)</f>
        <v>PCM</v>
      </c>
      <c r="E37" s="99">
        <f>stg_lab_reports!$G37</f>
        <v>3</v>
      </c>
      <c r="F37" s="72" t="str">
        <f t="array" ref="F37">XLOOKUP(fact_lab!$D37, dim_lab_sca_map!$B$2:$B$64, dim_lab_sca_map!$D$2:$D$64)</f>
        <v>1 Hr</v>
      </c>
      <c r="G37" s="72" t="str">
        <f>stg_lab_reports!$I37</f>
        <v>LTS</v>
      </c>
      <c r="H37" s="72" t="str">
        <f t="array" ref="H37">XLOOKUP(fact_lab!$A37,
         dim_job!$B$2:$B$6,
         dim_job!$H$2:$H$6,
         "Missing Contract")</f>
        <v>C000015869</v>
      </c>
      <c r="I37" s="76">
        <f t="array" ref="I37">XLOOKUP(fact_lab!$P37, dim_lab_vendor_rates!$A$2:$A$49, dim_lab_vendor_rates!$E$2:$E$49, "No Rate")</f>
        <v>6</v>
      </c>
      <c r="J37" s="76">
        <f t="array" ref="J37">XLOOKUP(
   fact_lab!$O37,
   dim_lab_sca_map!$G$2:$G$64,
   dim_lab_sca_map!$E$2:$E$64,
   0
)</f>
        <v>27</v>
      </c>
      <c r="K37" s="76">
        <f>fact_lab!$E37*fact_lab!$I37</f>
        <v>18</v>
      </c>
      <c r="L37" s="76">
        <f>IF(fact_lab!$B37="SCA",fact_lab!$E37*fact_lab!$J37, fact_lab!$K37)</f>
        <v>81</v>
      </c>
      <c r="M37" s="76">
        <f>IF(fact_lab!$H37="Missing Contract", 0, fact_lab!$L37-fact_lab!$K37)</f>
        <v>63</v>
      </c>
      <c r="N37" s="72" t="str">
        <f>fact_lab!$D37&amp;"|"&amp;fact_lab!$F37</f>
        <v>PCM|1 Hr</v>
      </c>
      <c r="O37" s="72" t="str">
        <f>fact_lab!$H37&amp;"|"&amp;fact_lab!$N37</f>
        <v>C000015869|PCM|1 Hr</v>
      </c>
      <c r="P37" s="72" t="str">
        <f>fact_lab!$G37&amp;"|"&amp;fact_lab!$C37</f>
        <v>LTS|DURINGS</v>
      </c>
      <c r="Q37" s="72" t="str">
        <f>TRIM(stg_lab_reports!$C37)</f>
        <v>23S-056</v>
      </c>
      <c r="R37" s="72" t="str">
        <f t="array" ref="R37">XLOOKUP(
   TRIM(fact_lab!$Q37),
   dim_job!$B$2:$B$6,
   dim_job!$B$2:$B$6,
   ""
)</f>
        <v>23S-056</v>
      </c>
    </row>
    <row r="38" ht="15.75" customHeight="1">
      <c r="A38" s="72" t="str">
        <f t="array" ref="A38">XLOOKUP(
   TRIM(fact_lab!$Q38),
   dim_job!$B$2:$B$6,
   dim_job!$B$2:$B$6,
   ""
)</f>
        <v>22S-029</v>
      </c>
      <c r="B38" s="72" t="str">
        <f>stg_lab_reports!$A38</f>
        <v>SCA</v>
      </c>
      <c r="C38" s="72" t="str">
        <f>stg_lab_reports!$F38</f>
        <v>DAF</v>
      </c>
      <c r="D38" s="72" t="str">
        <f t="array" ref="D38">XLOOKUP(fact_lab!$C38,dim_lab_sca_map!$C$2:$C$64, dim_lab_sca_map!$B$2:$B$64, 0)</f>
        <v>PCM</v>
      </c>
      <c r="E38" s="99">
        <f>stg_lab_reports!$G38</f>
        <v>7</v>
      </c>
      <c r="F38" s="72" t="str">
        <f t="array" ref="F38">XLOOKUP(fact_lab!$D38, dim_lab_sca_map!$B$2:$B$64, dim_lab_sca_map!$D$2:$D$64)</f>
        <v>1 Hr</v>
      </c>
      <c r="G38" s="72" t="str">
        <f>stg_lab_reports!$I38</f>
        <v>ALLAB</v>
      </c>
      <c r="H38" s="72" t="str">
        <f t="array" ref="H38">XLOOKUP(fact_lab!$A38,
         dim_job!$B$2:$B$6,
         dim_job!$H$2:$H$6,
         "Missing Contract")</f>
        <v>C000015869</v>
      </c>
      <c r="I38" s="76">
        <f t="array" ref="I38">XLOOKUP(fact_lab!$P38, dim_lab_vendor_rates!$A$2:$A$49, dim_lab_vendor_rates!$E$2:$E$49, "No Rate")</f>
        <v>5</v>
      </c>
      <c r="J38" s="76">
        <f t="array" ref="J38">XLOOKUP(
   fact_lab!$O38,
   dim_lab_sca_map!$G$2:$G$64,
   dim_lab_sca_map!$E$2:$E$64,
   0
)</f>
        <v>27</v>
      </c>
      <c r="K38" s="76">
        <f>fact_lab!$E38*fact_lab!$I38</f>
        <v>35</v>
      </c>
      <c r="L38" s="76">
        <f>IF(fact_lab!$B38="SCA",fact_lab!$E38*fact_lab!$J38, fact_lab!$K38)</f>
        <v>189</v>
      </c>
      <c r="M38" s="76">
        <f>IF(fact_lab!$H38="Missing Contract", 0, fact_lab!$L38-fact_lab!$K38)</f>
        <v>154</v>
      </c>
      <c r="N38" s="72" t="str">
        <f>fact_lab!$D38&amp;"|"&amp;fact_lab!$F38</f>
        <v>PCM|1 Hr</v>
      </c>
      <c r="O38" s="72" t="str">
        <f>fact_lab!$H38&amp;"|"&amp;fact_lab!$N38</f>
        <v>C000015869|PCM|1 Hr</v>
      </c>
      <c r="P38" s="72" t="str">
        <f>fact_lab!$G38&amp;"|"&amp;fact_lab!$C38</f>
        <v>ALLAB|DAF</v>
      </c>
      <c r="Q38" s="72" t="str">
        <f>TRIM(stg_lab_reports!$C38)</f>
        <v>22S-029</v>
      </c>
      <c r="R38" s="72" t="str">
        <f t="array" ref="R38">XLOOKUP(
   TRIM(fact_lab!$Q38),
   dim_job!$B$2:$B$6,
   dim_job!$B$2:$B$6,
   ""
)</f>
        <v>22S-029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63"/>
    <col customWidth="1" min="2" max="2" width="16.25"/>
    <col customWidth="1" min="3" max="3" width="13.38"/>
    <col customWidth="1" min="4" max="4" width="18.75"/>
    <col customWidth="1" min="5" max="5" width="15.13"/>
    <col customWidth="1" min="6" max="7" width="15.38"/>
    <col customWidth="1" min="8" max="8" width="16.88"/>
    <col customWidth="1" min="9" max="9" width="13.25"/>
    <col customWidth="1" min="10" max="10" width="13.63"/>
    <col customWidth="1" min="11" max="11" width="12.88"/>
    <col customWidth="1" min="12" max="12" width="16.75"/>
    <col customWidth="1" min="13" max="13" width="19.0"/>
    <col customWidth="1" min="14" max="26" width="8.63"/>
  </cols>
  <sheetData>
    <row r="1">
      <c r="A1" s="72" t="s">
        <v>1144</v>
      </c>
      <c r="B1" s="72" t="s">
        <v>1145</v>
      </c>
      <c r="C1" s="72" t="s">
        <v>1146</v>
      </c>
      <c r="D1" s="72" t="s">
        <v>1147</v>
      </c>
      <c r="E1" s="72" t="s">
        <v>1148</v>
      </c>
      <c r="F1" s="72" t="s">
        <v>1149</v>
      </c>
      <c r="G1" s="72" t="s">
        <v>1150</v>
      </c>
      <c r="H1" s="72" t="s">
        <v>1151</v>
      </c>
      <c r="I1" s="72" t="s">
        <v>1152</v>
      </c>
      <c r="J1" s="72" t="s">
        <v>1153</v>
      </c>
      <c r="K1" s="72" t="s">
        <v>1154</v>
      </c>
      <c r="L1" s="72" t="s">
        <v>1155</v>
      </c>
      <c r="M1" s="72" t="s">
        <v>1156</v>
      </c>
    </row>
    <row r="2">
      <c r="A2" s="72" t="s">
        <v>298</v>
      </c>
      <c r="B2" s="76" t="str">
        <f>SUMIFS(fact_labor!$S$2:$S$29,
        fact_labor!$I$2:$I$29,
        A2)</f>
        <v>#N/A</v>
      </c>
      <c r="C2" s="76" t="str">
        <f>SUMIFS(fact_labor!$R$2:$R$29,
        fact_labor!$K$2:$K$29,
        A2)</f>
        <v>#N/A</v>
      </c>
      <c r="D2" s="72">
        <f>COUNTIFS(fact_labor!$I$2:$I$29,A2)</f>
        <v>2</v>
      </c>
      <c r="E2" s="76" t="str">
        <f>fact_job_profitability!$B2-fact_job_profitability!$C2</f>
        <v>#N/A</v>
      </c>
      <c r="F2" s="76">
        <f>SUMIFS(fact_lab!$L$2:$L$38,
        fact_lab!$A$2:$A$38,
        A2)</f>
        <v>216</v>
      </c>
      <c r="G2" s="76">
        <f>SUMIFS(fact_lab!$K$2:$K$38,
        fact_lab!$A$2:$A$38,
        A2)</f>
        <v>40</v>
      </c>
      <c r="H2" s="72">
        <f>COUNTIFS(fact_lab!$A$2:$A$38, A2)</f>
        <v>1</v>
      </c>
      <c r="I2" s="76">
        <f>fact_job_profitability!$F2-fact_job_profitability!$G2</f>
        <v>176</v>
      </c>
      <c r="J2" s="76" t="str">
        <f>fact_job_profitability!$E2+fact_job_profitability!$I2</f>
        <v>#N/A</v>
      </c>
      <c r="K2" s="76" t="str">
        <f>fact_job_profitability!$C2+fact_job_profitability!$G2</f>
        <v>#N/A</v>
      </c>
      <c r="L2" s="76" t="str">
        <f>fact_job_profitability!$B2+fact_job_profitability!$F2</f>
        <v>#N/A</v>
      </c>
      <c r="M2" s="76" t="str">
        <f>IF(fact_job_profitability!$J2&gt;0,fact_job_profitability!$J2/fact_job_profitability!$L2,0)</f>
        <v>#N/A</v>
      </c>
    </row>
    <row r="3">
      <c r="A3" s="72" t="s">
        <v>178</v>
      </c>
      <c r="B3" s="76" t="str">
        <f>SUMIFS(fact_labor!$S$2:$S$29,
        fact_labor!$I$2:$I$29,
        A3)</f>
        <v>#N/A</v>
      </c>
      <c r="C3" s="76" t="str">
        <f>SUMIFS(fact_labor!$R$2:$R$29,
        fact_labor!$K$2:$K$29,
        A3)</f>
        <v>#N/A</v>
      </c>
      <c r="D3" s="110">
        <f>COUNTIFS(fact_labor!$I$2:$I$29,A3)</f>
        <v>2</v>
      </c>
      <c r="E3" s="76" t="str">
        <f>fact_job_profitability!$B3-fact_job_profitability!$C3</f>
        <v>#N/A</v>
      </c>
      <c r="F3" s="76">
        <f>SUMIFS(fact_lab!$L$2:$L$38,
        fact_lab!$A$2:$A$38,
        A3)</f>
        <v>189</v>
      </c>
      <c r="G3" s="76">
        <f>SUMIFS(fact_lab!$K$2:$K$38,
        fact_lab!$A$2:$A$38,
        A3)</f>
        <v>35</v>
      </c>
      <c r="H3" s="110">
        <f>COUNTIFS(fact_lab!$A$2:$A$38, A3)</f>
        <v>1</v>
      </c>
      <c r="I3" s="76">
        <f>fact_job_profitability!$F3-fact_job_profitability!$G3</f>
        <v>154</v>
      </c>
      <c r="J3" s="76" t="str">
        <f>fact_job_profitability!$E3+fact_job_profitability!$I3</f>
        <v>#N/A</v>
      </c>
      <c r="K3" s="76" t="str">
        <f>fact_job_profitability!$C3+fact_job_profitability!$G3</f>
        <v>#N/A</v>
      </c>
      <c r="L3" s="76" t="str">
        <f>fact_job_profitability!$B3+fact_job_profitability!$F3</f>
        <v>#N/A</v>
      </c>
      <c r="M3" s="76" t="str">
        <f>IF(fact_job_profitability!$J3&gt;0,fact_job_profitability!$J3/fact_job_profitability!$L3,0)</f>
        <v>#N/A</v>
      </c>
    </row>
    <row r="4">
      <c r="A4" s="72" t="s">
        <v>342</v>
      </c>
      <c r="B4" s="76" t="str">
        <f>SUMIFS(fact_labor!$S$2:$S$29,
        fact_labor!$I$2:$I$29,
        A4)</f>
        <v>#N/A</v>
      </c>
      <c r="C4" s="76" t="str">
        <f>SUMIFS(fact_labor!$R$2:$R$29,
        fact_labor!$K$2:$K$29,
        A4)</f>
        <v>#N/A</v>
      </c>
      <c r="D4" s="110">
        <f>COUNTIFS(fact_labor!$I$2:$I$29,A4)</f>
        <v>1</v>
      </c>
      <c r="E4" s="76" t="str">
        <f>fact_job_profitability!$B4-fact_job_profitability!$C4</f>
        <v>#N/A</v>
      </c>
      <c r="F4" s="76">
        <f>SUMIFS(fact_lab!$L$2:$L$38,
        fact_lab!$A$2:$A$38,
        A4)</f>
        <v>81</v>
      </c>
      <c r="G4" s="76">
        <f>SUMIFS(fact_lab!$K$2:$K$38,
        fact_lab!$A$2:$A$38,
        A4)</f>
        <v>18</v>
      </c>
      <c r="H4" s="110">
        <f>COUNTIFS(fact_lab!$A$2:$A$38, A4)</f>
        <v>1</v>
      </c>
      <c r="I4" s="76">
        <f>fact_job_profitability!$F4-fact_job_profitability!$G4</f>
        <v>63</v>
      </c>
      <c r="J4" s="76" t="str">
        <f>fact_job_profitability!$E4+fact_job_profitability!$I4</f>
        <v>#N/A</v>
      </c>
      <c r="K4" s="76" t="str">
        <f>fact_job_profitability!$C4+fact_job_profitability!$G4</f>
        <v>#N/A</v>
      </c>
      <c r="L4" s="76" t="str">
        <f>fact_job_profitability!$B4+fact_job_profitability!$F4</f>
        <v>#N/A</v>
      </c>
      <c r="M4" s="76" t="str">
        <f>IF(fact_job_profitability!$J4&gt;0,fact_job_profitability!$J4/fact_job_profitability!$L4,0)</f>
        <v>#N/A</v>
      </c>
    </row>
    <row r="5">
      <c r="A5" s="72" t="s">
        <v>268</v>
      </c>
      <c r="B5" s="76" t="str">
        <f>SUMIFS(fact_labor!$S$2:$S$29,
        fact_labor!$I$2:$I$29,
        A5)</f>
        <v>#N/A</v>
      </c>
      <c r="C5" s="76" t="str">
        <f>SUMIFS(fact_labor!$R$2:$R$29,
        fact_labor!$K$2:$K$29,
        A5)</f>
        <v>#N/A</v>
      </c>
      <c r="D5" s="110">
        <f>COUNTIFS(fact_labor!$I$2:$I$29,A5)</f>
        <v>2</v>
      </c>
      <c r="E5" s="76" t="str">
        <f>fact_job_profitability!$B5-fact_job_profitability!$C5</f>
        <v>#N/A</v>
      </c>
      <c r="F5" s="76">
        <f>SUMIFS(fact_lab!$L$2:$L$38,
        fact_lab!$A$2:$A$38,
        A5)</f>
        <v>378</v>
      </c>
      <c r="G5" s="76">
        <f>SUMIFS(fact_lab!$K$2:$K$38,
        fact_lab!$A$2:$A$38,
        A5)</f>
        <v>84</v>
      </c>
      <c r="H5" s="110">
        <f>COUNTIFS(fact_lab!$A$2:$A$38, A5)</f>
        <v>2</v>
      </c>
      <c r="I5" s="76">
        <f>fact_job_profitability!$F5-fact_job_profitability!$G5</f>
        <v>294</v>
      </c>
      <c r="J5" s="76" t="str">
        <f>fact_job_profitability!$E5+fact_job_profitability!$I5</f>
        <v>#N/A</v>
      </c>
      <c r="K5" s="76" t="str">
        <f>fact_job_profitability!$C5+fact_job_profitability!$G5</f>
        <v>#N/A</v>
      </c>
      <c r="L5" s="76" t="str">
        <f>fact_job_profitability!$B5+fact_job_profitability!$F5</f>
        <v>#N/A</v>
      </c>
      <c r="M5" s="76" t="str">
        <f>IF(fact_job_profitability!$J5&gt;0,fact_job_profitability!$J5/fact_job_profitability!$L5,0)</f>
        <v>#N/A</v>
      </c>
    </row>
    <row r="6">
      <c r="A6" s="72" t="s">
        <v>358</v>
      </c>
      <c r="B6" s="76" t="str">
        <f>SUMIFS(fact_labor!$S$2:$S$29,
        fact_labor!$I$2:$I$29,
        A6)</f>
        <v>#N/A</v>
      </c>
      <c r="C6" s="76" t="str">
        <f>SUMIFS(fact_labor!$R$2:$R$29,
        fact_labor!$K$2:$K$29,
        A6)</f>
        <v>#N/A</v>
      </c>
      <c r="D6" s="110">
        <f>COUNTIFS(fact_labor!$I$2:$I$29,A6)</f>
        <v>19</v>
      </c>
      <c r="E6" s="76" t="str">
        <f>fact_job_profitability!$B6-fact_job_profitability!$C6</f>
        <v>#N/A</v>
      </c>
      <c r="F6" s="76">
        <f>SUMIFS(fact_lab!$L$2:$L$38,
        fact_lab!$A$2:$A$38,
        A6)</f>
        <v>12445</v>
      </c>
      <c r="G6" s="76">
        <f>SUMIFS(fact_lab!$K$2:$K$38,
        fact_lab!$A$2:$A$38,
        A6)</f>
        <v>2890</v>
      </c>
      <c r="H6" s="110">
        <f>COUNTIFS(fact_lab!$A$2:$A$38, A6)</f>
        <v>32</v>
      </c>
      <c r="I6" s="76">
        <f>fact_job_profitability!$F6-fact_job_profitability!$G6</f>
        <v>9555</v>
      </c>
      <c r="J6" s="76" t="str">
        <f>fact_job_profitability!$E6+fact_job_profitability!$I6</f>
        <v>#N/A</v>
      </c>
      <c r="K6" s="76" t="str">
        <f>fact_job_profitability!$C6+fact_job_profitability!$G6</f>
        <v>#N/A</v>
      </c>
      <c r="L6" s="76" t="str">
        <f>fact_job_profitability!$B6+fact_job_profitability!$F6</f>
        <v>#N/A</v>
      </c>
      <c r="M6" s="76" t="str">
        <f>IF(fact_job_profitability!$J6&gt;0,fact_job_profitability!$J6/fact_job_profitability!$L6,0)</f>
        <v>#N/A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6.38"/>
    <col customWidth="1" min="3" max="3" width="36.75"/>
    <col customWidth="1" min="4" max="4" width="17.38"/>
    <col customWidth="1" min="5" max="5" width="12.38"/>
    <col customWidth="1" min="6" max="6" width="9.88"/>
    <col customWidth="1" min="7" max="7" width="10.88"/>
    <col customWidth="1" min="8" max="26" width="8.63"/>
  </cols>
  <sheetData>
    <row r="1" ht="12.75" customHeight="1">
      <c r="A1" s="111" t="s">
        <v>1157</v>
      </c>
      <c r="B1" s="111" t="s">
        <v>1158</v>
      </c>
      <c r="C1" s="111" t="s">
        <v>1159</v>
      </c>
      <c r="D1" s="111" t="s">
        <v>1160</v>
      </c>
      <c r="E1" s="111" t="s">
        <v>1161</v>
      </c>
      <c r="F1" s="111" t="s">
        <v>1162</v>
      </c>
      <c r="G1" s="111" t="s">
        <v>1163</v>
      </c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</row>
    <row r="2" ht="12.75" customHeight="1">
      <c r="A2" s="113" t="s">
        <v>45</v>
      </c>
      <c r="B2" s="113" t="s">
        <v>1164</v>
      </c>
      <c r="C2" s="113" t="s">
        <v>132</v>
      </c>
      <c r="D2" s="113" t="s">
        <v>1165</v>
      </c>
      <c r="E2" s="113" t="s">
        <v>1166</v>
      </c>
      <c r="F2" s="113">
        <v>11235.0</v>
      </c>
      <c r="G2" s="113">
        <v>22.0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</row>
    <row r="3" ht="12.75" customHeight="1">
      <c r="A3" s="113" t="s">
        <v>1167</v>
      </c>
      <c r="B3" s="113" t="s">
        <v>1168</v>
      </c>
      <c r="C3" s="113" t="s">
        <v>1169</v>
      </c>
      <c r="D3" s="113" t="s">
        <v>1165</v>
      </c>
      <c r="E3" s="113" t="s">
        <v>1166</v>
      </c>
      <c r="F3" s="113">
        <v>11211.0</v>
      </c>
      <c r="G3" s="113">
        <v>14.0</v>
      </c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ht="12.75" customHeight="1">
      <c r="A4" s="113" t="s">
        <v>376</v>
      </c>
      <c r="B4" s="113" t="s">
        <v>1170</v>
      </c>
      <c r="C4" s="113" t="s">
        <v>1171</v>
      </c>
      <c r="D4" s="113" t="s">
        <v>1165</v>
      </c>
      <c r="E4" s="113" t="s">
        <v>1166</v>
      </c>
      <c r="F4" s="113">
        <v>11211.0</v>
      </c>
      <c r="G4" s="113">
        <v>14.0</v>
      </c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ht="12.75" customHeight="1">
      <c r="A5" s="113" t="s">
        <v>1172</v>
      </c>
      <c r="B5" s="113" t="s">
        <v>1173</v>
      </c>
      <c r="C5" s="113" t="s">
        <v>1174</v>
      </c>
      <c r="D5" s="113" t="s">
        <v>1165</v>
      </c>
      <c r="E5" s="113" t="s">
        <v>1166</v>
      </c>
      <c r="F5" s="113">
        <v>11206.0</v>
      </c>
      <c r="G5" s="113">
        <v>14.0</v>
      </c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ht="12.75" customHeight="1">
      <c r="A6" s="113" t="s">
        <v>378</v>
      </c>
      <c r="B6" s="113" t="s">
        <v>1175</v>
      </c>
      <c r="C6" s="113" t="s">
        <v>1176</v>
      </c>
      <c r="D6" s="113" t="s">
        <v>1165</v>
      </c>
      <c r="E6" s="113" t="s">
        <v>1166</v>
      </c>
      <c r="F6" s="113">
        <v>11211.0</v>
      </c>
      <c r="G6" s="113">
        <v>14.0</v>
      </c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 ht="12.75" customHeight="1">
      <c r="A7" s="113" t="s">
        <v>1177</v>
      </c>
      <c r="B7" s="113" t="s">
        <v>1178</v>
      </c>
      <c r="C7" s="113" t="s">
        <v>1179</v>
      </c>
      <c r="D7" s="113" t="s">
        <v>1165</v>
      </c>
      <c r="E7" s="113" t="s">
        <v>1166</v>
      </c>
      <c r="F7" s="113">
        <v>11231.0</v>
      </c>
      <c r="G7" s="113">
        <v>15.0</v>
      </c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ht="12.75" customHeight="1">
      <c r="A8" s="113" t="s">
        <v>382</v>
      </c>
      <c r="B8" s="113" t="s">
        <v>1180</v>
      </c>
      <c r="C8" s="113" t="s">
        <v>1181</v>
      </c>
      <c r="D8" s="113" t="s">
        <v>1165</v>
      </c>
      <c r="E8" s="113" t="s">
        <v>1166</v>
      </c>
      <c r="F8" s="113">
        <v>11233.0</v>
      </c>
      <c r="G8" s="113">
        <v>16.0</v>
      </c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ht="12.75" customHeight="1">
      <c r="A9" s="113" t="s">
        <v>181</v>
      </c>
      <c r="B9" s="113" t="s">
        <v>1182</v>
      </c>
      <c r="C9" s="113" t="s">
        <v>1183</v>
      </c>
      <c r="D9" s="113" t="s">
        <v>1165</v>
      </c>
      <c r="E9" s="113" t="s">
        <v>1166</v>
      </c>
      <c r="F9" s="113">
        <v>11235.0</v>
      </c>
      <c r="G9" s="113">
        <v>21.0</v>
      </c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ht="12.75" customHeight="1">
      <c r="A10" s="113" t="s">
        <v>384</v>
      </c>
      <c r="B10" s="113" t="s">
        <v>1184</v>
      </c>
      <c r="C10" s="113" t="s">
        <v>1185</v>
      </c>
      <c r="D10" s="113" t="s">
        <v>1165</v>
      </c>
      <c r="E10" s="113" t="s">
        <v>1166</v>
      </c>
      <c r="F10" s="113">
        <v>11211.0</v>
      </c>
      <c r="G10" s="113">
        <v>14.0</v>
      </c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 ht="12.75" customHeight="1">
      <c r="A11" s="113" t="s">
        <v>1186</v>
      </c>
      <c r="B11" s="113" t="s">
        <v>1187</v>
      </c>
      <c r="C11" s="113" t="s">
        <v>1188</v>
      </c>
      <c r="D11" s="113" t="s">
        <v>1165</v>
      </c>
      <c r="E11" s="113" t="s">
        <v>1166</v>
      </c>
      <c r="F11" s="113">
        <v>11215.0</v>
      </c>
      <c r="G11" s="113">
        <v>15.0</v>
      </c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 ht="12.75" customHeight="1">
      <c r="A12" s="113" t="s">
        <v>1189</v>
      </c>
      <c r="B12" s="113" t="s">
        <v>1190</v>
      </c>
      <c r="C12" s="113" t="s">
        <v>1191</v>
      </c>
      <c r="D12" s="113" t="s">
        <v>1165</v>
      </c>
      <c r="E12" s="113" t="s">
        <v>1166</v>
      </c>
      <c r="F12" s="113">
        <v>11205.0</v>
      </c>
      <c r="G12" s="113">
        <v>13.0</v>
      </c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 ht="12.75" customHeight="1">
      <c r="A13" s="113" t="s">
        <v>1192</v>
      </c>
      <c r="B13" s="113" t="s">
        <v>1193</v>
      </c>
      <c r="C13" s="113" t="s">
        <v>1194</v>
      </c>
      <c r="D13" s="113" t="s">
        <v>1165</v>
      </c>
      <c r="E13" s="113" t="s">
        <v>1166</v>
      </c>
      <c r="F13" s="113">
        <v>11233.0</v>
      </c>
      <c r="G13" s="113">
        <v>23.0</v>
      </c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ht="12.75" customHeight="1">
      <c r="A14" s="113" t="s">
        <v>1195</v>
      </c>
      <c r="B14" s="113" t="s">
        <v>1196</v>
      </c>
      <c r="C14" s="113" t="s">
        <v>1197</v>
      </c>
      <c r="D14" s="113" t="s">
        <v>1165</v>
      </c>
      <c r="E14" s="113" t="s">
        <v>1166</v>
      </c>
      <c r="F14" s="113">
        <v>11225.0</v>
      </c>
      <c r="G14" s="113">
        <v>17.0</v>
      </c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 ht="12.75" customHeight="1">
      <c r="A15" s="113" t="s">
        <v>1198</v>
      </c>
      <c r="B15" s="113" t="s">
        <v>1199</v>
      </c>
      <c r="C15" s="113" t="s">
        <v>1200</v>
      </c>
      <c r="D15" s="113" t="s">
        <v>1165</v>
      </c>
      <c r="E15" s="113" t="s">
        <v>1166</v>
      </c>
      <c r="F15" s="113">
        <v>11238.0</v>
      </c>
      <c r="G15" s="113">
        <v>13.0</v>
      </c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ht="12.75" customHeight="1">
      <c r="A16" s="113" t="s">
        <v>1201</v>
      </c>
      <c r="B16" s="113" t="s">
        <v>1202</v>
      </c>
      <c r="C16" s="113" t="s">
        <v>1203</v>
      </c>
      <c r="D16" s="113" t="s">
        <v>1165</v>
      </c>
      <c r="E16" s="113" t="s">
        <v>1166</v>
      </c>
      <c r="F16" s="113">
        <v>11237.0</v>
      </c>
      <c r="G16" s="113">
        <v>32.0</v>
      </c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ht="12.75" customHeight="1">
      <c r="A17" s="113" t="s">
        <v>1204</v>
      </c>
      <c r="B17" s="113" t="s">
        <v>1205</v>
      </c>
      <c r="C17" s="113" t="s">
        <v>1206</v>
      </c>
      <c r="D17" s="113" t="s">
        <v>1165</v>
      </c>
      <c r="E17" s="113" t="s">
        <v>1166</v>
      </c>
      <c r="F17" s="113">
        <v>11223.0</v>
      </c>
      <c r="G17" s="113">
        <v>21.0</v>
      </c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ht="12.75" customHeight="1">
      <c r="A18" s="113" t="s">
        <v>390</v>
      </c>
      <c r="B18" s="113" t="s">
        <v>1207</v>
      </c>
      <c r="C18" s="113" t="s">
        <v>1208</v>
      </c>
      <c r="D18" s="113" t="s">
        <v>1165</v>
      </c>
      <c r="E18" s="113" t="s">
        <v>1166</v>
      </c>
      <c r="F18" s="113">
        <v>11204.0</v>
      </c>
      <c r="G18" s="113">
        <v>21.0</v>
      </c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ht="12.75" customHeight="1">
      <c r="A19" s="113" t="s">
        <v>392</v>
      </c>
      <c r="B19" s="113" t="s">
        <v>1209</v>
      </c>
      <c r="C19" s="113" t="s">
        <v>1210</v>
      </c>
      <c r="D19" s="113" t="s">
        <v>1165</v>
      </c>
      <c r="E19" s="113" t="s">
        <v>1166</v>
      </c>
      <c r="F19" s="113">
        <v>11230.0</v>
      </c>
      <c r="G19" s="113">
        <v>21.0</v>
      </c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ht="12.75" customHeight="1">
      <c r="A20" s="113" t="s">
        <v>184</v>
      </c>
      <c r="B20" s="113" t="s">
        <v>1211</v>
      </c>
      <c r="C20" s="113" t="s">
        <v>1212</v>
      </c>
      <c r="D20" s="113" t="s">
        <v>1165</v>
      </c>
      <c r="E20" s="113" t="s">
        <v>1166</v>
      </c>
      <c r="F20" s="113">
        <v>11209.0</v>
      </c>
      <c r="G20" s="113">
        <v>20.0</v>
      </c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ht="12.75" customHeight="1">
      <c r="A21" s="113" t="s">
        <v>397</v>
      </c>
      <c r="B21" s="113" t="s">
        <v>1213</v>
      </c>
      <c r="C21" s="113" t="s">
        <v>1214</v>
      </c>
      <c r="D21" s="113" t="s">
        <v>1165</v>
      </c>
      <c r="E21" s="113" t="s">
        <v>1166</v>
      </c>
      <c r="F21" s="113">
        <v>11209.0</v>
      </c>
      <c r="G21" s="113">
        <v>20.0</v>
      </c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ht="12.75" customHeight="1">
      <c r="A22" s="113" t="s">
        <v>1215</v>
      </c>
      <c r="B22" s="113" t="s">
        <v>1216</v>
      </c>
      <c r="C22" s="113" t="s">
        <v>1217</v>
      </c>
      <c r="D22" s="113" t="s">
        <v>1165</v>
      </c>
      <c r="E22" s="113" t="s">
        <v>1166</v>
      </c>
      <c r="F22" s="113">
        <v>11222.0</v>
      </c>
      <c r="G22" s="113">
        <v>14.0</v>
      </c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ht="12.75" customHeight="1">
      <c r="A23" s="113" t="s">
        <v>1218</v>
      </c>
      <c r="B23" s="113" t="s">
        <v>1219</v>
      </c>
      <c r="C23" s="113" t="s">
        <v>1220</v>
      </c>
      <c r="D23" s="113" t="s">
        <v>1165</v>
      </c>
      <c r="E23" s="113" t="s">
        <v>1166</v>
      </c>
      <c r="F23" s="113">
        <v>11221.0</v>
      </c>
      <c r="G23" s="113">
        <v>32.0</v>
      </c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ht="12.75" customHeight="1">
      <c r="A24" s="113" t="s">
        <v>400</v>
      </c>
      <c r="B24" s="113" t="s">
        <v>1221</v>
      </c>
      <c r="C24" s="113" t="s">
        <v>1222</v>
      </c>
      <c r="D24" s="113" t="s">
        <v>1165</v>
      </c>
      <c r="E24" s="113" t="s">
        <v>1166</v>
      </c>
      <c r="F24" s="113">
        <v>11236.0</v>
      </c>
      <c r="G24" s="113">
        <v>18.0</v>
      </c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 ht="12.75" customHeight="1">
      <c r="A25" s="113" t="s">
        <v>404</v>
      </c>
      <c r="B25" s="113" t="s">
        <v>1223</v>
      </c>
      <c r="C25" s="113" t="s">
        <v>1224</v>
      </c>
      <c r="D25" s="113" t="s">
        <v>1165</v>
      </c>
      <c r="E25" s="113" t="s">
        <v>1166</v>
      </c>
      <c r="F25" s="113">
        <v>11215.0</v>
      </c>
      <c r="G25" s="113">
        <v>15.0</v>
      </c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 ht="12.75" customHeight="1">
      <c r="A26" s="113" t="s">
        <v>406</v>
      </c>
      <c r="B26" s="113" t="s">
        <v>1225</v>
      </c>
      <c r="C26" s="113" t="s">
        <v>1226</v>
      </c>
      <c r="D26" s="113" t="s">
        <v>1165</v>
      </c>
      <c r="E26" s="113" t="s">
        <v>1166</v>
      </c>
      <c r="F26" s="113">
        <v>11228.0</v>
      </c>
      <c r="G26" s="113">
        <v>20.0</v>
      </c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ht="12.75" customHeight="1">
      <c r="A27" s="113" t="s">
        <v>1227</v>
      </c>
      <c r="B27" s="113" t="s">
        <v>1228</v>
      </c>
      <c r="C27" s="113" t="s">
        <v>1229</v>
      </c>
      <c r="D27" s="113" t="s">
        <v>1165</v>
      </c>
      <c r="E27" s="113" t="s">
        <v>1166</v>
      </c>
      <c r="F27" s="113">
        <v>11214.0</v>
      </c>
      <c r="G27" s="113">
        <v>21.0</v>
      </c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 ht="12.75" customHeight="1">
      <c r="A28" s="113" t="s">
        <v>408</v>
      </c>
      <c r="B28" s="113" t="s">
        <v>1230</v>
      </c>
      <c r="C28" s="113" t="s">
        <v>1231</v>
      </c>
      <c r="D28" s="113" t="s">
        <v>1165</v>
      </c>
      <c r="E28" s="113" t="s">
        <v>1166</v>
      </c>
      <c r="F28" s="113" t="s">
        <v>1232</v>
      </c>
      <c r="G28" s="113" t="s">
        <v>1233</v>
      </c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 ht="12.75" customHeight="1">
      <c r="A29" s="113" t="s">
        <v>1234</v>
      </c>
      <c r="B29" s="113" t="s">
        <v>1235</v>
      </c>
      <c r="C29" s="113" t="s">
        <v>1236</v>
      </c>
      <c r="D29" s="113" t="s">
        <v>1165</v>
      </c>
      <c r="E29" s="113" t="s">
        <v>1166</v>
      </c>
      <c r="F29" s="113">
        <v>11232.0</v>
      </c>
      <c r="G29" s="113">
        <v>15.0</v>
      </c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 ht="12.75" customHeight="1">
      <c r="A30" s="113" t="s">
        <v>187</v>
      </c>
      <c r="B30" s="113" t="s">
        <v>1237</v>
      </c>
      <c r="C30" s="113" t="s">
        <v>1238</v>
      </c>
      <c r="D30" s="113" t="s">
        <v>1165</v>
      </c>
      <c r="E30" s="113" t="s">
        <v>1166</v>
      </c>
      <c r="F30" s="113">
        <v>11216.0</v>
      </c>
      <c r="G30" s="113">
        <v>17.0</v>
      </c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ht="12.75" customHeight="1">
      <c r="A31" s="113" t="s">
        <v>1239</v>
      </c>
      <c r="B31" s="113" t="s">
        <v>1240</v>
      </c>
      <c r="C31" s="113" t="s">
        <v>1241</v>
      </c>
      <c r="D31" s="113" t="s">
        <v>1165</v>
      </c>
      <c r="E31" s="113" t="s">
        <v>1166</v>
      </c>
      <c r="F31" s="113">
        <v>11231.0</v>
      </c>
      <c r="G31" s="113">
        <v>15.0</v>
      </c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 ht="12.75" customHeight="1">
      <c r="A32" s="113" t="s">
        <v>410</v>
      </c>
      <c r="B32" s="113" t="s">
        <v>1242</v>
      </c>
      <c r="C32" s="113" t="s">
        <v>1243</v>
      </c>
      <c r="D32" s="113" t="s">
        <v>1165</v>
      </c>
      <c r="E32" s="113" t="s">
        <v>1166</v>
      </c>
      <c r="F32" s="113">
        <v>11206.0</v>
      </c>
      <c r="G32" s="113">
        <v>32.0</v>
      </c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 ht="12.75" customHeight="1">
      <c r="A33" s="113" t="s">
        <v>1244</v>
      </c>
      <c r="B33" s="113" t="s">
        <v>1245</v>
      </c>
      <c r="C33" s="113" t="s">
        <v>1246</v>
      </c>
      <c r="D33" s="113" t="s">
        <v>1165</v>
      </c>
      <c r="E33" s="113" t="s">
        <v>1166</v>
      </c>
      <c r="F33" s="113">
        <v>11207.0</v>
      </c>
      <c r="G33" s="113">
        <v>19.0</v>
      </c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 ht="12.75" customHeight="1">
      <c r="A34" s="113" t="s">
        <v>1247</v>
      </c>
      <c r="B34" s="113" t="s">
        <v>1248</v>
      </c>
      <c r="C34" s="113" t="s">
        <v>1249</v>
      </c>
      <c r="D34" s="113" t="s">
        <v>1165</v>
      </c>
      <c r="E34" s="113" t="s">
        <v>1166</v>
      </c>
      <c r="F34" s="113">
        <v>11212.0</v>
      </c>
      <c r="G34" s="113">
        <v>23.0</v>
      </c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 ht="12.75" customHeight="1">
      <c r="A35" s="113" t="s">
        <v>191</v>
      </c>
      <c r="B35" s="113" t="s">
        <v>1250</v>
      </c>
      <c r="C35" s="113" t="s">
        <v>1251</v>
      </c>
      <c r="D35" s="113" t="s">
        <v>1165</v>
      </c>
      <c r="E35" s="113" t="s">
        <v>1166</v>
      </c>
      <c r="F35" s="113">
        <v>11207.0</v>
      </c>
      <c r="G35" s="113">
        <v>32.0</v>
      </c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 ht="12.75" customHeight="1">
      <c r="A36" s="113" t="s">
        <v>1252</v>
      </c>
      <c r="B36" s="113" t="s">
        <v>1253</v>
      </c>
      <c r="C36" s="113" t="s">
        <v>1254</v>
      </c>
      <c r="D36" s="113" t="s">
        <v>1165</v>
      </c>
      <c r="E36" s="113" t="s">
        <v>1166</v>
      </c>
      <c r="F36" s="113">
        <v>11208.0</v>
      </c>
      <c r="G36" s="113">
        <v>19.0</v>
      </c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</row>
    <row r="37" ht="12.75" customHeight="1">
      <c r="A37" s="113" t="s">
        <v>195</v>
      </c>
      <c r="B37" s="113" t="s">
        <v>1255</v>
      </c>
      <c r="C37" s="113" t="s">
        <v>1256</v>
      </c>
      <c r="D37" s="113" t="s">
        <v>1165</v>
      </c>
      <c r="E37" s="113" t="s">
        <v>1166</v>
      </c>
      <c r="F37" s="113">
        <v>11219.0</v>
      </c>
      <c r="G37" s="113">
        <v>20.0</v>
      </c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</row>
    <row r="38" ht="12.75" customHeight="1">
      <c r="A38" s="113" t="s">
        <v>198</v>
      </c>
      <c r="B38" s="113" t="s">
        <v>1257</v>
      </c>
      <c r="C38" s="113" t="s">
        <v>1258</v>
      </c>
      <c r="D38" s="113" t="s">
        <v>1165</v>
      </c>
      <c r="E38" s="113" t="s">
        <v>1166</v>
      </c>
      <c r="F38" s="113">
        <v>11237.0</v>
      </c>
      <c r="G38" s="113">
        <v>32.0</v>
      </c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</row>
    <row r="39" ht="12.75" customHeight="1">
      <c r="A39" s="113" t="s">
        <v>201</v>
      </c>
      <c r="B39" s="113" t="s">
        <v>1259</v>
      </c>
      <c r="C39" s="113" t="s">
        <v>1260</v>
      </c>
      <c r="D39" s="113" t="s">
        <v>1165</v>
      </c>
      <c r="E39" s="113" t="s">
        <v>1166</v>
      </c>
      <c r="F39" s="113">
        <v>11214.0</v>
      </c>
      <c r="G39" s="113">
        <v>20.0</v>
      </c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</row>
    <row r="40" ht="12.75" customHeight="1">
      <c r="A40" s="113" t="s">
        <v>1261</v>
      </c>
      <c r="B40" s="113" t="s">
        <v>1262</v>
      </c>
      <c r="C40" s="113" t="s">
        <v>1263</v>
      </c>
      <c r="D40" s="113" t="s">
        <v>1165</v>
      </c>
      <c r="E40" s="113" t="s">
        <v>1166</v>
      </c>
      <c r="F40" s="113">
        <v>11219.0</v>
      </c>
      <c r="G40" s="113">
        <v>20.0</v>
      </c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</row>
    <row r="41" ht="12.75" customHeight="1">
      <c r="A41" s="113" t="s">
        <v>1264</v>
      </c>
      <c r="B41" s="113" t="s">
        <v>1265</v>
      </c>
      <c r="C41" s="113" t="s">
        <v>1266</v>
      </c>
      <c r="D41" s="113" t="s">
        <v>1165</v>
      </c>
      <c r="E41" s="113" t="s">
        <v>1166</v>
      </c>
      <c r="F41" s="113">
        <v>11207.0</v>
      </c>
      <c r="G41" s="113">
        <v>19.0</v>
      </c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</row>
    <row r="42" ht="12.75" customHeight="1">
      <c r="A42" s="113" t="s">
        <v>1267</v>
      </c>
      <c r="B42" s="113" t="s">
        <v>1268</v>
      </c>
      <c r="C42" s="113" t="s">
        <v>1269</v>
      </c>
      <c r="D42" s="113" t="s">
        <v>1165</v>
      </c>
      <c r="E42" s="113" t="s">
        <v>1166</v>
      </c>
      <c r="F42" s="113">
        <v>11208.0</v>
      </c>
      <c r="G42" s="113">
        <v>19.0</v>
      </c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</row>
    <row r="43" ht="12.75" customHeight="1">
      <c r="A43" s="113" t="s">
        <v>1270</v>
      </c>
      <c r="B43" s="113" t="s">
        <v>1271</v>
      </c>
      <c r="C43" s="113" t="s">
        <v>1272</v>
      </c>
      <c r="D43" s="113" t="s">
        <v>1165</v>
      </c>
      <c r="E43" s="113" t="s">
        <v>1166</v>
      </c>
      <c r="F43" s="113">
        <v>11207.0</v>
      </c>
      <c r="G43" s="113">
        <v>19.0</v>
      </c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</row>
    <row r="44" ht="12.75" customHeight="1">
      <c r="A44" s="113" t="s">
        <v>204</v>
      </c>
      <c r="B44" s="113" t="s">
        <v>1273</v>
      </c>
      <c r="C44" s="113" t="s">
        <v>1274</v>
      </c>
      <c r="D44" s="113" t="s">
        <v>1165</v>
      </c>
      <c r="E44" s="113" t="s">
        <v>1166</v>
      </c>
      <c r="F44" s="113">
        <v>11212.0</v>
      </c>
      <c r="G44" s="113">
        <v>23.0</v>
      </c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r="45" ht="12.75" customHeight="1">
      <c r="A45" s="113" t="s">
        <v>1275</v>
      </c>
      <c r="B45" s="113" t="s">
        <v>1276</v>
      </c>
      <c r="C45" s="113" t="s">
        <v>1277</v>
      </c>
      <c r="D45" s="113" t="s">
        <v>1165</v>
      </c>
      <c r="E45" s="113" t="s">
        <v>1166</v>
      </c>
      <c r="F45" s="113">
        <v>11212.0</v>
      </c>
      <c r="G45" s="113">
        <v>23.0</v>
      </c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</row>
    <row r="46" ht="12.75" customHeight="1">
      <c r="A46" s="113" t="s">
        <v>1278</v>
      </c>
      <c r="B46" s="113" t="s">
        <v>1279</v>
      </c>
      <c r="C46" s="113" t="s">
        <v>1280</v>
      </c>
      <c r="D46" s="113" t="s">
        <v>1165</v>
      </c>
      <c r="E46" s="113" t="s">
        <v>1166</v>
      </c>
      <c r="F46" s="113">
        <v>11234.0</v>
      </c>
      <c r="G46" s="113">
        <v>22.0</v>
      </c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r="47" ht="12.75" customHeight="1">
      <c r="A47" s="113" t="s">
        <v>418</v>
      </c>
      <c r="B47" s="113" t="s">
        <v>1281</v>
      </c>
      <c r="C47" s="113" t="s">
        <v>1282</v>
      </c>
      <c r="D47" s="113" t="s">
        <v>1165</v>
      </c>
      <c r="E47" s="113" t="s">
        <v>1166</v>
      </c>
      <c r="F47" s="113">
        <v>11235.0</v>
      </c>
      <c r="G47" s="113">
        <v>21.0</v>
      </c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r="48" ht="12.75" customHeight="1">
      <c r="A48" s="113" t="s">
        <v>207</v>
      </c>
      <c r="B48" s="113" t="s">
        <v>1283</v>
      </c>
      <c r="C48" s="113" t="s">
        <v>1284</v>
      </c>
      <c r="D48" s="113" t="s">
        <v>1165</v>
      </c>
      <c r="E48" s="113" t="s">
        <v>1166</v>
      </c>
      <c r="F48" s="113">
        <v>11208.0</v>
      </c>
      <c r="G48" s="113">
        <v>19.0</v>
      </c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</row>
    <row r="49" ht="12.75" customHeight="1">
      <c r="A49" s="113" t="s">
        <v>210</v>
      </c>
      <c r="B49" s="113" t="s">
        <v>1285</v>
      </c>
      <c r="C49" s="113" t="s">
        <v>1286</v>
      </c>
      <c r="D49" s="113" t="s">
        <v>1165</v>
      </c>
      <c r="E49" s="113" t="s">
        <v>1166</v>
      </c>
      <c r="F49" s="113">
        <v>11204.0</v>
      </c>
      <c r="G49" s="113">
        <v>21.0</v>
      </c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r="50" ht="12.75" customHeight="1">
      <c r="A50" s="113" t="s">
        <v>1287</v>
      </c>
      <c r="B50" s="113" t="s">
        <v>1288</v>
      </c>
      <c r="C50" s="113" t="s">
        <v>1289</v>
      </c>
      <c r="D50" s="113" t="s">
        <v>1165</v>
      </c>
      <c r="E50" s="113" t="s">
        <v>1166</v>
      </c>
      <c r="F50" s="113">
        <v>11232.0</v>
      </c>
      <c r="G50" s="113">
        <v>15.0</v>
      </c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r="51" ht="12.75" customHeight="1">
      <c r="A51" s="113" t="s">
        <v>214</v>
      </c>
      <c r="B51" s="113" t="s">
        <v>1290</v>
      </c>
      <c r="C51" s="113" t="s">
        <v>1291</v>
      </c>
      <c r="D51" s="113" t="s">
        <v>1165</v>
      </c>
      <c r="E51" s="113" t="s">
        <v>1166</v>
      </c>
      <c r="F51" s="113">
        <v>11203.0</v>
      </c>
      <c r="G51" s="113">
        <v>18.0</v>
      </c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2" ht="12.75" customHeight="1">
      <c r="A52" s="113" t="s">
        <v>218</v>
      </c>
      <c r="B52" s="113" t="s">
        <v>1292</v>
      </c>
      <c r="C52" s="113" t="s">
        <v>1293</v>
      </c>
      <c r="D52" s="113" t="s">
        <v>1165</v>
      </c>
      <c r="E52" s="113" t="s">
        <v>1166</v>
      </c>
      <c r="F52" s="113">
        <v>11236.0</v>
      </c>
      <c r="G52" s="113">
        <v>18.0</v>
      </c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</row>
    <row r="53" ht="12.75" customHeight="1">
      <c r="A53" s="113" t="s">
        <v>220</v>
      </c>
      <c r="B53" s="113" t="s">
        <v>1294</v>
      </c>
      <c r="C53" s="113" t="s">
        <v>1295</v>
      </c>
      <c r="D53" s="113" t="s">
        <v>1165</v>
      </c>
      <c r="E53" s="113" t="s">
        <v>1166</v>
      </c>
      <c r="F53" s="113">
        <v>11203.0</v>
      </c>
      <c r="G53" s="113">
        <v>18.0</v>
      </c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r="54" ht="12.75" customHeight="1">
      <c r="A54" s="113" t="s">
        <v>1296</v>
      </c>
      <c r="B54" s="113" t="s">
        <v>1297</v>
      </c>
      <c r="C54" s="113" t="s">
        <v>1298</v>
      </c>
      <c r="D54" s="113" t="s">
        <v>1165</v>
      </c>
      <c r="E54" s="113" t="s">
        <v>1166</v>
      </c>
      <c r="F54" s="113">
        <v>11226.0</v>
      </c>
      <c r="G54" s="113">
        <v>17.0</v>
      </c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</row>
    <row r="55" ht="12.75" customHeight="1">
      <c r="A55" s="113" t="s">
        <v>222</v>
      </c>
      <c r="B55" s="113" t="s">
        <v>1299</v>
      </c>
      <c r="C55" s="113" t="s">
        <v>1300</v>
      </c>
      <c r="D55" s="113" t="s">
        <v>1165</v>
      </c>
      <c r="E55" s="113" t="s">
        <v>1166</v>
      </c>
      <c r="F55" s="113">
        <v>11206.0</v>
      </c>
      <c r="G55" s="113">
        <v>14.0</v>
      </c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</row>
    <row r="56" ht="12.75" customHeight="1">
      <c r="A56" s="113" t="s">
        <v>224</v>
      </c>
      <c r="B56" s="113" t="s">
        <v>1301</v>
      </c>
      <c r="C56" s="113" t="s">
        <v>1302</v>
      </c>
      <c r="D56" s="113" t="s">
        <v>1165</v>
      </c>
      <c r="E56" s="113" t="s">
        <v>1166</v>
      </c>
      <c r="F56" s="113">
        <v>11207.0</v>
      </c>
      <c r="G56" s="113">
        <v>19.0</v>
      </c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</row>
    <row r="57" ht="12.75" customHeight="1">
      <c r="A57" s="113" t="s">
        <v>1303</v>
      </c>
      <c r="B57" s="113" t="s">
        <v>1304</v>
      </c>
      <c r="C57" s="113" t="s">
        <v>1305</v>
      </c>
      <c r="D57" s="113" t="s">
        <v>1165</v>
      </c>
      <c r="E57" s="113" t="s">
        <v>1166</v>
      </c>
      <c r="F57" s="113">
        <v>11201.0</v>
      </c>
      <c r="G57" s="113">
        <v>15.0</v>
      </c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</row>
    <row r="58" ht="12.75" customHeight="1">
      <c r="A58" s="113" t="s">
        <v>1306</v>
      </c>
      <c r="B58" s="113" t="s">
        <v>1307</v>
      </c>
      <c r="C58" s="113" t="s">
        <v>1308</v>
      </c>
      <c r="D58" s="113" t="s">
        <v>1165</v>
      </c>
      <c r="E58" s="113" t="s">
        <v>1166</v>
      </c>
      <c r="F58" s="113">
        <v>11212.0</v>
      </c>
      <c r="G58" s="113">
        <v>23.0</v>
      </c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</row>
    <row r="59" ht="12.75" customHeight="1">
      <c r="A59" s="113" t="s">
        <v>1309</v>
      </c>
      <c r="B59" s="113" t="s">
        <v>1310</v>
      </c>
      <c r="C59" s="113" t="s">
        <v>1311</v>
      </c>
      <c r="D59" s="113" t="s">
        <v>1165</v>
      </c>
      <c r="E59" s="113" t="s">
        <v>1166</v>
      </c>
      <c r="F59" s="113">
        <v>11205.0</v>
      </c>
      <c r="G59" s="113">
        <v>13.0</v>
      </c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 ht="12.75" customHeight="1">
      <c r="A60" s="113" t="s">
        <v>226</v>
      </c>
      <c r="B60" s="113" t="s">
        <v>1312</v>
      </c>
      <c r="C60" s="113" t="s">
        <v>1313</v>
      </c>
      <c r="D60" s="113" t="s">
        <v>1165</v>
      </c>
      <c r="E60" s="113" t="s">
        <v>1166</v>
      </c>
      <c r="F60" s="113">
        <v>11207.0</v>
      </c>
      <c r="G60" s="113">
        <v>19.0</v>
      </c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 ht="12.75" customHeight="1">
      <c r="A61" s="113" t="s">
        <v>228</v>
      </c>
      <c r="B61" s="113" t="s">
        <v>1314</v>
      </c>
      <c r="C61" s="113" t="s">
        <v>1315</v>
      </c>
      <c r="D61" s="113" t="s">
        <v>1165</v>
      </c>
      <c r="E61" s="113" t="s">
        <v>1166</v>
      </c>
      <c r="F61" s="113">
        <v>11236.0</v>
      </c>
      <c r="G61" s="113">
        <v>18.0</v>
      </c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 ht="12.75" customHeight="1">
      <c r="A62" s="113" t="s">
        <v>230</v>
      </c>
      <c r="B62" s="113" t="s">
        <v>1316</v>
      </c>
      <c r="C62" s="113" t="s">
        <v>1317</v>
      </c>
      <c r="D62" s="113" t="s">
        <v>1165</v>
      </c>
      <c r="E62" s="113" t="s">
        <v>1166</v>
      </c>
      <c r="F62" s="113">
        <v>11236.0</v>
      </c>
      <c r="G62" s="113">
        <v>18.0</v>
      </c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 ht="12.75" customHeight="1">
      <c r="A63" s="113" t="s">
        <v>424</v>
      </c>
      <c r="B63" s="113" t="s">
        <v>1318</v>
      </c>
      <c r="C63" s="113" t="s">
        <v>1319</v>
      </c>
      <c r="D63" s="113" t="s">
        <v>1165</v>
      </c>
      <c r="E63" s="113" t="s">
        <v>1166</v>
      </c>
      <c r="F63" s="113">
        <v>11203.0</v>
      </c>
      <c r="G63" s="113">
        <v>18.0</v>
      </c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 ht="12.75" customHeight="1">
      <c r="A64" s="113" t="s">
        <v>232</v>
      </c>
      <c r="B64" s="113" t="s">
        <v>1320</v>
      </c>
      <c r="C64" s="113" t="s">
        <v>1321</v>
      </c>
      <c r="D64" s="113" t="s">
        <v>1165</v>
      </c>
      <c r="E64" s="113" t="s">
        <v>1166</v>
      </c>
      <c r="F64" s="113">
        <v>11201.0</v>
      </c>
      <c r="G64" s="113">
        <v>13.0</v>
      </c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 ht="12.75" customHeight="1">
      <c r="A65" s="113" t="s">
        <v>1322</v>
      </c>
      <c r="B65" s="113" t="s">
        <v>1323</v>
      </c>
      <c r="C65" s="113" t="s">
        <v>1324</v>
      </c>
      <c r="D65" s="113" t="s">
        <v>1165</v>
      </c>
      <c r="E65" s="113" t="s">
        <v>1166</v>
      </c>
      <c r="F65" s="113">
        <v>11213.0</v>
      </c>
      <c r="G65" s="113">
        <v>17.0</v>
      </c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 ht="12.75" customHeight="1">
      <c r="A66" s="113" t="s">
        <v>428</v>
      </c>
      <c r="B66" s="113" t="s">
        <v>1325</v>
      </c>
      <c r="C66" s="113" t="s">
        <v>1326</v>
      </c>
      <c r="D66" s="113" t="s">
        <v>1165</v>
      </c>
      <c r="E66" s="113" t="s">
        <v>1166</v>
      </c>
      <c r="F66" s="113">
        <v>11207.0</v>
      </c>
      <c r="G66" s="113">
        <v>19.0</v>
      </c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 ht="12.75" customHeight="1">
      <c r="A67" s="113" t="s">
        <v>1327</v>
      </c>
      <c r="B67" s="113" t="s">
        <v>1328</v>
      </c>
      <c r="C67" s="113" t="s">
        <v>1329</v>
      </c>
      <c r="D67" s="113" t="s">
        <v>1165</v>
      </c>
      <c r="E67" s="113" t="s">
        <v>1166</v>
      </c>
      <c r="F67" s="113">
        <v>11238.0</v>
      </c>
      <c r="G67" s="113">
        <v>17.0</v>
      </c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 ht="12.75" customHeight="1">
      <c r="A68" s="113" t="s">
        <v>434</v>
      </c>
      <c r="B68" s="113" t="s">
        <v>1330</v>
      </c>
      <c r="C68" s="113" t="s">
        <v>1331</v>
      </c>
      <c r="D68" s="113" t="s">
        <v>1165</v>
      </c>
      <c r="E68" s="113" t="s">
        <v>1166</v>
      </c>
      <c r="F68" s="113">
        <v>11221.0</v>
      </c>
      <c r="G68" s="113">
        <v>16.0</v>
      </c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 ht="12.75" customHeight="1">
      <c r="A69" s="113" t="s">
        <v>235</v>
      </c>
      <c r="B69" s="113" t="s">
        <v>1332</v>
      </c>
      <c r="C69" s="113" t="s">
        <v>1333</v>
      </c>
      <c r="D69" s="113" t="s">
        <v>1165</v>
      </c>
      <c r="E69" s="113" t="s">
        <v>1166</v>
      </c>
      <c r="F69" s="113">
        <v>11213.0</v>
      </c>
      <c r="G69" s="113">
        <v>16.0</v>
      </c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 ht="12.75" customHeight="1">
      <c r="A70" s="113" t="s">
        <v>1334</v>
      </c>
      <c r="B70" s="113" t="s">
        <v>1335</v>
      </c>
      <c r="C70" s="113" t="s">
        <v>1336</v>
      </c>
      <c r="D70" s="113" t="s">
        <v>1165</v>
      </c>
      <c r="E70" s="113" t="s">
        <v>1166</v>
      </c>
      <c r="F70" s="113">
        <v>11239.0</v>
      </c>
      <c r="G70" s="113">
        <v>19.0</v>
      </c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 ht="12.75" customHeight="1">
      <c r="A71" s="113" t="s">
        <v>237</v>
      </c>
      <c r="B71" s="113" t="s">
        <v>1337</v>
      </c>
      <c r="C71" s="113" t="s">
        <v>1338</v>
      </c>
      <c r="D71" s="113" t="s">
        <v>1165</v>
      </c>
      <c r="E71" s="113" t="s">
        <v>1166</v>
      </c>
      <c r="F71" s="113">
        <v>11224.0</v>
      </c>
      <c r="G71" s="113">
        <v>21.0</v>
      </c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r="72" ht="12.75" customHeight="1">
      <c r="A72" s="113" t="s">
        <v>1339</v>
      </c>
      <c r="B72" s="113" t="s">
        <v>1340</v>
      </c>
      <c r="C72" s="113" t="s">
        <v>1341</v>
      </c>
      <c r="D72" s="113" t="s">
        <v>1165</v>
      </c>
      <c r="E72" s="113" t="s">
        <v>1166</v>
      </c>
      <c r="F72" s="113">
        <v>11207.0</v>
      </c>
      <c r="G72" s="113">
        <v>32.0</v>
      </c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</row>
    <row r="73" ht="12.75" customHeight="1">
      <c r="A73" s="113" t="s">
        <v>438</v>
      </c>
      <c r="B73" s="113" t="s">
        <v>1342</v>
      </c>
      <c r="C73" s="113" t="s">
        <v>1343</v>
      </c>
      <c r="D73" s="113" t="s">
        <v>1165</v>
      </c>
      <c r="E73" s="113" t="s">
        <v>1166</v>
      </c>
      <c r="F73" s="113">
        <v>11208.0</v>
      </c>
      <c r="G73" s="113">
        <v>19.0</v>
      </c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r="74" ht="12.75" customHeight="1">
      <c r="A74" s="113" t="s">
        <v>1344</v>
      </c>
      <c r="B74" s="113" t="s">
        <v>1345</v>
      </c>
      <c r="C74" s="113" t="s">
        <v>1346</v>
      </c>
      <c r="D74" s="113" t="s">
        <v>1165</v>
      </c>
      <c r="E74" s="113" t="s">
        <v>1166</v>
      </c>
      <c r="F74" s="113">
        <v>11229.0</v>
      </c>
      <c r="G74" s="113">
        <v>22.0</v>
      </c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r="75" ht="12.75" customHeight="1">
      <c r="A75" s="113" t="s">
        <v>1347</v>
      </c>
      <c r="B75" s="113" t="s">
        <v>1348</v>
      </c>
      <c r="C75" s="113" t="s">
        <v>1349</v>
      </c>
      <c r="D75" s="113" t="s">
        <v>1165</v>
      </c>
      <c r="E75" s="113" t="s">
        <v>1166</v>
      </c>
      <c r="F75" s="113">
        <v>11214.0</v>
      </c>
      <c r="G75" s="113">
        <v>20.0</v>
      </c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r="76" ht="12.75" customHeight="1">
      <c r="A76" s="113" t="s">
        <v>1350</v>
      </c>
      <c r="B76" s="113" t="s">
        <v>1351</v>
      </c>
      <c r="C76" s="113" t="s">
        <v>1352</v>
      </c>
      <c r="D76" s="113" t="s">
        <v>1165</v>
      </c>
      <c r="E76" s="113" t="s">
        <v>1166</v>
      </c>
      <c r="F76" s="113">
        <v>11213.0</v>
      </c>
      <c r="G76" s="113">
        <v>16.0</v>
      </c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ht="12.75" customHeight="1">
      <c r="A77" s="113" t="s">
        <v>1353</v>
      </c>
      <c r="B77" s="113" t="s">
        <v>1354</v>
      </c>
      <c r="C77" s="113" t="s">
        <v>1355</v>
      </c>
      <c r="D77" s="113" t="s">
        <v>1165</v>
      </c>
      <c r="E77" s="113" t="s">
        <v>1166</v>
      </c>
      <c r="F77" s="113">
        <v>11219.0</v>
      </c>
      <c r="G77" s="113">
        <v>20.0</v>
      </c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 ht="12.75" customHeight="1">
      <c r="A78" s="113" t="s">
        <v>442</v>
      </c>
      <c r="B78" s="113" t="s">
        <v>1356</v>
      </c>
      <c r="C78" s="113" t="s">
        <v>1357</v>
      </c>
      <c r="D78" s="113" t="s">
        <v>1165</v>
      </c>
      <c r="E78" s="113" t="s">
        <v>1166</v>
      </c>
      <c r="F78" s="113">
        <v>11235.0</v>
      </c>
      <c r="G78" s="113">
        <v>22.0</v>
      </c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 ht="12.75" customHeight="1">
      <c r="A79" s="113" t="s">
        <v>444</v>
      </c>
      <c r="B79" s="113" t="s">
        <v>1358</v>
      </c>
      <c r="C79" s="113" t="s">
        <v>1359</v>
      </c>
      <c r="D79" s="113" t="s">
        <v>1165</v>
      </c>
      <c r="E79" s="113" t="s">
        <v>1166</v>
      </c>
      <c r="F79" s="113">
        <v>11204.0</v>
      </c>
      <c r="G79" s="113">
        <v>20.0</v>
      </c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 ht="12.75" customHeight="1">
      <c r="A80" s="113" t="s">
        <v>1360</v>
      </c>
      <c r="B80" s="113" t="s">
        <v>1361</v>
      </c>
      <c r="C80" s="113" t="s">
        <v>1362</v>
      </c>
      <c r="D80" s="113" t="s">
        <v>1165</v>
      </c>
      <c r="E80" s="113" t="s">
        <v>1166</v>
      </c>
      <c r="F80" s="113">
        <v>11236.0</v>
      </c>
      <c r="G80" s="113">
        <v>18.0</v>
      </c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 ht="12.75" customHeight="1">
      <c r="A81" s="113" t="s">
        <v>446</v>
      </c>
      <c r="B81" s="113" t="s">
        <v>1363</v>
      </c>
      <c r="C81" s="113" t="s">
        <v>1364</v>
      </c>
      <c r="D81" s="113" t="s">
        <v>1165</v>
      </c>
      <c r="E81" s="113" t="s">
        <v>1166</v>
      </c>
      <c r="F81" s="113">
        <v>11223.0</v>
      </c>
      <c r="G81" s="113">
        <v>21.0</v>
      </c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 ht="12.75" customHeight="1">
      <c r="A82" s="113" t="s">
        <v>1365</v>
      </c>
      <c r="B82" s="113" t="s">
        <v>1366</v>
      </c>
      <c r="C82" s="113" t="s">
        <v>1367</v>
      </c>
      <c r="D82" s="113" t="s">
        <v>1165</v>
      </c>
      <c r="E82" s="113" t="s">
        <v>1166</v>
      </c>
      <c r="F82" s="113">
        <v>11225.0</v>
      </c>
      <c r="G82" s="113">
        <v>17.0</v>
      </c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 ht="12.75" customHeight="1">
      <c r="A83" s="113" t="s">
        <v>239</v>
      </c>
      <c r="B83" s="113" t="s">
        <v>1368</v>
      </c>
      <c r="C83" s="113" t="s">
        <v>1369</v>
      </c>
      <c r="D83" s="113" t="s">
        <v>1165</v>
      </c>
      <c r="E83" s="113" t="s">
        <v>1166</v>
      </c>
      <c r="F83" s="113">
        <v>11208.0</v>
      </c>
      <c r="G83" s="113">
        <v>19.0</v>
      </c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 ht="12.75" customHeight="1">
      <c r="A84" s="113" t="s">
        <v>243</v>
      </c>
      <c r="B84" s="113" t="s">
        <v>1370</v>
      </c>
      <c r="C84" s="113" t="s">
        <v>1371</v>
      </c>
      <c r="D84" s="113" t="s">
        <v>1165</v>
      </c>
      <c r="E84" s="113" t="s">
        <v>1166</v>
      </c>
      <c r="F84" s="113">
        <v>11235.0</v>
      </c>
      <c r="G84" s="113">
        <v>21.0</v>
      </c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 ht="12.75" customHeight="1">
      <c r="A85" s="113" t="s">
        <v>1372</v>
      </c>
      <c r="B85" s="113" t="s">
        <v>1373</v>
      </c>
      <c r="C85" s="113" t="s">
        <v>1374</v>
      </c>
      <c r="D85" s="113" t="s">
        <v>1165</v>
      </c>
      <c r="E85" s="113" t="s">
        <v>1166</v>
      </c>
      <c r="F85" s="113">
        <v>11211.0</v>
      </c>
      <c r="G85" s="113">
        <v>14.0</v>
      </c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 ht="12.75" customHeight="1">
      <c r="A86" s="113" t="s">
        <v>1375</v>
      </c>
      <c r="B86" s="113" t="s">
        <v>1376</v>
      </c>
      <c r="C86" s="113" t="s">
        <v>1377</v>
      </c>
      <c r="D86" s="113" t="s">
        <v>1165</v>
      </c>
      <c r="E86" s="113" t="s">
        <v>1166</v>
      </c>
      <c r="F86" s="113">
        <v>11206.0</v>
      </c>
      <c r="G86" s="113">
        <v>32.0</v>
      </c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 ht="12.75" customHeight="1">
      <c r="A87" s="113" t="s">
        <v>1378</v>
      </c>
      <c r="B87" s="113" t="s">
        <v>1379</v>
      </c>
      <c r="C87" s="113" t="s">
        <v>1380</v>
      </c>
      <c r="D87" s="113" t="s">
        <v>1165</v>
      </c>
      <c r="E87" s="113" t="s">
        <v>1166</v>
      </c>
      <c r="F87" s="113">
        <v>11201.0</v>
      </c>
      <c r="G87" s="113">
        <v>15.0</v>
      </c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 ht="12.75" customHeight="1">
      <c r="A88" s="113" t="s">
        <v>1381</v>
      </c>
      <c r="B88" s="113" t="s">
        <v>1382</v>
      </c>
      <c r="C88" s="113" t="s">
        <v>1383</v>
      </c>
      <c r="D88" s="113" t="s">
        <v>1165</v>
      </c>
      <c r="E88" s="113" t="s">
        <v>1166</v>
      </c>
      <c r="F88" s="113">
        <v>11215.0</v>
      </c>
      <c r="G88" s="113">
        <v>15.0</v>
      </c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 ht="12.75" customHeight="1">
      <c r="A89" s="113" t="s">
        <v>245</v>
      </c>
      <c r="B89" s="113" t="s">
        <v>1384</v>
      </c>
      <c r="C89" s="113" t="s">
        <v>1254</v>
      </c>
      <c r="D89" s="113" t="s">
        <v>1165</v>
      </c>
      <c r="E89" s="113" t="s">
        <v>1166</v>
      </c>
      <c r="F89" s="113">
        <v>11208.0</v>
      </c>
      <c r="G89" s="113">
        <v>19.0</v>
      </c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 ht="12.75" customHeight="1">
      <c r="A90" s="113" t="s">
        <v>1385</v>
      </c>
      <c r="B90" s="113" t="s">
        <v>1386</v>
      </c>
      <c r="C90" s="113" t="s">
        <v>1387</v>
      </c>
      <c r="D90" s="113" t="s">
        <v>1165</v>
      </c>
      <c r="E90" s="113" t="s">
        <v>1166</v>
      </c>
      <c r="F90" s="113">
        <v>11233.0</v>
      </c>
      <c r="G90" s="113">
        <v>23.0</v>
      </c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 ht="12.75" customHeight="1">
      <c r="A91" s="113" t="s">
        <v>1388</v>
      </c>
      <c r="B91" s="113" t="s">
        <v>1389</v>
      </c>
      <c r="C91" s="113" t="s">
        <v>1390</v>
      </c>
      <c r="D91" s="113" t="s">
        <v>1165</v>
      </c>
      <c r="E91" s="113" t="s">
        <v>1166</v>
      </c>
      <c r="F91" s="113">
        <v>11239.0</v>
      </c>
      <c r="G91" s="113">
        <v>19.0</v>
      </c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 ht="12.75" customHeight="1">
      <c r="A92" s="113" t="s">
        <v>1391</v>
      </c>
      <c r="B92" s="113" t="s">
        <v>1392</v>
      </c>
      <c r="C92" s="113" t="s">
        <v>1393</v>
      </c>
      <c r="D92" s="113" t="s">
        <v>1165</v>
      </c>
      <c r="E92" s="113" t="s">
        <v>1166</v>
      </c>
      <c r="F92" s="113">
        <v>11238.0</v>
      </c>
      <c r="G92" s="113">
        <v>13.0</v>
      </c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 ht="12.75" customHeight="1">
      <c r="A93" s="113" t="s">
        <v>249</v>
      </c>
      <c r="B93" s="113" t="s">
        <v>1394</v>
      </c>
      <c r="C93" s="113" t="s">
        <v>1395</v>
      </c>
      <c r="D93" s="113" t="s">
        <v>1165</v>
      </c>
      <c r="E93" s="113" t="s">
        <v>1166</v>
      </c>
      <c r="F93" s="113">
        <v>11207.0</v>
      </c>
      <c r="G93" s="113">
        <v>19.0</v>
      </c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 ht="12.75" customHeight="1">
      <c r="A94" s="113" t="s">
        <v>1396</v>
      </c>
      <c r="B94" s="113" t="s">
        <v>1397</v>
      </c>
      <c r="C94" s="113" t="s">
        <v>1398</v>
      </c>
      <c r="D94" s="113" t="s">
        <v>1399</v>
      </c>
      <c r="E94" s="113" t="s">
        <v>1166</v>
      </c>
      <c r="F94" s="113">
        <v>10038.0</v>
      </c>
      <c r="G94" s="113">
        <v>2.0</v>
      </c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 ht="12.75" customHeight="1">
      <c r="A95" s="113" t="s">
        <v>448</v>
      </c>
      <c r="B95" s="113" t="s">
        <v>1400</v>
      </c>
      <c r="C95" s="113" t="s">
        <v>1401</v>
      </c>
      <c r="D95" s="113" t="s">
        <v>1399</v>
      </c>
      <c r="E95" s="113" t="s">
        <v>1166</v>
      </c>
      <c r="F95" s="113">
        <v>10036.0</v>
      </c>
      <c r="G95" s="113">
        <v>2.0</v>
      </c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 ht="12.75" customHeight="1">
      <c r="A96" s="113" t="s">
        <v>1402</v>
      </c>
      <c r="B96" s="113" t="s">
        <v>1403</v>
      </c>
      <c r="C96" s="113" t="s">
        <v>1404</v>
      </c>
      <c r="D96" s="113" t="s">
        <v>1399</v>
      </c>
      <c r="E96" s="113" t="s">
        <v>1166</v>
      </c>
      <c r="F96" s="113">
        <v>10002.0</v>
      </c>
      <c r="G96" s="113">
        <v>1.0</v>
      </c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 ht="12.75" customHeight="1">
      <c r="A97" s="113" t="s">
        <v>1405</v>
      </c>
      <c r="B97" s="113" t="s">
        <v>1406</v>
      </c>
      <c r="C97" s="113" t="s">
        <v>1407</v>
      </c>
      <c r="D97" s="113" t="s">
        <v>1399</v>
      </c>
      <c r="E97" s="113" t="s">
        <v>1166</v>
      </c>
      <c r="F97" s="113">
        <v>10032.0</v>
      </c>
      <c r="G97" s="113">
        <v>6.0</v>
      </c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 ht="12.75" customHeight="1">
      <c r="A98" s="113" t="s">
        <v>450</v>
      </c>
      <c r="B98" s="113" t="s">
        <v>1408</v>
      </c>
      <c r="C98" s="113" t="s">
        <v>1409</v>
      </c>
      <c r="D98" s="113" t="s">
        <v>1399</v>
      </c>
      <c r="E98" s="113" t="s">
        <v>1166</v>
      </c>
      <c r="F98" s="113">
        <v>10035.0</v>
      </c>
      <c r="G98" s="113">
        <v>5.0</v>
      </c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 ht="12.75" customHeight="1">
      <c r="A99" s="113" t="s">
        <v>1410</v>
      </c>
      <c r="B99" s="113" t="s">
        <v>1411</v>
      </c>
      <c r="C99" s="113" t="s">
        <v>1412</v>
      </c>
      <c r="D99" s="113" t="s">
        <v>1399</v>
      </c>
      <c r="E99" s="113" t="s">
        <v>1166</v>
      </c>
      <c r="F99" s="113">
        <v>10039.0</v>
      </c>
      <c r="G99" s="113">
        <v>5.0</v>
      </c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 ht="12.75" customHeight="1">
      <c r="A100" s="113" t="s">
        <v>1413</v>
      </c>
      <c r="B100" s="113" t="s">
        <v>1414</v>
      </c>
      <c r="C100" s="113" t="s">
        <v>1415</v>
      </c>
      <c r="D100" s="113" t="s">
        <v>1399</v>
      </c>
      <c r="E100" s="113" t="s">
        <v>1166</v>
      </c>
      <c r="F100" s="113">
        <v>10029.0</v>
      </c>
      <c r="G100" s="113">
        <v>4.0</v>
      </c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 ht="12.75" customHeight="1">
      <c r="A101" s="113" t="s">
        <v>452</v>
      </c>
      <c r="B101" s="113" t="s">
        <v>1416</v>
      </c>
      <c r="C101" s="113" t="s">
        <v>1417</v>
      </c>
      <c r="D101" s="113" t="s">
        <v>1399</v>
      </c>
      <c r="E101" s="113" t="s">
        <v>1166</v>
      </c>
      <c r="F101" s="113">
        <v>10034.0</v>
      </c>
      <c r="G101" s="113">
        <v>6.0</v>
      </c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 ht="12.75" customHeight="1">
      <c r="A102" s="113" t="s">
        <v>252</v>
      </c>
      <c r="B102" s="113" t="s">
        <v>1418</v>
      </c>
      <c r="C102" s="113" t="s">
        <v>1419</v>
      </c>
      <c r="D102" s="113" t="s">
        <v>1399</v>
      </c>
      <c r="E102" s="113" t="s">
        <v>1166</v>
      </c>
      <c r="F102" s="113">
        <v>10009.0</v>
      </c>
      <c r="G102" s="113">
        <v>1.0</v>
      </c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 ht="12.75" customHeight="1">
      <c r="A103" s="113" t="s">
        <v>454</v>
      </c>
      <c r="B103" s="113" t="s">
        <v>1420</v>
      </c>
      <c r="C103" s="113" t="s">
        <v>1421</v>
      </c>
      <c r="D103" s="113" t="s">
        <v>1399</v>
      </c>
      <c r="E103" s="113" t="s">
        <v>1166</v>
      </c>
      <c r="F103" s="113">
        <v>10009.0</v>
      </c>
      <c r="G103" s="113">
        <v>1.0</v>
      </c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r="104" ht="12.75" customHeight="1">
      <c r="A104" s="113" t="s">
        <v>1422</v>
      </c>
      <c r="B104" s="113" t="s">
        <v>1423</v>
      </c>
      <c r="C104" s="113" t="s">
        <v>1424</v>
      </c>
      <c r="D104" s="113" t="s">
        <v>1399</v>
      </c>
      <c r="E104" s="113" t="s">
        <v>1166</v>
      </c>
      <c r="F104" s="113">
        <v>10128.0</v>
      </c>
      <c r="G104" s="113">
        <v>2.0</v>
      </c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r="105" ht="12.75" customHeight="1">
      <c r="A105" s="113" t="s">
        <v>1425</v>
      </c>
      <c r="B105" s="113" t="s">
        <v>1426</v>
      </c>
      <c r="C105" s="113" t="s">
        <v>1427</v>
      </c>
      <c r="D105" s="113" t="s">
        <v>1399</v>
      </c>
      <c r="E105" s="113" t="s">
        <v>1166</v>
      </c>
      <c r="F105" s="113">
        <v>10011.0</v>
      </c>
      <c r="G105" s="113">
        <v>2.0</v>
      </c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r="106" ht="12.75" customHeight="1">
      <c r="A106" s="113" t="s">
        <v>1428</v>
      </c>
      <c r="B106" s="113" t="s">
        <v>1429</v>
      </c>
      <c r="C106" s="113" t="s">
        <v>1430</v>
      </c>
      <c r="D106" s="113" t="s">
        <v>1399</v>
      </c>
      <c r="E106" s="113" t="s">
        <v>1166</v>
      </c>
      <c r="F106" s="113">
        <v>10027.0</v>
      </c>
      <c r="G106" s="113">
        <v>3.0</v>
      </c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r="107" ht="12.75" customHeight="1">
      <c r="A107" s="113" t="s">
        <v>456</v>
      </c>
      <c r="B107" s="113" t="s">
        <v>1431</v>
      </c>
      <c r="C107" s="113" t="s">
        <v>1432</v>
      </c>
      <c r="D107" s="113" t="s">
        <v>1399</v>
      </c>
      <c r="E107" s="113" t="s">
        <v>1166</v>
      </c>
      <c r="F107" s="113">
        <v>10035.0</v>
      </c>
      <c r="G107" s="113">
        <v>4.0</v>
      </c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r="108" ht="12.75" customHeight="1">
      <c r="A108" s="113" t="s">
        <v>1433</v>
      </c>
      <c r="B108" s="113" t="s">
        <v>1434</v>
      </c>
      <c r="C108" s="113" t="s">
        <v>1435</v>
      </c>
      <c r="D108" s="113" t="s">
        <v>1399</v>
      </c>
      <c r="E108" s="113" t="s">
        <v>1166</v>
      </c>
      <c r="F108" s="113">
        <v>10034.0</v>
      </c>
      <c r="G108" s="113">
        <v>6.0</v>
      </c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r="109" ht="12.75" customHeight="1">
      <c r="A109" s="113" t="s">
        <v>1436</v>
      </c>
      <c r="B109" s="113" t="s">
        <v>1437</v>
      </c>
      <c r="C109" s="113" t="s">
        <v>1438</v>
      </c>
      <c r="D109" s="113" t="s">
        <v>1399</v>
      </c>
      <c r="E109" s="113" t="s">
        <v>1166</v>
      </c>
      <c r="F109" s="113">
        <v>10029.0</v>
      </c>
      <c r="G109" s="113">
        <v>4.0</v>
      </c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r="110" ht="12.75" customHeight="1">
      <c r="A110" s="113" t="s">
        <v>1439</v>
      </c>
      <c r="B110" s="113" t="s">
        <v>1216</v>
      </c>
      <c r="C110" s="113" t="s">
        <v>1440</v>
      </c>
      <c r="D110" s="113" t="s">
        <v>1399</v>
      </c>
      <c r="E110" s="113" t="s">
        <v>1166</v>
      </c>
      <c r="F110" s="113">
        <v>10002.0</v>
      </c>
      <c r="G110" s="113">
        <v>1.0</v>
      </c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1" ht="12.75" customHeight="1">
      <c r="A111" s="113" t="s">
        <v>255</v>
      </c>
      <c r="B111" s="113" t="s">
        <v>1441</v>
      </c>
      <c r="C111" s="113" t="s">
        <v>1442</v>
      </c>
      <c r="D111" s="113" t="s">
        <v>1399</v>
      </c>
      <c r="E111" s="113" t="s">
        <v>1166</v>
      </c>
      <c r="F111" s="113">
        <v>10033.0</v>
      </c>
      <c r="G111" s="113">
        <v>6.0</v>
      </c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r="112" ht="12.75" customHeight="1">
      <c r="A112" s="113" t="s">
        <v>258</v>
      </c>
      <c r="B112" s="113" t="s">
        <v>1443</v>
      </c>
      <c r="C112" s="113" t="s">
        <v>1444</v>
      </c>
      <c r="D112" s="113" t="s">
        <v>1399</v>
      </c>
      <c r="E112" s="113" t="s">
        <v>1166</v>
      </c>
      <c r="F112" s="113">
        <v>10002.0</v>
      </c>
      <c r="G112" s="113">
        <v>2.0</v>
      </c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</row>
    <row r="113" ht="12.75" customHeight="1">
      <c r="A113" s="113" t="s">
        <v>260</v>
      </c>
      <c r="B113" s="113" t="s">
        <v>1445</v>
      </c>
      <c r="C113" s="113" t="s">
        <v>1446</v>
      </c>
      <c r="D113" s="113" t="s">
        <v>1399</v>
      </c>
      <c r="E113" s="113" t="s">
        <v>1166</v>
      </c>
      <c r="F113" s="113">
        <v>10027.0</v>
      </c>
      <c r="G113" s="113">
        <v>5.0</v>
      </c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</row>
    <row r="114" ht="12.75" customHeight="1">
      <c r="A114" s="113" t="s">
        <v>1447</v>
      </c>
      <c r="B114" s="113" t="s">
        <v>1448</v>
      </c>
      <c r="C114" s="113" t="s">
        <v>1449</v>
      </c>
      <c r="D114" s="113" t="s">
        <v>1399</v>
      </c>
      <c r="E114" s="113" t="s">
        <v>1166</v>
      </c>
      <c r="F114" s="113">
        <v>10032.0</v>
      </c>
      <c r="G114" s="113">
        <v>6.0</v>
      </c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</row>
    <row r="115" ht="12.75" customHeight="1">
      <c r="A115" s="113" t="s">
        <v>1450</v>
      </c>
      <c r="B115" s="113" t="s">
        <v>1451</v>
      </c>
      <c r="C115" s="113" t="s">
        <v>1452</v>
      </c>
      <c r="D115" s="113" t="s">
        <v>1399</v>
      </c>
      <c r="E115" s="113" t="s">
        <v>1166</v>
      </c>
      <c r="F115" s="113">
        <v>10027.0</v>
      </c>
      <c r="G115" s="113">
        <v>5.0</v>
      </c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</row>
    <row r="116" ht="12.75" customHeight="1">
      <c r="A116" s="113" t="s">
        <v>1453</v>
      </c>
      <c r="B116" s="113" t="s">
        <v>1454</v>
      </c>
      <c r="C116" s="113" t="s">
        <v>1455</v>
      </c>
      <c r="D116" s="113" t="s">
        <v>1399</v>
      </c>
      <c r="E116" s="113" t="s">
        <v>1166</v>
      </c>
      <c r="F116" s="113">
        <v>10037.0</v>
      </c>
      <c r="G116" s="113">
        <v>5.0</v>
      </c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</row>
    <row r="117" ht="12.75" customHeight="1">
      <c r="A117" s="113" t="s">
        <v>1456</v>
      </c>
      <c r="B117" s="113" t="s">
        <v>1235</v>
      </c>
      <c r="C117" s="113" t="s">
        <v>1457</v>
      </c>
      <c r="D117" s="113" t="s">
        <v>1399</v>
      </c>
      <c r="E117" s="113" t="s">
        <v>1166</v>
      </c>
      <c r="F117" s="113">
        <v>10030.0</v>
      </c>
      <c r="G117" s="113">
        <v>5.0</v>
      </c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</row>
    <row r="118" ht="12.75" customHeight="1">
      <c r="A118" s="113" t="s">
        <v>1458</v>
      </c>
      <c r="B118" s="113" t="s">
        <v>1459</v>
      </c>
      <c r="C118" s="113" t="s">
        <v>1460</v>
      </c>
      <c r="D118" s="113" t="s">
        <v>1399</v>
      </c>
      <c r="E118" s="113" t="s">
        <v>1166</v>
      </c>
      <c r="F118" s="113">
        <v>10002.0</v>
      </c>
      <c r="G118" s="113">
        <v>1.0</v>
      </c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</row>
    <row r="119" ht="12.75" customHeight="1">
      <c r="A119" s="113" t="s">
        <v>462</v>
      </c>
      <c r="B119" s="113" t="s">
        <v>1461</v>
      </c>
      <c r="C119" s="113" t="s">
        <v>1462</v>
      </c>
      <c r="D119" s="113" t="s">
        <v>1399</v>
      </c>
      <c r="E119" s="113" t="s">
        <v>1166</v>
      </c>
      <c r="F119" s="113">
        <v>10002.0</v>
      </c>
      <c r="G119" s="113">
        <v>1.0</v>
      </c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</row>
    <row r="120" ht="12.75" customHeight="1">
      <c r="A120" s="113" t="s">
        <v>1463</v>
      </c>
      <c r="B120" s="113" t="s">
        <v>1464</v>
      </c>
      <c r="C120" s="113" t="s">
        <v>1465</v>
      </c>
      <c r="D120" s="113" t="s">
        <v>1399</v>
      </c>
      <c r="E120" s="113" t="s">
        <v>1166</v>
      </c>
      <c r="F120" s="113">
        <v>10027.0</v>
      </c>
      <c r="G120" s="113">
        <v>3.0</v>
      </c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</row>
    <row r="121" ht="12.75" customHeight="1">
      <c r="A121" s="113" t="s">
        <v>263</v>
      </c>
      <c r="B121" s="113" t="s">
        <v>1466</v>
      </c>
      <c r="C121" s="113" t="s">
        <v>1467</v>
      </c>
      <c r="D121" s="113" t="s">
        <v>1399</v>
      </c>
      <c r="E121" s="113" t="s">
        <v>1166</v>
      </c>
      <c r="F121" s="113">
        <v>10040.0</v>
      </c>
      <c r="G121" s="113">
        <v>6.0</v>
      </c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</row>
    <row r="122" ht="12.75" customHeight="1">
      <c r="A122" s="111" t="s">
        <v>467</v>
      </c>
      <c r="B122" s="111" t="s">
        <v>1468</v>
      </c>
      <c r="C122" s="111" t="s">
        <v>1469</v>
      </c>
      <c r="D122" s="111" t="s">
        <v>1399</v>
      </c>
      <c r="E122" s="111" t="s">
        <v>1166</v>
      </c>
      <c r="F122" s="114">
        <v>10027.0</v>
      </c>
      <c r="G122" s="114">
        <v>5.0</v>
      </c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</row>
    <row r="123" ht="12.75" customHeight="1">
      <c r="A123" s="113" t="s">
        <v>469</v>
      </c>
      <c r="B123" s="113" t="s">
        <v>1470</v>
      </c>
      <c r="C123" s="113" t="s">
        <v>1471</v>
      </c>
      <c r="D123" s="113" t="s">
        <v>1399</v>
      </c>
      <c r="E123" s="113" t="s">
        <v>1166</v>
      </c>
      <c r="F123" s="113">
        <v>10035.0</v>
      </c>
      <c r="G123" s="113">
        <v>4.0</v>
      </c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</row>
    <row r="124" ht="12.75" customHeight="1">
      <c r="A124" s="113" t="s">
        <v>266</v>
      </c>
      <c r="B124" s="113" t="s">
        <v>1259</v>
      </c>
      <c r="C124" s="113" t="s">
        <v>1472</v>
      </c>
      <c r="D124" s="113" t="s">
        <v>1399</v>
      </c>
      <c r="E124" s="113" t="s">
        <v>1166</v>
      </c>
      <c r="F124" s="113">
        <v>10025.0</v>
      </c>
      <c r="G124" s="113">
        <v>3.0</v>
      </c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</row>
    <row r="125" ht="12.75" customHeight="1">
      <c r="A125" s="113" t="s">
        <v>472</v>
      </c>
      <c r="B125" s="113" t="s">
        <v>1473</v>
      </c>
      <c r="C125" s="113" t="s">
        <v>1474</v>
      </c>
      <c r="D125" s="113" t="s">
        <v>1399</v>
      </c>
      <c r="E125" s="113" t="s">
        <v>1166</v>
      </c>
      <c r="F125" s="113">
        <v>10032.0</v>
      </c>
      <c r="G125" s="113">
        <v>6.0</v>
      </c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</row>
    <row r="126" ht="12.75" customHeight="1">
      <c r="A126" s="113" t="s">
        <v>474</v>
      </c>
      <c r="B126" s="113" t="s">
        <v>1475</v>
      </c>
      <c r="C126" s="113" t="s">
        <v>1476</v>
      </c>
      <c r="D126" s="113" t="s">
        <v>1399</v>
      </c>
      <c r="E126" s="113" t="s">
        <v>1166</v>
      </c>
      <c r="F126" s="113">
        <v>10025.0</v>
      </c>
      <c r="G126" s="113">
        <v>3.0</v>
      </c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</row>
    <row r="127" ht="12.75" customHeight="1">
      <c r="A127" s="113" t="s">
        <v>476</v>
      </c>
      <c r="B127" s="113" t="s">
        <v>1477</v>
      </c>
      <c r="C127" s="113" t="s">
        <v>1478</v>
      </c>
      <c r="D127" s="113" t="s">
        <v>1399</v>
      </c>
      <c r="E127" s="113" t="s">
        <v>1166</v>
      </c>
      <c r="F127" s="113">
        <v>10024.0</v>
      </c>
      <c r="G127" s="113">
        <v>3.0</v>
      </c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</row>
    <row r="128" ht="12.75" customHeight="1">
      <c r="A128" s="113" t="s">
        <v>1479</v>
      </c>
      <c r="B128" s="113" t="s">
        <v>1480</v>
      </c>
      <c r="C128" s="113" t="s">
        <v>1481</v>
      </c>
      <c r="D128" s="113" t="s">
        <v>1399</v>
      </c>
      <c r="E128" s="113" t="s">
        <v>1166</v>
      </c>
      <c r="F128" s="113">
        <v>10128.0</v>
      </c>
      <c r="G128" s="113">
        <v>2.0</v>
      </c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r="129" ht="12.75" customHeight="1">
      <c r="A129" s="113" t="s">
        <v>28</v>
      </c>
      <c r="B129" s="113" t="s">
        <v>1482</v>
      </c>
      <c r="C129" s="113" t="s">
        <v>121</v>
      </c>
      <c r="D129" s="113" t="s">
        <v>1399</v>
      </c>
      <c r="E129" s="113" t="s">
        <v>1166</v>
      </c>
      <c r="F129" s="113">
        <v>10027.0</v>
      </c>
      <c r="G129" s="113">
        <v>3.0</v>
      </c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</row>
    <row r="130" ht="12.75" customHeight="1">
      <c r="A130" s="113" t="s">
        <v>1483</v>
      </c>
      <c r="B130" s="113" t="s">
        <v>1273</v>
      </c>
      <c r="C130" s="113" t="s">
        <v>1484</v>
      </c>
      <c r="D130" s="113" t="s">
        <v>1399</v>
      </c>
      <c r="E130" s="113" t="s">
        <v>1166</v>
      </c>
      <c r="F130" s="113">
        <v>10065.0</v>
      </c>
      <c r="G130" s="113">
        <v>2.0</v>
      </c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</row>
    <row r="131" ht="12.75" customHeight="1">
      <c r="A131" s="113" t="s">
        <v>1485</v>
      </c>
      <c r="B131" s="113" t="s">
        <v>1486</v>
      </c>
      <c r="C131" s="113" t="s">
        <v>1487</v>
      </c>
      <c r="D131" s="113" t="s">
        <v>1399</v>
      </c>
      <c r="E131" s="113" t="s">
        <v>1166</v>
      </c>
      <c r="F131" s="113">
        <v>10026.0</v>
      </c>
      <c r="G131" s="113">
        <v>3.0</v>
      </c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</row>
    <row r="132" ht="12.75" customHeight="1">
      <c r="A132" s="113" t="s">
        <v>1488</v>
      </c>
      <c r="B132" s="113" t="s">
        <v>1489</v>
      </c>
      <c r="C132" s="113" t="s">
        <v>1490</v>
      </c>
      <c r="D132" s="113" t="s">
        <v>1399</v>
      </c>
      <c r="E132" s="113" t="s">
        <v>1166</v>
      </c>
      <c r="F132" s="113">
        <v>10040.0</v>
      </c>
      <c r="G132" s="113">
        <v>6.0</v>
      </c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r="133" ht="12.75" customHeight="1">
      <c r="A133" s="113" t="s">
        <v>270</v>
      </c>
      <c r="B133" s="113" t="s">
        <v>1491</v>
      </c>
      <c r="C133" s="113" t="s">
        <v>1492</v>
      </c>
      <c r="D133" s="113" t="s">
        <v>1399</v>
      </c>
      <c r="E133" s="113" t="s">
        <v>1166</v>
      </c>
      <c r="F133" s="113">
        <v>10031.0</v>
      </c>
      <c r="G133" s="113">
        <v>6.0</v>
      </c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</row>
    <row r="134" ht="12.75" customHeight="1">
      <c r="A134" s="113" t="s">
        <v>1493</v>
      </c>
      <c r="B134" s="113" t="s">
        <v>1494</v>
      </c>
      <c r="C134" s="113" t="s">
        <v>1495</v>
      </c>
      <c r="D134" s="113" t="s">
        <v>1399</v>
      </c>
      <c r="E134" s="113" t="s">
        <v>1166</v>
      </c>
      <c r="F134" s="113">
        <v>10037.0</v>
      </c>
      <c r="G134" s="113">
        <v>5.0</v>
      </c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</row>
    <row r="135" ht="12.75" customHeight="1">
      <c r="A135" s="113" t="s">
        <v>485</v>
      </c>
      <c r="B135" s="113" t="s">
        <v>1496</v>
      </c>
      <c r="C135" s="113" t="s">
        <v>1497</v>
      </c>
      <c r="D135" s="113" t="s">
        <v>1399</v>
      </c>
      <c r="E135" s="113" t="s">
        <v>1166</v>
      </c>
      <c r="F135" s="113">
        <v>10029.0</v>
      </c>
      <c r="G135" s="113">
        <v>4.0</v>
      </c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</row>
    <row r="136" ht="12.75" customHeight="1">
      <c r="A136" s="113" t="s">
        <v>273</v>
      </c>
      <c r="B136" s="113" t="s">
        <v>1498</v>
      </c>
      <c r="C136" s="113" t="s">
        <v>1499</v>
      </c>
      <c r="D136" s="113" t="s">
        <v>1399</v>
      </c>
      <c r="E136" s="113" t="s">
        <v>1166</v>
      </c>
      <c r="F136" s="113">
        <v>10011.0</v>
      </c>
      <c r="G136" s="113">
        <v>2.0</v>
      </c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</row>
    <row r="137" ht="12.75" customHeight="1">
      <c r="A137" s="113" t="s">
        <v>276</v>
      </c>
      <c r="B137" s="113" t="s">
        <v>1500</v>
      </c>
      <c r="C137" s="113" t="s">
        <v>1501</v>
      </c>
      <c r="D137" s="113" t="s">
        <v>1399</v>
      </c>
      <c r="E137" s="113" t="s">
        <v>1166</v>
      </c>
      <c r="F137" s="113">
        <v>10040.0</v>
      </c>
      <c r="G137" s="113">
        <v>6.0</v>
      </c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</row>
    <row r="138" ht="12.75" customHeight="1">
      <c r="A138" s="113" t="s">
        <v>157</v>
      </c>
      <c r="B138" s="113" t="s">
        <v>1502</v>
      </c>
      <c r="C138" s="113" t="s">
        <v>1503</v>
      </c>
      <c r="D138" s="113" t="s">
        <v>1399</v>
      </c>
      <c r="E138" s="113" t="s">
        <v>1166</v>
      </c>
      <c r="F138" s="113">
        <v>10024.0</v>
      </c>
      <c r="G138" s="113">
        <v>3.0</v>
      </c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</row>
    <row r="139" ht="12.75" customHeight="1">
      <c r="A139" s="113" t="s">
        <v>1504</v>
      </c>
      <c r="B139" s="113" t="s">
        <v>1505</v>
      </c>
      <c r="C139" s="113" t="s">
        <v>1506</v>
      </c>
      <c r="D139" s="113" t="s">
        <v>1399</v>
      </c>
      <c r="E139" s="113" t="s">
        <v>1166</v>
      </c>
      <c r="F139" s="113">
        <v>10003.0</v>
      </c>
      <c r="G139" s="113">
        <v>2.0</v>
      </c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</row>
    <row r="140" ht="12.75" customHeight="1">
      <c r="A140" s="113" t="s">
        <v>1507</v>
      </c>
      <c r="B140" s="113" t="s">
        <v>1508</v>
      </c>
      <c r="C140" s="113" t="s">
        <v>1509</v>
      </c>
      <c r="D140" s="113" t="s">
        <v>1399</v>
      </c>
      <c r="E140" s="113" t="s">
        <v>1166</v>
      </c>
      <c r="F140" s="113">
        <v>10065.0</v>
      </c>
      <c r="G140" s="113">
        <v>2.0</v>
      </c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</row>
    <row r="141" ht="12.75" customHeight="1">
      <c r="A141" s="113" t="s">
        <v>1510</v>
      </c>
      <c r="B141" s="113" t="s">
        <v>1511</v>
      </c>
      <c r="C141" s="113" t="s">
        <v>1512</v>
      </c>
      <c r="D141" s="113" t="s">
        <v>1399</v>
      </c>
      <c r="E141" s="113" t="s">
        <v>1166</v>
      </c>
      <c r="F141" s="113">
        <v>10023.0</v>
      </c>
      <c r="G141" s="113">
        <v>3.0</v>
      </c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</row>
    <row r="142" ht="12.75" customHeight="1">
      <c r="A142" s="113" t="s">
        <v>1513</v>
      </c>
      <c r="B142" s="113" t="s">
        <v>1514</v>
      </c>
      <c r="C142" s="113" t="s">
        <v>1515</v>
      </c>
      <c r="D142" s="113" t="s">
        <v>1399</v>
      </c>
      <c r="E142" s="113" t="s">
        <v>1166</v>
      </c>
      <c r="F142" s="113">
        <v>10035.0</v>
      </c>
      <c r="G142" s="113">
        <v>5.0</v>
      </c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</row>
    <row r="143" ht="12.75" customHeight="1">
      <c r="A143" s="113" t="s">
        <v>1516</v>
      </c>
      <c r="B143" s="113" t="s">
        <v>1517</v>
      </c>
      <c r="C143" s="113" t="s">
        <v>1518</v>
      </c>
      <c r="D143" s="113" t="s">
        <v>1399</v>
      </c>
      <c r="E143" s="113" t="s">
        <v>1166</v>
      </c>
      <c r="F143" s="113">
        <v>10028.0</v>
      </c>
      <c r="G143" s="113">
        <v>2.0</v>
      </c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</row>
    <row r="144" ht="12.75" customHeight="1">
      <c r="A144" s="113" t="s">
        <v>491</v>
      </c>
      <c r="B144" s="113" t="s">
        <v>1519</v>
      </c>
      <c r="C144" s="113" t="s">
        <v>1520</v>
      </c>
      <c r="D144" s="113" t="s">
        <v>1399</v>
      </c>
      <c r="E144" s="113" t="s">
        <v>1166</v>
      </c>
      <c r="F144" s="113">
        <v>10038.0</v>
      </c>
      <c r="G144" s="113">
        <v>2.0</v>
      </c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</row>
    <row r="145" ht="12.75" customHeight="1">
      <c r="A145" s="113" t="s">
        <v>493</v>
      </c>
      <c r="B145" s="113" t="s">
        <v>1521</v>
      </c>
      <c r="C145" s="113" t="s">
        <v>1522</v>
      </c>
      <c r="D145" s="113" t="s">
        <v>1399</v>
      </c>
      <c r="E145" s="113" t="s">
        <v>1166</v>
      </c>
      <c r="F145" s="113">
        <v>10033.0</v>
      </c>
      <c r="G145" s="113">
        <v>6.0</v>
      </c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</row>
    <row r="146" ht="12.75" customHeight="1">
      <c r="A146" s="113" t="s">
        <v>280</v>
      </c>
      <c r="B146" s="113" t="s">
        <v>1523</v>
      </c>
      <c r="C146" s="113" t="s">
        <v>1524</v>
      </c>
      <c r="D146" s="113" t="s">
        <v>1399</v>
      </c>
      <c r="E146" s="113" t="s">
        <v>1166</v>
      </c>
      <c r="F146" s="113">
        <v>10031.0</v>
      </c>
      <c r="G146" s="113">
        <v>6.0</v>
      </c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</row>
    <row r="147" ht="12.75" customHeight="1">
      <c r="A147" s="113" t="s">
        <v>1525</v>
      </c>
      <c r="B147" s="113" t="s">
        <v>1526</v>
      </c>
      <c r="C147" s="113" t="s">
        <v>1527</v>
      </c>
      <c r="D147" s="113" t="s">
        <v>1399</v>
      </c>
      <c r="E147" s="113" t="s">
        <v>1166</v>
      </c>
      <c r="F147" s="113">
        <v>10011.0</v>
      </c>
      <c r="G147" s="113">
        <v>2.0</v>
      </c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</row>
    <row r="148" ht="12.75" customHeight="1">
      <c r="A148" s="113" t="s">
        <v>1528</v>
      </c>
      <c r="B148" s="113" t="s">
        <v>1529</v>
      </c>
      <c r="C148" s="113" t="s">
        <v>1530</v>
      </c>
      <c r="D148" s="113" t="s">
        <v>1399</v>
      </c>
      <c r="E148" s="113" t="s">
        <v>1166</v>
      </c>
      <c r="F148" s="113">
        <v>10013.0</v>
      </c>
      <c r="G148" s="113">
        <v>2.0</v>
      </c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</row>
    <row r="149" ht="12.75" customHeight="1">
      <c r="A149" s="113" t="s">
        <v>1531</v>
      </c>
      <c r="B149" s="113" t="s">
        <v>1532</v>
      </c>
      <c r="C149" s="113" t="s">
        <v>1533</v>
      </c>
      <c r="D149" s="113" t="s">
        <v>1399</v>
      </c>
      <c r="E149" s="113" t="s">
        <v>1166</v>
      </c>
      <c r="F149" s="113">
        <v>10016.0</v>
      </c>
      <c r="G149" s="113">
        <v>2.0</v>
      </c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</row>
    <row r="150" ht="12.75" customHeight="1">
      <c r="A150" s="113" t="s">
        <v>495</v>
      </c>
      <c r="B150" s="113" t="s">
        <v>1534</v>
      </c>
      <c r="C150" s="113" t="s">
        <v>1535</v>
      </c>
      <c r="D150" s="113" t="s">
        <v>1399</v>
      </c>
      <c r="E150" s="113" t="s">
        <v>1166</v>
      </c>
      <c r="F150" s="113">
        <v>10019.0</v>
      </c>
      <c r="G150" s="113">
        <v>2.0</v>
      </c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</row>
    <row r="151" ht="12.75" customHeight="1">
      <c r="A151" s="113" t="s">
        <v>1536</v>
      </c>
      <c r="B151" s="113" t="s">
        <v>1537</v>
      </c>
      <c r="C151" s="113" t="s">
        <v>1538</v>
      </c>
      <c r="D151" s="113" t="s">
        <v>1399</v>
      </c>
      <c r="E151" s="113" t="s">
        <v>1166</v>
      </c>
      <c r="F151" s="113">
        <v>10010.0</v>
      </c>
      <c r="G151" s="113">
        <v>2.0</v>
      </c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</row>
    <row r="152" ht="12.75" customHeight="1">
      <c r="A152" s="113" t="s">
        <v>1539</v>
      </c>
      <c r="B152" s="113" t="s">
        <v>1540</v>
      </c>
      <c r="C152" s="113" t="s">
        <v>1541</v>
      </c>
      <c r="D152" s="113" t="s">
        <v>1399</v>
      </c>
      <c r="E152" s="113" t="s">
        <v>1166</v>
      </c>
      <c r="F152" s="113">
        <v>10010.0</v>
      </c>
      <c r="G152" s="113">
        <v>2.0</v>
      </c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</row>
    <row r="153" ht="12.75" customHeight="1">
      <c r="A153" s="113" t="s">
        <v>1542</v>
      </c>
      <c r="B153" s="113" t="s">
        <v>1543</v>
      </c>
      <c r="C153" s="113" t="s">
        <v>1544</v>
      </c>
      <c r="D153" s="113" t="s">
        <v>1545</v>
      </c>
      <c r="E153" s="113" t="s">
        <v>1166</v>
      </c>
      <c r="F153" s="113">
        <v>11368.0</v>
      </c>
      <c r="G153" s="113">
        <v>24.0</v>
      </c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</row>
    <row r="154" ht="12.75" customHeight="1">
      <c r="A154" s="113" t="s">
        <v>1546</v>
      </c>
      <c r="B154" s="113" t="s">
        <v>1547</v>
      </c>
      <c r="C154" s="113" t="s">
        <v>1548</v>
      </c>
      <c r="D154" s="113" t="s">
        <v>1545</v>
      </c>
      <c r="E154" s="113" t="s">
        <v>1166</v>
      </c>
      <c r="F154" s="113">
        <v>11413.0</v>
      </c>
      <c r="G154" s="113">
        <v>29.0</v>
      </c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r="155" ht="12.75" customHeight="1">
      <c r="A155" s="113" t="s">
        <v>500</v>
      </c>
      <c r="B155" s="113" t="s">
        <v>1549</v>
      </c>
      <c r="C155" s="113" t="s">
        <v>1550</v>
      </c>
      <c r="D155" s="113" t="s">
        <v>1545</v>
      </c>
      <c r="E155" s="113" t="s">
        <v>1166</v>
      </c>
      <c r="F155" s="113" t="s">
        <v>1551</v>
      </c>
      <c r="G155" s="113" t="s">
        <v>1552</v>
      </c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</row>
    <row r="156" ht="12.75" customHeight="1">
      <c r="A156" s="113" t="s">
        <v>502</v>
      </c>
      <c r="B156" s="113" t="s">
        <v>1553</v>
      </c>
      <c r="C156" s="113" t="s">
        <v>1554</v>
      </c>
      <c r="D156" s="113" t="s">
        <v>1545</v>
      </c>
      <c r="E156" s="113" t="s">
        <v>1166</v>
      </c>
      <c r="F156" s="113">
        <v>11354.0</v>
      </c>
      <c r="G156" s="113">
        <v>25.0</v>
      </c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</row>
    <row r="157" ht="12.75" customHeight="1">
      <c r="A157" s="113" t="s">
        <v>505</v>
      </c>
      <c r="B157" s="113" t="s">
        <v>1555</v>
      </c>
      <c r="C157" s="113" t="s">
        <v>1556</v>
      </c>
      <c r="D157" s="113" t="s">
        <v>1545</v>
      </c>
      <c r="E157" s="113" t="s">
        <v>1166</v>
      </c>
      <c r="F157" s="113">
        <v>11355.0</v>
      </c>
      <c r="G157" s="113">
        <v>25.0</v>
      </c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r="158" ht="12.75" customHeight="1">
      <c r="A158" s="113" t="s">
        <v>1557</v>
      </c>
      <c r="B158" s="113" t="s">
        <v>1558</v>
      </c>
      <c r="C158" s="113" t="s">
        <v>1559</v>
      </c>
      <c r="D158" s="113" t="s">
        <v>1545</v>
      </c>
      <c r="E158" s="113" t="s">
        <v>1166</v>
      </c>
      <c r="F158" s="113">
        <v>11354.0</v>
      </c>
      <c r="G158" s="113">
        <v>25.0</v>
      </c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</row>
    <row r="159" ht="12.75" customHeight="1">
      <c r="A159" s="113" t="s">
        <v>283</v>
      </c>
      <c r="B159" s="113" t="s">
        <v>1560</v>
      </c>
      <c r="C159" s="113" t="s">
        <v>1561</v>
      </c>
      <c r="D159" s="113" t="s">
        <v>1545</v>
      </c>
      <c r="E159" s="113" t="s">
        <v>1166</v>
      </c>
      <c r="F159" s="113">
        <v>11355.0</v>
      </c>
      <c r="G159" s="113">
        <v>25.0</v>
      </c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</row>
    <row r="160" ht="12.75" customHeight="1">
      <c r="A160" s="113" t="s">
        <v>507</v>
      </c>
      <c r="B160" s="113" t="s">
        <v>1562</v>
      </c>
      <c r="C160" s="113" t="s">
        <v>1563</v>
      </c>
      <c r="D160" s="113" t="s">
        <v>1545</v>
      </c>
      <c r="E160" s="113" t="s">
        <v>1166</v>
      </c>
      <c r="F160" s="113">
        <v>11358.0</v>
      </c>
      <c r="G160" s="113">
        <v>25.0</v>
      </c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</row>
    <row r="161" ht="12.75" customHeight="1">
      <c r="A161" s="113" t="s">
        <v>509</v>
      </c>
      <c r="B161" s="113" t="s">
        <v>1564</v>
      </c>
      <c r="C161" s="113" t="s">
        <v>1565</v>
      </c>
      <c r="D161" s="113" t="s">
        <v>1545</v>
      </c>
      <c r="E161" s="113" t="s">
        <v>1166</v>
      </c>
      <c r="F161" s="113">
        <v>11356.0</v>
      </c>
      <c r="G161" s="113">
        <v>25.0</v>
      </c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</row>
    <row r="162" ht="12.75" customHeight="1">
      <c r="A162" s="113" t="s">
        <v>1566</v>
      </c>
      <c r="B162" s="113" t="s">
        <v>1408</v>
      </c>
      <c r="C162" s="113" t="s">
        <v>1567</v>
      </c>
      <c r="D162" s="113" t="s">
        <v>1545</v>
      </c>
      <c r="E162" s="113" t="s">
        <v>1166</v>
      </c>
      <c r="F162" s="113">
        <v>11434.0</v>
      </c>
      <c r="G162" s="113">
        <v>28.0</v>
      </c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</row>
    <row r="163" ht="12.75" customHeight="1">
      <c r="A163" s="113" t="s">
        <v>1568</v>
      </c>
      <c r="B163" s="113" t="s">
        <v>1569</v>
      </c>
      <c r="C163" s="113" t="s">
        <v>1570</v>
      </c>
      <c r="D163" s="113" t="s">
        <v>1545</v>
      </c>
      <c r="E163" s="113" t="s">
        <v>1166</v>
      </c>
      <c r="F163" s="113">
        <v>11423.0</v>
      </c>
      <c r="G163" s="113">
        <v>29.0</v>
      </c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</row>
    <row r="164" ht="12.75" customHeight="1">
      <c r="A164" s="113" t="s">
        <v>286</v>
      </c>
      <c r="B164" s="113" t="s">
        <v>1571</v>
      </c>
      <c r="C164" s="113" t="s">
        <v>1572</v>
      </c>
      <c r="D164" s="113" t="s">
        <v>1545</v>
      </c>
      <c r="E164" s="113" t="s">
        <v>1166</v>
      </c>
      <c r="F164" s="113">
        <v>11434.0</v>
      </c>
      <c r="G164" s="113">
        <v>29.0</v>
      </c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</row>
    <row r="165" ht="12.75" customHeight="1">
      <c r="A165" s="113" t="s">
        <v>1573</v>
      </c>
      <c r="B165" s="113" t="s">
        <v>1574</v>
      </c>
      <c r="C165" s="113" t="s">
        <v>1575</v>
      </c>
      <c r="D165" s="113" t="s">
        <v>1545</v>
      </c>
      <c r="E165" s="113" t="s">
        <v>1166</v>
      </c>
      <c r="F165" s="113">
        <v>11422.0</v>
      </c>
      <c r="G165" s="113">
        <v>29.0</v>
      </c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</row>
    <row r="166" ht="12.75" customHeight="1">
      <c r="A166" s="113" t="s">
        <v>1576</v>
      </c>
      <c r="B166" s="113" t="s">
        <v>1577</v>
      </c>
      <c r="C166" s="113" t="s">
        <v>1578</v>
      </c>
      <c r="D166" s="113" t="s">
        <v>1545</v>
      </c>
      <c r="E166" s="113" t="s">
        <v>1166</v>
      </c>
      <c r="F166" s="113">
        <v>11361.0</v>
      </c>
      <c r="G166" s="113">
        <v>26.0</v>
      </c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</row>
    <row r="167" ht="12.75" customHeight="1">
      <c r="A167" s="113" t="s">
        <v>1579</v>
      </c>
      <c r="B167" s="113" t="s">
        <v>1580</v>
      </c>
      <c r="C167" s="113" t="s">
        <v>1581</v>
      </c>
      <c r="D167" s="113" t="s">
        <v>1545</v>
      </c>
      <c r="E167" s="113" t="s">
        <v>1166</v>
      </c>
      <c r="F167" s="113">
        <v>11413.0</v>
      </c>
      <c r="G167" s="113">
        <v>29.0</v>
      </c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</row>
    <row r="168" ht="12.75" customHeight="1">
      <c r="A168" s="113" t="s">
        <v>1582</v>
      </c>
      <c r="B168" s="113" t="s">
        <v>1583</v>
      </c>
      <c r="C168" s="113" t="s">
        <v>1584</v>
      </c>
      <c r="D168" s="113" t="s">
        <v>1545</v>
      </c>
      <c r="E168" s="113" t="s">
        <v>1166</v>
      </c>
      <c r="F168" s="113">
        <v>11421.0</v>
      </c>
      <c r="G168" s="113">
        <v>27.0</v>
      </c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</row>
    <row r="169" ht="12.75" customHeight="1">
      <c r="A169" s="113" t="s">
        <v>1585</v>
      </c>
      <c r="B169" s="113" t="s">
        <v>1586</v>
      </c>
      <c r="C169" s="113" t="s">
        <v>1587</v>
      </c>
      <c r="D169" s="113" t="s">
        <v>1545</v>
      </c>
      <c r="E169" s="113" t="s">
        <v>1166</v>
      </c>
      <c r="F169" s="113">
        <v>11362.0</v>
      </c>
      <c r="G169" s="113">
        <v>26.0</v>
      </c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</row>
    <row r="170" ht="12.75" customHeight="1">
      <c r="A170" s="113" t="s">
        <v>1588</v>
      </c>
      <c r="B170" s="113" t="s">
        <v>1589</v>
      </c>
      <c r="C170" s="113" t="s">
        <v>1590</v>
      </c>
      <c r="D170" s="113" t="s">
        <v>1545</v>
      </c>
      <c r="E170" s="113" t="s">
        <v>1166</v>
      </c>
      <c r="F170" s="113">
        <v>11357.0</v>
      </c>
      <c r="G170" s="113">
        <v>25.0</v>
      </c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</row>
    <row r="171" ht="12.75" customHeight="1">
      <c r="A171" s="113" t="s">
        <v>1591</v>
      </c>
      <c r="B171" s="113" t="s">
        <v>1592</v>
      </c>
      <c r="C171" s="113" t="s">
        <v>1593</v>
      </c>
      <c r="D171" s="113" t="s">
        <v>1545</v>
      </c>
      <c r="E171" s="113" t="s">
        <v>1166</v>
      </c>
      <c r="F171" s="113">
        <v>11105.0</v>
      </c>
      <c r="G171" s="113">
        <v>30.0</v>
      </c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</row>
    <row r="172" ht="12.75" customHeight="1">
      <c r="A172" s="113" t="s">
        <v>169</v>
      </c>
      <c r="B172" s="113" t="s">
        <v>1594</v>
      </c>
      <c r="C172" s="113" t="s">
        <v>1595</v>
      </c>
      <c r="D172" s="113" t="s">
        <v>1545</v>
      </c>
      <c r="E172" s="113" t="s">
        <v>1166</v>
      </c>
      <c r="F172" s="113">
        <v>11373.0</v>
      </c>
      <c r="G172" s="113">
        <v>24.0</v>
      </c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</row>
    <row r="173" ht="12.75" customHeight="1">
      <c r="A173" s="113" t="s">
        <v>1596</v>
      </c>
      <c r="B173" s="113" t="s">
        <v>1597</v>
      </c>
      <c r="C173" s="113" t="s">
        <v>1598</v>
      </c>
      <c r="D173" s="113" t="s">
        <v>1545</v>
      </c>
      <c r="E173" s="113" t="s">
        <v>1166</v>
      </c>
      <c r="F173" s="113">
        <v>11101.0</v>
      </c>
      <c r="G173" s="113">
        <v>30.0</v>
      </c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</row>
    <row r="174" ht="12.75" customHeight="1">
      <c r="A174" s="113" t="s">
        <v>1599</v>
      </c>
      <c r="B174" s="113" t="s">
        <v>1600</v>
      </c>
      <c r="C174" s="113" t="s">
        <v>1601</v>
      </c>
      <c r="D174" s="113" t="s">
        <v>1545</v>
      </c>
      <c r="E174" s="113" t="s">
        <v>1166</v>
      </c>
      <c r="F174" s="113">
        <v>11433.0</v>
      </c>
      <c r="G174" s="113">
        <v>29.0</v>
      </c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</row>
    <row r="175" ht="12.75" customHeight="1">
      <c r="A175" s="113" t="s">
        <v>291</v>
      </c>
      <c r="B175" s="113" t="s">
        <v>1602</v>
      </c>
      <c r="C175" s="113" t="s">
        <v>1603</v>
      </c>
      <c r="D175" s="113" t="s">
        <v>1545</v>
      </c>
      <c r="E175" s="113" t="s">
        <v>1166</v>
      </c>
      <c r="F175" s="113">
        <v>11105.0</v>
      </c>
      <c r="G175" s="113">
        <v>30.0</v>
      </c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</row>
    <row r="176" ht="12.75" customHeight="1">
      <c r="A176" s="113" t="s">
        <v>1604</v>
      </c>
      <c r="B176" s="113" t="s">
        <v>1605</v>
      </c>
      <c r="C176" s="113" t="s">
        <v>1606</v>
      </c>
      <c r="D176" s="113" t="s">
        <v>1545</v>
      </c>
      <c r="E176" s="113" t="s">
        <v>1166</v>
      </c>
      <c r="F176" s="113">
        <v>11106.0</v>
      </c>
      <c r="G176" s="113">
        <v>30.0</v>
      </c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</row>
    <row r="177" ht="12.75" customHeight="1">
      <c r="A177" s="113" t="s">
        <v>1607</v>
      </c>
      <c r="B177" s="113" t="s">
        <v>1608</v>
      </c>
      <c r="C177" s="113" t="s">
        <v>1609</v>
      </c>
      <c r="D177" s="113" t="s">
        <v>1545</v>
      </c>
      <c r="E177" s="113" t="s">
        <v>1166</v>
      </c>
      <c r="F177" s="113">
        <v>11105.0</v>
      </c>
      <c r="G177" s="113">
        <v>30.0</v>
      </c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</row>
    <row r="178" ht="12.75" customHeight="1">
      <c r="A178" s="113" t="s">
        <v>535</v>
      </c>
      <c r="B178" s="113" t="s">
        <v>1610</v>
      </c>
      <c r="C178" s="113" t="s">
        <v>1611</v>
      </c>
      <c r="D178" s="113" t="s">
        <v>1545</v>
      </c>
      <c r="E178" s="113" t="s">
        <v>1166</v>
      </c>
      <c r="F178" s="113">
        <v>11364.0</v>
      </c>
      <c r="G178" s="113">
        <v>26.0</v>
      </c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</row>
    <row r="179" ht="12.75" customHeight="1">
      <c r="A179" s="113" t="s">
        <v>294</v>
      </c>
      <c r="B179" s="113" t="s">
        <v>1475</v>
      </c>
      <c r="C179" s="113" t="s">
        <v>1612</v>
      </c>
      <c r="D179" s="113" t="s">
        <v>1545</v>
      </c>
      <c r="E179" s="113" t="s">
        <v>1166</v>
      </c>
      <c r="F179" s="113">
        <v>11367.0</v>
      </c>
      <c r="G179" s="113">
        <v>25.0</v>
      </c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</row>
    <row r="180" ht="12.75" customHeight="1">
      <c r="A180" s="113" t="s">
        <v>296</v>
      </c>
      <c r="B180" s="113" t="s">
        <v>1477</v>
      </c>
      <c r="C180" s="113" t="s">
        <v>1613</v>
      </c>
      <c r="D180" s="113" t="s">
        <v>1545</v>
      </c>
      <c r="E180" s="113" t="s">
        <v>1166</v>
      </c>
      <c r="F180" s="113">
        <v>11106.0</v>
      </c>
      <c r="G180" s="113">
        <v>30.0</v>
      </c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</row>
    <row r="181" ht="12.75" customHeight="1">
      <c r="A181" s="113" t="s">
        <v>1614</v>
      </c>
      <c r="B181" s="113" t="s">
        <v>1615</v>
      </c>
      <c r="C181" s="113" t="s">
        <v>1616</v>
      </c>
      <c r="D181" s="113" t="s">
        <v>1545</v>
      </c>
      <c r="E181" s="113" t="s">
        <v>1166</v>
      </c>
      <c r="F181" s="113">
        <v>11366.0</v>
      </c>
      <c r="G181" s="113">
        <v>25.0</v>
      </c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</row>
    <row r="182" ht="12.75" customHeight="1">
      <c r="A182" s="113" t="s">
        <v>1617</v>
      </c>
      <c r="B182" s="113" t="s">
        <v>1618</v>
      </c>
      <c r="C182" s="113" t="s">
        <v>1619</v>
      </c>
      <c r="D182" s="113" t="s">
        <v>1545</v>
      </c>
      <c r="E182" s="113" t="s">
        <v>1166</v>
      </c>
      <c r="F182" s="113">
        <v>11365.0</v>
      </c>
      <c r="G182" s="113">
        <v>26.0</v>
      </c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</row>
    <row r="183" ht="12.75" customHeight="1">
      <c r="A183" s="113" t="s">
        <v>1620</v>
      </c>
      <c r="B183" s="113" t="s">
        <v>1621</v>
      </c>
      <c r="C183" s="113" t="s">
        <v>1622</v>
      </c>
      <c r="D183" s="113" t="s">
        <v>1545</v>
      </c>
      <c r="E183" s="113" t="s">
        <v>1166</v>
      </c>
      <c r="F183" s="113">
        <v>11411.0</v>
      </c>
      <c r="G183" s="113">
        <v>29.0</v>
      </c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</row>
    <row r="184" ht="12.75" customHeight="1">
      <c r="A184" s="113" t="s">
        <v>1623</v>
      </c>
      <c r="B184" s="113" t="s">
        <v>1624</v>
      </c>
      <c r="C184" s="113" t="s">
        <v>1625</v>
      </c>
      <c r="D184" s="113" t="s">
        <v>1545</v>
      </c>
      <c r="E184" s="113" t="s">
        <v>1166</v>
      </c>
      <c r="F184" s="113">
        <v>11354.0</v>
      </c>
      <c r="G184" s="113">
        <v>25.0</v>
      </c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</row>
    <row r="185" ht="12.75" customHeight="1">
      <c r="A185" s="113" t="s">
        <v>1626</v>
      </c>
      <c r="B185" s="113" t="s">
        <v>1627</v>
      </c>
      <c r="C185" s="113" t="s">
        <v>1628</v>
      </c>
      <c r="D185" s="113" t="s">
        <v>1545</v>
      </c>
      <c r="E185" s="113" t="s">
        <v>1166</v>
      </c>
      <c r="F185" s="113">
        <v>11364.0</v>
      </c>
      <c r="G185" s="113">
        <v>26.0</v>
      </c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</row>
    <row r="186" ht="12.75" customHeight="1">
      <c r="A186" s="113" t="s">
        <v>53</v>
      </c>
      <c r="B186" s="113" t="s">
        <v>1629</v>
      </c>
      <c r="C186" s="113" t="s">
        <v>128</v>
      </c>
      <c r="D186" s="113" t="s">
        <v>1545</v>
      </c>
      <c r="E186" s="113" t="s">
        <v>1166</v>
      </c>
      <c r="F186" s="113">
        <v>11355.0</v>
      </c>
      <c r="G186" s="113">
        <v>25.0</v>
      </c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</row>
    <row r="187" ht="12.75" customHeight="1">
      <c r="A187" s="113" t="s">
        <v>541</v>
      </c>
      <c r="B187" s="113" t="s">
        <v>1630</v>
      </c>
      <c r="C187" s="113" t="s">
        <v>1631</v>
      </c>
      <c r="D187" s="113" t="s">
        <v>1545</v>
      </c>
      <c r="E187" s="113" t="s">
        <v>1166</v>
      </c>
      <c r="F187" s="113">
        <v>11001.0</v>
      </c>
      <c r="G187" s="113">
        <v>26.0</v>
      </c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</row>
    <row r="188" ht="12.75" customHeight="1">
      <c r="A188" s="113" t="s">
        <v>299</v>
      </c>
      <c r="B188" s="113" t="s">
        <v>1632</v>
      </c>
      <c r="C188" s="113" t="s">
        <v>1633</v>
      </c>
      <c r="D188" s="113" t="s">
        <v>1545</v>
      </c>
      <c r="E188" s="113" t="s">
        <v>1166</v>
      </c>
      <c r="F188" s="113">
        <v>11412.0</v>
      </c>
      <c r="G188" s="113">
        <v>29.0</v>
      </c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</row>
    <row r="189" ht="12.75" customHeight="1">
      <c r="A189" s="113" t="s">
        <v>1634</v>
      </c>
      <c r="B189" s="113" t="s">
        <v>1635</v>
      </c>
      <c r="C189" s="113" t="s">
        <v>1636</v>
      </c>
      <c r="D189" s="113" t="s">
        <v>1545</v>
      </c>
      <c r="E189" s="113" t="s">
        <v>1166</v>
      </c>
      <c r="F189" s="113">
        <v>11357.0</v>
      </c>
      <c r="G189" s="113">
        <v>25.0</v>
      </c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</row>
    <row r="190" ht="12.75" customHeight="1">
      <c r="A190" s="113" t="s">
        <v>301</v>
      </c>
      <c r="B190" s="113" t="s">
        <v>1637</v>
      </c>
      <c r="C190" s="113" t="s">
        <v>1638</v>
      </c>
      <c r="D190" s="113" t="s">
        <v>1545</v>
      </c>
      <c r="E190" s="113" t="s">
        <v>1166</v>
      </c>
      <c r="F190" s="113">
        <v>11375.0</v>
      </c>
      <c r="G190" s="113">
        <v>28.0</v>
      </c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</row>
    <row r="191" ht="12.75" customHeight="1">
      <c r="A191" s="113" t="s">
        <v>1639</v>
      </c>
      <c r="B191" s="113" t="s">
        <v>1640</v>
      </c>
      <c r="C191" s="113" t="s">
        <v>1641</v>
      </c>
      <c r="D191" s="113" t="s">
        <v>1545</v>
      </c>
      <c r="E191" s="113" t="s">
        <v>1166</v>
      </c>
      <c r="F191" s="113">
        <v>11365.0</v>
      </c>
      <c r="G191" s="113">
        <v>25.0</v>
      </c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</row>
    <row r="192" ht="12.75" customHeight="1">
      <c r="A192" s="113" t="s">
        <v>1642</v>
      </c>
      <c r="B192" s="113" t="s">
        <v>1643</v>
      </c>
      <c r="C192" s="113" t="s">
        <v>1644</v>
      </c>
      <c r="D192" s="113" t="s">
        <v>1545</v>
      </c>
      <c r="E192" s="113" t="s">
        <v>1166</v>
      </c>
      <c r="F192" s="113">
        <v>11364.0</v>
      </c>
      <c r="G192" s="113">
        <v>26.0</v>
      </c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</row>
    <row r="193" ht="12.75" customHeight="1">
      <c r="A193" s="113" t="s">
        <v>1645</v>
      </c>
      <c r="B193" s="113" t="s">
        <v>1646</v>
      </c>
      <c r="C193" s="113" t="s">
        <v>1647</v>
      </c>
      <c r="D193" s="113" t="s">
        <v>1545</v>
      </c>
      <c r="E193" s="113" t="s">
        <v>1166</v>
      </c>
      <c r="F193" s="113">
        <v>11364.0</v>
      </c>
      <c r="G193" s="113">
        <v>26.0</v>
      </c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</row>
    <row r="194" ht="12.75" customHeight="1">
      <c r="A194" s="113" t="s">
        <v>1648</v>
      </c>
      <c r="B194" s="113" t="s">
        <v>1649</v>
      </c>
      <c r="C194" s="113" t="s">
        <v>1650</v>
      </c>
      <c r="D194" s="113" t="s">
        <v>1545</v>
      </c>
      <c r="E194" s="113" t="s">
        <v>1166</v>
      </c>
      <c r="F194" s="113">
        <v>11416.0</v>
      </c>
      <c r="G194" s="113">
        <v>27.0</v>
      </c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</row>
    <row r="195" ht="12.75" customHeight="1">
      <c r="A195" s="113" t="s">
        <v>544</v>
      </c>
      <c r="B195" s="113" t="s">
        <v>1651</v>
      </c>
      <c r="C195" s="113" t="s">
        <v>1652</v>
      </c>
      <c r="D195" s="113" t="s">
        <v>1545</v>
      </c>
      <c r="E195" s="113" t="s">
        <v>1166</v>
      </c>
      <c r="F195" s="113">
        <v>11354.0</v>
      </c>
      <c r="G195" s="113">
        <v>25.0</v>
      </c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</row>
    <row r="196" ht="12.75" customHeight="1">
      <c r="A196" s="113" t="s">
        <v>1653</v>
      </c>
      <c r="B196" s="113" t="s">
        <v>1654</v>
      </c>
      <c r="C196" s="113" t="s">
        <v>1655</v>
      </c>
      <c r="D196" s="113" t="s">
        <v>1545</v>
      </c>
      <c r="E196" s="113" t="s">
        <v>1166</v>
      </c>
      <c r="F196" s="113">
        <v>11365.0</v>
      </c>
      <c r="G196" s="113">
        <v>26.0</v>
      </c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</row>
    <row r="197" ht="12.75" customHeight="1">
      <c r="A197" s="113" t="s">
        <v>1656</v>
      </c>
      <c r="B197" s="113" t="s">
        <v>1657</v>
      </c>
      <c r="C197" s="113" t="s">
        <v>1658</v>
      </c>
      <c r="D197" s="113" t="s">
        <v>1545</v>
      </c>
      <c r="E197" s="113" t="s">
        <v>1166</v>
      </c>
      <c r="F197" s="113">
        <v>11435.0</v>
      </c>
      <c r="G197" s="113">
        <v>28.0</v>
      </c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</row>
    <row r="198" ht="12.75" customHeight="1">
      <c r="A198" s="113" t="s">
        <v>1659</v>
      </c>
      <c r="B198" s="113" t="s">
        <v>1660</v>
      </c>
      <c r="C198" s="113" t="s">
        <v>1661</v>
      </c>
      <c r="D198" s="113" t="s">
        <v>1545</v>
      </c>
      <c r="E198" s="113" t="s">
        <v>1166</v>
      </c>
      <c r="F198" s="113">
        <v>11362.0</v>
      </c>
      <c r="G198" s="113">
        <v>26.0</v>
      </c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</row>
    <row r="199" ht="12.75" customHeight="1">
      <c r="A199" s="113" t="s">
        <v>1662</v>
      </c>
      <c r="B199" s="113" t="s">
        <v>1663</v>
      </c>
      <c r="C199" s="113" t="s">
        <v>1664</v>
      </c>
      <c r="D199" s="113" t="s">
        <v>1545</v>
      </c>
      <c r="E199" s="113" t="s">
        <v>1166</v>
      </c>
      <c r="F199" s="113">
        <v>11434.0</v>
      </c>
      <c r="G199" s="113">
        <v>27.0</v>
      </c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</row>
    <row r="200" ht="12.75" customHeight="1">
      <c r="A200" s="113" t="s">
        <v>304</v>
      </c>
      <c r="B200" s="113" t="s">
        <v>1665</v>
      </c>
      <c r="C200" s="113" t="s">
        <v>1666</v>
      </c>
      <c r="D200" s="113" t="s">
        <v>1545</v>
      </c>
      <c r="E200" s="113" t="s">
        <v>1166</v>
      </c>
      <c r="F200" s="113">
        <v>11694.0</v>
      </c>
      <c r="G200" s="113">
        <v>27.0</v>
      </c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</row>
    <row r="201" ht="12.75" customHeight="1">
      <c r="A201" s="113" t="s">
        <v>1667</v>
      </c>
      <c r="B201" s="113" t="s">
        <v>1668</v>
      </c>
      <c r="C201" s="113" t="s">
        <v>1669</v>
      </c>
      <c r="D201" s="113" t="s">
        <v>1545</v>
      </c>
      <c r="E201" s="113" t="s">
        <v>1166</v>
      </c>
      <c r="F201" s="113">
        <v>11413.0</v>
      </c>
      <c r="G201" s="113">
        <v>29.0</v>
      </c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</row>
    <row r="202" ht="12.75" customHeight="1">
      <c r="A202" s="113" t="s">
        <v>1670</v>
      </c>
      <c r="B202" s="113" t="s">
        <v>1671</v>
      </c>
      <c r="C202" s="113" t="s">
        <v>1672</v>
      </c>
      <c r="D202" s="113" t="s">
        <v>1545</v>
      </c>
      <c r="E202" s="113" t="s">
        <v>1166</v>
      </c>
      <c r="F202" s="113">
        <v>11103.0</v>
      </c>
      <c r="G202" s="113">
        <v>30.0</v>
      </c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</row>
    <row r="203" ht="12.75" customHeight="1">
      <c r="A203" s="113" t="s">
        <v>308</v>
      </c>
      <c r="B203" s="113" t="s">
        <v>1673</v>
      </c>
      <c r="C203" s="113" t="s">
        <v>1674</v>
      </c>
      <c r="D203" s="113" t="s">
        <v>1545</v>
      </c>
      <c r="E203" s="113" t="s">
        <v>1166</v>
      </c>
      <c r="F203" s="113">
        <v>11434.0</v>
      </c>
      <c r="G203" s="113">
        <v>27.0</v>
      </c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</row>
    <row r="204" ht="12.75" customHeight="1">
      <c r="A204" s="113" t="s">
        <v>1675</v>
      </c>
      <c r="B204" s="113" t="s">
        <v>1676</v>
      </c>
      <c r="C204" s="113" t="s">
        <v>1677</v>
      </c>
      <c r="D204" s="113" t="s">
        <v>1545</v>
      </c>
      <c r="E204" s="113" t="s">
        <v>1166</v>
      </c>
      <c r="F204" s="113">
        <v>11361.0</v>
      </c>
      <c r="G204" s="113">
        <v>26.0</v>
      </c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</row>
    <row r="205" ht="12.75" customHeight="1">
      <c r="A205" s="113" t="s">
        <v>310</v>
      </c>
      <c r="B205" s="113" t="s">
        <v>1678</v>
      </c>
      <c r="C205" s="113" t="s">
        <v>1679</v>
      </c>
      <c r="D205" s="113" t="s">
        <v>1545</v>
      </c>
      <c r="E205" s="113" t="s">
        <v>1166</v>
      </c>
      <c r="F205" s="113">
        <v>11413.0</v>
      </c>
      <c r="G205" s="113">
        <v>29.0</v>
      </c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</row>
    <row r="206" ht="12.75" customHeight="1">
      <c r="A206" s="113" t="s">
        <v>1680</v>
      </c>
      <c r="B206" s="113" t="s">
        <v>1681</v>
      </c>
      <c r="C206" s="113" t="s">
        <v>1682</v>
      </c>
      <c r="D206" s="113" t="s">
        <v>1545</v>
      </c>
      <c r="E206" s="113" t="s">
        <v>1166</v>
      </c>
      <c r="F206" s="113">
        <v>11367.0</v>
      </c>
      <c r="G206" s="113">
        <v>25.0</v>
      </c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</row>
    <row r="207" ht="12.75" customHeight="1">
      <c r="A207" s="113" t="s">
        <v>1683</v>
      </c>
      <c r="B207" s="113" t="s">
        <v>1684</v>
      </c>
      <c r="C207" s="113" t="s">
        <v>1685</v>
      </c>
      <c r="D207" s="113" t="s">
        <v>1545</v>
      </c>
      <c r="E207" s="113" t="s">
        <v>1166</v>
      </c>
      <c r="F207" s="113">
        <v>11427.0</v>
      </c>
      <c r="G207" s="113">
        <v>26.0</v>
      </c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</row>
    <row r="208" ht="12.75" customHeight="1">
      <c r="A208" s="113" t="s">
        <v>1686</v>
      </c>
      <c r="B208" s="113" t="s">
        <v>1687</v>
      </c>
      <c r="C208" s="113" t="s">
        <v>1688</v>
      </c>
      <c r="D208" s="113" t="s">
        <v>1545</v>
      </c>
      <c r="E208" s="113" t="s">
        <v>1166</v>
      </c>
      <c r="F208" s="113">
        <v>11694.0</v>
      </c>
      <c r="G208" s="113">
        <v>27.0</v>
      </c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</row>
    <row r="209" ht="12.75" customHeight="1">
      <c r="A209" s="113" t="s">
        <v>1689</v>
      </c>
      <c r="B209" s="113" t="s">
        <v>1690</v>
      </c>
      <c r="C209" s="113" t="s">
        <v>1691</v>
      </c>
      <c r="D209" s="113" t="s">
        <v>1545</v>
      </c>
      <c r="E209" s="113" t="s">
        <v>1166</v>
      </c>
      <c r="F209" s="113">
        <v>11428.0</v>
      </c>
      <c r="G209" s="113">
        <v>29.0</v>
      </c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</row>
    <row r="210" ht="12.75" customHeight="1">
      <c r="A210" s="113" t="s">
        <v>550</v>
      </c>
      <c r="B210" s="113" t="s">
        <v>1692</v>
      </c>
      <c r="C210" s="113" t="s">
        <v>1693</v>
      </c>
      <c r="D210" s="113" t="s">
        <v>1545</v>
      </c>
      <c r="E210" s="113" t="s">
        <v>1166</v>
      </c>
      <c r="F210" s="113">
        <v>11101.0</v>
      </c>
      <c r="G210" s="113">
        <v>30.0</v>
      </c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</row>
    <row r="211" ht="12.75" customHeight="1">
      <c r="A211" s="113" t="s">
        <v>1694</v>
      </c>
      <c r="B211" s="113" t="s">
        <v>1695</v>
      </c>
      <c r="C211" s="113" t="s">
        <v>1696</v>
      </c>
      <c r="D211" s="113" t="s">
        <v>1545</v>
      </c>
      <c r="E211" s="113" t="s">
        <v>1166</v>
      </c>
      <c r="F211" s="113">
        <v>11368.0</v>
      </c>
      <c r="G211" s="113">
        <v>24.0</v>
      </c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</row>
    <row r="212" ht="12.75" customHeight="1">
      <c r="A212" s="113" t="s">
        <v>552</v>
      </c>
      <c r="B212" s="113" t="s">
        <v>1697</v>
      </c>
      <c r="C212" s="113" t="s">
        <v>1698</v>
      </c>
      <c r="D212" s="113" t="s">
        <v>1545</v>
      </c>
      <c r="E212" s="113" t="s">
        <v>1166</v>
      </c>
      <c r="F212" s="113">
        <v>11354.0</v>
      </c>
      <c r="G212" s="113">
        <v>25.0</v>
      </c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</row>
    <row r="213" ht="12.75" customHeight="1">
      <c r="A213" s="113" t="s">
        <v>555</v>
      </c>
      <c r="B213" s="113" t="s">
        <v>1699</v>
      </c>
      <c r="C213" s="113" t="s">
        <v>1700</v>
      </c>
      <c r="D213" s="113" t="s">
        <v>1545</v>
      </c>
      <c r="E213" s="113" t="s">
        <v>1166</v>
      </c>
      <c r="F213" s="113">
        <v>11691.0</v>
      </c>
      <c r="G213" s="113">
        <v>27.0</v>
      </c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</row>
    <row r="214" ht="12.75" customHeight="1">
      <c r="A214" s="113" t="s">
        <v>1701</v>
      </c>
      <c r="B214" s="113" t="s">
        <v>1702</v>
      </c>
      <c r="C214" s="113" t="s">
        <v>1703</v>
      </c>
      <c r="D214" s="113" t="s">
        <v>1545</v>
      </c>
      <c r="E214" s="113" t="s">
        <v>1166</v>
      </c>
      <c r="F214" s="113">
        <v>11418.0</v>
      </c>
      <c r="G214" s="113">
        <v>27.0</v>
      </c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</row>
    <row r="215" ht="12.75" customHeight="1">
      <c r="A215" s="113" t="s">
        <v>1704</v>
      </c>
      <c r="B215" s="113" t="s">
        <v>1705</v>
      </c>
      <c r="C215" s="113" t="s">
        <v>1706</v>
      </c>
      <c r="D215" s="113" t="s">
        <v>1545</v>
      </c>
      <c r="E215" s="113" t="s">
        <v>1166</v>
      </c>
      <c r="F215" s="113">
        <v>11417.0</v>
      </c>
      <c r="G215" s="113">
        <v>27.0</v>
      </c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</row>
    <row r="216" ht="12.75" customHeight="1">
      <c r="A216" s="113" t="s">
        <v>1707</v>
      </c>
      <c r="B216" s="113" t="s">
        <v>1708</v>
      </c>
      <c r="C216" s="113" t="s">
        <v>1709</v>
      </c>
      <c r="D216" s="113" t="s">
        <v>1545</v>
      </c>
      <c r="E216" s="113" t="s">
        <v>1166</v>
      </c>
      <c r="F216" s="113">
        <v>11411.0</v>
      </c>
      <c r="G216" s="113">
        <v>29.0</v>
      </c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</row>
    <row r="217" ht="12.75" customHeight="1">
      <c r="A217" s="113" t="s">
        <v>1710</v>
      </c>
      <c r="B217" s="113" t="s">
        <v>1711</v>
      </c>
      <c r="C217" s="113"/>
      <c r="D217" s="113" t="s">
        <v>1545</v>
      </c>
      <c r="E217" s="113"/>
      <c r="F217" s="113"/>
      <c r="G217" s="113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</row>
    <row r="218" ht="12.75" customHeight="1">
      <c r="A218" s="113" t="s">
        <v>1712</v>
      </c>
      <c r="B218" s="113" t="s">
        <v>1713</v>
      </c>
      <c r="C218" s="113" t="s">
        <v>1714</v>
      </c>
      <c r="D218" s="113" t="s">
        <v>1545</v>
      </c>
      <c r="E218" s="113" t="s">
        <v>1166</v>
      </c>
      <c r="F218" s="113">
        <v>11694.0</v>
      </c>
      <c r="G218" s="113">
        <v>27.0</v>
      </c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</row>
    <row r="219" ht="12.75" customHeight="1">
      <c r="A219" s="113" t="s">
        <v>1715</v>
      </c>
      <c r="B219" s="113" t="s">
        <v>1716</v>
      </c>
      <c r="C219" s="113" t="s">
        <v>1717</v>
      </c>
      <c r="D219" s="113" t="s">
        <v>1545</v>
      </c>
      <c r="E219" s="113" t="s">
        <v>1166</v>
      </c>
      <c r="F219" s="113">
        <v>11101.0</v>
      </c>
      <c r="G219" s="113">
        <v>30.0</v>
      </c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</row>
    <row r="220" ht="12.75" customHeight="1">
      <c r="A220" s="113" t="s">
        <v>313</v>
      </c>
      <c r="B220" s="113" t="s">
        <v>1718</v>
      </c>
      <c r="C220" s="113" t="s">
        <v>1719</v>
      </c>
      <c r="D220" s="113" t="s">
        <v>1545</v>
      </c>
      <c r="E220" s="113" t="s">
        <v>1166</v>
      </c>
      <c r="F220" s="113">
        <v>11101.0</v>
      </c>
      <c r="G220" s="113">
        <v>30.0</v>
      </c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</row>
    <row r="221" ht="12.75" customHeight="1">
      <c r="A221" s="113" t="s">
        <v>1720</v>
      </c>
      <c r="B221" s="113" t="s">
        <v>1721</v>
      </c>
      <c r="C221" s="113" t="s">
        <v>1722</v>
      </c>
      <c r="D221" s="113" t="s">
        <v>1545</v>
      </c>
      <c r="E221" s="113" t="s">
        <v>1166</v>
      </c>
      <c r="F221" s="113">
        <v>11101.0</v>
      </c>
      <c r="G221" s="113">
        <v>30.0</v>
      </c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</row>
    <row r="222" ht="12.75" customHeight="1">
      <c r="A222" s="113" t="s">
        <v>562</v>
      </c>
      <c r="B222" s="113" t="s">
        <v>1397</v>
      </c>
      <c r="C222" s="113" t="s">
        <v>1723</v>
      </c>
      <c r="D222" s="113" t="s">
        <v>1724</v>
      </c>
      <c r="E222" s="113" t="s">
        <v>1166</v>
      </c>
      <c r="F222" s="113">
        <v>10307.0</v>
      </c>
      <c r="G222" s="113">
        <v>31.0</v>
      </c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</row>
    <row r="223" ht="12.75" customHeight="1">
      <c r="A223" s="113" t="s">
        <v>316</v>
      </c>
      <c r="B223" s="113" t="s">
        <v>1725</v>
      </c>
      <c r="C223" s="113" t="s">
        <v>1726</v>
      </c>
      <c r="D223" s="113" t="s">
        <v>1724</v>
      </c>
      <c r="E223" s="113" t="s">
        <v>1166</v>
      </c>
      <c r="F223" s="113">
        <v>10306.0</v>
      </c>
      <c r="G223" s="113">
        <v>31.0</v>
      </c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</row>
    <row r="224" ht="12.75" customHeight="1">
      <c r="A224" s="113" t="s">
        <v>1727</v>
      </c>
      <c r="B224" s="113" t="s">
        <v>1728</v>
      </c>
      <c r="C224" s="113" t="s">
        <v>1729</v>
      </c>
      <c r="D224" s="113" t="s">
        <v>1724</v>
      </c>
      <c r="E224" s="113" t="s">
        <v>1166</v>
      </c>
      <c r="F224" s="113">
        <v>10312.0</v>
      </c>
      <c r="G224" s="113">
        <v>31.0</v>
      </c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</row>
    <row r="225" ht="12.75" customHeight="1">
      <c r="A225" s="113" t="s">
        <v>564</v>
      </c>
      <c r="B225" s="113" t="s">
        <v>1730</v>
      </c>
      <c r="C225" s="113" t="s">
        <v>1731</v>
      </c>
      <c r="D225" s="113" t="s">
        <v>1724</v>
      </c>
      <c r="E225" s="113" t="s">
        <v>1166</v>
      </c>
      <c r="F225" s="113">
        <v>10312.0</v>
      </c>
      <c r="G225" s="113">
        <v>31.0</v>
      </c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</row>
    <row r="226" ht="12.75" customHeight="1">
      <c r="A226" s="113" t="s">
        <v>1732</v>
      </c>
      <c r="B226" s="113" t="s">
        <v>1733</v>
      </c>
      <c r="C226" s="113" t="s">
        <v>1734</v>
      </c>
      <c r="D226" s="113" t="s">
        <v>1724</v>
      </c>
      <c r="E226" s="113" t="s">
        <v>1166</v>
      </c>
      <c r="F226" s="113">
        <v>10308.0</v>
      </c>
      <c r="G226" s="113">
        <v>31.0</v>
      </c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</row>
    <row r="227" ht="12.75" customHeight="1">
      <c r="A227" s="113" t="s">
        <v>319</v>
      </c>
      <c r="B227" s="113" t="s">
        <v>1735</v>
      </c>
      <c r="C227" s="113" t="s">
        <v>1736</v>
      </c>
      <c r="D227" s="113" t="s">
        <v>1724</v>
      </c>
      <c r="E227" s="113" t="s">
        <v>1166</v>
      </c>
      <c r="F227" s="113">
        <v>10305.0</v>
      </c>
      <c r="G227" s="113">
        <v>31.0</v>
      </c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</row>
    <row r="228" ht="12.75" customHeight="1">
      <c r="A228" s="113" t="s">
        <v>1737</v>
      </c>
      <c r="B228" s="113" t="s">
        <v>1543</v>
      </c>
      <c r="C228" s="113" t="s">
        <v>1738</v>
      </c>
      <c r="D228" s="113" t="s">
        <v>1724</v>
      </c>
      <c r="E228" s="113" t="s">
        <v>1166</v>
      </c>
      <c r="F228" s="113">
        <v>10304.0</v>
      </c>
      <c r="G228" s="113">
        <v>31.0</v>
      </c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</row>
    <row r="229" ht="12.75" customHeight="1">
      <c r="A229" s="113" t="s">
        <v>1739</v>
      </c>
      <c r="B229" s="113" t="s">
        <v>1173</v>
      </c>
      <c r="C229" s="113" t="s">
        <v>1740</v>
      </c>
      <c r="D229" s="113" t="s">
        <v>1724</v>
      </c>
      <c r="E229" s="113" t="s">
        <v>1166</v>
      </c>
      <c r="F229" s="113">
        <v>10310.0</v>
      </c>
      <c r="G229" s="113">
        <v>31.0</v>
      </c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</row>
    <row r="230" ht="12.75" customHeight="1">
      <c r="A230" s="113" t="s">
        <v>323</v>
      </c>
      <c r="B230" s="113" t="s">
        <v>1555</v>
      </c>
      <c r="C230" s="113" t="s">
        <v>1741</v>
      </c>
      <c r="D230" s="113" t="s">
        <v>1724</v>
      </c>
      <c r="E230" s="113" t="s">
        <v>1166</v>
      </c>
      <c r="F230" s="113">
        <v>10303.0</v>
      </c>
      <c r="G230" s="113">
        <v>31.0</v>
      </c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</row>
    <row r="231" ht="12.75" customHeight="1">
      <c r="A231" s="113" t="s">
        <v>567</v>
      </c>
      <c r="B231" s="113" t="s">
        <v>1742</v>
      </c>
      <c r="C231" s="113" t="s">
        <v>1743</v>
      </c>
      <c r="D231" s="113" t="s">
        <v>1724</v>
      </c>
      <c r="E231" s="113" t="s">
        <v>1166</v>
      </c>
      <c r="F231" s="113">
        <v>10306.0</v>
      </c>
      <c r="G231" s="113">
        <v>31.0</v>
      </c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</row>
    <row r="232" ht="12.75" customHeight="1">
      <c r="A232" s="113" t="s">
        <v>326</v>
      </c>
      <c r="B232" s="113" t="s">
        <v>1744</v>
      </c>
      <c r="C232" s="113" t="s">
        <v>1745</v>
      </c>
      <c r="D232" s="113" t="s">
        <v>1724</v>
      </c>
      <c r="E232" s="113" t="s">
        <v>1166</v>
      </c>
      <c r="F232" s="113">
        <v>10308.0</v>
      </c>
      <c r="G232" s="113">
        <v>31.0</v>
      </c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</row>
    <row r="233" ht="12.75" customHeight="1">
      <c r="A233" s="113" t="s">
        <v>329</v>
      </c>
      <c r="B233" s="113" t="s">
        <v>1746</v>
      </c>
      <c r="C233" s="113" t="s">
        <v>1747</v>
      </c>
      <c r="D233" s="113" t="s">
        <v>1724</v>
      </c>
      <c r="E233" s="113" t="s">
        <v>1166</v>
      </c>
      <c r="F233" s="113">
        <v>10314.0</v>
      </c>
      <c r="G233" s="113">
        <v>31.0</v>
      </c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</row>
    <row r="234" ht="12.75" customHeight="1">
      <c r="A234" s="113" t="s">
        <v>1748</v>
      </c>
      <c r="B234" s="113" t="s">
        <v>1408</v>
      </c>
      <c r="C234" s="113" t="s">
        <v>1749</v>
      </c>
      <c r="D234" s="113" t="s">
        <v>1724</v>
      </c>
      <c r="E234" s="113" t="s">
        <v>1166</v>
      </c>
      <c r="F234" s="113">
        <v>10314.0</v>
      </c>
      <c r="G234" s="113">
        <v>31.0</v>
      </c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</row>
    <row r="235" ht="12.75" customHeight="1">
      <c r="A235" s="113" t="s">
        <v>332</v>
      </c>
      <c r="B235" s="113" t="s">
        <v>1750</v>
      </c>
      <c r="C235" s="113" t="s">
        <v>1751</v>
      </c>
      <c r="D235" s="113" t="s">
        <v>1724</v>
      </c>
      <c r="E235" s="113" t="s">
        <v>1166</v>
      </c>
      <c r="F235" s="113">
        <v>10308.0</v>
      </c>
      <c r="G235" s="113">
        <v>31.0</v>
      </c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</row>
    <row r="236" ht="12.75" customHeight="1">
      <c r="A236" s="113" t="s">
        <v>1752</v>
      </c>
      <c r="B236" s="113" t="s">
        <v>1753</v>
      </c>
      <c r="C236" s="113" t="s">
        <v>1754</v>
      </c>
      <c r="D236" s="113" t="s">
        <v>1724</v>
      </c>
      <c r="E236" s="113" t="s">
        <v>1166</v>
      </c>
      <c r="F236" s="113">
        <v>10307.0</v>
      </c>
      <c r="G236" s="113">
        <v>31.0</v>
      </c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</row>
    <row r="237" ht="12.75" customHeight="1">
      <c r="A237" s="113" t="s">
        <v>569</v>
      </c>
      <c r="B237" s="113" t="s">
        <v>1755</v>
      </c>
      <c r="C237" s="113" t="s">
        <v>1756</v>
      </c>
      <c r="D237" s="113" t="s">
        <v>1724</v>
      </c>
      <c r="E237" s="113" t="s">
        <v>1166</v>
      </c>
      <c r="F237" s="113">
        <v>10301.0</v>
      </c>
      <c r="G237" s="113">
        <v>31.0</v>
      </c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</row>
    <row r="238" ht="12.75" customHeight="1">
      <c r="A238" s="113" t="s">
        <v>572</v>
      </c>
      <c r="B238" s="113" t="s">
        <v>1757</v>
      </c>
      <c r="C238" s="113" t="s">
        <v>1758</v>
      </c>
      <c r="D238" s="113" t="s">
        <v>1724</v>
      </c>
      <c r="E238" s="113" t="s">
        <v>1166</v>
      </c>
      <c r="F238" s="113">
        <v>10312.0</v>
      </c>
      <c r="G238" s="113">
        <v>31.0</v>
      </c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</row>
    <row r="239" ht="12.75" customHeight="1">
      <c r="A239" s="113" t="s">
        <v>1759</v>
      </c>
      <c r="B239" s="113" t="s">
        <v>1760</v>
      </c>
      <c r="C239" s="113" t="s">
        <v>1761</v>
      </c>
      <c r="D239" s="113" t="s">
        <v>1724</v>
      </c>
      <c r="E239" s="113" t="s">
        <v>1166</v>
      </c>
      <c r="F239" s="113">
        <v>10310.0</v>
      </c>
      <c r="G239" s="113">
        <v>31.0</v>
      </c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</row>
    <row r="240" ht="12.75" customHeight="1">
      <c r="A240" s="113" t="s">
        <v>335</v>
      </c>
      <c r="B240" s="113" t="s">
        <v>1762</v>
      </c>
      <c r="C240" s="113" t="s">
        <v>1763</v>
      </c>
      <c r="D240" s="113" t="s">
        <v>1724</v>
      </c>
      <c r="E240" s="113" t="s">
        <v>1166</v>
      </c>
      <c r="F240" s="113">
        <v>10304.0</v>
      </c>
      <c r="G240" s="113">
        <v>31.0</v>
      </c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</row>
    <row r="241" ht="12.75" customHeight="1">
      <c r="A241" s="113" t="s">
        <v>1764</v>
      </c>
      <c r="B241" s="113" t="s">
        <v>1765</v>
      </c>
      <c r="C241" s="113" t="s">
        <v>1766</v>
      </c>
      <c r="D241" s="113" t="s">
        <v>1724</v>
      </c>
      <c r="E241" s="113" t="s">
        <v>1166</v>
      </c>
      <c r="F241" s="113">
        <v>10306.0</v>
      </c>
      <c r="G241" s="113">
        <v>31.0</v>
      </c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</row>
    <row r="242" ht="12.75" customHeight="1">
      <c r="A242" s="113" t="s">
        <v>338</v>
      </c>
      <c r="B242" s="113" t="s">
        <v>1767</v>
      </c>
      <c r="C242" s="113" t="s">
        <v>1768</v>
      </c>
      <c r="D242" s="113" t="s">
        <v>1724</v>
      </c>
      <c r="E242" s="113" t="s">
        <v>1166</v>
      </c>
      <c r="F242" s="113">
        <v>10308.0</v>
      </c>
      <c r="G242" s="113">
        <v>31.0</v>
      </c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</row>
    <row r="243" ht="12.75" customHeight="1">
      <c r="A243" s="113" t="s">
        <v>340</v>
      </c>
      <c r="B243" s="113" t="s">
        <v>1769</v>
      </c>
      <c r="C243" s="113" t="s">
        <v>1770</v>
      </c>
      <c r="D243" s="113" t="s">
        <v>1724</v>
      </c>
      <c r="E243" s="113" t="s">
        <v>1166</v>
      </c>
      <c r="F243" s="113">
        <v>10312.0</v>
      </c>
      <c r="G243" s="113">
        <v>31.0</v>
      </c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</row>
    <row r="244" ht="12.75" customHeight="1">
      <c r="A244" s="113" t="s">
        <v>574</v>
      </c>
      <c r="B244" s="113" t="s">
        <v>1771</v>
      </c>
      <c r="C244" s="113" t="s">
        <v>1772</v>
      </c>
      <c r="D244" s="113" t="s">
        <v>1724</v>
      </c>
      <c r="E244" s="113" t="s">
        <v>1166</v>
      </c>
      <c r="F244" s="113">
        <v>10304.0</v>
      </c>
      <c r="G244" s="113">
        <v>31.0</v>
      </c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</row>
    <row r="245" ht="12.75" customHeight="1">
      <c r="A245" s="113" t="s">
        <v>1773</v>
      </c>
      <c r="B245" s="113" t="s">
        <v>1774</v>
      </c>
      <c r="C245" s="113" t="s">
        <v>1775</v>
      </c>
      <c r="D245" s="113" t="s">
        <v>1724</v>
      </c>
      <c r="E245" s="113" t="s">
        <v>1166</v>
      </c>
      <c r="F245" s="113">
        <v>10301.0</v>
      </c>
      <c r="G245" s="113">
        <v>31.0</v>
      </c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</row>
    <row r="246" ht="12.75" customHeight="1">
      <c r="A246" s="113" t="s">
        <v>576</v>
      </c>
      <c r="B246" s="113" t="s">
        <v>1583</v>
      </c>
      <c r="C246" s="113" t="s">
        <v>1776</v>
      </c>
      <c r="D246" s="113" t="s">
        <v>1724</v>
      </c>
      <c r="E246" s="113" t="s">
        <v>1166</v>
      </c>
      <c r="F246" s="113">
        <v>10314.0</v>
      </c>
      <c r="G246" s="113">
        <v>31.0</v>
      </c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</row>
    <row r="247" ht="12.75" customHeight="1">
      <c r="A247" s="113" t="s">
        <v>1777</v>
      </c>
      <c r="B247" s="113" t="s">
        <v>1196</v>
      </c>
      <c r="C247" s="113" t="s">
        <v>1778</v>
      </c>
      <c r="D247" s="113" t="s">
        <v>1724</v>
      </c>
      <c r="E247" s="113" t="s">
        <v>1166</v>
      </c>
      <c r="F247" s="113">
        <v>10301.0</v>
      </c>
      <c r="G247" s="113">
        <v>31.0</v>
      </c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</row>
    <row r="248" ht="12.75" customHeight="1">
      <c r="A248" s="113" t="s">
        <v>1779</v>
      </c>
      <c r="B248" s="113" t="s">
        <v>1780</v>
      </c>
      <c r="C248" s="113" t="s">
        <v>1781</v>
      </c>
      <c r="D248" s="113" t="s">
        <v>1724</v>
      </c>
      <c r="E248" s="113" t="s">
        <v>1166</v>
      </c>
      <c r="F248" s="113">
        <v>10312.0</v>
      </c>
      <c r="G248" s="113">
        <v>31.0</v>
      </c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</row>
    <row r="249" ht="12.75" customHeight="1">
      <c r="A249" s="113" t="s">
        <v>579</v>
      </c>
      <c r="B249" s="113" t="s">
        <v>1782</v>
      </c>
      <c r="C249" s="113" t="s">
        <v>1783</v>
      </c>
      <c r="D249" s="113" t="s">
        <v>1724</v>
      </c>
      <c r="E249" s="113" t="s">
        <v>1166</v>
      </c>
      <c r="F249" s="113">
        <v>10304.0</v>
      </c>
      <c r="G249" s="113">
        <v>31.0</v>
      </c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</row>
    <row r="250" ht="12.75" customHeight="1">
      <c r="A250" s="113" t="s">
        <v>1784</v>
      </c>
      <c r="B250" s="113" t="s">
        <v>1785</v>
      </c>
      <c r="C250" s="113" t="s">
        <v>1786</v>
      </c>
      <c r="D250" s="113" t="s">
        <v>1724</v>
      </c>
      <c r="E250" s="113" t="s">
        <v>1166</v>
      </c>
      <c r="F250" s="113">
        <v>10306.0</v>
      </c>
      <c r="G250" s="113">
        <v>31.0</v>
      </c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</row>
    <row r="251" ht="12.75" customHeight="1">
      <c r="A251" s="113" t="s">
        <v>582</v>
      </c>
      <c r="B251" s="113" t="s">
        <v>1787</v>
      </c>
      <c r="C251" s="113" t="s">
        <v>1788</v>
      </c>
      <c r="D251" s="113" t="s">
        <v>1724</v>
      </c>
      <c r="E251" s="113" t="s">
        <v>1166</v>
      </c>
      <c r="F251" s="113">
        <v>10306.0</v>
      </c>
      <c r="G251" s="113">
        <v>31.0</v>
      </c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</row>
    <row r="252" ht="12.75" customHeight="1">
      <c r="A252" s="113" t="s">
        <v>636</v>
      </c>
      <c r="B252" s="113" t="s">
        <v>1789</v>
      </c>
      <c r="C252" s="113" t="s">
        <v>1790</v>
      </c>
      <c r="D252" s="113" t="s">
        <v>1724</v>
      </c>
      <c r="E252" s="113" t="s">
        <v>1166</v>
      </c>
      <c r="F252" s="113">
        <v>10302.0</v>
      </c>
      <c r="G252" s="113">
        <v>31.0</v>
      </c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</row>
    <row r="253" ht="12.75" customHeight="1">
      <c r="A253" s="113" t="s">
        <v>586</v>
      </c>
      <c r="B253" s="113" t="s">
        <v>1791</v>
      </c>
      <c r="C253" s="113" t="s">
        <v>1792</v>
      </c>
      <c r="D253" s="113" t="s">
        <v>1724</v>
      </c>
      <c r="E253" s="113" t="s">
        <v>1166</v>
      </c>
      <c r="F253" s="113">
        <v>10301.0</v>
      </c>
      <c r="G253" s="113">
        <v>31.0</v>
      </c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</row>
    <row r="254" ht="12.75" customHeight="1">
      <c r="A254" s="113" t="s">
        <v>38</v>
      </c>
      <c r="B254" s="113" t="s">
        <v>1793</v>
      </c>
      <c r="C254" s="113" t="s">
        <v>124</v>
      </c>
      <c r="D254" s="113" t="s">
        <v>1724</v>
      </c>
      <c r="E254" s="113" t="s">
        <v>1166</v>
      </c>
      <c r="F254" s="113">
        <v>10312.0</v>
      </c>
      <c r="G254" s="113">
        <v>31.0</v>
      </c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</row>
    <row r="255" ht="12.75" customHeight="1">
      <c r="A255" s="113" t="s">
        <v>1794</v>
      </c>
      <c r="B255" s="113" t="s">
        <v>1795</v>
      </c>
      <c r="C255" s="113" t="s">
        <v>1796</v>
      </c>
      <c r="D255" s="113" t="s">
        <v>1724</v>
      </c>
      <c r="E255" s="113" t="s">
        <v>1166</v>
      </c>
      <c r="F255" s="113">
        <v>10314.0</v>
      </c>
      <c r="G255" s="113">
        <v>31.0</v>
      </c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</row>
    <row r="256" ht="12.75" customHeight="1">
      <c r="A256" s="113" t="s">
        <v>588</v>
      </c>
      <c r="B256" s="113" t="s">
        <v>1797</v>
      </c>
      <c r="C256" s="113" t="s">
        <v>1798</v>
      </c>
      <c r="D256" s="113" t="s">
        <v>1724</v>
      </c>
      <c r="E256" s="113" t="s">
        <v>1166</v>
      </c>
      <c r="F256" s="113">
        <v>10301.0</v>
      </c>
      <c r="G256" s="113">
        <v>31.0</v>
      </c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</row>
    <row r="257" ht="12.75" customHeight="1">
      <c r="A257" s="113" t="s">
        <v>1799</v>
      </c>
      <c r="B257" s="113" t="s">
        <v>1800</v>
      </c>
      <c r="C257" s="113" t="s">
        <v>1801</v>
      </c>
      <c r="D257" s="113" t="s">
        <v>1724</v>
      </c>
      <c r="E257" s="113" t="s">
        <v>1166</v>
      </c>
      <c r="F257" s="113">
        <v>10309.0</v>
      </c>
      <c r="G257" s="113">
        <v>31.0</v>
      </c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</row>
    <row r="258" ht="12.75" customHeight="1">
      <c r="A258" s="113" t="s">
        <v>1802</v>
      </c>
      <c r="B258" s="113" t="s">
        <v>1803</v>
      </c>
      <c r="C258" s="113" t="s">
        <v>1804</v>
      </c>
      <c r="D258" s="113" t="s">
        <v>1724</v>
      </c>
      <c r="E258" s="113" t="s">
        <v>1166</v>
      </c>
      <c r="F258" s="113">
        <v>10301.0</v>
      </c>
      <c r="G258" s="113">
        <v>31.0</v>
      </c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</row>
    <row r="259" ht="12.75" customHeight="1">
      <c r="A259" s="113" t="s">
        <v>1805</v>
      </c>
      <c r="B259" s="113" t="s">
        <v>1806</v>
      </c>
      <c r="C259" s="113" t="s">
        <v>1807</v>
      </c>
      <c r="D259" s="113" t="s">
        <v>1724</v>
      </c>
      <c r="E259" s="113" t="s">
        <v>1166</v>
      </c>
      <c r="F259" s="113">
        <v>10301.0</v>
      </c>
      <c r="G259" s="113">
        <v>31.0</v>
      </c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</row>
    <row r="260" ht="12.75" customHeight="1">
      <c r="A260" s="113" t="s">
        <v>1808</v>
      </c>
      <c r="B260" s="113" t="s">
        <v>1809</v>
      </c>
      <c r="C260" s="113" t="s">
        <v>1807</v>
      </c>
      <c r="D260" s="113" t="s">
        <v>1724</v>
      </c>
      <c r="E260" s="113" t="s">
        <v>1166</v>
      </c>
      <c r="F260" s="113">
        <v>10301.0</v>
      </c>
      <c r="G260" s="113">
        <v>31.0</v>
      </c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</row>
    <row r="261" ht="12.75" customHeight="1">
      <c r="A261" s="113" t="s">
        <v>344</v>
      </c>
      <c r="B261" s="113" t="s">
        <v>1728</v>
      </c>
      <c r="C261" s="113" t="s">
        <v>1810</v>
      </c>
      <c r="D261" s="113" t="s">
        <v>1811</v>
      </c>
      <c r="E261" s="113" t="s">
        <v>1166</v>
      </c>
      <c r="F261" s="113">
        <v>10455.0</v>
      </c>
      <c r="G261" s="113">
        <v>7.0</v>
      </c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</row>
    <row r="262" ht="12.75" customHeight="1">
      <c r="A262" s="113" t="s">
        <v>1812</v>
      </c>
      <c r="B262" s="113" t="s">
        <v>1813</v>
      </c>
      <c r="C262" s="113" t="s">
        <v>1814</v>
      </c>
      <c r="D262" s="113" t="s">
        <v>1811</v>
      </c>
      <c r="E262" s="113" t="s">
        <v>1166</v>
      </c>
      <c r="F262" s="113">
        <v>10452.0</v>
      </c>
      <c r="G262" s="113">
        <v>9.0</v>
      </c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</row>
    <row r="263" ht="12.75" customHeight="1">
      <c r="A263" s="113" t="s">
        <v>1815</v>
      </c>
      <c r="B263" s="113" t="s">
        <v>1175</v>
      </c>
      <c r="C263" s="113" t="s">
        <v>1816</v>
      </c>
      <c r="D263" s="113" t="s">
        <v>1811</v>
      </c>
      <c r="E263" s="113" t="s">
        <v>1166</v>
      </c>
      <c r="F263" s="113">
        <v>10470.0</v>
      </c>
      <c r="G263" s="113">
        <v>11.0</v>
      </c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</row>
    <row r="264" ht="12.75" customHeight="1">
      <c r="A264" s="113" t="s">
        <v>1817</v>
      </c>
      <c r="B264" s="113" t="s">
        <v>1818</v>
      </c>
      <c r="C264" s="113" t="s">
        <v>1819</v>
      </c>
      <c r="D264" s="113" t="s">
        <v>1811</v>
      </c>
      <c r="E264" s="113" t="s">
        <v>1166</v>
      </c>
      <c r="F264" s="113">
        <v>10455.0</v>
      </c>
      <c r="G264" s="113">
        <v>7.0</v>
      </c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</row>
    <row r="265" ht="12.75" customHeight="1">
      <c r="A265" s="113" t="s">
        <v>1820</v>
      </c>
      <c r="B265" s="113" t="s">
        <v>1406</v>
      </c>
      <c r="C265" s="113" t="s">
        <v>1821</v>
      </c>
      <c r="D265" s="113" t="s">
        <v>1811</v>
      </c>
      <c r="E265" s="113" t="s">
        <v>1166</v>
      </c>
      <c r="F265" s="113">
        <v>10457.0</v>
      </c>
      <c r="G265" s="113">
        <v>9.0</v>
      </c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</row>
    <row r="266" ht="12.75" customHeight="1">
      <c r="A266" s="113" t="s">
        <v>347</v>
      </c>
      <c r="B266" s="113" t="s">
        <v>1408</v>
      </c>
      <c r="C266" s="113" t="s">
        <v>1822</v>
      </c>
      <c r="D266" s="113" t="s">
        <v>1811</v>
      </c>
      <c r="E266" s="113" t="s">
        <v>1166</v>
      </c>
      <c r="F266" s="113">
        <v>10454.0</v>
      </c>
      <c r="G266" s="113">
        <v>7.0</v>
      </c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</row>
    <row r="267" ht="12.75" customHeight="1">
      <c r="A267" s="113" t="s">
        <v>1823</v>
      </c>
      <c r="B267" s="113" t="s">
        <v>1824</v>
      </c>
      <c r="C267" s="113" t="s">
        <v>1825</v>
      </c>
      <c r="D267" s="113" t="s">
        <v>1811</v>
      </c>
      <c r="E267" s="113" t="s">
        <v>1166</v>
      </c>
      <c r="F267" s="113">
        <v>10459.0</v>
      </c>
      <c r="G267" s="113">
        <v>8.0</v>
      </c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</row>
    <row r="268" ht="12.75" customHeight="1">
      <c r="A268" s="113" t="s">
        <v>350</v>
      </c>
      <c r="B268" s="113" t="s">
        <v>1577</v>
      </c>
      <c r="C268" s="113" t="s">
        <v>1826</v>
      </c>
      <c r="D268" s="113" t="s">
        <v>1811</v>
      </c>
      <c r="E268" s="113" t="s">
        <v>1166</v>
      </c>
      <c r="F268" s="113">
        <v>10467.0</v>
      </c>
      <c r="G268" s="113">
        <v>11.0</v>
      </c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</row>
    <row r="269" ht="12.75" customHeight="1">
      <c r="A269" s="113" t="s">
        <v>1827</v>
      </c>
      <c r="B269" s="113" t="s">
        <v>1828</v>
      </c>
      <c r="C269" s="113" t="s">
        <v>1829</v>
      </c>
      <c r="D269" s="113" t="s">
        <v>1811</v>
      </c>
      <c r="E269" s="113" t="s">
        <v>1166</v>
      </c>
      <c r="F269" s="113">
        <v>10454.0</v>
      </c>
      <c r="G269" s="113">
        <v>7.0</v>
      </c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</row>
    <row r="270" ht="12.75" customHeight="1">
      <c r="A270" s="113" t="s">
        <v>592</v>
      </c>
      <c r="B270" s="113" t="s">
        <v>1418</v>
      </c>
      <c r="C270" s="113" t="s">
        <v>1830</v>
      </c>
      <c r="D270" s="113" t="s">
        <v>1811</v>
      </c>
      <c r="E270" s="113" t="s">
        <v>1166</v>
      </c>
      <c r="F270" s="113">
        <v>10460.0</v>
      </c>
      <c r="G270" s="113">
        <v>12.0</v>
      </c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</row>
    <row r="271" ht="12.75" customHeight="1">
      <c r="A271" s="113" t="s">
        <v>1831</v>
      </c>
      <c r="B271" s="113" t="s">
        <v>1832</v>
      </c>
      <c r="C271" s="113" t="s">
        <v>1833</v>
      </c>
      <c r="D271" s="113" t="s">
        <v>1811</v>
      </c>
      <c r="E271" s="113" t="s">
        <v>1166</v>
      </c>
      <c r="F271" s="113">
        <v>10454.0</v>
      </c>
      <c r="G271" s="113">
        <v>7.0</v>
      </c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</row>
    <row r="272" ht="12.75" customHeight="1">
      <c r="A272" s="113" t="s">
        <v>596</v>
      </c>
      <c r="B272" s="113" t="s">
        <v>1834</v>
      </c>
      <c r="C272" s="113" t="s">
        <v>1835</v>
      </c>
      <c r="D272" s="113" t="s">
        <v>1811</v>
      </c>
      <c r="E272" s="113" t="s">
        <v>1166</v>
      </c>
      <c r="F272" s="113" t="s">
        <v>1836</v>
      </c>
      <c r="G272" s="113" t="s">
        <v>1837</v>
      </c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</row>
    <row r="273" ht="12.75" customHeight="1">
      <c r="A273" s="113" t="s">
        <v>354</v>
      </c>
      <c r="B273" s="113" t="s">
        <v>1838</v>
      </c>
      <c r="C273" s="113" t="s">
        <v>1839</v>
      </c>
      <c r="D273" s="113" t="s">
        <v>1811</v>
      </c>
      <c r="E273" s="113" t="s">
        <v>1166</v>
      </c>
      <c r="F273" s="113">
        <v>10474.0</v>
      </c>
      <c r="G273" s="113">
        <v>8.0</v>
      </c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</row>
    <row r="274" ht="12.75" customHeight="1">
      <c r="A274" s="113" t="s">
        <v>1840</v>
      </c>
      <c r="B274" s="113" t="s">
        <v>1841</v>
      </c>
      <c r="C274" s="113" t="s">
        <v>1842</v>
      </c>
      <c r="D274" s="113" t="s">
        <v>1811</v>
      </c>
      <c r="E274" s="113" t="s">
        <v>1166</v>
      </c>
      <c r="F274" s="113">
        <v>10459.0</v>
      </c>
      <c r="G274" s="113">
        <v>8.0</v>
      </c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</row>
    <row r="275" ht="12.75" customHeight="1">
      <c r="A275" s="113" t="s">
        <v>1843</v>
      </c>
      <c r="B275" s="113" t="s">
        <v>1844</v>
      </c>
      <c r="C275" s="113" t="s">
        <v>1845</v>
      </c>
      <c r="D275" s="113" t="s">
        <v>1811</v>
      </c>
      <c r="E275" s="113" t="s">
        <v>1166</v>
      </c>
      <c r="F275" s="113">
        <v>10467.0</v>
      </c>
      <c r="G275" s="113">
        <v>10.0</v>
      </c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</row>
    <row r="276" ht="12.75" customHeight="1">
      <c r="A276" s="113" t="s">
        <v>1846</v>
      </c>
      <c r="B276" s="113" t="s">
        <v>1592</v>
      </c>
      <c r="C276" s="113" t="s">
        <v>1847</v>
      </c>
      <c r="D276" s="113" t="s">
        <v>1811</v>
      </c>
      <c r="E276" s="113" t="s">
        <v>1166</v>
      </c>
      <c r="F276" s="113">
        <v>10458.0</v>
      </c>
      <c r="G276" s="113">
        <v>10.0</v>
      </c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</row>
    <row r="277" ht="12.75" customHeight="1">
      <c r="A277" s="113" t="s">
        <v>1848</v>
      </c>
      <c r="B277" s="113" t="s">
        <v>1202</v>
      </c>
      <c r="C277" s="113" t="s">
        <v>1849</v>
      </c>
      <c r="D277" s="113" t="s">
        <v>1811</v>
      </c>
      <c r="E277" s="113" t="s">
        <v>1166</v>
      </c>
      <c r="F277" s="113">
        <v>10468.0</v>
      </c>
      <c r="G277" s="113">
        <v>10.0</v>
      </c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</row>
    <row r="278" ht="12.75" customHeight="1">
      <c r="A278" s="113" t="s">
        <v>1850</v>
      </c>
      <c r="B278" s="113" t="s">
        <v>1851</v>
      </c>
      <c r="C278" s="113" t="s">
        <v>1852</v>
      </c>
      <c r="D278" s="113" t="s">
        <v>1811</v>
      </c>
      <c r="E278" s="113" t="s">
        <v>1166</v>
      </c>
      <c r="F278" s="113">
        <v>10473.0</v>
      </c>
      <c r="G278" s="113">
        <v>8.0</v>
      </c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</row>
    <row r="279" ht="12.75" customHeight="1">
      <c r="A279" s="113" t="s">
        <v>604</v>
      </c>
      <c r="B279" s="113" t="s">
        <v>1853</v>
      </c>
      <c r="C279" s="113" t="s">
        <v>1854</v>
      </c>
      <c r="D279" s="113" t="s">
        <v>1811</v>
      </c>
      <c r="E279" s="113" t="s">
        <v>1166</v>
      </c>
      <c r="F279" s="113">
        <v>10465.0</v>
      </c>
      <c r="G279" s="113">
        <v>8.0</v>
      </c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</row>
    <row r="280" ht="12.75" customHeight="1">
      <c r="A280" s="113" t="s">
        <v>356</v>
      </c>
      <c r="B280" s="113" t="s">
        <v>1211</v>
      </c>
      <c r="C280" s="113" t="s">
        <v>1855</v>
      </c>
      <c r="D280" s="113" t="s">
        <v>1811</v>
      </c>
      <c r="E280" s="113" t="s">
        <v>1166</v>
      </c>
      <c r="F280" s="113">
        <v>10460.0</v>
      </c>
      <c r="G280" s="113">
        <v>12.0</v>
      </c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</row>
    <row r="281" ht="12.75" customHeight="1">
      <c r="A281" s="113" t="s">
        <v>60</v>
      </c>
      <c r="B281" s="113" t="s">
        <v>1856</v>
      </c>
      <c r="C281" s="113" t="s">
        <v>113</v>
      </c>
      <c r="D281" s="113" t="s">
        <v>1811</v>
      </c>
      <c r="E281" s="113" t="s">
        <v>1166</v>
      </c>
      <c r="F281" s="113">
        <v>10473.0</v>
      </c>
      <c r="G281" s="113">
        <v>8.0</v>
      </c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</row>
    <row r="282" ht="12.75" customHeight="1">
      <c r="A282" s="113" t="s">
        <v>608</v>
      </c>
      <c r="B282" s="113" t="s">
        <v>1857</v>
      </c>
      <c r="C282" s="113" t="s">
        <v>1858</v>
      </c>
      <c r="D282" s="113" t="s">
        <v>1811</v>
      </c>
      <c r="E282" s="113" t="s">
        <v>1166</v>
      </c>
      <c r="F282" s="113" t="s">
        <v>1859</v>
      </c>
      <c r="G282" s="113" t="s">
        <v>1837</v>
      </c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</row>
    <row r="283" ht="12.75" customHeight="1">
      <c r="A283" s="113" t="s">
        <v>612</v>
      </c>
      <c r="B283" s="113" t="s">
        <v>1860</v>
      </c>
      <c r="C283" s="113" t="s">
        <v>1861</v>
      </c>
      <c r="D283" s="113" t="s">
        <v>1811</v>
      </c>
      <c r="E283" s="113" t="s">
        <v>1166</v>
      </c>
      <c r="F283" s="113">
        <v>10472.0</v>
      </c>
      <c r="G283" s="113">
        <v>8.0</v>
      </c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</row>
    <row r="284" ht="12.75" customHeight="1">
      <c r="A284" s="113" t="s">
        <v>1862</v>
      </c>
      <c r="B284" s="113" t="s">
        <v>1863</v>
      </c>
      <c r="C284" s="113" t="s">
        <v>1864</v>
      </c>
      <c r="D284" s="113" t="s">
        <v>1811</v>
      </c>
      <c r="E284" s="113" t="s">
        <v>1166</v>
      </c>
      <c r="F284" s="113">
        <v>10462.0</v>
      </c>
      <c r="G284" s="113">
        <v>11.0</v>
      </c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</row>
    <row r="285" ht="12.75" customHeight="1">
      <c r="A285" s="113" t="s">
        <v>360</v>
      </c>
      <c r="B285" s="113" t="s">
        <v>1865</v>
      </c>
      <c r="C285" s="113" t="s">
        <v>1866</v>
      </c>
      <c r="D285" s="113" t="s">
        <v>1811</v>
      </c>
      <c r="E285" s="113" t="s">
        <v>1166</v>
      </c>
      <c r="F285" s="113">
        <v>10473.0</v>
      </c>
      <c r="G285" s="113">
        <v>8.0</v>
      </c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</row>
    <row r="286" ht="12.75" customHeight="1">
      <c r="A286" s="113" t="s">
        <v>1867</v>
      </c>
      <c r="B286" s="113" t="s">
        <v>1868</v>
      </c>
      <c r="C286" s="113" t="s">
        <v>1869</v>
      </c>
      <c r="D286" s="113" t="s">
        <v>1811</v>
      </c>
      <c r="E286" s="113" t="s">
        <v>1166</v>
      </c>
      <c r="F286" s="113">
        <v>10456.0</v>
      </c>
      <c r="G286" s="113">
        <v>9.0</v>
      </c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</row>
    <row r="287" ht="12.75" customHeight="1">
      <c r="A287" s="113" t="s">
        <v>363</v>
      </c>
      <c r="B287" s="113" t="s">
        <v>1870</v>
      </c>
      <c r="C287" s="113" t="s">
        <v>1871</v>
      </c>
      <c r="D287" s="113" t="s">
        <v>1811</v>
      </c>
      <c r="E287" s="113" t="s">
        <v>1166</v>
      </c>
      <c r="F287" s="113">
        <v>10454.0</v>
      </c>
      <c r="G287" s="113">
        <v>7.0</v>
      </c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</row>
    <row r="288" ht="12.75" customHeight="1">
      <c r="A288" s="113" t="s">
        <v>1872</v>
      </c>
      <c r="B288" s="113" t="s">
        <v>1873</v>
      </c>
      <c r="C288" s="113" t="s">
        <v>1874</v>
      </c>
      <c r="D288" s="113" t="s">
        <v>1811</v>
      </c>
      <c r="E288" s="113" t="s">
        <v>1166</v>
      </c>
      <c r="F288" s="113">
        <v>10466.0</v>
      </c>
      <c r="G288" s="113">
        <v>11.0</v>
      </c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</row>
    <row r="289" ht="12.75" customHeight="1">
      <c r="A289" s="113" t="s">
        <v>1875</v>
      </c>
      <c r="B289" s="113" t="s">
        <v>1876</v>
      </c>
      <c r="C289" s="113" t="s">
        <v>1877</v>
      </c>
      <c r="D289" s="113" t="s">
        <v>1811</v>
      </c>
      <c r="E289" s="113" t="s">
        <v>1166</v>
      </c>
      <c r="F289" s="113">
        <v>10456.0</v>
      </c>
      <c r="G289" s="113">
        <v>8.0</v>
      </c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</row>
    <row r="290" ht="12.75" customHeight="1">
      <c r="A290" s="113" t="s">
        <v>366</v>
      </c>
      <c r="B290" s="113" t="s">
        <v>1878</v>
      </c>
      <c r="C290" s="113" t="s">
        <v>1879</v>
      </c>
      <c r="D290" s="113" t="s">
        <v>1811</v>
      </c>
      <c r="E290" s="113" t="s">
        <v>1166</v>
      </c>
      <c r="F290" s="113">
        <v>10454.0</v>
      </c>
      <c r="G290" s="113">
        <v>7.0</v>
      </c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</row>
    <row r="291" ht="12.75" customHeight="1">
      <c r="A291" s="113" t="s">
        <v>368</v>
      </c>
      <c r="B291" s="113" t="s">
        <v>1880</v>
      </c>
      <c r="C291" s="113" t="s">
        <v>1881</v>
      </c>
      <c r="D291" s="113" t="s">
        <v>1811</v>
      </c>
      <c r="E291" s="113" t="s">
        <v>1166</v>
      </c>
      <c r="F291" s="113">
        <v>10455.0</v>
      </c>
      <c r="G291" s="113">
        <v>7.0</v>
      </c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</row>
    <row r="292" ht="12.75" customHeight="1">
      <c r="A292" s="113" t="s">
        <v>1882</v>
      </c>
      <c r="B292" s="113" t="s">
        <v>1818</v>
      </c>
      <c r="C292" s="113" t="s">
        <v>1819</v>
      </c>
      <c r="D292" s="113" t="s">
        <v>1811</v>
      </c>
      <c r="E292" s="113" t="s">
        <v>1166</v>
      </c>
      <c r="F292" s="113">
        <v>10455.0</v>
      </c>
      <c r="G292" s="113">
        <v>7.0</v>
      </c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</row>
    <row r="293" ht="12.75" customHeight="1">
      <c r="A293" s="113" t="s">
        <v>1883</v>
      </c>
      <c r="B293" s="115" t="s">
        <v>1884</v>
      </c>
      <c r="C293" s="113" t="s">
        <v>1885</v>
      </c>
      <c r="D293" s="113" t="s">
        <v>1811</v>
      </c>
      <c r="E293" s="113" t="s">
        <v>1166</v>
      </c>
      <c r="F293" s="113">
        <v>10467.0</v>
      </c>
      <c r="G293" s="113">
        <v>11.0</v>
      </c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</row>
    <row r="294" ht="12.75" customHeight="1">
      <c r="A294" s="113" t="s">
        <v>1886</v>
      </c>
      <c r="B294" s="113" t="s">
        <v>1887</v>
      </c>
      <c r="C294" s="113" t="s">
        <v>1888</v>
      </c>
      <c r="D294" s="113" t="s">
        <v>1811</v>
      </c>
      <c r="E294" s="113" t="s">
        <v>1166</v>
      </c>
      <c r="F294" s="113">
        <v>10475.0</v>
      </c>
      <c r="G294" s="113">
        <v>11.0</v>
      </c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</row>
    <row r="295" ht="12.75" customHeight="1">
      <c r="A295" s="113" t="s">
        <v>1889</v>
      </c>
      <c r="B295" s="113" t="s">
        <v>1890</v>
      </c>
      <c r="C295" s="113" t="s">
        <v>1891</v>
      </c>
      <c r="D295" s="113" t="s">
        <v>1811</v>
      </c>
      <c r="E295" s="113" t="s">
        <v>1166</v>
      </c>
      <c r="F295" s="113">
        <v>10455.0</v>
      </c>
      <c r="G295" s="113">
        <v>7.0</v>
      </c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</row>
    <row r="296" ht="12.75" customHeight="1">
      <c r="A296" s="113" t="s">
        <v>654</v>
      </c>
      <c r="B296" s="113" t="s">
        <v>1892</v>
      </c>
      <c r="C296" s="113" t="s">
        <v>1893</v>
      </c>
      <c r="D296" s="113" t="s">
        <v>1811</v>
      </c>
      <c r="E296" s="113" t="s">
        <v>1166</v>
      </c>
      <c r="F296" s="113">
        <v>10463.0</v>
      </c>
      <c r="G296" s="113">
        <v>10.0</v>
      </c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</row>
    <row r="297" ht="12.75" customHeight="1">
      <c r="A297" s="113" t="s">
        <v>1894</v>
      </c>
      <c r="B297" s="113" t="s">
        <v>1895</v>
      </c>
      <c r="C297" s="113" t="s">
        <v>1896</v>
      </c>
      <c r="D297" s="113" t="s">
        <v>1811</v>
      </c>
      <c r="E297" s="113" t="s">
        <v>1166</v>
      </c>
      <c r="F297" s="113">
        <v>10459.0</v>
      </c>
      <c r="G297" s="113">
        <v>12.0</v>
      </c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</row>
    <row r="298" ht="12.75" customHeight="1">
      <c r="A298" s="113" t="s">
        <v>1897</v>
      </c>
      <c r="B298" s="113" t="s">
        <v>1898</v>
      </c>
      <c r="C298" s="113" t="s">
        <v>1885</v>
      </c>
      <c r="D298" s="113" t="s">
        <v>1811</v>
      </c>
      <c r="E298" s="113" t="s">
        <v>1166</v>
      </c>
      <c r="F298" s="113">
        <v>10467.0</v>
      </c>
      <c r="G298" s="113">
        <v>11.0</v>
      </c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</row>
    <row r="299" ht="12.75" customHeight="1">
      <c r="A299" s="113" t="s">
        <v>371</v>
      </c>
      <c r="B299" s="113" t="s">
        <v>1899</v>
      </c>
      <c r="C299" s="113" t="s">
        <v>1900</v>
      </c>
      <c r="D299" s="113" t="s">
        <v>1811</v>
      </c>
      <c r="E299" s="113" t="s">
        <v>1166</v>
      </c>
      <c r="F299" s="113">
        <v>10451.0</v>
      </c>
      <c r="G299" s="113">
        <v>7.0</v>
      </c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</row>
    <row r="300" ht="12.75" customHeight="1">
      <c r="A300" s="113" t="s">
        <v>1901</v>
      </c>
      <c r="B300" s="113" t="s">
        <v>1902</v>
      </c>
      <c r="C300" s="113" t="s">
        <v>1903</v>
      </c>
      <c r="D300" s="113" t="s">
        <v>1811</v>
      </c>
      <c r="E300" s="113" t="s">
        <v>1166</v>
      </c>
      <c r="F300" s="113">
        <v>10468.0</v>
      </c>
      <c r="G300" s="113">
        <v>10.0</v>
      </c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</row>
    <row r="301" ht="12.75" customHeight="1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</row>
    <row r="302" ht="12.75" customHeight="1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</row>
    <row r="303" ht="12.75" customHeight="1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</row>
    <row r="304" ht="12.75" customHeight="1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</row>
    <row r="305" ht="12.75" customHeight="1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</row>
    <row r="306" ht="12.75" customHeight="1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</row>
    <row r="307" ht="12.75" customHeight="1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</row>
    <row r="308" ht="12.75" customHeight="1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</row>
    <row r="309" ht="12.75" customHeight="1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</row>
    <row r="310" ht="12.75" customHeight="1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</row>
    <row r="311" ht="12.75" customHeight="1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</row>
    <row r="312" ht="12.75" customHeight="1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</row>
    <row r="313" ht="12.75" customHeight="1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</row>
    <row r="314" ht="12.75" customHeight="1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</row>
    <row r="315" ht="12.75" customHeight="1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</row>
    <row r="316" ht="12.75" customHeight="1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</row>
    <row r="317" ht="12.75" customHeight="1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</row>
    <row r="318" ht="12.75" customHeight="1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</row>
    <row r="319" ht="12.75" customHeight="1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</row>
    <row r="320" ht="12.75" customHeight="1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</row>
    <row r="321" ht="12.75" customHeight="1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</row>
    <row r="322" ht="12.75" customHeight="1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</row>
    <row r="323" ht="12.75" customHeight="1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</row>
    <row r="324" ht="12.75" customHeight="1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</row>
    <row r="325" ht="12.75" customHeight="1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</row>
    <row r="326" ht="12.75" customHeight="1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</row>
    <row r="327" ht="12.75" customHeight="1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</row>
    <row r="328" ht="12.75" customHeight="1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</row>
    <row r="329" ht="12.75" customHeight="1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</row>
    <row r="330" ht="12.75" customHeight="1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</row>
    <row r="331" ht="12.75" customHeight="1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</row>
    <row r="332" ht="12.75" customHeight="1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</row>
    <row r="333" ht="12.75" customHeight="1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</row>
    <row r="334" ht="12.75" customHeight="1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</row>
    <row r="335" ht="12.75" customHeight="1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</row>
    <row r="336" ht="12.75" customHeight="1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</row>
    <row r="337" ht="12.75" customHeight="1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</row>
    <row r="338" ht="12.75" customHeight="1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</row>
    <row r="339" ht="12.75" customHeight="1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</row>
    <row r="340" ht="12.75" customHeight="1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</row>
    <row r="341" ht="12.75" customHeight="1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</row>
    <row r="342" ht="12.75" customHeight="1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</row>
    <row r="343" ht="12.75" customHeight="1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</row>
    <row r="344" ht="12.75" customHeight="1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</row>
    <row r="345" ht="12.75" customHeight="1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</row>
    <row r="346" ht="12.75" customHeight="1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</row>
    <row r="347" ht="12.75" customHeight="1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2"/>
    </row>
    <row r="348" ht="12.75" customHeight="1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</row>
    <row r="349" ht="12.75" customHeight="1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2"/>
    </row>
    <row r="350" ht="12.75" customHeight="1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</row>
    <row r="351" ht="12.75" customHeight="1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</row>
    <row r="352" ht="12.75" customHeight="1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</row>
    <row r="353" ht="12.75" customHeight="1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2"/>
    </row>
    <row r="354" ht="12.75" customHeight="1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</row>
    <row r="355" ht="12.75" customHeight="1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</row>
    <row r="356" ht="12.75" customHeight="1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</row>
    <row r="357" ht="12.75" customHeight="1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</row>
    <row r="358" ht="12.75" customHeight="1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</row>
    <row r="359" ht="12.75" customHeight="1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</row>
    <row r="360" ht="12.75" customHeight="1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</row>
    <row r="361" ht="12.75" customHeight="1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</row>
    <row r="362" ht="12.75" customHeight="1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</row>
    <row r="363" ht="12.75" customHeight="1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</row>
    <row r="364" ht="12.75" customHeight="1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</row>
    <row r="365" ht="12.75" customHeight="1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</row>
    <row r="366" ht="12.75" customHeight="1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</row>
    <row r="367" ht="12.75" customHeight="1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</row>
    <row r="368" ht="12.75" customHeight="1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</row>
    <row r="369" ht="12.75" customHeight="1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</row>
    <row r="370" ht="12.75" customHeight="1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</row>
    <row r="371" ht="12.75" customHeight="1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</row>
    <row r="372" ht="12.75" customHeight="1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</row>
    <row r="373" ht="12.75" customHeight="1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</row>
    <row r="374" ht="12.75" customHeight="1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</row>
    <row r="375" ht="12.75" customHeight="1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</row>
    <row r="376" ht="12.75" customHeight="1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</row>
    <row r="377" ht="12.75" customHeight="1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</row>
    <row r="378" ht="12.75" customHeight="1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</row>
    <row r="379" ht="12.75" customHeight="1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</row>
    <row r="380" ht="12.75" customHeight="1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</row>
    <row r="381" ht="12.75" customHeight="1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</row>
    <row r="382" ht="12.75" customHeight="1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</row>
    <row r="383" ht="12.75" customHeight="1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</row>
    <row r="384" ht="12.75" customHeight="1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</row>
    <row r="385" ht="12.75" customHeight="1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</row>
    <row r="386" ht="12.75" customHeight="1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</row>
    <row r="387" ht="12.75" customHeight="1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</row>
    <row r="388" ht="12.75" customHeight="1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</row>
    <row r="389" ht="12.75" customHeight="1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</row>
    <row r="390" ht="12.75" customHeight="1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</row>
    <row r="391" ht="12.75" customHeight="1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</row>
    <row r="392" ht="12.75" customHeight="1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</row>
    <row r="393" ht="12.75" customHeight="1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</row>
    <row r="394" ht="12.75" customHeight="1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</row>
    <row r="395" ht="12.75" customHeight="1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</row>
    <row r="396" ht="12.75" customHeight="1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</row>
    <row r="397" ht="12.75" customHeight="1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</row>
    <row r="398" ht="12.75" customHeight="1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</row>
    <row r="399" ht="12.75" customHeight="1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</row>
    <row r="400" ht="12.75" customHeight="1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</row>
    <row r="401" ht="12.75" customHeight="1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</row>
    <row r="402" ht="12.75" customHeight="1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</row>
    <row r="403" ht="12.75" customHeight="1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</row>
    <row r="404" ht="12.75" customHeight="1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</row>
    <row r="405" ht="12.75" customHeight="1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</row>
    <row r="406" ht="12.75" customHeight="1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</row>
    <row r="407" ht="12.75" customHeight="1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</row>
    <row r="408" ht="12.75" customHeight="1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</row>
    <row r="409" ht="12.75" customHeight="1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</row>
    <row r="410" ht="12.75" customHeight="1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</row>
    <row r="411" ht="12.75" customHeight="1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</row>
    <row r="412" ht="12.75" customHeight="1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</row>
    <row r="413" ht="12.75" customHeight="1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</row>
    <row r="414" ht="12.75" customHeight="1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</row>
    <row r="415" ht="12.75" customHeight="1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</row>
    <row r="416" ht="12.75" customHeight="1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</row>
    <row r="417" ht="12.75" customHeight="1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</row>
    <row r="418" ht="12.75" customHeight="1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</row>
    <row r="419" ht="12.75" customHeight="1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</row>
    <row r="420" ht="12.75" customHeight="1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</row>
    <row r="421" ht="12.75" customHeight="1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</row>
    <row r="422" ht="12.75" customHeight="1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</row>
    <row r="423" ht="12.75" customHeight="1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</row>
    <row r="424" ht="12.75" customHeight="1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</row>
    <row r="425" ht="12.75" customHeight="1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</row>
    <row r="426" ht="12.75" customHeight="1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</row>
    <row r="427" ht="12.75" customHeight="1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</row>
    <row r="428" ht="12.75" customHeight="1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</row>
    <row r="429" ht="12.75" customHeight="1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</row>
    <row r="430" ht="12.75" customHeight="1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</row>
    <row r="431" ht="12.75" customHeight="1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</row>
    <row r="432" ht="12.75" customHeight="1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</row>
    <row r="433" ht="12.75" customHeight="1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</row>
    <row r="434" ht="12.75" customHeight="1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</row>
    <row r="435" ht="12.75" customHeight="1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</row>
    <row r="436" ht="12.75" customHeight="1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</row>
    <row r="437" ht="12.75" customHeight="1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</row>
    <row r="438" ht="12.75" customHeight="1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</row>
    <row r="439" ht="12.75" customHeight="1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</row>
    <row r="440" ht="12.75" customHeight="1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</row>
    <row r="441" ht="12.75" customHeight="1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</row>
    <row r="442" ht="12.75" customHeight="1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</row>
    <row r="443" ht="12.75" customHeight="1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</row>
    <row r="444" ht="12.75" customHeight="1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</row>
    <row r="445" ht="12.75" customHeight="1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</row>
    <row r="446" ht="12.75" customHeight="1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</row>
    <row r="447" ht="12.75" customHeight="1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</row>
    <row r="448" ht="12.75" customHeight="1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</row>
    <row r="449" ht="12.75" customHeight="1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</row>
    <row r="450" ht="12.75" customHeight="1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</row>
    <row r="451" ht="12.75" customHeight="1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</row>
    <row r="452" ht="12.75" customHeight="1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</row>
    <row r="453" ht="12.75" customHeight="1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</row>
    <row r="454" ht="12.75" customHeight="1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</row>
    <row r="455" ht="12.75" customHeight="1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</row>
    <row r="456" ht="12.75" customHeight="1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</row>
    <row r="457" ht="12.75" customHeight="1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</row>
    <row r="458" ht="12.75" customHeight="1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</row>
    <row r="459" ht="12.75" customHeight="1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</row>
    <row r="460" ht="12.75" customHeight="1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</row>
    <row r="461" ht="12.75" customHeight="1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</row>
    <row r="462" ht="12.75" customHeight="1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</row>
    <row r="463" ht="12.75" customHeight="1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</row>
    <row r="464" ht="12.75" customHeight="1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</row>
    <row r="465" ht="12.75" customHeight="1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</row>
    <row r="466" ht="12.75" customHeight="1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</row>
    <row r="467" ht="12.75" customHeight="1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</row>
    <row r="468" ht="12.75" customHeight="1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</row>
    <row r="469" ht="12.75" customHeight="1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</row>
    <row r="470" ht="12.75" customHeight="1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</row>
    <row r="471" ht="12.75" customHeight="1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</row>
    <row r="472" ht="12.75" customHeight="1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</row>
    <row r="473" ht="12.75" customHeight="1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</row>
    <row r="474" ht="12.75" customHeight="1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</row>
    <row r="475" ht="12.75" customHeight="1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</row>
    <row r="476" ht="12.75" customHeight="1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</row>
    <row r="477" ht="12.75" customHeight="1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</row>
    <row r="478" ht="12.75" customHeight="1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</row>
    <row r="479" ht="12.75" customHeight="1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</row>
    <row r="480" ht="12.75" customHeight="1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</row>
    <row r="481" ht="12.75" customHeight="1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</row>
    <row r="482" ht="12.75" customHeight="1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</row>
    <row r="483" ht="12.75" customHeight="1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</row>
    <row r="484" ht="12.75" customHeight="1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</row>
    <row r="485" ht="12.75" customHeight="1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</row>
    <row r="486" ht="12.75" customHeight="1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</row>
    <row r="487" ht="12.75" customHeight="1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</row>
    <row r="488" ht="12.75" customHeight="1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</row>
    <row r="489" ht="12.75" customHeight="1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</row>
    <row r="490" ht="12.75" customHeight="1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</row>
    <row r="491" ht="12.75" customHeight="1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</row>
    <row r="492" ht="12.75" customHeight="1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</row>
    <row r="493" ht="12.75" customHeight="1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</row>
    <row r="494" ht="12.75" customHeight="1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</row>
    <row r="495" ht="12.75" customHeight="1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</row>
    <row r="496" ht="12.75" customHeight="1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</row>
    <row r="497" ht="12.75" customHeight="1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</row>
    <row r="498" ht="12.75" customHeight="1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</row>
    <row r="499" ht="12.75" customHeight="1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</row>
    <row r="500" ht="12.75" customHeight="1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</row>
    <row r="501" ht="12.75" customHeight="1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</row>
    <row r="502" ht="12.75" customHeight="1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</row>
    <row r="503" ht="12.75" customHeight="1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</row>
    <row r="504" ht="12.75" customHeight="1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</row>
    <row r="505" ht="12.75" customHeight="1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</row>
    <row r="506" ht="12.75" customHeight="1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</row>
    <row r="507" ht="12.75" customHeight="1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</row>
    <row r="508" ht="12.75" customHeight="1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</row>
    <row r="509" ht="12.75" customHeight="1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</row>
    <row r="510" ht="12.75" customHeight="1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</row>
    <row r="511" ht="12.75" customHeight="1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</row>
    <row r="512" ht="12.75" customHeight="1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</row>
    <row r="513" ht="12.75" customHeight="1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</row>
    <row r="514" ht="12.75" customHeight="1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</row>
    <row r="515" ht="12.75" customHeight="1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</row>
    <row r="516" ht="12.75" customHeight="1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</row>
    <row r="517" ht="12.75" customHeight="1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</row>
    <row r="518" ht="12.75" customHeight="1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</row>
    <row r="519" ht="12.75" customHeight="1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</row>
    <row r="520" ht="12.75" customHeight="1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</row>
    <row r="521" ht="12.75" customHeight="1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</row>
    <row r="522" ht="12.75" customHeight="1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</row>
    <row r="523" ht="12.75" customHeight="1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</row>
    <row r="524" ht="12.75" customHeight="1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</row>
    <row r="525" ht="12.75" customHeight="1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</row>
    <row r="526" ht="12.75" customHeight="1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</row>
    <row r="527" ht="12.75" customHeight="1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</row>
    <row r="528" ht="12.75" customHeight="1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</row>
    <row r="529" ht="12.75" customHeight="1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</row>
    <row r="530" ht="12.75" customHeight="1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</row>
    <row r="531" ht="12.75" customHeight="1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</row>
    <row r="532" ht="12.75" customHeight="1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</row>
    <row r="533" ht="12.75" customHeight="1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</row>
    <row r="534" ht="12.75" customHeight="1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</row>
    <row r="535" ht="12.75" customHeight="1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</row>
    <row r="536" ht="12.75" customHeight="1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</row>
    <row r="537" ht="12.75" customHeight="1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</row>
    <row r="538" ht="12.75" customHeight="1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</row>
    <row r="539" ht="12.75" customHeight="1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</row>
    <row r="540" ht="12.75" customHeight="1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</row>
    <row r="541" ht="12.75" customHeight="1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</row>
    <row r="542" ht="12.75" customHeight="1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</row>
    <row r="543" ht="12.75" customHeight="1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</row>
    <row r="544" ht="12.75" customHeight="1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</row>
    <row r="545" ht="12.75" customHeight="1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</row>
    <row r="546" ht="12.75" customHeight="1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</row>
    <row r="547" ht="12.75" customHeight="1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</row>
    <row r="548" ht="12.75" customHeight="1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</row>
    <row r="549" ht="12.75" customHeight="1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</row>
    <row r="550" ht="12.75" customHeight="1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</row>
    <row r="551" ht="12.75" customHeight="1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</row>
    <row r="552" ht="12.75" customHeight="1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</row>
    <row r="553" ht="12.75" customHeight="1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</row>
    <row r="554" ht="12.75" customHeight="1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</row>
    <row r="555" ht="12.75" customHeight="1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</row>
    <row r="556" ht="12.75" customHeight="1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</row>
    <row r="557" ht="12.75" customHeight="1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</row>
    <row r="558" ht="12.75" customHeight="1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</row>
    <row r="559" ht="12.75" customHeight="1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</row>
    <row r="560" ht="12.75" customHeight="1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</row>
    <row r="561" ht="12.75" customHeight="1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</row>
    <row r="562" ht="12.75" customHeight="1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</row>
    <row r="563" ht="12.75" customHeight="1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</row>
    <row r="564" ht="12.75" customHeight="1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</row>
    <row r="565" ht="12.75" customHeight="1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</row>
    <row r="566" ht="12.75" customHeight="1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</row>
    <row r="567" ht="12.75" customHeight="1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</row>
    <row r="568" ht="12.75" customHeight="1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</row>
    <row r="569" ht="12.75" customHeight="1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</row>
    <row r="570" ht="12.75" customHeight="1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</row>
    <row r="571" ht="12.75" customHeight="1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</row>
    <row r="572" ht="12.75" customHeight="1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</row>
    <row r="573" ht="12.75" customHeight="1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</row>
    <row r="574" ht="12.75" customHeight="1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</row>
    <row r="575" ht="12.75" customHeight="1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</row>
    <row r="576" ht="12.75" customHeight="1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</row>
    <row r="577" ht="12.75" customHeight="1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</row>
    <row r="578" ht="12.75" customHeight="1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</row>
    <row r="579" ht="12.75" customHeight="1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</row>
    <row r="580" ht="12.75" customHeight="1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</row>
    <row r="581" ht="12.75" customHeight="1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</row>
    <row r="582" ht="12.75" customHeight="1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</row>
    <row r="583" ht="12.75" customHeight="1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</row>
    <row r="584" ht="12.75" customHeight="1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</row>
    <row r="585" ht="12.75" customHeight="1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</row>
    <row r="586" ht="12.75" customHeight="1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</row>
    <row r="587" ht="12.75" customHeight="1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</row>
    <row r="588" ht="12.75" customHeight="1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</row>
    <row r="589" ht="12.75" customHeight="1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</row>
    <row r="590" ht="12.75" customHeight="1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</row>
    <row r="591" ht="12.75" customHeight="1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</row>
    <row r="592" ht="12.75" customHeight="1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</row>
    <row r="593" ht="12.75" customHeight="1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</row>
    <row r="594" ht="12.75" customHeight="1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</row>
    <row r="595" ht="12.75" customHeight="1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</row>
    <row r="596" ht="12.75" customHeight="1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</row>
    <row r="597" ht="12.75" customHeight="1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</row>
    <row r="598" ht="12.75" customHeight="1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</row>
    <row r="599" ht="12.75" customHeight="1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</row>
    <row r="600" ht="12.75" customHeight="1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</row>
    <row r="601" ht="12.75" customHeight="1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</row>
    <row r="602" ht="12.75" customHeight="1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</row>
    <row r="603" ht="12.75" customHeight="1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</row>
    <row r="604" ht="12.75" customHeight="1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</row>
    <row r="605" ht="12.75" customHeight="1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</row>
    <row r="606" ht="12.75" customHeight="1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</row>
    <row r="607" ht="12.75" customHeight="1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</row>
    <row r="608" ht="12.75" customHeight="1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</row>
    <row r="609" ht="12.75" customHeight="1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</row>
    <row r="610" ht="12.75" customHeight="1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</row>
    <row r="611" ht="12.75" customHeight="1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</row>
    <row r="612" ht="12.75" customHeight="1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</row>
    <row r="613" ht="12.75" customHeight="1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</row>
    <row r="614" ht="12.75" customHeight="1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</row>
    <row r="615" ht="12.75" customHeight="1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</row>
    <row r="616" ht="12.75" customHeight="1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</row>
    <row r="617" ht="12.75" customHeight="1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</row>
    <row r="618" ht="12.75" customHeight="1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</row>
    <row r="619" ht="12.75" customHeight="1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</row>
    <row r="620" ht="12.75" customHeight="1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</row>
    <row r="621" ht="12.75" customHeight="1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</row>
    <row r="622" ht="12.75" customHeight="1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</row>
    <row r="623" ht="12.75" customHeight="1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</row>
    <row r="624" ht="12.75" customHeight="1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</row>
    <row r="625" ht="12.75" customHeight="1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</row>
    <row r="626" ht="12.75" customHeight="1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</row>
    <row r="627" ht="12.75" customHeight="1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</row>
    <row r="628" ht="12.75" customHeight="1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</row>
    <row r="629" ht="12.75" customHeight="1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</row>
    <row r="630" ht="12.75" customHeight="1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</row>
    <row r="631" ht="12.75" customHeight="1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</row>
    <row r="632" ht="12.75" customHeight="1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</row>
    <row r="633" ht="12.75" customHeight="1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</row>
    <row r="634" ht="12.75" customHeight="1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</row>
    <row r="635" ht="12.75" customHeight="1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</row>
    <row r="636" ht="12.75" customHeight="1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</row>
    <row r="637" ht="12.75" customHeight="1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</row>
    <row r="638" ht="12.75" customHeight="1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</row>
    <row r="639" ht="12.75" customHeight="1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</row>
    <row r="640" ht="12.75" customHeight="1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</row>
    <row r="641" ht="12.75" customHeight="1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</row>
    <row r="642" ht="12.75" customHeight="1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</row>
    <row r="643" ht="12.75" customHeight="1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</row>
    <row r="644" ht="12.75" customHeight="1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</row>
    <row r="645" ht="12.75" customHeight="1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</row>
    <row r="646" ht="12.75" customHeight="1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</row>
    <row r="647" ht="12.75" customHeight="1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</row>
    <row r="648" ht="12.75" customHeight="1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</row>
    <row r="649" ht="12.75" customHeight="1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</row>
    <row r="650" ht="12.75" customHeight="1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</row>
    <row r="651" ht="12.75" customHeight="1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</row>
    <row r="652" ht="12.75" customHeight="1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</row>
    <row r="653" ht="12.75" customHeight="1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</row>
    <row r="654" ht="12.75" customHeight="1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</row>
    <row r="655" ht="12.75" customHeight="1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</row>
    <row r="656" ht="12.75" customHeight="1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</row>
    <row r="657" ht="12.75" customHeight="1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</row>
    <row r="658" ht="12.75" customHeight="1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</row>
    <row r="659" ht="12.75" customHeight="1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</row>
    <row r="660" ht="12.75" customHeight="1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</row>
    <row r="661" ht="12.75" customHeight="1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</row>
    <row r="662" ht="12.75" customHeight="1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</row>
    <row r="663" ht="12.75" customHeight="1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</row>
    <row r="664" ht="12.75" customHeight="1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</row>
    <row r="665" ht="12.75" customHeight="1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</row>
    <row r="666" ht="12.75" customHeight="1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</row>
    <row r="667" ht="12.75" customHeight="1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</row>
    <row r="668" ht="12.75" customHeight="1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</row>
    <row r="669" ht="12.75" customHeight="1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</row>
    <row r="670" ht="12.75" customHeight="1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</row>
    <row r="671" ht="12.75" customHeight="1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</row>
    <row r="672" ht="12.75" customHeight="1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</row>
    <row r="673" ht="12.75" customHeight="1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</row>
    <row r="674" ht="12.75" customHeight="1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</row>
    <row r="675" ht="12.75" customHeight="1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</row>
    <row r="676" ht="12.75" customHeight="1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</row>
    <row r="677" ht="12.75" customHeight="1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</row>
    <row r="678" ht="12.75" customHeight="1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</row>
    <row r="679" ht="12.75" customHeight="1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</row>
    <row r="680" ht="12.75" customHeight="1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</row>
    <row r="681" ht="12.75" customHeight="1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</row>
    <row r="682" ht="12.75" customHeight="1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</row>
    <row r="683" ht="12.75" customHeight="1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</row>
    <row r="684" ht="12.75" customHeight="1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</row>
    <row r="685" ht="12.75" customHeight="1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</row>
    <row r="686" ht="12.75" customHeight="1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</row>
    <row r="687" ht="12.75" customHeight="1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</row>
    <row r="688" ht="12.75" customHeight="1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</row>
    <row r="689" ht="12.75" customHeight="1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</row>
    <row r="690" ht="12.75" customHeight="1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</row>
    <row r="691" ht="12.75" customHeight="1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</row>
    <row r="692" ht="12.75" customHeight="1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</row>
    <row r="693" ht="12.75" customHeight="1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</row>
    <row r="694" ht="12.75" customHeight="1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</row>
    <row r="695" ht="12.75" customHeight="1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</row>
    <row r="696" ht="12.75" customHeight="1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</row>
    <row r="697" ht="12.75" customHeight="1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</row>
    <row r="698" ht="12.75" customHeight="1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</row>
    <row r="699" ht="12.75" customHeight="1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</row>
    <row r="700" ht="12.75" customHeight="1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</row>
    <row r="701" ht="12.75" customHeight="1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</row>
    <row r="702" ht="12.75" customHeight="1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</row>
    <row r="703" ht="12.75" customHeight="1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</row>
    <row r="704" ht="12.75" customHeight="1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</row>
    <row r="705" ht="12.75" customHeight="1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</row>
    <row r="706" ht="12.75" customHeight="1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</row>
    <row r="707" ht="12.75" customHeight="1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</row>
    <row r="708" ht="12.75" customHeight="1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</row>
    <row r="709" ht="12.75" customHeight="1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</row>
    <row r="710" ht="12.75" customHeight="1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</row>
    <row r="711" ht="12.75" customHeight="1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</row>
    <row r="712" ht="12.75" customHeight="1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</row>
    <row r="713" ht="12.75" customHeight="1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</row>
    <row r="714" ht="12.75" customHeight="1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</row>
    <row r="715" ht="12.75" customHeight="1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</row>
    <row r="716" ht="12.75" customHeight="1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</row>
    <row r="717" ht="12.75" customHeight="1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</row>
    <row r="718" ht="12.75" customHeight="1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</row>
    <row r="719" ht="12.75" customHeight="1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</row>
    <row r="720" ht="12.75" customHeight="1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</row>
    <row r="721" ht="12.75" customHeight="1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</row>
    <row r="722" ht="12.75" customHeight="1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</row>
    <row r="723" ht="12.75" customHeight="1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</row>
    <row r="724" ht="12.75" customHeight="1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</row>
    <row r="725" ht="12.75" customHeight="1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</row>
    <row r="726" ht="12.75" customHeight="1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</row>
    <row r="727" ht="12.75" customHeight="1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</row>
    <row r="728" ht="12.75" customHeight="1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</row>
    <row r="729" ht="12.75" customHeight="1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</row>
    <row r="730" ht="12.75" customHeight="1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</row>
    <row r="731" ht="12.75" customHeight="1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</row>
    <row r="732" ht="12.75" customHeight="1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</row>
    <row r="733" ht="12.75" customHeight="1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</row>
    <row r="734" ht="12.75" customHeight="1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</row>
    <row r="735" ht="12.75" customHeight="1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</row>
    <row r="736" ht="12.75" customHeight="1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</row>
    <row r="737" ht="12.75" customHeight="1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</row>
    <row r="738" ht="12.75" customHeight="1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</row>
    <row r="739" ht="12.75" customHeight="1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</row>
    <row r="740" ht="12.75" customHeight="1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</row>
    <row r="741" ht="12.75" customHeight="1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</row>
    <row r="742" ht="12.75" customHeight="1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</row>
    <row r="743" ht="12.75" customHeight="1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</row>
    <row r="744" ht="12.75" customHeight="1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</row>
    <row r="745" ht="12.75" customHeight="1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</row>
    <row r="746" ht="12.75" customHeight="1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</row>
    <row r="747" ht="12.75" customHeight="1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</row>
    <row r="748" ht="12.75" customHeight="1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</row>
    <row r="749" ht="12.75" customHeight="1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</row>
    <row r="750" ht="12.75" customHeight="1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</row>
    <row r="751" ht="12.75" customHeight="1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</row>
    <row r="752" ht="12.75" customHeight="1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</row>
    <row r="753" ht="12.75" customHeight="1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</row>
    <row r="754" ht="12.75" customHeight="1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</row>
    <row r="755" ht="12.75" customHeight="1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</row>
    <row r="756" ht="12.75" customHeight="1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</row>
    <row r="757" ht="12.75" customHeight="1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</row>
    <row r="758" ht="12.75" customHeight="1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</row>
    <row r="759" ht="12.75" customHeight="1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</row>
    <row r="760" ht="12.75" customHeight="1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</row>
    <row r="761" ht="12.75" customHeight="1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</row>
    <row r="762" ht="12.75" customHeight="1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</row>
    <row r="763" ht="12.75" customHeight="1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</row>
    <row r="764" ht="12.75" customHeight="1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</row>
    <row r="765" ht="12.75" customHeight="1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</row>
    <row r="766" ht="12.75" customHeight="1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</row>
    <row r="767" ht="12.75" customHeight="1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</row>
    <row r="768" ht="12.75" customHeight="1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</row>
    <row r="769" ht="12.75" customHeight="1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</row>
    <row r="770" ht="12.75" customHeight="1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</row>
    <row r="771" ht="12.75" customHeight="1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</row>
    <row r="772" ht="12.75" customHeight="1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</row>
    <row r="773" ht="12.75" customHeight="1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</row>
    <row r="774" ht="12.75" customHeight="1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</row>
    <row r="775" ht="12.75" customHeight="1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</row>
    <row r="776" ht="12.75" customHeight="1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</row>
    <row r="777" ht="12.75" customHeight="1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</row>
    <row r="778" ht="12.75" customHeight="1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</row>
    <row r="779" ht="12.75" customHeight="1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</row>
    <row r="780" ht="12.75" customHeight="1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</row>
    <row r="781" ht="12.75" customHeight="1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</row>
    <row r="782" ht="12.75" customHeight="1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</row>
    <row r="783" ht="12.75" customHeight="1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</row>
    <row r="784" ht="12.75" customHeight="1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</row>
    <row r="785" ht="12.75" customHeight="1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</row>
    <row r="786" ht="12.75" customHeight="1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</row>
    <row r="787" ht="12.75" customHeight="1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</row>
    <row r="788" ht="12.75" customHeight="1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</row>
    <row r="789" ht="12.75" customHeight="1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</row>
    <row r="790" ht="12.75" customHeight="1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</row>
    <row r="791" ht="12.75" customHeight="1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</row>
    <row r="792" ht="12.75" customHeight="1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</row>
    <row r="793" ht="12.75" customHeight="1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</row>
    <row r="794" ht="12.75" customHeight="1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</row>
    <row r="795" ht="12.75" customHeight="1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</row>
    <row r="796" ht="12.75" customHeight="1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</row>
    <row r="797" ht="12.75" customHeight="1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</row>
    <row r="798" ht="12.75" customHeight="1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</row>
    <row r="799" ht="12.75" customHeight="1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</row>
    <row r="800" ht="12.75" customHeight="1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</row>
    <row r="801" ht="12.75" customHeight="1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</row>
    <row r="802" ht="12.75" customHeight="1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</row>
    <row r="803" ht="12.75" customHeight="1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</row>
    <row r="804" ht="12.75" customHeight="1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</row>
    <row r="805" ht="12.75" customHeight="1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</row>
    <row r="806" ht="12.75" customHeight="1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</row>
    <row r="807" ht="12.75" customHeight="1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</row>
    <row r="808" ht="12.75" customHeight="1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</row>
    <row r="809" ht="12.75" customHeight="1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</row>
    <row r="810" ht="12.75" customHeight="1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</row>
    <row r="811" ht="12.75" customHeight="1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</row>
    <row r="812" ht="12.75" customHeight="1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</row>
    <row r="813" ht="12.75" customHeight="1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</row>
    <row r="814" ht="12.75" customHeight="1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</row>
    <row r="815" ht="12.75" customHeight="1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</row>
    <row r="816" ht="12.75" customHeight="1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</row>
    <row r="817" ht="12.75" customHeight="1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</row>
    <row r="818" ht="12.75" customHeight="1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</row>
    <row r="819" ht="12.75" customHeight="1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</row>
    <row r="820" ht="12.75" customHeight="1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</row>
    <row r="821" ht="12.75" customHeight="1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</row>
    <row r="822" ht="12.75" customHeight="1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</row>
    <row r="823" ht="12.75" customHeight="1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</row>
    <row r="824" ht="12.75" customHeight="1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</row>
    <row r="825" ht="12.75" customHeight="1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</row>
    <row r="826" ht="12.75" customHeight="1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</row>
    <row r="827" ht="12.75" customHeight="1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</row>
    <row r="828" ht="12.75" customHeight="1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</row>
    <row r="829" ht="12.75" customHeight="1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</row>
    <row r="830" ht="12.75" customHeight="1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</row>
    <row r="831" ht="12.75" customHeight="1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</row>
    <row r="832" ht="12.75" customHeight="1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</row>
    <row r="833" ht="12.75" customHeight="1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</row>
    <row r="834" ht="12.75" customHeight="1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</row>
    <row r="835" ht="12.75" customHeight="1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</row>
    <row r="836" ht="12.75" customHeight="1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</row>
    <row r="837" ht="12.75" customHeight="1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</row>
    <row r="838" ht="12.75" customHeight="1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</row>
    <row r="839" ht="12.75" customHeight="1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</row>
    <row r="840" ht="12.75" customHeight="1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</row>
    <row r="841" ht="12.75" customHeight="1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</row>
    <row r="842" ht="12.75" customHeight="1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</row>
    <row r="843" ht="12.75" customHeight="1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</row>
    <row r="844" ht="12.75" customHeight="1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</row>
    <row r="845" ht="12.75" customHeight="1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</row>
    <row r="846" ht="12.75" customHeight="1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</row>
    <row r="847" ht="12.75" customHeight="1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</row>
    <row r="848" ht="12.75" customHeight="1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</row>
    <row r="849" ht="12.75" customHeight="1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</row>
    <row r="850" ht="12.75" customHeight="1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</row>
    <row r="851" ht="12.75" customHeight="1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</row>
    <row r="852" ht="12.75" customHeight="1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</row>
    <row r="853" ht="12.75" customHeight="1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</row>
    <row r="854" ht="12.75" customHeight="1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</row>
    <row r="855" ht="12.75" customHeight="1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</row>
    <row r="856" ht="12.75" customHeight="1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</row>
    <row r="857" ht="12.75" customHeight="1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</row>
    <row r="858" ht="12.75" customHeight="1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</row>
    <row r="859" ht="12.75" customHeight="1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</row>
    <row r="860" ht="12.75" customHeight="1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</row>
    <row r="861" ht="12.75" customHeight="1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</row>
    <row r="862" ht="12.75" customHeight="1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</row>
    <row r="863" ht="12.75" customHeight="1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</row>
    <row r="864" ht="12.75" customHeight="1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</row>
    <row r="865" ht="12.75" customHeight="1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</row>
    <row r="866" ht="12.75" customHeight="1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</row>
    <row r="867" ht="12.75" customHeight="1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</row>
    <row r="868" ht="12.75" customHeight="1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</row>
    <row r="869" ht="12.75" customHeight="1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</row>
    <row r="870" ht="12.75" customHeight="1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</row>
    <row r="871" ht="12.75" customHeight="1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</row>
    <row r="872" ht="12.75" customHeight="1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</row>
    <row r="873" ht="12.75" customHeight="1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</row>
    <row r="874" ht="12.75" customHeight="1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</row>
    <row r="875" ht="12.75" customHeight="1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</row>
    <row r="876" ht="12.75" customHeight="1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</row>
    <row r="877" ht="12.75" customHeight="1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</row>
    <row r="878" ht="12.75" customHeight="1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</row>
    <row r="879" ht="12.75" customHeight="1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</row>
    <row r="880" ht="12.75" customHeight="1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</row>
    <row r="881" ht="12.75" customHeight="1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</row>
    <row r="882" ht="12.75" customHeight="1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</row>
    <row r="883" ht="12.75" customHeight="1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</row>
    <row r="884" ht="12.75" customHeight="1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</row>
    <row r="885" ht="12.75" customHeight="1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</row>
    <row r="886" ht="12.75" customHeight="1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</row>
    <row r="887" ht="12.75" customHeight="1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</row>
    <row r="888" ht="12.75" customHeight="1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</row>
    <row r="889" ht="12.75" customHeight="1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</row>
    <row r="890" ht="12.75" customHeight="1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</row>
    <row r="891" ht="12.75" customHeight="1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</row>
    <row r="892" ht="12.75" customHeight="1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</row>
    <row r="893" ht="12.75" customHeight="1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</row>
    <row r="894" ht="12.75" customHeight="1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</row>
    <row r="895" ht="12.75" customHeight="1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</row>
    <row r="896" ht="12.75" customHeight="1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</row>
    <row r="897" ht="12.75" customHeight="1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</row>
    <row r="898" ht="12.75" customHeight="1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</row>
    <row r="899" ht="12.75" customHeight="1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</row>
    <row r="900" ht="12.75" customHeight="1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</row>
    <row r="901" ht="12.75" customHeight="1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</row>
    <row r="902" ht="12.75" customHeight="1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</row>
    <row r="903" ht="12.75" customHeight="1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</row>
    <row r="904" ht="12.75" customHeight="1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</row>
    <row r="905" ht="12.75" customHeight="1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</row>
    <row r="906" ht="12.75" customHeight="1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</row>
    <row r="907" ht="12.75" customHeight="1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</row>
    <row r="908" ht="12.75" customHeight="1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</row>
    <row r="909" ht="12.75" customHeight="1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</row>
    <row r="910" ht="12.75" customHeight="1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</row>
    <row r="911" ht="12.75" customHeight="1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</row>
    <row r="912" ht="12.75" customHeight="1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</row>
    <row r="913" ht="12.75" customHeight="1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</row>
    <row r="914" ht="12.75" customHeight="1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</row>
    <row r="915" ht="12.75" customHeight="1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</row>
    <row r="916" ht="12.75" customHeight="1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</row>
    <row r="917" ht="12.75" customHeight="1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</row>
    <row r="918" ht="12.75" customHeight="1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</row>
    <row r="919" ht="12.75" customHeight="1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</row>
    <row r="920" ht="12.75" customHeight="1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</row>
    <row r="921" ht="12.75" customHeight="1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</row>
    <row r="922" ht="12.75" customHeight="1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</row>
    <row r="923" ht="12.75" customHeight="1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</row>
    <row r="924" ht="12.75" customHeight="1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</row>
    <row r="925" ht="12.75" customHeight="1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</row>
    <row r="926" ht="12.75" customHeight="1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</row>
    <row r="927" ht="12.75" customHeight="1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</row>
    <row r="928" ht="12.75" customHeight="1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</row>
    <row r="929" ht="12.75" customHeight="1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</row>
    <row r="930" ht="12.75" customHeight="1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</row>
    <row r="931" ht="12.75" customHeight="1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</row>
    <row r="932" ht="12.75" customHeight="1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</row>
    <row r="933" ht="12.75" customHeight="1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</row>
    <row r="934" ht="12.75" customHeight="1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</row>
    <row r="935" ht="12.75" customHeight="1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</row>
    <row r="936" ht="12.75" customHeight="1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</row>
    <row r="937" ht="12.75" customHeight="1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</row>
    <row r="938" ht="12.75" customHeight="1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</row>
    <row r="939" ht="12.75" customHeight="1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</row>
    <row r="940" ht="12.75" customHeight="1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</row>
    <row r="941" ht="12.75" customHeight="1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</row>
    <row r="942" ht="12.75" customHeight="1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</row>
    <row r="943" ht="12.75" customHeight="1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</row>
    <row r="944" ht="12.75" customHeight="1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</row>
    <row r="945" ht="12.75" customHeight="1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</row>
    <row r="946" ht="12.75" customHeight="1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</row>
    <row r="947" ht="12.75" customHeight="1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</row>
    <row r="948" ht="12.75" customHeight="1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</row>
    <row r="949" ht="12.75" customHeight="1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</row>
    <row r="950" ht="12.75" customHeight="1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</row>
    <row r="951" ht="12.75" customHeight="1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</row>
    <row r="952" ht="12.75" customHeight="1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</row>
    <row r="953" ht="12.75" customHeight="1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</row>
    <row r="954" ht="12.75" customHeight="1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</row>
    <row r="955" ht="12.75" customHeight="1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</row>
    <row r="956" ht="12.75" customHeight="1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</row>
    <row r="957" ht="12.75" customHeight="1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</row>
    <row r="958" ht="12.75" customHeight="1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</row>
    <row r="959" ht="12.75" customHeight="1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</row>
    <row r="960" ht="12.75" customHeight="1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</row>
    <row r="961" ht="12.75" customHeight="1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</row>
    <row r="962" ht="12.75" customHeight="1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</row>
    <row r="963" ht="12.75" customHeight="1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</row>
    <row r="964" ht="12.75" customHeight="1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</row>
    <row r="965" ht="12.75" customHeight="1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</row>
    <row r="966" ht="12.75" customHeight="1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</row>
    <row r="967" ht="12.75" customHeight="1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</row>
    <row r="968" ht="12.75" customHeight="1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</row>
    <row r="969" ht="12.75" customHeight="1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</row>
    <row r="970" ht="12.75" customHeight="1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</row>
    <row r="971" ht="12.75" customHeight="1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</row>
    <row r="972" ht="12.75" customHeight="1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</row>
    <row r="973" ht="12.75" customHeight="1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</row>
    <row r="974" ht="12.75" customHeight="1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</row>
    <row r="975" ht="12.75" customHeight="1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</row>
    <row r="976" ht="12.75" customHeight="1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</row>
    <row r="977" ht="12.75" customHeight="1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</row>
    <row r="978" ht="12.75" customHeight="1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</row>
    <row r="979" ht="12.75" customHeight="1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</row>
    <row r="980" ht="12.75" customHeight="1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</row>
    <row r="981" ht="12.75" customHeight="1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</row>
    <row r="982" ht="12.75" customHeight="1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</row>
    <row r="983" ht="12.75" customHeight="1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</row>
    <row r="984" ht="12.75" customHeight="1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</row>
    <row r="985" ht="12.75" customHeight="1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</row>
    <row r="986" ht="12.75" customHeight="1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</row>
    <row r="987" ht="12.75" customHeight="1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</row>
    <row r="988" ht="12.75" customHeight="1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</row>
    <row r="989" ht="12.75" customHeight="1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</row>
    <row r="990" ht="12.75" customHeight="1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</row>
    <row r="991" ht="12.75" customHeight="1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</row>
    <row r="992" ht="12.75" customHeight="1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</row>
    <row r="993" ht="12.75" customHeight="1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</row>
    <row r="994" ht="12.75" customHeight="1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</row>
    <row r="995" ht="12.75" customHeight="1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</row>
    <row r="996" ht="12.75" customHeight="1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</row>
    <row r="997" ht="12.75" customHeight="1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</row>
    <row r="998" ht="12.75" customHeight="1">
      <c r="A998" s="112"/>
      <c r="B998" s="112"/>
      <c r="C998" s="112"/>
      <c r="D998" s="112"/>
      <c r="E998" s="112"/>
      <c r="F998" s="112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</row>
    <row r="999" ht="12.75" customHeight="1">
      <c r="A999" s="112"/>
      <c r="B999" s="112"/>
      <c r="C999" s="112"/>
      <c r="D999" s="112"/>
      <c r="E999" s="112"/>
      <c r="F999" s="112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</row>
    <row r="1000" ht="12.75" customHeight="1">
      <c r="A1000" s="112"/>
      <c r="B1000" s="112"/>
      <c r="C1000" s="112"/>
      <c r="D1000" s="112"/>
      <c r="E1000" s="112"/>
      <c r="F1000" s="112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6.38"/>
    <col customWidth="1" min="3" max="3" width="16.88"/>
    <col customWidth="1" min="4" max="4" width="16.38"/>
    <col customWidth="1" min="5" max="5" width="18.38"/>
    <col customWidth="1" min="6" max="6" width="17.38"/>
    <col customWidth="1" min="7" max="26" width="8.63"/>
  </cols>
  <sheetData>
    <row r="1">
      <c r="A1" s="72" t="s">
        <v>102</v>
      </c>
      <c r="B1" s="72" t="s">
        <v>1904</v>
      </c>
      <c r="C1" s="72" t="s">
        <v>1905</v>
      </c>
      <c r="D1" s="72" t="s">
        <v>1906</v>
      </c>
      <c r="E1" s="72" t="s">
        <v>1907</v>
      </c>
      <c r="F1" s="72" t="s">
        <v>1908</v>
      </c>
    </row>
    <row r="2">
      <c r="A2" s="72" t="s">
        <v>9</v>
      </c>
      <c r="B2" s="75">
        <v>43424.0</v>
      </c>
      <c r="C2" s="75">
        <v>44519.0</v>
      </c>
      <c r="D2" s="76">
        <v>6000000.0</v>
      </c>
      <c r="E2" s="76">
        <v>2.51</v>
      </c>
      <c r="F2" s="76">
        <v>2.41</v>
      </c>
    </row>
    <row r="3">
      <c r="A3" s="72" t="s">
        <v>7</v>
      </c>
      <c r="B3" s="75">
        <v>44621.0</v>
      </c>
      <c r="C3" s="75">
        <v>45716.0</v>
      </c>
      <c r="D3" s="76">
        <v>6000000.0</v>
      </c>
      <c r="E3" s="76">
        <v>2.75</v>
      </c>
      <c r="F3" s="76">
        <v>2.54</v>
      </c>
    </row>
    <row r="4">
      <c r="A4" s="72" t="s">
        <v>10</v>
      </c>
      <c r="B4" s="75">
        <v>45728.0</v>
      </c>
      <c r="C4" s="75">
        <v>46823.0</v>
      </c>
      <c r="D4" s="76">
        <v>5000000.0</v>
      </c>
      <c r="E4" s="76">
        <v>3.0</v>
      </c>
      <c r="F4" s="76">
        <v>2.93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88"/>
    <col customWidth="1" min="3" max="4" width="11.88"/>
    <col customWidth="1" min="5" max="5" width="10.75"/>
    <col customWidth="1" min="6" max="6" width="10.63"/>
    <col customWidth="1" min="7" max="26" width="8.63"/>
  </cols>
  <sheetData>
    <row r="1">
      <c r="A1" s="116" t="s">
        <v>1909</v>
      </c>
    </row>
    <row r="2">
      <c r="A2" s="116" t="s">
        <v>1910</v>
      </c>
    </row>
    <row r="3">
      <c r="A3" s="116" t="s">
        <v>1911</v>
      </c>
    </row>
    <row r="4">
      <c r="A4" s="116" t="s">
        <v>1912</v>
      </c>
    </row>
    <row r="5">
      <c r="A5" s="116" t="s">
        <v>1913</v>
      </c>
    </row>
    <row r="6">
      <c r="A6" s="116" t="s">
        <v>1914</v>
      </c>
    </row>
    <row r="8">
      <c r="A8" s="116" t="s">
        <v>1915</v>
      </c>
    </row>
    <row r="9">
      <c r="A9" s="116" t="s">
        <v>1916</v>
      </c>
      <c r="B9" s="116" t="s">
        <v>1917</v>
      </c>
      <c r="C9" s="116" t="s">
        <v>1918</v>
      </c>
      <c r="D9" s="116" t="s">
        <v>1919</v>
      </c>
      <c r="E9" s="116" t="s">
        <v>1920</v>
      </c>
      <c r="F9" s="116" t="s">
        <v>1913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65.13"/>
    <col customWidth="1" min="3" max="26" width="8.63"/>
  </cols>
  <sheetData>
    <row r="1">
      <c r="A1" s="117"/>
      <c r="B1" s="117"/>
    </row>
    <row r="2">
      <c r="A2" s="117" t="s">
        <v>1921</v>
      </c>
      <c r="B2" s="117" t="s">
        <v>1922</v>
      </c>
    </row>
    <row r="3">
      <c r="A3" s="117"/>
      <c r="B3" s="117"/>
    </row>
    <row r="4">
      <c r="A4" s="117" t="s">
        <v>1923</v>
      </c>
      <c r="B4" s="117" t="s">
        <v>1924</v>
      </c>
    </row>
    <row r="5">
      <c r="A5" s="117"/>
      <c r="B5" s="117"/>
    </row>
    <row r="6">
      <c r="A6" s="117" t="s">
        <v>1925</v>
      </c>
      <c r="B6" s="117" t="s">
        <v>1926</v>
      </c>
    </row>
    <row r="7">
      <c r="A7" s="117"/>
      <c r="B7" s="117"/>
    </row>
    <row r="8">
      <c r="A8" s="117" t="s">
        <v>1927</v>
      </c>
      <c r="B8" s="117" t="s">
        <v>1928</v>
      </c>
    </row>
    <row r="9">
      <c r="A9" s="117"/>
      <c r="B9" s="117"/>
    </row>
    <row r="10">
      <c r="A10" s="118" t="s">
        <v>1929</v>
      </c>
      <c r="B10" s="117" t="s">
        <v>1930</v>
      </c>
    </row>
    <row r="11">
      <c r="B11" s="117" t="s">
        <v>1931</v>
      </c>
    </row>
    <row r="12">
      <c r="A12" s="117"/>
      <c r="B12" s="117"/>
    </row>
    <row r="13">
      <c r="A13" s="117"/>
      <c r="B13" s="117"/>
    </row>
    <row r="14">
      <c r="A14" s="117" t="s">
        <v>1932</v>
      </c>
      <c r="B14" s="117" t="s">
        <v>1933</v>
      </c>
      <c r="C14" s="116" t="s">
        <v>1934</v>
      </c>
    </row>
    <row r="15">
      <c r="A15" s="117"/>
      <c r="B15" s="117"/>
    </row>
    <row r="16">
      <c r="A16" s="117"/>
      <c r="B16" s="117"/>
    </row>
    <row r="17">
      <c r="A17" s="117" t="s">
        <v>1935</v>
      </c>
      <c r="B17" s="117" t="s">
        <v>1936</v>
      </c>
    </row>
    <row r="18">
      <c r="A18" s="117"/>
      <c r="B18" s="117"/>
    </row>
    <row r="19">
      <c r="A19" s="117"/>
      <c r="B19" s="117"/>
    </row>
    <row r="20">
      <c r="A20" s="117" t="s">
        <v>1937</v>
      </c>
      <c r="B20" s="117" t="s">
        <v>1938</v>
      </c>
    </row>
    <row r="21" ht="15.75" customHeight="1">
      <c r="A21" s="117"/>
      <c r="B21" s="117"/>
    </row>
    <row r="22" ht="15.75" customHeight="1">
      <c r="A22" s="117"/>
      <c r="B22" s="117"/>
    </row>
    <row r="23" ht="15.75" customHeight="1">
      <c r="A23" s="117"/>
      <c r="B23" s="117"/>
    </row>
    <row r="24" ht="15.75" customHeight="1">
      <c r="A24" s="117"/>
      <c r="B24" s="117"/>
    </row>
    <row r="25" ht="15.75" customHeight="1">
      <c r="A25" s="117"/>
      <c r="B25" s="117"/>
    </row>
    <row r="26" ht="15.75" customHeight="1">
      <c r="A26" s="117"/>
      <c r="B26" s="117"/>
    </row>
    <row r="27" ht="15.75" customHeight="1">
      <c r="A27" s="117"/>
      <c r="B27" s="117"/>
    </row>
    <row r="28" ht="15.75" customHeight="1">
      <c r="A28" s="117"/>
      <c r="B28" s="117"/>
    </row>
    <row r="29" ht="15.75" customHeight="1">
      <c r="A29" s="117"/>
      <c r="B29" s="117"/>
    </row>
    <row r="30" ht="15.75" customHeight="1">
      <c r="A30" s="117"/>
      <c r="B30" s="117"/>
    </row>
    <row r="31" ht="15.75" customHeight="1">
      <c r="A31" s="117"/>
      <c r="B31" s="117"/>
    </row>
    <row r="32" ht="15.75" customHeight="1">
      <c r="A32" s="117"/>
      <c r="B32" s="117"/>
    </row>
    <row r="33" ht="15.75" customHeight="1">
      <c r="A33" s="117"/>
      <c r="B33" s="117"/>
    </row>
    <row r="34" ht="15.75" customHeight="1">
      <c r="A34" s="117"/>
      <c r="B34" s="117"/>
    </row>
    <row r="35" ht="15.75" customHeight="1">
      <c r="A35" s="117"/>
      <c r="B35" s="117"/>
    </row>
    <row r="36" ht="15.75" customHeight="1">
      <c r="A36" s="117"/>
      <c r="B36" s="117"/>
    </row>
    <row r="37" ht="15.75" customHeight="1">
      <c r="A37" s="117"/>
      <c r="B37" s="117"/>
    </row>
    <row r="38" ht="15.75" customHeight="1">
      <c r="A38" s="117"/>
      <c r="B38" s="117"/>
    </row>
    <row r="39" ht="15.75" customHeight="1">
      <c r="A39" s="117"/>
      <c r="B39" s="117"/>
    </row>
    <row r="40" ht="15.75" customHeight="1">
      <c r="A40" s="117"/>
      <c r="B40" s="117"/>
    </row>
    <row r="41" ht="15.75" customHeight="1">
      <c r="A41" s="117"/>
      <c r="B41" s="117"/>
    </row>
    <row r="42" ht="15.75" customHeight="1">
      <c r="A42" s="117"/>
      <c r="B42" s="117"/>
    </row>
    <row r="43" ht="15.75" customHeight="1">
      <c r="A43" s="117"/>
      <c r="B43" s="117"/>
    </row>
    <row r="44" ht="15.75" customHeight="1">
      <c r="A44" s="117"/>
      <c r="B44" s="117"/>
    </row>
    <row r="45" ht="15.75" customHeight="1">
      <c r="A45" s="117"/>
      <c r="B45" s="117"/>
    </row>
    <row r="46" ht="15.75" customHeight="1">
      <c r="A46" s="117"/>
      <c r="B46" s="117"/>
    </row>
    <row r="47" ht="15.75" customHeight="1">
      <c r="A47" s="117"/>
      <c r="B47" s="117"/>
    </row>
    <row r="48" ht="15.75" customHeight="1">
      <c r="A48" s="117"/>
      <c r="B48" s="117"/>
    </row>
    <row r="49" ht="15.75" customHeight="1">
      <c r="A49" s="117"/>
      <c r="B49" s="117"/>
    </row>
    <row r="50" ht="15.75" customHeight="1">
      <c r="A50" s="117"/>
      <c r="B50" s="117"/>
    </row>
    <row r="51" ht="15.75" customHeight="1">
      <c r="A51" s="117"/>
      <c r="B51" s="117"/>
    </row>
    <row r="52" ht="15.75" customHeight="1">
      <c r="A52" s="117"/>
      <c r="B52" s="117"/>
    </row>
    <row r="53" ht="15.75" customHeight="1">
      <c r="A53" s="117"/>
      <c r="B53" s="117"/>
    </row>
    <row r="54" ht="15.75" customHeight="1">
      <c r="A54" s="117"/>
      <c r="B54" s="117"/>
    </row>
    <row r="55" ht="15.75" customHeight="1">
      <c r="A55" s="117"/>
      <c r="B55" s="117"/>
    </row>
    <row r="56" ht="15.75" customHeight="1">
      <c r="A56" s="117"/>
      <c r="B56" s="117"/>
    </row>
    <row r="57" ht="15.75" customHeight="1">
      <c r="A57" s="117"/>
      <c r="B57" s="117"/>
    </row>
    <row r="58" ht="15.75" customHeight="1">
      <c r="A58" s="117"/>
      <c r="B58" s="117"/>
    </row>
    <row r="59" ht="15.75" customHeight="1">
      <c r="A59" s="117"/>
      <c r="B59" s="117"/>
    </row>
    <row r="60" ht="15.75" customHeight="1">
      <c r="A60" s="117"/>
      <c r="B60" s="117"/>
    </row>
    <row r="61" ht="15.75" customHeight="1">
      <c r="A61" s="117"/>
      <c r="B61" s="117"/>
    </row>
    <row r="62" ht="15.75" customHeight="1">
      <c r="A62" s="117"/>
      <c r="B62" s="117"/>
    </row>
    <row r="63" ht="15.75" customHeight="1">
      <c r="A63" s="117"/>
      <c r="B63" s="117"/>
    </row>
    <row r="64" ht="15.75" customHeight="1">
      <c r="A64" s="117"/>
      <c r="B64" s="117"/>
    </row>
    <row r="65" ht="15.75" customHeight="1">
      <c r="A65" s="117"/>
      <c r="B65" s="117"/>
    </row>
    <row r="66" ht="15.75" customHeight="1">
      <c r="A66" s="117"/>
      <c r="B66" s="117"/>
    </row>
    <row r="67" ht="15.75" customHeight="1">
      <c r="A67" s="117"/>
      <c r="B67" s="117"/>
    </row>
    <row r="68" ht="15.75" customHeight="1">
      <c r="A68" s="117"/>
      <c r="B68" s="117"/>
    </row>
    <row r="69" ht="15.75" customHeight="1">
      <c r="A69" s="117"/>
      <c r="B69" s="117"/>
    </row>
    <row r="70" ht="15.75" customHeight="1">
      <c r="A70" s="117"/>
      <c r="B70" s="117"/>
    </row>
    <row r="71" ht="15.75" customHeight="1">
      <c r="A71" s="117"/>
      <c r="B71" s="117"/>
    </row>
    <row r="72" ht="15.75" customHeight="1">
      <c r="A72" s="117"/>
      <c r="B72" s="117"/>
    </row>
    <row r="73" ht="15.75" customHeight="1">
      <c r="A73" s="117"/>
      <c r="B73" s="117"/>
    </row>
    <row r="74" ht="15.75" customHeight="1">
      <c r="A74" s="117"/>
      <c r="B74" s="117"/>
    </row>
    <row r="75" ht="15.75" customHeight="1">
      <c r="A75" s="117"/>
      <c r="B75" s="117"/>
    </row>
    <row r="76" ht="15.75" customHeight="1">
      <c r="A76" s="117"/>
      <c r="B76" s="117"/>
    </row>
    <row r="77" ht="15.75" customHeight="1">
      <c r="A77" s="117"/>
      <c r="B77" s="117"/>
    </row>
    <row r="78" ht="15.75" customHeight="1">
      <c r="A78" s="117"/>
      <c r="B78" s="117"/>
    </row>
    <row r="79" ht="15.75" customHeight="1">
      <c r="A79" s="117"/>
      <c r="B79" s="117"/>
    </row>
    <row r="80" ht="15.75" customHeight="1">
      <c r="A80" s="117"/>
      <c r="B80" s="117"/>
    </row>
    <row r="81" ht="15.75" customHeight="1">
      <c r="A81" s="117"/>
      <c r="B81" s="117"/>
    </row>
    <row r="82" ht="15.75" customHeight="1">
      <c r="A82" s="117"/>
      <c r="B82" s="117"/>
    </row>
    <row r="83" ht="15.75" customHeight="1">
      <c r="A83" s="117"/>
      <c r="B83" s="117"/>
    </row>
    <row r="84" ht="15.75" customHeight="1">
      <c r="A84" s="117"/>
      <c r="B84" s="117"/>
    </row>
    <row r="85" ht="15.75" customHeight="1">
      <c r="A85" s="117"/>
      <c r="B85" s="117"/>
    </row>
    <row r="86" ht="15.75" customHeight="1">
      <c r="A86" s="117"/>
      <c r="B86" s="117"/>
    </row>
    <row r="87" ht="15.75" customHeight="1">
      <c r="A87" s="117"/>
      <c r="B87" s="117"/>
    </row>
    <row r="88" ht="15.75" customHeight="1">
      <c r="A88" s="117"/>
      <c r="B88" s="117"/>
    </row>
    <row r="89" ht="15.75" customHeight="1">
      <c r="A89" s="117"/>
      <c r="B89" s="117"/>
    </row>
    <row r="90" ht="15.75" customHeight="1">
      <c r="A90" s="117"/>
      <c r="B90" s="117"/>
    </row>
    <row r="91" ht="15.75" customHeight="1">
      <c r="A91" s="117"/>
      <c r="B91" s="117"/>
    </row>
    <row r="92" ht="15.75" customHeight="1">
      <c r="A92" s="117"/>
      <c r="B92" s="117"/>
    </row>
    <row r="93" ht="15.75" customHeight="1">
      <c r="A93" s="117"/>
      <c r="B93" s="117"/>
    </row>
    <row r="94" ht="15.75" customHeight="1">
      <c r="A94" s="117"/>
      <c r="B94" s="117"/>
    </row>
    <row r="95" ht="15.75" customHeight="1">
      <c r="A95" s="117"/>
      <c r="B95" s="117"/>
    </row>
    <row r="96" ht="15.75" customHeight="1">
      <c r="A96" s="117"/>
      <c r="B96" s="117"/>
    </row>
    <row r="97" ht="15.75" customHeight="1">
      <c r="A97" s="117"/>
      <c r="B97" s="117"/>
    </row>
    <row r="98" ht="15.75" customHeight="1">
      <c r="A98" s="117"/>
      <c r="B98" s="117"/>
    </row>
    <row r="99" ht="15.75" customHeight="1">
      <c r="A99" s="117"/>
      <c r="B99" s="117"/>
    </row>
    <row r="100" ht="15.75" customHeight="1">
      <c r="A100" s="117"/>
      <c r="B100" s="117"/>
    </row>
    <row r="101" ht="15.75" customHeight="1">
      <c r="A101" s="117"/>
      <c r="B101" s="117"/>
    </row>
    <row r="102" ht="15.75" customHeight="1">
      <c r="A102" s="117"/>
      <c r="B102" s="117"/>
    </row>
    <row r="103" ht="15.75" customHeight="1">
      <c r="A103" s="117"/>
      <c r="B103" s="117"/>
    </row>
    <row r="104" ht="15.75" customHeight="1">
      <c r="A104" s="117"/>
      <c r="B104" s="117"/>
    </row>
    <row r="105" ht="15.75" customHeight="1">
      <c r="A105" s="117"/>
      <c r="B105" s="117"/>
    </row>
    <row r="106" ht="15.75" customHeight="1">
      <c r="A106" s="117"/>
      <c r="B106" s="117"/>
    </row>
    <row r="107" ht="15.75" customHeight="1">
      <c r="A107" s="117"/>
      <c r="B107" s="117"/>
    </row>
    <row r="108" ht="15.75" customHeight="1">
      <c r="A108" s="117"/>
      <c r="B108" s="117"/>
    </row>
    <row r="109" ht="15.75" customHeight="1">
      <c r="A109" s="117"/>
      <c r="B109" s="117"/>
    </row>
    <row r="110" ht="15.75" customHeight="1">
      <c r="A110" s="117"/>
      <c r="B110" s="117"/>
    </row>
    <row r="111" ht="15.75" customHeight="1">
      <c r="A111" s="117"/>
      <c r="B111" s="117"/>
    </row>
    <row r="112" ht="15.75" customHeight="1">
      <c r="A112" s="117"/>
      <c r="B112" s="117"/>
    </row>
    <row r="113" ht="15.75" customHeight="1">
      <c r="A113" s="117"/>
      <c r="B113" s="117"/>
    </row>
    <row r="114" ht="15.75" customHeight="1">
      <c r="A114" s="117"/>
      <c r="B114" s="117"/>
    </row>
    <row r="115" ht="15.75" customHeight="1">
      <c r="A115" s="117"/>
      <c r="B115" s="117"/>
    </row>
    <row r="116" ht="15.75" customHeight="1">
      <c r="A116" s="117"/>
      <c r="B116" s="117"/>
    </row>
    <row r="117" ht="15.75" customHeight="1">
      <c r="A117" s="117"/>
      <c r="B117" s="117"/>
    </row>
    <row r="118" ht="15.75" customHeight="1">
      <c r="A118" s="117"/>
      <c r="B118" s="117"/>
    </row>
    <row r="119" ht="15.75" customHeight="1">
      <c r="A119" s="117"/>
      <c r="B119" s="117"/>
    </row>
    <row r="120" ht="15.75" customHeight="1">
      <c r="A120" s="117"/>
      <c r="B120" s="117"/>
    </row>
    <row r="121" ht="15.75" customHeight="1">
      <c r="A121" s="117"/>
      <c r="B121" s="117"/>
    </row>
    <row r="122" ht="15.75" customHeight="1">
      <c r="A122" s="117"/>
      <c r="B122" s="117"/>
    </row>
    <row r="123" ht="15.75" customHeight="1">
      <c r="A123" s="117"/>
      <c r="B123" s="117"/>
    </row>
    <row r="124" ht="15.75" customHeight="1">
      <c r="A124" s="117"/>
      <c r="B124" s="117"/>
    </row>
    <row r="125" ht="15.75" customHeight="1">
      <c r="A125" s="117"/>
      <c r="B125" s="117"/>
    </row>
    <row r="126" ht="15.75" customHeight="1">
      <c r="A126" s="117"/>
      <c r="B126" s="117"/>
    </row>
    <row r="127" ht="15.75" customHeight="1">
      <c r="A127" s="117"/>
      <c r="B127" s="117"/>
    </row>
    <row r="128" ht="15.75" customHeight="1">
      <c r="A128" s="117"/>
      <c r="B128" s="117"/>
    </row>
    <row r="129" ht="15.75" customHeight="1">
      <c r="A129" s="117"/>
      <c r="B129" s="117"/>
    </row>
    <row r="130" ht="15.75" customHeight="1">
      <c r="A130" s="117"/>
      <c r="B130" s="117"/>
    </row>
    <row r="131" ht="15.75" customHeight="1">
      <c r="A131" s="117"/>
      <c r="B131" s="117"/>
    </row>
    <row r="132" ht="15.75" customHeight="1">
      <c r="A132" s="117"/>
      <c r="B132" s="117"/>
    </row>
    <row r="133" ht="15.75" customHeight="1">
      <c r="A133" s="117"/>
      <c r="B133" s="117"/>
    </row>
    <row r="134" ht="15.75" customHeight="1">
      <c r="A134" s="117"/>
      <c r="B134" s="117"/>
    </row>
    <row r="135" ht="15.75" customHeight="1">
      <c r="A135" s="117"/>
      <c r="B135" s="117"/>
    </row>
    <row r="136" ht="15.75" customHeight="1">
      <c r="A136" s="117"/>
      <c r="B136" s="117"/>
    </row>
    <row r="137" ht="15.75" customHeight="1">
      <c r="A137" s="117"/>
      <c r="B137" s="117"/>
    </row>
    <row r="138" ht="15.75" customHeight="1">
      <c r="A138" s="117"/>
      <c r="B138" s="117"/>
    </row>
    <row r="139" ht="15.75" customHeight="1">
      <c r="A139" s="117"/>
      <c r="B139" s="117"/>
    </row>
    <row r="140" ht="15.75" customHeight="1">
      <c r="A140" s="117"/>
      <c r="B140" s="117"/>
    </row>
    <row r="141" ht="15.75" customHeight="1">
      <c r="A141" s="117"/>
      <c r="B141" s="117"/>
    </row>
    <row r="142" ht="15.75" customHeight="1">
      <c r="A142" s="117"/>
      <c r="B142" s="117"/>
    </row>
    <row r="143" ht="15.75" customHeight="1">
      <c r="A143" s="117"/>
      <c r="B143" s="117"/>
    </row>
    <row r="144" ht="15.75" customHeight="1">
      <c r="A144" s="117"/>
      <c r="B144" s="117"/>
    </row>
    <row r="145" ht="15.75" customHeight="1">
      <c r="A145" s="117"/>
      <c r="B145" s="117"/>
    </row>
    <row r="146" ht="15.75" customHeight="1">
      <c r="A146" s="117"/>
      <c r="B146" s="117"/>
    </row>
    <row r="147" ht="15.75" customHeight="1">
      <c r="A147" s="117"/>
      <c r="B147" s="117"/>
    </row>
    <row r="148" ht="15.75" customHeight="1">
      <c r="A148" s="117"/>
      <c r="B148" s="117"/>
    </row>
    <row r="149" ht="15.75" customHeight="1">
      <c r="A149" s="117"/>
      <c r="B149" s="117"/>
    </row>
    <row r="150" ht="15.75" customHeight="1">
      <c r="A150" s="117"/>
      <c r="B150" s="117"/>
    </row>
    <row r="151" ht="15.75" customHeight="1">
      <c r="A151" s="117"/>
      <c r="B151" s="117"/>
    </row>
    <row r="152" ht="15.75" customHeight="1">
      <c r="A152" s="117"/>
      <c r="B152" s="117"/>
    </row>
    <row r="153" ht="15.75" customHeight="1">
      <c r="A153" s="117"/>
      <c r="B153" s="117"/>
    </row>
    <row r="154" ht="15.75" customHeight="1">
      <c r="A154" s="117"/>
      <c r="B154" s="117"/>
    </row>
    <row r="155" ht="15.75" customHeight="1">
      <c r="A155" s="117"/>
      <c r="B155" s="117"/>
    </row>
    <row r="156" ht="15.75" customHeight="1">
      <c r="A156" s="117"/>
      <c r="B156" s="117"/>
    </row>
    <row r="157" ht="15.75" customHeight="1">
      <c r="A157" s="117"/>
      <c r="B157" s="117"/>
    </row>
    <row r="158" ht="15.75" customHeight="1">
      <c r="A158" s="117"/>
      <c r="B158" s="117"/>
    </row>
    <row r="159" ht="15.75" customHeight="1">
      <c r="A159" s="117"/>
      <c r="B159" s="117"/>
    </row>
    <row r="160" ht="15.75" customHeight="1">
      <c r="A160" s="117"/>
      <c r="B160" s="117"/>
    </row>
    <row r="161" ht="15.75" customHeight="1">
      <c r="A161" s="117"/>
      <c r="B161" s="117"/>
    </row>
    <row r="162" ht="15.75" customHeight="1">
      <c r="A162" s="117"/>
      <c r="B162" s="117"/>
    </row>
    <row r="163" ht="15.75" customHeight="1">
      <c r="A163" s="117"/>
      <c r="B163" s="117"/>
    </row>
    <row r="164" ht="15.75" customHeight="1">
      <c r="A164" s="117"/>
      <c r="B164" s="117"/>
    </row>
    <row r="165" ht="15.75" customHeight="1">
      <c r="A165" s="117"/>
      <c r="B165" s="117"/>
    </row>
    <row r="166" ht="15.75" customHeight="1">
      <c r="A166" s="117"/>
      <c r="B166" s="117"/>
    </row>
    <row r="167" ht="15.75" customHeight="1">
      <c r="A167" s="117"/>
      <c r="B167" s="117"/>
    </row>
    <row r="168" ht="15.75" customHeight="1">
      <c r="A168" s="117"/>
      <c r="B168" s="117"/>
    </row>
    <row r="169" ht="15.75" customHeight="1">
      <c r="A169" s="117"/>
      <c r="B169" s="117"/>
    </row>
    <row r="170" ht="15.75" customHeight="1">
      <c r="A170" s="117"/>
      <c r="B170" s="117"/>
    </row>
    <row r="171" ht="15.75" customHeight="1">
      <c r="A171" s="117"/>
      <c r="B171" s="117"/>
    </row>
    <row r="172" ht="15.75" customHeight="1">
      <c r="A172" s="117"/>
      <c r="B172" s="117"/>
    </row>
    <row r="173" ht="15.75" customHeight="1">
      <c r="A173" s="117"/>
      <c r="B173" s="117"/>
    </row>
    <row r="174" ht="15.75" customHeight="1">
      <c r="A174" s="117"/>
      <c r="B174" s="117"/>
    </row>
    <row r="175" ht="15.75" customHeight="1">
      <c r="A175" s="117"/>
      <c r="B175" s="117"/>
    </row>
    <row r="176" ht="15.75" customHeight="1">
      <c r="A176" s="117"/>
      <c r="B176" s="117"/>
    </row>
    <row r="177" ht="15.75" customHeight="1">
      <c r="A177" s="117"/>
      <c r="B177" s="117"/>
    </row>
    <row r="178" ht="15.75" customHeight="1">
      <c r="A178" s="117"/>
      <c r="B178" s="117"/>
    </row>
    <row r="179" ht="15.75" customHeight="1">
      <c r="A179" s="117"/>
      <c r="B179" s="117"/>
    </row>
    <row r="180" ht="15.75" customHeight="1">
      <c r="A180" s="117"/>
      <c r="B180" s="117"/>
    </row>
    <row r="181" ht="15.75" customHeight="1">
      <c r="A181" s="117"/>
      <c r="B181" s="117"/>
    </row>
    <row r="182" ht="15.75" customHeight="1">
      <c r="A182" s="117"/>
      <c r="B182" s="117"/>
    </row>
    <row r="183" ht="15.75" customHeight="1">
      <c r="A183" s="117"/>
      <c r="B183" s="117"/>
    </row>
    <row r="184" ht="15.75" customHeight="1">
      <c r="A184" s="117"/>
      <c r="B184" s="117"/>
    </row>
    <row r="185" ht="15.75" customHeight="1">
      <c r="A185" s="117"/>
      <c r="B185" s="117"/>
    </row>
    <row r="186" ht="15.75" customHeight="1">
      <c r="A186" s="117"/>
      <c r="B186" s="117"/>
    </row>
    <row r="187" ht="15.75" customHeight="1">
      <c r="A187" s="117"/>
      <c r="B187" s="117"/>
    </row>
    <row r="188" ht="15.75" customHeight="1">
      <c r="A188" s="117"/>
      <c r="B188" s="117"/>
    </row>
    <row r="189" ht="15.75" customHeight="1">
      <c r="A189" s="117"/>
      <c r="B189" s="117"/>
    </row>
    <row r="190" ht="15.75" customHeight="1">
      <c r="A190" s="117"/>
      <c r="B190" s="117"/>
    </row>
    <row r="191" ht="15.75" customHeight="1">
      <c r="A191" s="117"/>
      <c r="B191" s="117"/>
    </row>
    <row r="192" ht="15.75" customHeight="1">
      <c r="A192" s="117"/>
      <c r="B192" s="117"/>
    </row>
    <row r="193" ht="15.75" customHeight="1">
      <c r="A193" s="117"/>
      <c r="B193" s="117"/>
    </row>
    <row r="194" ht="15.75" customHeight="1">
      <c r="A194" s="117"/>
      <c r="B194" s="117"/>
    </row>
    <row r="195" ht="15.75" customHeight="1">
      <c r="A195" s="117"/>
      <c r="B195" s="117"/>
    </row>
    <row r="196" ht="15.75" customHeight="1">
      <c r="A196" s="117"/>
      <c r="B196" s="117"/>
    </row>
    <row r="197" ht="15.75" customHeight="1">
      <c r="A197" s="117"/>
      <c r="B197" s="117"/>
    </row>
    <row r="198" ht="15.75" customHeight="1">
      <c r="A198" s="117"/>
      <c r="B198" s="117"/>
    </row>
    <row r="199" ht="15.75" customHeight="1">
      <c r="A199" s="117"/>
      <c r="B199" s="117"/>
    </row>
    <row r="200" ht="15.75" customHeight="1">
      <c r="A200" s="117"/>
      <c r="B200" s="117"/>
    </row>
    <row r="201" ht="15.75" customHeight="1">
      <c r="A201" s="117"/>
      <c r="B201" s="117"/>
    </row>
    <row r="202" ht="15.75" customHeight="1">
      <c r="A202" s="117"/>
      <c r="B202" s="117"/>
    </row>
    <row r="203" ht="15.75" customHeight="1">
      <c r="A203" s="117"/>
      <c r="B203" s="117"/>
    </row>
    <row r="204" ht="15.75" customHeight="1">
      <c r="A204" s="117"/>
      <c r="B204" s="117"/>
    </row>
    <row r="205" ht="15.75" customHeight="1">
      <c r="A205" s="117"/>
      <c r="B205" s="117"/>
    </row>
    <row r="206" ht="15.75" customHeight="1">
      <c r="A206" s="117"/>
      <c r="B206" s="117"/>
    </row>
    <row r="207" ht="15.75" customHeight="1">
      <c r="A207" s="117"/>
      <c r="B207" s="117"/>
    </row>
    <row r="208" ht="15.75" customHeight="1">
      <c r="A208" s="117"/>
      <c r="B208" s="117"/>
    </row>
    <row r="209" ht="15.75" customHeight="1">
      <c r="A209" s="117"/>
      <c r="B209" s="117"/>
    </row>
    <row r="210" ht="15.75" customHeight="1">
      <c r="A210" s="117"/>
      <c r="B210" s="117"/>
    </row>
    <row r="211" ht="15.75" customHeight="1">
      <c r="A211" s="117"/>
      <c r="B211" s="117"/>
    </row>
    <row r="212" ht="15.75" customHeight="1">
      <c r="A212" s="117"/>
      <c r="B212" s="117"/>
    </row>
    <row r="213" ht="15.75" customHeight="1">
      <c r="A213" s="117"/>
      <c r="B213" s="117"/>
    </row>
    <row r="214" ht="15.75" customHeight="1">
      <c r="A214" s="117"/>
      <c r="B214" s="117"/>
    </row>
    <row r="215" ht="15.75" customHeight="1">
      <c r="A215" s="117"/>
      <c r="B215" s="117"/>
    </row>
    <row r="216" ht="15.75" customHeight="1">
      <c r="A216" s="117"/>
      <c r="B216" s="117"/>
    </row>
    <row r="217" ht="15.75" customHeight="1">
      <c r="A217" s="117"/>
      <c r="B217" s="117"/>
    </row>
    <row r="218" ht="15.75" customHeight="1">
      <c r="A218" s="117"/>
      <c r="B218" s="117"/>
    </row>
    <row r="219" ht="15.75" customHeight="1">
      <c r="A219" s="117"/>
      <c r="B219" s="117"/>
    </row>
    <row r="220" ht="15.75" customHeight="1">
      <c r="A220" s="117"/>
      <c r="B220" s="117"/>
    </row>
    <row r="221" ht="15.75" customHeight="1">
      <c r="A221" s="117"/>
      <c r="B221" s="117"/>
    </row>
    <row r="222" ht="15.75" customHeight="1">
      <c r="A222" s="117"/>
      <c r="B222" s="117"/>
    </row>
    <row r="223" ht="15.75" customHeight="1">
      <c r="A223" s="117"/>
      <c r="B223" s="117"/>
    </row>
    <row r="224" ht="15.75" customHeight="1">
      <c r="A224" s="117"/>
      <c r="B224" s="117"/>
    </row>
    <row r="225" ht="15.75" customHeight="1">
      <c r="A225" s="117"/>
      <c r="B225" s="117"/>
    </row>
    <row r="226" ht="15.75" customHeight="1">
      <c r="A226" s="117"/>
      <c r="B226" s="117"/>
    </row>
    <row r="227" ht="15.75" customHeight="1">
      <c r="A227" s="117"/>
      <c r="B227" s="117"/>
    </row>
    <row r="228" ht="15.75" customHeight="1">
      <c r="A228" s="117"/>
      <c r="B228" s="117"/>
    </row>
    <row r="229" ht="15.75" customHeight="1">
      <c r="A229" s="117"/>
      <c r="B229" s="117"/>
    </row>
    <row r="230" ht="15.75" customHeight="1">
      <c r="A230" s="117"/>
      <c r="B230" s="117"/>
    </row>
    <row r="231" ht="15.75" customHeight="1">
      <c r="A231" s="117"/>
      <c r="B231" s="117"/>
    </row>
    <row r="232" ht="15.75" customHeight="1">
      <c r="A232" s="117"/>
      <c r="B232" s="117"/>
    </row>
    <row r="233" ht="15.75" customHeight="1">
      <c r="A233" s="117"/>
      <c r="B233" s="117"/>
    </row>
    <row r="234" ht="15.75" customHeight="1">
      <c r="A234" s="117"/>
      <c r="B234" s="117"/>
    </row>
    <row r="235" ht="15.75" customHeight="1">
      <c r="A235" s="117"/>
      <c r="B235" s="117"/>
    </row>
    <row r="236" ht="15.75" customHeight="1">
      <c r="A236" s="117"/>
      <c r="B236" s="117"/>
    </row>
    <row r="237" ht="15.75" customHeight="1">
      <c r="A237" s="117"/>
      <c r="B237" s="117"/>
    </row>
    <row r="238" ht="15.75" customHeight="1">
      <c r="A238" s="117"/>
      <c r="B238" s="117"/>
    </row>
    <row r="239" ht="15.75" customHeight="1">
      <c r="A239" s="117"/>
      <c r="B239" s="117"/>
    </row>
    <row r="240" ht="15.75" customHeight="1">
      <c r="A240" s="117"/>
      <c r="B240" s="117"/>
    </row>
    <row r="241" ht="15.75" customHeight="1">
      <c r="A241" s="117"/>
      <c r="B241" s="117"/>
    </row>
    <row r="242" ht="15.75" customHeight="1">
      <c r="A242" s="117"/>
      <c r="B242" s="117"/>
    </row>
    <row r="243" ht="15.75" customHeight="1">
      <c r="A243" s="117"/>
      <c r="B243" s="117"/>
    </row>
    <row r="244" ht="15.75" customHeight="1">
      <c r="A244" s="117"/>
      <c r="B244" s="117"/>
    </row>
    <row r="245" ht="15.75" customHeight="1">
      <c r="A245" s="117"/>
      <c r="B245" s="117"/>
    </row>
    <row r="246" ht="15.75" customHeight="1">
      <c r="A246" s="117"/>
      <c r="B246" s="117"/>
    </row>
    <row r="247" ht="15.75" customHeight="1">
      <c r="A247" s="117"/>
      <c r="B247" s="117"/>
    </row>
    <row r="248" ht="15.75" customHeight="1">
      <c r="A248" s="117"/>
      <c r="B248" s="117"/>
    </row>
    <row r="249" ht="15.75" customHeight="1">
      <c r="A249" s="117"/>
      <c r="B249" s="117"/>
    </row>
    <row r="250" ht="15.75" customHeight="1">
      <c r="A250" s="117"/>
      <c r="B250" s="117"/>
    </row>
    <row r="251" ht="15.75" customHeight="1">
      <c r="A251" s="117"/>
      <c r="B251" s="117"/>
    </row>
    <row r="252" ht="15.75" customHeight="1">
      <c r="A252" s="117"/>
      <c r="B252" s="117"/>
    </row>
    <row r="253" ht="15.75" customHeight="1">
      <c r="A253" s="117"/>
      <c r="B253" s="117"/>
    </row>
    <row r="254" ht="15.75" customHeight="1">
      <c r="A254" s="117"/>
      <c r="B254" s="117"/>
    </row>
    <row r="255" ht="15.75" customHeight="1">
      <c r="A255" s="117"/>
      <c r="B255" s="117"/>
    </row>
    <row r="256" ht="15.75" customHeight="1">
      <c r="A256" s="117"/>
      <c r="B256" s="117"/>
    </row>
    <row r="257" ht="15.75" customHeight="1">
      <c r="A257" s="117"/>
      <c r="B257" s="117"/>
    </row>
    <row r="258" ht="15.75" customHeight="1">
      <c r="A258" s="117"/>
      <c r="B258" s="117"/>
    </row>
    <row r="259" ht="15.75" customHeight="1">
      <c r="A259" s="117"/>
      <c r="B259" s="117"/>
    </row>
    <row r="260" ht="15.75" customHeight="1">
      <c r="A260" s="117"/>
      <c r="B260" s="117"/>
    </row>
    <row r="261" ht="15.75" customHeight="1">
      <c r="A261" s="117"/>
      <c r="B261" s="117"/>
    </row>
    <row r="262" ht="15.75" customHeight="1">
      <c r="A262" s="117"/>
      <c r="B262" s="117"/>
    </row>
    <row r="263" ht="15.75" customHeight="1">
      <c r="A263" s="117"/>
      <c r="B263" s="117"/>
    </row>
    <row r="264" ht="15.75" customHeight="1">
      <c r="A264" s="117"/>
      <c r="B264" s="117"/>
    </row>
    <row r="265" ht="15.75" customHeight="1">
      <c r="A265" s="117"/>
      <c r="B265" s="117"/>
    </row>
    <row r="266" ht="15.75" customHeight="1">
      <c r="A266" s="117"/>
      <c r="B266" s="117"/>
    </row>
    <row r="267" ht="15.75" customHeight="1">
      <c r="A267" s="117"/>
      <c r="B267" s="117"/>
    </row>
    <row r="268" ht="15.75" customHeight="1">
      <c r="A268" s="117"/>
      <c r="B268" s="117"/>
    </row>
    <row r="269" ht="15.75" customHeight="1">
      <c r="A269" s="117"/>
      <c r="B269" s="117"/>
    </row>
    <row r="270" ht="15.75" customHeight="1">
      <c r="A270" s="117"/>
      <c r="B270" s="117"/>
    </row>
    <row r="271" ht="15.75" customHeight="1">
      <c r="A271" s="117"/>
      <c r="B271" s="117"/>
    </row>
    <row r="272" ht="15.75" customHeight="1">
      <c r="A272" s="117"/>
      <c r="B272" s="117"/>
    </row>
    <row r="273" ht="15.75" customHeight="1">
      <c r="A273" s="117"/>
      <c r="B273" s="117"/>
    </row>
    <row r="274" ht="15.75" customHeight="1">
      <c r="A274" s="117"/>
      <c r="B274" s="117"/>
    </row>
    <row r="275" ht="15.75" customHeight="1">
      <c r="A275" s="117"/>
      <c r="B275" s="117"/>
    </row>
    <row r="276" ht="15.75" customHeight="1">
      <c r="A276" s="117"/>
      <c r="B276" s="117"/>
    </row>
    <row r="277" ht="15.75" customHeight="1">
      <c r="A277" s="117"/>
      <c r="B277" s="117"/>
    </row>
    <row r="278" ht="15.75" customHeight="1">
      <c r="A278" s="117"/>
      <c r="B278" s="117"/>
    </row>
    <row r="279" ht="15.75" customHeight="1">
      <c r="A279" s="117"/>
      <c r="B279" s="117"/>
    </row>
    <row r="280" ht="15.75" customHeight="1">
      <c r="A280" s="117"/>
      <c r="B280" s="117"/>
    </row>
    <row r="281" ht="15.75" customHeight="1">
      <c r="A281" s="117"/>
      <c r="B281" s="117"/>
    </row>
    <row r="282" ht="15.75" customHeight="1">
      <c r="A282" s="117"/>
      <c r="B282" s="117"/>
    </row>
    <row r="283" ht="15.75" customHeight="1">
      <c r="A283" s="117"/>
      <c r="B283" s="117"/>
    </row>
    <row r="284" ht="15.75" customHeight="1">
      <c r="A284" s="117"/>
      <c r="B284" s="117"/>
    </row>
    <row r="285" ht="15.75" customHeight="1">
      <c r="A285" s="117"/>
      <c r="B285" s="117"/>
    </row>
    <row r="286" ht="15.75" customHeight="1">
      <c r="A286" s="117"/>
      <c r="B286" s="117"/>
    </row>
    <row r="287" ht="15.75" customHeight="1">
      <c r="A287" s="117"/>
      <c r="B287" s="117"/>
    </row>
    <row r="288" ht="15.75" customHeight="1">
      <c r="A288" s="117"/>
      <c r="B288" s="117"/>
    </row>
    <row r="289" ht="15.75" customHeight="1">
      <c r="A289" s="117"/>
      <c r="B289" s="117"/>
    </row>
    <row r="290" ht="15.75" customHeight="1">
      <c r="A290" s="117"/>
      <c r="B290" s="117"/>
    </row>
    <row r="291" ht="15.75" customHeight="1">
      <c r="A291" s="117"/>
      <c r="B291" s="117"/>
    </row>
    <row r="292" ht="15.75" customHeight="1">
      <c r="A292" s="117"/>
      <c r="B292" s="117"/>
    </row>
    <row r="293" ht="15.75" customHeight="1">
      <c r="A293" s="117"/>
      <c r="B293" s="117"/>
    </row>
    <row r="294" ht="15.75" customHeight="1">
      <c r="A294" s="117"/>
      <c r="B294" s="117"/>
    </row>
    <row r="295" ht="15.75" customHeight="1">
      <c r="A295" s="117"/>
      <c r="B295" s="117"/>
    </row>
    <row r="296" ht="15.75" customHeight="1">
      <c r="A296" s="117"/>
      <c r="B296" s="117"/>
    </row>
    <row r="297" ht="15.75" customHeight="1">
      <c r="A297" s="117"/>
      <c r="B297" s="117"/>
    </row>
    <row r="298" ht="15.75" customHeight="1">
      <c r="A298" s="117"/>
      <c r="B298" s="117"/>
    </row>
    <row r="299" ht="15.75" customHeight="1">
      <c r="A299" s="117"/>
      <c r="B299" s="117"/>
    </row>
    <row r="300" ht="15.75" customHeight="1">
      <c r="A300" s="117"/>
      <c r="B300" s="117"/>
    </row>
    <row r="301" ht="15.75" customHeight="1">
      <c r="A301" s="117"/>
      <c r="B301" s="117"/>
    </row>
    <row r="302" ht="15.75" customHeight="1">
      <c r="A302" s="117"/>
      <c r="B302" s="117"/>
    </row>
    <row r="303" ht="15.75" customHeight="1">
      <c r="A303" s="117"/>
      <c r="B303" s="117"/>
    </row>
    <row r="304" ht="15.75" customHeight="1">
      <c r="A304" s="117"/>
      <c r="B304" s="117"/>
    </row>
    <row r="305" ht="15.75" customHeight="1">
      <c r="A305" s="117"/>
      <c r="B305" s="117"/>
    </row>
    <row r="306" ht="15.75" customHeight="1">
      <c r="A306" s="117"/>
      <c r="B306" s="117"/>
    </row>
    <row r="307" ht="15.75" customHeight="1">
      <c r="A307" s="117"/>
      <c r="B307" s="117"/>
    </row>
    <row r="308" ht="15.75" customHeight="1">
      <c r="A308" s="117"/>
      <c r="B308" s="117"/>
    </row>
    <row r="309" ht="15.75" customHeight="1">
      <c r="A309" s="117"/>
      <c r="B309" s="117"/>
    </row>
    <row r="310" ht="15.75" customHeight="1">
      <c r="A310" s="117"/>
      <c r="B310" s="117"/>
    </row>
    <row r="311" ht="15.75" customHeight="1">
      <c r="A311" s="117"/>
      <c r="B311" s="117"/>
    </row>
    <row r="312" ht="15.75" customHeight="1">
      <c r="A312" s="117"/>
      <c r="B312" s="117"/>
    </row>
    <row r="313" ht="15.75" customHeight="1">
      <c r="A313" s="117"/>
      <c r="B313" s="117"/>
    </row>
    <row r="314" ht="15.75" customHeight="1">
      <c r="A314" s="117"/>
      <c r="B314" s="117"/>
    </row>
    <row r="315" ht="15.75" customHeight="1">
      <c r="A315" s="117"/>
      <c r="B315" s="117"/>
    </row>
    <row r="316" ht="15.75" customHeight="1">
      <c r="A316" s="117"/>
      <c r="B316" s="117"/>
    </row>
    <row r="317" ht="15.75" customHeight="1">
      <c r="A317" s="117"/>
      <c r="B317" s="117"/>
    </row>
    <row r="318" ht="15.75" customHeight="1">
      <c r="A318" s="117"/>
      <c r="B318" s="117"/>
    </row>
    <row r="319" ht="15.75" customHeight="1">
      <c r="A319" s="117"/>
      <c r="B319" s="117"/>
    </row>
    <row r="320" ht="15.75" customHeight="1">
      <c r="A320" s="117"/>
      <c r="B320" s="117"/>
    </row>
    <row r="321" ht="15.75" customHeight="1">
      <c r="A321" s="117"/>
      <c r="B321" s="117"/>
    </row>
    <row r="322" ht="15.75" customHeight="1">
      <c r="A322" s="117"/>
      <c r="B322" s="117"/>
    </row>
    <row r="323" ht="15.75" customHeight="1">
      <c r="A323" s="117"/>
      <c r="B323" s="117"/>
    </row>
    <row r="324" ht="15.75" customHeight="1">
      <c r="A324" s="117"/>
      <c r="B324" s="117"/>
    </row>
    <row r="325" ht="15.75" customHeight="1">
      <c r="A325" s="117"/>
      <c r="B325" s="117"/>
    </row>
    <row r="326" ht="15.75" customHeight="1">
      <c r="A326" s="117"/>
      <c r="B326" s="117"/>
    </row>
    <row r="327" ht="15.75" customHeight="1">
      <c r="A327" s="117"/>
      <c r="B327" s="117"/>
    </row>
    <row r="328" ht="15.75" customHeight="1">
      <c r="A328" s="117"/>
      <c r="B328" s="117"/>
    </row>
    <row r="329" ht="15.75" customHeight="1">
      <c r="A329" s="117"/>
      <c r="B329" s="117"/>
    </row>
    <row r="330" ht="15.75" customHeight="1">
      <c r="A330" s="117"/>
      <c r="B330" s="117"/>
    </row>
    <row r="331" ht="15.75" customHeight="1">
      <c r="A331" s="117"/>
      <c r="B331" s="117"/>
    </row>
    <row r="332" ht="15.75" customHeight="1">
      <c r="A332" s="117"/>
      <c r="B332" s="117"/>
    </row>
    <row r="333" ht="15.75" customHeight="1">
      <c r="A333" s="117"/>
      <c r="B333" s="117"/>
    </row>
    <row r="334" ht="15.75" customHeight="1">
      <c r="A334" s="117"/>
      <c r="B334" s="117"/>
    </row>
    <row r="335" ht="15.75" customHeight="1">
      <c r="A335" s="117"/>
      <c r="B335" s="117"/>
    </row>
    <row r="336" ht="15.75" customHeight="1">
      <c r="A336" s="117"/>
      <c r="B336" s="117"/>
    </row>
    <row r="337" ht="15.75" customHeight="1">
      <c r="A337" s="117"/>
      <c r="B337" s="117"/>
    </row>
    <row r="338" ht="15.75" customHeight="1">
      <c r="A338" s="117"/>
      <c r="B338" s="117"/>
    </row>
    <row r="339" ht="15.75" customHeight="1">
      <c r="A339" s="117"/>
      <c r="B339" s="117"/>
    </row>
    <row r="340" ht="15.75" customHeight="1">
      <c r="A340" s="117"/>
      <c r="B340" s="117"/>
    </row>
    <row r="341" ht="15.75" customHeight="1">
      <c r="A341" s="117"/>
      <c r="B341" s="117"/>
    </row>
    <row r="342" ht="15.75" customHeight="1">
      <c r="A342" s="117"/>
      <c r="B342" s="117"/>
    </row>
    <row r="343" ht="15.75" customHeight="1">
      <c r="A343" s="117"/>
      <c r="B343" s="117"/>
    </row>
    <row r="344" ht="15.75" customHeight="1">
      <c r="A344" s="117"/>
      <c r="B344" s="117"/>
    </row>
    <row r="345" ht="15.75" customHeight="1">
      <c r="A345" s="117"/>
      <c r="B345" s="117"/>
    </row>
    <row r="346" ht="15.75" customHeight="1">
      <c r="A346" s="117"/>
      <c r="B346" s="117"/>
    </row>
    <row r="347" ht="15.75" customHeight="1">
      <c r="A347" s="117"/>
      <c r="B347" s="117"/>
    </row>
    <row r="348" ht="15.75" customHeight="1">
      <c r="A348" s="117"/>
      <c r="B348" s="117"/>
    </row>
    <row r="349" ht="15.75" customHeight="1">
      <c r="A349" s="117"/>
      <c r="B349" s="117"/>
    </row>
    <row r="350" ht="15.75" customHeight="1">
      <c r="A350" s="117"/>
      <c r="B350" s="117"/>
    </row>
    <row r="351" ht="15.75" customHeight="1">
      <c r="A351" s="117"/>
      <c r="B351" s="117"/>
    </row>
    <row r="352" ht="15.75" customHeight="1">
      <c r="A352" s="117"/>
      <c r="B352" s="117"/>
    </row>
    <row r="353" ht="15.75" customHeight="1">
      <c r="A353" s="117"/>
      <c r="B353" s="117"/>
    </row>
    <row r="354" ht="15.75" customHeight="1">
      <c r="A354" s="117"/>
      <c r="B354" s="117"/>
    </row>
    <row r="355" ht="15.75" customHeight="1">
      <c r="A355" s="117"/>
      <c r="B355" s="117"/>
    </row>
    <row r="356" ht="15.75" customHeight="1">
      <c r="A356" s="117"/>
      <c r="B356" s="117"/>
    </row>
    <row r="357" ht="15.75" customHeight="1">
      <c r="A357" s="117"/>
      <c r="B357" s="117"/>
    </row>
    <row r="358" ht="15.75" customHeight="1">
      <c r="A358" s="117"/>
      <c r="B358" s="117"/>
    </row>
    <row r="359" ht="15.75" customHeight="1">
      <c r="A359" s="117"/>
      <c r="B359" s="117"/>
    </row>
    <row r="360" ht="15.75" customHeight="1">
      <c r="A360" s="117"/>
      <c r="B360" s="117"/>
    </row>
    <row r="361" ht="15.75" customHeight="1">
      <c r="A361" s="117"/>
      <c r="B361" s="117"/>
    </row>
    <row r="362" ht="15.75" customHeight="1">
      <c r="A362" s="117"/>
      <c r="B362" s="117"/>
    </row>
    <row r="363" ht="15.75" customHeight="1">
      <c r="A363" s="117"/>
      <c r="B363" s="117"/>
    </row>
    <row r="364" ht="15.75" customHeight="1">
      <c r="A364" s="117"/>
      <c r="B364" s="117"/>
    </row>
    <row r="365" ht="15.75" customHeight="1">
      <c r="A365" s="117"/>
      <c r="B365" s="117"/>
    </row>
    <row r="366" ht="15.75" customHeight="1">
      <c r="A366" s="117"/>
      <c r="B366" s="117"/>
    </row>
    <row r="367" ht="15.75" customHeight="1">
      <c r="A367" s="117"/>
      <c r="B367" s="117"/>
    </row>
    <row r="368" ht="15.75" customHeight="1">
      <c r="A368" s="117"/>
      <c r="B368" s="117"/>
    </row>
    <row r="369" ht="15.75" customHeight="1">
      <c r="A369" s="117"/>
      <c r="B369" s="117"/>
    </row>
    <row r="370" ht="15.75" customHeight="1">
      <c r="A370" s="117"/>
      <c r="B370" s="117"/>
    </row>
    <row r="371" ht="15.75" customHeight="1">
      <c r="A371" s="117"/>
      <c r="B371" s="117"/>
    </row>
    <row r="372" ht="15.75" customHeight="1">
      <c r="A372" s="117"/>
      <c r="B372" s="117"/>
    </row>
    <row r="373" ht="15.75" customHeight="1">
      <c r="A373" s="117"/>
      <c r="B373" s="117"/>
    </row>
    <row r="374" ht="15.75" customHeight="1">
      <c r="A374" s="117"/>
      <c r="B374" s="117"/>
    </row>
    <row r="375" ht="15.75" customHeight="1">
      <c r="A375" s="117"/>
      <c r="B375" s="117"/>
    </row>
    <row r="376" ht="15.75" customHeight="1">
      <c r="A376" s="117"/>
      <c r="B376" s="117"/>
    </row>
    <row r="377" ht="15.75" customHeight="1">
      <c r="A377" s="117"/>
      <c r="B377" s="117"/>
    </row>
    <row r="378" ht="15.75" customHeight="1">
      <c r="A378" s="117"/>
      <c r="B378" s="117"/>
    </row>
    <row r="379" ht="15.75" customHeight="1">
      <c r="A379" s="117"/>
      <c r="B379" s="117"/>
    </row>
    <row r="380" ht="15.75" customHeight="1">
      <c r="A380" s="117"/>
      <c r="B380" s="117"/>
    </row>
    <row r="381" ht="15.75" customHeight="1">
      <c r="A381" s="117"/>
      <c r="B381" s="117"/>
    </row>
    <row r="382" ht="15.75" customHeight="1">
      <c r="A382" s="117"/>
      <c r="B382" s="117"/>
    </row>
    <row r="383" ht="15.75" customHeight="1">
      <c r="A383" s="117"/>
      <c r="B383" s="117"/>
    </row>
    <row r="384" ht="15.75" customHeight="1">
      <c r="A384" s="117"/>
      <c r="B384" s="117"/>
    </row>
    <row r="385" ht="15.75" customHeight="1">
      <c r="A385" s="117"/>
      <c r="B385" s="117"/>
    </row>
    <row r="386" ht="15.75" customHeight="1">
      <c r="A386" s="117"/>
      <c r="B386" s="117"/>
    </row>
    <row r="387" ht="15.75" customHeight="1">
      <c r="A387" s="117"/>
      <c r="B387" s="117"/>
    </row>
    <row r="388" ht="15.75" customHeight="1">
      <c r="A388" s="117"/>
      <c r="B388" s="117"/>
    </row>
    <row r="389" ht="15.75" customHeight="1">
      <c r="A389" s="117"/>
      <c r="B389" s="117"/>
    </row>
    <row r="390" ht="15.75" customHeight="1">
      <c r="A390" s="117"/>
      <c r="B390" s="117"/>
    </row>
    <row r="391" ht="15.75" customHeight="1">
      <c r="A391" s="117"/>
      <c r="B391" s="117"/>
    </row>
    <row r="392" ht="15.75" customHeight="1">
      <c r="A392" s="117"/>
      <c r="B392" s="117"/>
    </row>
    <row r="393" ht="15.75" customHeight="1">
      <c r="A393" s="117"/>
      <c r="B393" s="117"/>
    </row>
    <row r="394" ht="15.75" customHeight="1">
      <c r="A394" s="117"/>
      <c r="B394" s="117"/>
    </row>
    <row r="395" ht="15.75" customHeight="1">
      <c r="A395" s="117"/>
      <c r="B395" s="117"/>
    </row>
    <row r="396" ht="15.75" customHeight="1">
      <c r="A396" s="117"/>
      <c r="B396" s="117"/>
    </row>
    <row r="397" ht="15.75" customHeight="1">
      <c r="A397" s="117"/>
      <c r="B397" s="117"/>
    </row>
    <row r="398" ht="15.75" customHeight="1">
      <c r="A398" s="117"/>
      <c r="B398" s="117"/>
    </row>
    <row r="399" ht="15.75" customHeight="1">
      <c r="A399" s="117"/>
      <c r="B399" s="117"/>
    </row>
    <row r="400" ht="15.75" customHeight="1">
      <c r="A400" s="117"/>
      <c r="B400" s="117"/>
    </row>
    <row r="401" ht="15.75" customHeight="1">
      <c r="A401" s="117"/>
      <c r="B401" s="117"/>
    </row>
    <row r="402" ht="15.75" customHeight="1">
      <c r="A402" s="117"/>
      <c r="B402" s="117"/>
    </row>
    <row r="403" ht="15.75" customHeight="1">
      <c r="A403" s="117"/>
      <c r="B403" s="117"/>
    </row>
    <row r="404" ht="15.75" customHeight="1">
      <c r="A404" s="117"/>
      <c r="B404" s="117"/>
    </row>
    <row r="405" ht="15.75" customHeight="1">
      <c r="A405" s="117"/>
      <c r="B405" s="117"/>
    </row>
    <row r="406" ht="15.75" customHeight="1">
      <c r="A406" s="117"/>
      <c r="B406" s="117"/>
    </row>
    <row r="407" ht="15.75" customHeight="1">
      <c r="A407" s="117"/>
      <c r="B407" s="117"/>
    </row>
    <row r="408" ht="15.75" customHeight="1">
      <c r="A408" s="117"/>
      <c r="B408" s="117"/>
    </row>
    <row r="409" ht="15.75" customHeight="1">
      <c r="A409" s="117"/>
      <c r="B409" s="117"/>
    </row>
    <row r="410" ht="15.75" customHeight="1">
      <c r="A410" s="117"/>
      <c r="B410" s="117"/>
    </row>
    <row r="411" ht="15.75" customHeight="1">
      <c r="A411" s="117"/>
      <c r="B411" s="117"/>
    </row>
    <row r="412" ht="15.75" customHeight="1">
      <c r="A412" s="117"/>
      <c r="B412" s="117"/>
    </row>
    <row r="413" ht="15.75" customHeight="1">
      <c r="A413" s="117"/>
      <c r="B413" s="117"/>
    </row>
    <row r="414" ht="15.75" customHeight="1">
      <c r="A414" s="117"/>
      <c r="B414" s="117"/>
    </row>
    <row r="415" ht="15.75" customHeight="1">
      <c r="A415" s="117"/>
      <c r="B415" s="117"/>
    </row>
    <row r="416" ht="15.75" customHeight="1">
      <c r="A416" s="117"/>
      <c r="B416" s="117"/>
    </row>
    <row r="417" ht="15.75" customHeight="1">
      <c r="A417" s="117"/>
      <c r="B417" s="117"/>
    </row>
    <row r="418" ht="15.75" customHeight="1">
      <c r="A418" s="117"/>
      <c r="B418" s="117"/>
    </row>
    <row r="419" ht="15.75" customHeight="1">
      <c r="A419" s="117"/>
      <c r="B419" s="117"/>
    </row>
    <row r="420" ht="15.75" customHeight="1">
      <c r="A420" s="117"/>
      <c r="B420" s="117"/>
    </row>
    <row r="421" ht="15.75" customHeight="1">
      <c r="A421" s="117"/>
      <c r="B421" s="117"/>
    </row>
    <row r="422" ht="15.75" customHeight="1">
      <c r="A422" s="117"/>
      <c r="B422" s="117"/>
    </row>
    <row r="423" ht="15.75" customHeight="1">
      <c r="A423" s="117"/>
      <c r="B423" s="117"/>
    </row>
    <row r="424" ht="15.75" customHeight="1">
      <c r="A424" s="117"/>
      <c r="B424" s="117"/>
    </row>
    <row r="425" ht="15.75" customHeight="1">
      <c r="A425" s="117"/>
      <c r="B425" s="117"/>
    </row>
    <row r="426" ht="15.75" customHeight="1">
      <c r="A426" s="117"/>
      <c r="B426" s="117"/>
    </row>
    <row r="427" ht="15.75" customHeight="1">
      <c r="A427" s="117"/>
      <c r="B427" s="117"/>
    </row>
    <row r="428" ht="15.75" customHeight="1">
      <c r="A428" s="117"/>
      <c r="B428" s="117"/>
    </row>
    <row r="429" ht="15.75" customHeight="1">
      <c r="A429" s="117"/>
      <c r="B429" s="117"/>
    </row>
    <row r="430" ht="15.75" customHeight="1">
      <c r="A430" s="117"/>
      <c r="B430" s="117"/>
    </row>
    <row r="431" ht="15.75" customHeight="1">
      <c r="A431" s="117"/>
      <c r="B431" s="117"/>
    </row>
    <row r="432" ht="15.75" customHeight="1">
      <c r="A432" s="117"/>
      <c r="B432" s="117"/>
    </row>
    <row r="433" ht="15.75" customHeight="1">
      <c r="A433" s="117"/>
      <c r="B433" s="117"/>
    </row>
    <row r="434" ht="15.75" customHeight="1">
      <c r="A434" s="117"/>
      <c r="B434" s="117"/>
    </row>
    <row r="435" ht="15.75" customHeight="1">
      <c r="A435" s="117"/>
      <c r="B435" s="117"/>
    </row>
    <row r="436" ht="15.75" customHeight="1">
      <c r="A436" s="117"/>
      <c r="B436" s="117"/>
    </row>
    <row r="437" ht="15.75" customHeight="1">
      <c r="A437" s="117"/>
      <c r="B437" s="117"/>
    </row>
    <row r="438" ht="15.75" customHeight="1">
      <c r="A438" s="117"/>
      <c r="B438" s="117"/>
    </row>
    <row r="439" ht="15.75" customHeight="1">
      <c r="A439" s="117"/>
      <c r="B439" s="117"/>
    </row>
    <row r="440" ht="15.75" customHeight="1">
      <c r="A440" s="117"/>
      <c r="B440" s="117"/>
    </row>
    <row r="441" ht="15.75" customHeight="1">
      <c r="A441" s="117"/>
      <c r="B441" s="117"/>
    </row>
    <row r="442" ht="15.75" customHeight="1">
      <c r="A442" s="117"/>
      <c r="B442" s="117"/>
    </row>
    <row r="443" ht="15.75" customHeight="1">
      <c r="A443" s="117"/>
      <c r="B443" s="117"/>
    </row>
    <row r="444" ht="15.75" customHeight="1">
      <c r="A444" s="117"/>
      <c r="B444" s="117"/>
    </row>
    <row r="445" ht="15.75" customHeight="1">
      <c r="A445" s="117"/>
      <c r="B445" s="117"/>
    </row>
    <row r="446" ht="15.75" customHeight="1">
      <c r="A446" s="117"/>
      <c r="B446" s="117"/>
    </row>
    <row r="447" ht="15.75" customHeight="1">
      <c r="A447" s="117"/>
      <c r="B447" s="117"/>
    </row>
    <row r="448" ht="15.75" customHeight="1">
      <c r="A448" s="117"/>
      <c r="B448" s="117"/>
    </row>
    <row r="449" ht="15.75" customHeight="1">
      <c r="A449" s="117"/>
      <c r="B449" s="117"/>
    </row>
    <row r="450" ht="15.75" customHeight="1">
      <c r="A450" s="117"/>
      <c r="B450" s="117"/>
    </row>
    <row r="451" ht="15.75" customHeight="1">
      <c r="A451" s="117"/>
      <c r="B451" s="117"/>
    </row>
    <row r="452" ht="15.75" customHeight="1">
      <c r="A452" s="117"/>
      <c r="B452" s="117"/>
    </row>
    <row r="453" ht="15.75" customHeight="1">
      <c r="A453" s="117"/>
      <c r="B453" s="117"/>
    </row>
    <row r="454" ht="15.75" customHeight="1">
      <c r="A454" s="117"/>
      <c r="B454" s="117"/>
    </row>
    <row r="455" ht="15.75" customHeight="1">
      <c r="A455" s="117"/>
      <c r="B455" s="117"/>
    </row>
    <row r="456" ht="15.75" customHeight="1">
      <c r="A456" s="117"/>
      <c r="B456" s="117"/>
    </row>
    <row r="457" ht="15.75" customHeight="1">
      <c r="A457" s="117"/>
      <c r="B457" s="117"/>
    </row>
    <row r="458" ht="15.75" customHeight="1">
      <c r="A458" s="117"/>
      <c r="B458" s="117"/>
    </row>
    <row r="459" ht="15.75" customHeight="1">
      <c r="A459" s="117"/>
      <c r="B459" s="117"/>
    </row>
    <row r="460" ht="15.75" customHeight="1">
      <c r="A460" s="117"/>
      <c r="B460" s="117"/>
    </row>
    <row r="461" ht="15.75" customHeight="1">
      <c r="A461" s="117"/>
      <c r="B461" s="117"/>
    </row>
    <row r="462" ht="15.75" customHeight="1">
      <c r="A462" s="117"/>
      <c r="B462" s="117"/>
    </row>
    <row r="463" ht="15.75" customHeight="1">
      <c r="A463" s="117"/>
      <c r="B463" s="117"/>
    </row>
    <row r="464" ht="15.75" customHeight="1">
      <c r="A464" s="117"/>
      <c r="B464" s="117"/>
    </row>
    <row r="465" ht="15.75" customHeight="1">
      <c r="A465" s="117"/>
      <c r="B465" s="117"/>
    </row>
    <row r="466" ht="15.75" customHeight="1">
      <c r="A466" s="117"/>
      <c r="B466" s="117"/>
    </row>
    <row r="467" ht="15.75" customHeight="1">
      <c r="A467" s="117"/>
      <c r="B467" s="117"/>
    </row>
    <row r="468" ht="15.75" customHeight="1">
      <c r="A468" s="117"/>
      <c r="B468" s="117"/>
    </row>
    <row r="469" ht="15.75" customHeight="1">
      <c r="A469" s="117"/>
      <c r="B469" s="117"/>
    </row>
    <row r="470" ht="15.75" customHeight="1">
      <c r="A470" s="117"/>
      <c r="B470" s="117"/>
    </row>
    <row r="471" ht="15.75" customHeight="1">
      <c r="A471" s="117"/>
      <c r="B471" s="117"/>
    </row>
    <row r="472" ht="15.75" customHeight="1">
      <c r="A472" s="117"/>
      <c r="B472" s="117"/>
    </row>
    <row r="473" ht="15.75" customHeight="1">
      <c r="A473" s="117"/>
      <c r="B473" s="117"/>
    </row>
    <row r="474" ht="15.75" customHeight="1">
      <c r="A474" s="117"/>
      <c r="B474" s="117"/>
    </row>
    <row r="475" ht="15.75" customHeight="1">
      <c r="A475" s="117"/>
      <c r="B475" s="117"/>
    </row>
    <row r="476" ht="15.75" customHeight="1">
      <c r="A476" s="117"/>
      <c r="B476" s="117"/>
    </row>
    <row r="477" ht="15.75" customHeight="1">
      <c r="A477" s="117"/>
      <c r="B477" s="117"/>
    </row>
    <row r="478" ht="15.75" customHeight="1">
      <c r="A478" s="117"/>
      <c r="B478" s="117"/>
    </row>
    <row r="479" ht="15.75" customHeight="1">
      <c r="A479" s="117"/>
      <c r="B479" s="117"/>
    </row>
    <row r="480" ht="15.75" customHeight="1">
      <c r="A480" s="117"/>
      <c r="B480" s="117"/>
    </row>
    <row r="481" ht="15.75" customHeight="1">
      <c r="A481" s="117"/>
      <c r="B481" s="117"/>
    </row>
    <row r="482" ht="15.75" customHeight="1">
      <c r="A482" s="117"/>
      <c r="B482" s="117"/>
    </row>
    <row r="483" ht="15.75" customHeight="1">
      <c r="A483" s="117"/>
      <c r="B483" s="117"/>
    </row>
    <row r="484" ht="15.75" customHeight="1">
      <c r="A484" s="117"/>
      <c r="B484" s="117"/>
    </row>
    <row r="485" ht="15.75" customHeight="1">
      <c r="A485" s="117"/>
      <c r="B485" s="117"/>
    </row>
    <row r="486" ht="15.75" customHeight="1">
      <c r="A486" s="117"/>
      <c r="B486" s="117"/>
    </row>
    <row r="487" ht="15.75" customHeight="1">
      <c r="A487" s="117"/>
      <c r="B487" s="117"/>
    </row>
    <row r="488" ht="15.75" customHeight="1">
      <c r="A488" s="117"/>
      <c r="B488" s="117"/>
    </row>
    <row r="489" ht="15.75" customHeight="1">
      <c r="A489" s="117"/>
      <c r="B489" s="117"/>
    </row>
    <row r="490" ht="15.75" customHeight="1">
      <c r="A490" s="117"/>
      <c r="B490" s="117"/>
    </row>
    <row r="491" ht="15.75" customHeight="1">
      <c r="A491" s="117"/>
      <c r="B491" s="117"/>
    </row>
    <row r="492" ht="15.75" customHeight="1">
      <c r="A492" s="117"/>
      <c r="B492" s="117"/>
    </row>
    <row r="493" ht="15.75" customHeight="1">
      <c r="A493" s="117"/>
      <c r="B493" s="117"/>
    </row>
    <row r="494" ht="15.75" customHeight="1">
      <c r="A494" s="117"/>
      <c r="B494" s="117"/>
    </row>
    <row r="495" ht="15.75" customHeight="1">
      <c r="A495" s="117"/>
      <c r="B495" s="117"/>
    </row>
    <row r="496" ht="15.75" customHeight="1">
      <c r="A496" s="117"/>
      <c r="B496" s="117"/>
    </row>
    <row r="497" ht="15.75" customHeight="1">
      <c r="A497" s="117"/>
      <c r="B497" s="117"/>
    </row>
    <row r="498" ht="15.75" customHeight="1">
      <c r="A498" s="117"/>
      <c r="B498" s="117"/>
    </row>
    <row r="499" ht="15.75" customHeight="1">
      <c r="A499" s="117"/>
      <c r="B499" s="117"/>
    </row>
    <row r="500" ht="15.75" customHeight="1">
      <c r="A500" s="117"/>
      <c r="B500" s="117"/>
    </row>
    <row r="501" ht="15.75" customHeight="1">
      <c r="A501" s="117"/>
      <c r="B501" s="117"/>
    </row>
    <row r="502" ht="15.75" customHeight="1">
      <c r="A502" s="117"/>
      <c r="B502" s="117"/>
    </row>
    <row r="503" ht="15.75" customHeight="1">
      <c r="A503" s="117"/>
      <c r="B503" s="117"/>
    </row>
    <row r="504" ht="15.75" customHeight="1">
      <c r="A504" s="117"/>
      <c r="B504" s="117"/>
    </row>
    <row r="505" ht="15.75" customHeight="1">
      <c r="A505" s="117"/>
      <c r="B505" s="117"/>
    </row>
    <row r="506" ht="15.75" customHeight="1">
      <c r="A506" s="117"/>
      <c r="B506" s="117"/>
    </row>
    <row r="507" ht="15.75" customHeight="1">
      <c r="A507" s="117"/>
      <c r="B507" s="117"/>
    </row>
    <row r="508" ht="15.75" customHeight="1">
      <c r="A508" s="117"/>
      <c r="B508" s="117"/>
    </row>
    <row r="509" ht="15.75" customHeight="1">
      <c r="A509" s="117"/>
      <c r="B509" s="117"/>
    </row>
    <row r="510" ht="15.75" customHeight="1">
      <c r="A510" s="117"/>
      <c r="B510" s="117"/>
    </row>
    <row r="511" ht="15.75" customHeight="1">
      <c r="A511" s="117"/>
      <c r="B511" s="117"/>
    </row>
    <row r="512" ht="15.75" customHeight="1">
      <c r="A512" s="117"/>
      <c r="B512" s="117"/>
    </row>
    <row r="513" ht="15.75" customHeight="1">
      <c r="A513" s="117"/>
      <c r="B513" s="117"/>
    </row>
    <row r="514" ht="15.75" customHeight="1">
      <c r="A514" s="117"/>
      <c r="B514" s="117"/>
    </row>
    <row r="515" ht="15.75" customHeight="1">
      <c r="A515" s="117"/>
      <c r="B515" s="117"/>
    </row>
    <row r="516" ht="15.75" customHeight="1">
      <c r="A516" s="117"/>
      <c r="B516" s="117"/>
    </row>
    <row r="517" ht="15.75" customHeight="1">
      <c r="A517" s="117"/>
      <c r="B517" s="117"/>
    </row>
    <row r="518" ht="15.75" customHeight="1">
      <c r="A518" s="117"/>
      <c r="B518" s="117"/>
    </row>
    <row r="519" ht="15.75" customHeight="1">
      <c r="A519" s="117"/>
      <c r="B519" s="117"/>
    </row>
    <row r="520" ht="15.75" customHeight="1">
      <c r="A520" s="117"/>
      <c r="B520" s="117"/>
    </row>
    <row r="521" ht="15.75" customHeight="1">
      <c r="A521" s="117"/>
      <c r="B521" s="117"/>
    </row>
    <row r="522" ht="15.75" customHeight="1">
      <c r="A522" s="117"/>
      <c r="B522" s="117"/>
    </row>
    <row r="523" ht="15.75" customHeight="1">
      <c r="A523" s="117"/>
      <c r="B523" s="117"/>
    </row>
    <row r="524" ht="15.75" customHeight="1">
      <c r="A524" s="117"/>
      <c r="B524" s="117"/>
    </row>
    <row r="525" ht="15.75" customHeight="1">
      <c r="A525" s="117"/>
      <c r="B525" s="117"/>
    </row>
    <row r="526" ht="15.75" customHeight="1">
      <c r="A526" s="117"/>
      <c r="B526" s="117"/>
    </row>
    <row r="527" ht="15.75" customHeight="1">
      <c r="A527" s="117"/>
      <c r="B527" s="117"/>
    </row>
    <row r="528" ht="15.75" customHeight="1">
      <c r="A528" s="117"/>
      <c r="B528" s="117"/>
    </row>
    <row r="529" ht="15.75" customHeight="1">
      <c r="A529" s="117"/>
      <c r="B529" s="117"/>
    </row>
    <row r="530" ht="15.75" customHeight="1">
      <c r="A530" s="117"/>
      <c r="B530" s="117"/>
    </row>
    <row r="531" ht="15.75" customHeight="1">
      <c r="A531" s="117"/>
      <c r="B531" s="117"/>
    </row>
    <row r="532" ht="15.75" customHeight="1">
      <c r="A532" s="117"/>
      <c r="B532" s="117"/>
    </row>
    <row r="533" ht="15.75" customHeight="1">
      <c r="A533" s="117"/>
      <c r="B533" s="117"/>
    </row>
    <row r="534" ht="15.75" customHeight="1">
      <c r="A534" s="117"/>
      <c r="B534" s="117"/>
    </row>
    <row r="535" ht="15.75" customHeight="1">
      <c r="A535" s="117"/>
      <c r="B535" s="117"/>
    </row>
    <row r="536" ht="15.75" customHeight="1">
      <c r="A536" s="117"/>
      <c r="B536" s="117"/>
    </row>
    <row r="537" ht="15.75" customHeight="1">
      <c r="A537" s="117"/>
      <c r="B537" s="117"/>
    </row>
    <row r="538" ht="15.75" customHeight="1">
      <c r="A538" s="117"/>
      <c r="B538" s="117"/>
    </row>
    <row r="539" ht="15.75" customHeight="1">
      <c r="A539" s="117"/>
      <c r="B539" s="117"/>
    </row>
    <row r="540" ht="15.75" customHeight="1">
      <c r="A540" s="117"/>
      <c r="B540" s="117"/>
    </row>
    <row r="541" ht="15.75" customHeight="1">
      <c r="A541" s="117"/>
      <c r="B541" s="117"/>
    </row>
    <row r="542" ht="15.75" customHeight="1">
      <c r="A542" s="117"/>
      <c r="B542" s="117"/>
    </row>
    <row r="543" ht="15.75" customHeight="1">
      <c r="A543" s="117"/>
      <c r="B543" s="117"/>
    </row>
    <row r="544" ht="15.75" customHeight="1">
      <c r="A544" s="117"/>
      <c r="B544" s="117"/>
    </row>
    <row r="545" ht="15.75" customHeight="1">
      <c r="A545" s="117"/>
      <c r="B545" s="117"/>
    </row>
    <row r="546" ht="15.75" customHeight="1">
      <c r="A546" s="117"/>
      <c r="B546" s="117"/>
    </row>
    <row r="547" ht="15.75" customHeight="1">
      <c r="A547" s="117"/>
      <c r="B547" s="117"/>
    </row>
    <row r="548" ht="15.75" customHeight="1">
      <c r="A548" s="117"/>
      <c r="B548" s="117"/>
    </row>
    <row r="549" ht="15.75" customHeight="1">
      <c r="A549" s="117"/>
      <c r="B549" s="117"/>
    </row>
    <row r="550" ht="15.75" customHeight="1">
      <c r="A550" s="117"/>
      <c r="B550" s="117"/>
    </row>
    <row r="551" ht="15.75" customHeight="1">
      <c r="A551" s="117"/>
      <c r="B551" s="117"/>
    </row>
    <row r="552" ht="15.75" customHeight="1">
      <c r="A552" s="117"/>
      <c r="B552" s="117"/>
    </row>
    <row r="553" ht="15.75" customHeight="1">
      <c r="A553" s="117"/>
      <c r="B553" s="117"/>
    </row>
    <row r="554" ht="15.75" customHeight="1">
      <c r="A554" s="117"/>
      <c r="B554" s="117"/>
    </row>
    <row r="555" ht="15.75" customHeight="1">
      <c r="A555" s="117"/>
      <c r="B555" s="117"/>
    </row>
    <row r="556" ht="15.75" customHeight="1">
      <c r="A556" s="117"/>
      <c r="B556" s="117"/>
    </row>
    <row r="557" ht="15.75" customHeight="1">
      <c r="A557" s="117"/>
      <c r="B557" s="117"/>
    </row>
    <row r="558" ht="15.75" customHeight="1">
      <c r="A558" s="117"/>
      <c r="B558" s="117"/>
    </row>
    <row r="559" ht="15.75" customHeight="1">
      <c r="A559" s="117"/>
      <c r="B559" s="117"/>
    </row>
    <row r="560" ht="15.75" customHeight="1">
      <c r="A560" s="117"/>
      <c r="B560" s="117"/>
    </row>
    <row r="561" ht="15.75" customHeight="1">
      <c r="A561" s="117"/>
      <c r="B561" s="117"/>
    </row>
    <row r="562" ht="15.75" customHeight="1">
      <c r="A562" s="117"/>
      <c r="B562" s="117"/>
    </row>
    <row r="563" ht="15.75" customHeight="1">
      <c r="A563" s="117"/>
      <c r="B563" s="117"/>
    </row>
    <row r="564" ht="15.75" customHeight="1">
      <c r="A564" s="117"/>
      <c r="B564" s="117"/>
    </row>
    <row r="565" ht="15.75" customHeight="1">
      <c r="A565" s="117"/>
      <c r="B565" s="117"/>
    </row>
    <row r="566" ht="15.75" customHeight="1">
      <c r="A566" s="117"/>
      <c r="B566" s="117"/>
    </row>
    <row r="567" ht="15.75" customHeight="1">
      <c r="A567" s="117"/>
      <c r="B567" s="117"/>
    </row>
    <row r="568" ht="15.75" customHeight="1">
      <c r="A568" s="117"/>
      <c r="B568" s="117"/>
    </row>
    <row r="569" ht="15.75" customHeight="1">
      <c r="A569" s="117"/>
      <c r="B569" s="117"/>
    </row>
    <row r="570" ht="15.75" customHeight="1">
      <c r="A570" s="117"/>
      <c r="B570" s="117"/>
    </row>
    <row r="571" ht="15.75" customHeight="1">
      <c r="A571" s="117"/>
      <c r="B571" s="117"/>
    </row>
    <row r="572" ht="15.75" customHeight="1">
      <c r="A572" s="117"/>
      <c r="B572" s="117"/>
    </row>
    <row r="573" ht="15.75" customHeight="1">
      <c r="A573" s="117"/>
      <c r="B573" s="117"/>
    </row>
    <row r="574" ht="15.75" customHeight="1">
      <c r="A574" s="117"/>
      <c r="B574" s="117"/>
    </row>
    <row r="575" ht="15.75" customHeight="1">
      <c r="A575" s="117"/>
      <c r="B575" s="117"/>
    </row>
    <row r="576" ht="15.75" customHeight="1">
      <c r="A576" s="117"/>
      <c r="B576" s="117"/>
    </row>
    <row r="577" ht="15.75" customHeight="1">
      <c r="A577" s="117"/>
      <c r="B577" s="117"/>
    </row>
    <row r="578" ht="15.75" customHeight="1">
      <c r="A578" s="117"/>
      <c r="B578" s="117"/>
    </row>
    <row r="579" ht="15.75" customHeight="1">
      <c r="A579" s="117"/>
      <c r="B579" s="117"/>
    </row>
    <row r="580" ht="15.75" customHeight="1">
      <c r="A580" s="117"/>
      <c r="B580" s="117"/>
    </row>
    <row r="581" ht="15.75" customHeight="1">
      <c r="A581" s="117"/>
      <c r="B581" s="117"/>
    </row>
    <row r="582" ht="15.75" customHeight="1">
      <c r="A582" s="117"/>
      <c r="B582" s="117"/>
    </row>
    <row r="583" ht="15.75" customHeight="1">
      <c r="A583" s="117"/>
      <c r="B583" s="117"/>
    </row>
    <row r="584" ht="15.75" customHeight="1">
      <c r="A584" s="117"/>
      <c r="B584" s="117"/>
    </row>
    <row r="585" ht="15.75" customHeight="1">
      <c r="A585" s="117"/>
      <c r="B585" s="117"/>
    </row>
    <row r="586" ht="15.75" customHeight="1">
      <c r="A586" s="117"/>
      <c r="B586" s="117"/>
    </row>
    <row r="587" ht="15.75" customHeight="1">
      <c r="A587" s="117"/>
      <c r="B587" s="117"/>
    </row>
    <row r="588" ht="15.75" customHeight="1">
      <c r="A588" s="117"/>
      <c r="B588" s="117"/>
    </row>
    <row r="589" ht="15.75" customHeight="1">
      <c r="A589" s="117"/>
      <c r="B589" s="117"/>
    </row>
    <row r="590" ht="15.75" customHeight="1">
      <c r="A590" s="117"/>
      <c r="B590" s="117"/>
    </row>
    <row r="591" ht="15.75" customHeight="1">
      <c r="A591" s="117"/>
      <c r="B591" s="117"/>
    </row>
    <row r="592" ht="15.75" customHeight="1">
      <c r="A592" s="117"/>
      <c r="B592" s="117"/>
    </row>
    <row r="593" ht="15.75" customHeight="1">
      <c r="A593" s="117"/>
      <c r="B593" s="117"/>
    </row>
    <row r="594" ht="15.75" customHeight="1">
      <c r="A594" s="117"/>
      <c r="B594" s="117"/>
    </row>
    <row r="595" ht="15.75" customHeight="1">
      <c r="A595" s="117"/>
      <c r="B595" s="117"/>
    </row>
    <row r="596" ht="15.75" customHeight="1">
      <c r="A596" s="117"/>
      <c r="B596" s="117"/>
    </row>
    <row r="597" ht="15.75" customHeight="1">
      <c r="A597" s="117"/>
      <c r="B597" s="117"/>
    </row>
    <row r="598" ht="15.75" customHeight="1">
      <c r="A598" s="117"/>
      <c r="B598" s="117"/>
    </row>
    <row r="599" ht="15.75" customHeight="1">
      <c r="A599" s="117"/>
      <c r="B599" s="117"/>
    </row>
    <row r="600" ht="15.75" customHeight="1">
      <c r="A600" s="117"/>
      <c r="B600" s="117"/>
    </row>
    <row r="601" ht="15.75" customHeight="1">
      <c r="A601" s="117"/>
      <c r="B601" s="117"/>
    </row>
    <row r="602" ht="15.75" customHeight="1">
      <c r="A602" s="117"/>
      <c r="B602" s="117"/>
    </row>
    <row r="603" ht="15.75" customHeight="1">
      <c r="A603" s="117"/>
      <c r="B603" s="117"/>
    </row>
    <row r="604" ht="15.75" customHeight="1">
      <c r="A604" s="117"/>
      <c r="B604" s="117"/>
    </row>
    <row r="605" ht="15.75" customHeight="1">
      <c r="A605" s="117"/>
      <c r="B605" s="117"/>
    </row>
    <row r="606" ht="15.75" customHeight="1">
      <c r="A606" s="117"/>
      <c r="B606" s="117"/>
    </row>
    <row r="607" ht="15.75" customHeight="1">
      <c r="A607" s="117"/>
      <c r="B607" s="117"/>
    </row>
    <row r="608" ht="15.75" customHeight="1">
      <c r="A608" s="117"/>
      <c r="B608" s="117"/>
    </row>
    <row r="609" ht="15.75" customHeight="1">
      <c r="A609" s="117"/>
      <c r="B609" s="117"/>
    </row>
    <row r="610" ht="15.75" customHeight="1">
      <c r="A610" s="117"/>
      <c r="B610" s="117"/>
    </row>
    <row r="611" ht="15.75" customHeight="1">
      <c r="A611" s="117"/>
      <c r="B611" s="117"/>
    </row>
    <row r="612" ht="15.75" customHeight="1">
      <c r="A612" s="117"/>
      <c r="B612" s="117"/>
    </row>
    <row r="613" ht="15.75" customHeight="1">
      <c r="A613" s="117"/>
      <c r="B613" s="117"/>
    </row>
    <row r="614" ht="15.75" customHeight="1">
      <c r="A614" s="117"/>
      <c r="B614" s="117"/>
    </row>
    <row r="615" ht="15.75" customHeight="1">
      <c r="A615" s="117"/>
      <c r="B615" s="117"/>
    </row>
    <row r="616" ht="15.75" customHeight="1">
      <c r="A616" s="117"/>
      <c r="B616" s="117"/>
    </row>
    <row r="617" ht="15.75" customHeight="1">
      <c r="A617" s="117"/>
      <c r="B617" s="117"/>
    </row>
    <row r="618" ht="15.75" customHeight="1">
      <c r="A618" s="117"/>
      <c r="B618" s="117"/>
    </row>
    <row r="619" ht="15.75" customHeight="1">
      <c r="A619" s="117"/>
      <c r="B619" s="117"/>
    </row>
    <row r="620" ht="15.75" customHeight="1">
      <c r="A620" s="117"/>
      <c r="B620" s="117"/>
    </row>
    <row r="621" ht="15.75" customHeight="1">
      <c r="A621" s="117"/>
      <c r="B621" s="117"/>
    </row>
    <row r="622" ht="15.75" customHeight="1">
      <c r="A622" s="117"/>
      <c r="B622" s="117"/>
    </row>
    <row r="623" ht="15.75" customHeight="1">
      <c r="A623" s="117"/>
      <c r="B623" s="117"/>
    </row>
    <row r="624" ht="15.75" customHeight="1">
      <c r="A624" s="117"/>
      <c r="B624" s="117"/>
    </row>
    <row r="625" ht="15.75" customHeight="1">
      <c r="A625" s="117"/>
      <c r="B625" s="117"/>
    </row>
    <row r="626" ht="15.75" customHeight="1">
      <c r="A626" s="117"/>
      <c r="B626" s="117"/>
    </row>
    <row r="627" ht="15.75" customHeight="1">
      <c r="A627" s="117"/>
      <c r="B627" s="117"/>
    </row>
    <row r="628" ht="15.75" customHeight="1">
      <c r="A628" s="117"/>
      <c r="B628" s="117"/>
    </row>
    <row r="629" ht="15.75" customHeight="1">
      <c r="A629" s="117"/>
      <c r="B629" s="117"/>
    </row>
    <row r="630" ht="15.75" customHeight="1">
      <c r="A630" s="117"/>
      <c r="B630" s="117"/>
    </row>
    <row r="631" ht="15.75" customHeight="1">
      <c r="A631" s="117"/>
      <c r="B631" s="117"/>
    </row>
    <row r="632" ht="15.75" customHeight="1">
      <c r="A632" s="117"/>
      <c r="B632" s="117"/>
    </row>
    <row r="633" ht="15.75" customHeight="1">
      <c r="A633" s="117"/>
      <c r="B633" s="117"/>
    </row>
    <row r="634" ht="15.75" customHeight="1">
      <c r="A634" s="117"/>
      <c r="B634" s="117"/>
    </row>
    <row r="635" ht="15.75" customHeight="1">
      <c r="A635" s="117"/>
      <c r="B635" s="117"/>
    </row>
    <row r="636" ht="15.75" customHeight="1">
      <c r="A636" s="117"/>
      <c r="B636" s="117"/>
    </row>
    <row r="637" ht="15.75" customHeight="1">
      <c r="A637" s="117"/>
      <c r="B637" s="117"/>
    </row>
    <row r="638" ht="15.75" customHeight="1">
      <c r="A638" s="117"/>
      <c r="B638" s="117"/>
    </row>
    <row r="639" ht="15.75" customHeight="1">
      <c r="A639" s="117"/>
      <c r="B639" s="117"/>
    </row>
    <row r="640" ht="15.75" customHeight="1">
      <c r="A640" s="117"/>
      <c r="B640" s="117"/>
    </row>
    <row r="641" ht="15.75" customHeight="1">
      <c r="A641" s="117"/>
      <c r="B641" s="117"/>
    </row>
    <row r="642" ht="15.75" customHeight="1">
      <c r="A642" s="117"/>
      <c r="B642" s="117"/>
    </row>
    <row r="643" ht="15.75" customHeight="1">
      <c r="A643" s="117"/>
      <c r="B643" s="117"/>
    </row>
    <row r="644" ht="15.75" customHeight="1">
      <c r="A644" s="117"/>
      <c r="B644" s="117"/>
    </row>
    <row r="645" ht="15.75" customHeight="1">
      <c r="A645" s="117"/>
      <c r="B645" s="117"/>
    </row>
    <row r="646" ht="15.75" customHeight="1">
      <c r="A646" s="117"/>
      <c r="B646" s="117"/>
    </row>
    <row r="647" ht="15.75" customHeight="1">
      <c r="A647" s="117"/>
      <c r="B647" s="117"/>
    </row>
    <row r="648" ht="15.75" customHeight="1">
      <c r="A648" s="117"/>
      <c r="B648" s="117"/>
    </row>
    <row r="649" ht="15.75" customHeight="1">
      <c r="A649" s="117"/>
      <c r="B649" s="117"/>
    </row>
    <row r="650" ht="15.75" customHeight="1">
      <c r="A650" s="117"/>
      <c r="B650" s="117"/>
    </row>
    <row r="651" ht="15.75" customHeight="1">
      <c r="A651" s="117"/>
      <c r="B651" s="117"/>
    </row>
    <row r="652" ht="15.75" customHeight="1">
      <c r="A652" s="117"/>
      <c r="B652" s="117"/>
    </row>
    <row r="653" ht="15.75" customHeight="1">
      <c r="A653" s="117"/>
      <c r="B653" s="117"/>
    </row>
    <row r="654" ht="15.75" customHeight="1">
      <c r="A654" s="117"/>
      <c r="B654" s="117"/>
    </row>
    <row r="655" ht="15.75" customHeight="1">
      <c r="A655" s="117"/>
      <c r="B655" s="117"/>
    </row>
    <row r="656" ht="15.75" customHeight="1">
      <c r="A656" s="117"/>
      <c r="B656" s="117"/>
    </row>
    <row r="657" ht="15.75" customHeight="1">
      <c r="A657" s="117"/>
      <c r="B657" s="117"/>
    </row>
    <row r="658" ht="15.75" customHeight="1">
      <c r="A658" s="117"/>
      <c r="B658" s="117"/>
    </row>
    <row r="659" ht="15.75" customHeight="1">
      <c r="A659" s="117"/>
      <c r="B659" s="117"/>
    </row>
    <row r="660" ht="15.75" customHeight="1">
      <c r="A660" s="117"/>
      <c r="B660" s="117"/>
    </row>
    <row r="661" ht="15.75" customHeight="1">
      <c r="A661" s="117"/>
      <c r="B661" s="117"/>
    </row>
    <row r="662" ht="15.75" customHeight="1">
      <c r="A662" s="117"/>
      <c r="B662" s="117"/>
    </row>
    <row r="663" ht="15.75" customHeight="1">
      <c r="A663" s="117"/>
      <c r="B663" s="117"/>
    </row>
    <row r="664" ht="15.75" customHeight="1">
      <c r="A664" s="117"/>
      <c r="B664" s="117"/>
    </row>
    <row r="665" ht="15.75" customHeight="1">
      <c r="A665" s="117"/>
      <c r="B665" s="117"/>
    </row>
    <row r="666" ht="15.75" customHeight="1">
      <c r="A666" s="117"/>
      <c r="B666" s="117"/>
    </row>
    <row r="667" ht="15.75" customHeight="1">
      <c r="A667" s="117"/>
      <c r="B667" s="117"/>
    </row>
    <row r="668" ht="15.75" customHeight="1">
      <c r="A668" s="117"/>
      <c r="B668" s="117"/>
    </row>
    <row r="669" ht="15.75" customHeight="1">
      <c r="A669" s="117"/>
      <c r="B669" s="117"/>
    </row>
    <row r="670" ht="15.75" customHeight="1">
      <c r="A670" s="117"/>
      <c r="B670" s="117"/>
    </row>
    <row r="671" ht="15.75" customHeight="1">
      <c r="A671" s="117"/>
      <c r="B671" s="117"/>
    </row>
    <row r="672" ht="15.75" customHeight="1">
      <c r="A672" s="117"/>
      <c r="B672" s="117"/>
    </row>
    <row r="673" ht="15.75" customHeight="1">
      <c r="A673" s="117"/>
      <c r="B673" s="117"/>
    </row>
    <row r="674" ht="15.75" customHeight="1">
      <c r="A674" s="117"/>
      <c r="B674" s="117"/>
    </row>
    <row r="675" ht="15.75" customHeight="1">
      <c r="A675" s="117"/>
      <c r="B675" s="117"/>
    </row>
    <row r="676" ht="15.75" customHeight="1">
      <c r="A676" s="117"/>
      <c r="B676" s="117"/>
    </row>
    <row r="677" ht="15.75" customHeight="1">
      <c r="A677" s="117"/>
      <c r="B677" s="117"/>
    </row>
    <row r="678" ht="15.75" customHeight="1">
      <c r="A678" s="117"/>
      <c r="B678" s="117"/>
    </row>
    <row r="679" ht="15.75" customHeight="1">
      <c r="A679" s="117"/>
      <c r="B679" s="117"/>
    </row>
    <row r="680" ht="15.75" customHeight="1">
      <c r="A680" s="117"/>
      <c r="B680" s="117"/>
    </row>
    <row r="681" ht="15.75" customHeight="1">
      <c r="A681" s="117"/>
      <c r="B681" s="117"/>
    </row>
    <row r="682" ht="15.75" customHeight="1">
      <c r="A682" s="117"/>
      <c r="B682" s="117"/>
    </row>
    <row r="683" ht="15.75" customHeight="1">
      <c r="A683" s="117"/>
      <c r="B683" s="117"/>
    </row>
    <row r="684" ht="15.75" customHeight="1">
      <c r="A684" s="117"/>
      <c r="B684" s="117"/>
    </row>
    <row r="685" ht="15.75" customHeight="1">
      <c r="A685" s="117"/>
      <c r="B685" s="117"/>
    </row>
    <row r="686" ht="15.75" customHeight="1">
      <c r="A686" s="117"/>
      <c r="B686" s="117"/>
    </row>
    <row r="687" ht="15.75" customHeight="1">
      <c r="A687" s="117"/>
      <c r="B687" s="117"/>
    </row>
    <row r="688" ht="15.75" customHeight="1">
      <c r="A688" s="117"/>
      <c r="B688" s="117"/>
    </row>
    <row r="689" ht="15.75" customHeight="1">
      <c r="A689" s="117"/>
      <c r="B689" s="117"/>
    </row>
    <row r="690" ht="15.75" customHeight="1">
      <c r="A690" s="117"/>
      <c r="B690" s="117"/>
    </row>
    <row r="691" ht="15.75" customHeight="1">
      <c r="A691" s="117"/>
      <c r="B691" s="117"/>
    </row>
    <row r="692" ht="15.75" customHeight="1">
      <c r="A692" s="117"/>
      <c r="B692" s="117"/>
    </row>
    <row r="693" ht="15.75" customHeight="1">
      <c r="A693" s="117"/>
      <c r="B693" s="117"/>
    </row>
    <row r="694" ht="15.75" customHeight="1">
      <c r="A694" s="117"/>
      <c r="B694" s="117"/>
    </row>
    <row r="695" ht="15.75" customHeight="1">
      <c r="A695" s="117"/>
      <c r="B695" s="117"/>
    </row>
    <row r="696" ht="15.75" customHeight="1">
      <c r="A696" s="117"/>
      <c r="B696" s="117"/>
    </row>
    <row r="697" ht="15.75" customHeight="1">
      <c r="A697" s="117"/>
      <c r="B697" s="117"/>
    </row>
    <row r="698" ht="15.75" customHeight="1">
      <c r="A698" s="117"/>
      <c r="B698" s="117"/>
    </row>
    <row r="699" ht="15.75" customHeight="1">
      <c r="A699" s="117"/>
      <c r="B699" s="117"/>
    </row>
    <row r="700" ht="15.75" customHeight="1">
      <c r="A700" s="117"/>
      <c r="B700" s="117"/>
    </row>
    <row r="701" ht="15.75" customHeight="1">
      <c r="A701" s="117"/>
      <c r="B701" s="117"/>
    </row>
    <row r="702" ht="15.75" customHeight="1">
      <c r="A702" s="117"/>
      <c r="B702" s="117"/>
    </row>
    <row r="703" ht="15.75" customHeight="1">
      <c r="A703" s="117"/>
      <c r="B703" s="117"/>
    </row>
    <row r="704" ht="15.75" customHeight="1">
      <c r="A704" s="117"/>
      <c r="B704" s="117"/>
    </row>
    <row r="705" ht="15.75" customHeight="1">
      <c r="A705" s="117"/>
      <c r="B705" s="117"/>
    </row>
    <row r="706" ht="15.75" customHeight="1">
      <c r="A706" s="117"/>
      <c r="B706" s="117"/>
    </row>
    <row r="707" ht="15.75" customHeight="1">
      <c r="A707" s="117"/>
      <c r="B707" s="117"/>
    </row>
    <row r="708" ht="15.75" customHeight="1">
      <c r="A708" s="117"/>
      <c r="B708" s="117"/>
    </row>
    <row r="709" ht="15.75" customHeight="1">
      <c r="A709" s="117"/>
      <c r="B709" s="117"/>
    </row>
    <row r="710" ht="15.75" customHeight="1">
      <c r="A710" s="117"/>
      <c r="B710" s="117"/>
    </row>
    <row r="711" ht="15.75" customHeight="1">
      <c r="A711" s="117"/>
      <c r="B711" s="117"/>
    </row>
    <row r="712" ht="15.75" customHeight="1">
      <c r="A712" s="117"/>
      <c r="B712" s="117"/>
    </row>
    <row r="713" ht="15.75" customHeight="1">
      <c r="A713" s="117"/>
      <c r="B713" s="117"/>
    </row>
    <row r="714" ht="15.75" customHeight="1">
      <c r="A714" s="117"/>
      <c r="B714" s="117"/>
    </row>
    <row r="715" ht="15.75" customHeight="1">
      <c r="A715" s="117"/>
      <c r="B715" s="117"/>
    </row>
    <row r="716" ht="15.75" customHeight="1">
      <c r="A716" s="117"/>
      <c r="B716" s="117"/>
    </row>
    <row r="717" ht="15.75" customHeight="1">
      <c r="A717" s="117"/>
      <c r="B717" s="117"/>
    </row>
    <row r="718" ht="15.75" customHeight="1">
      <c r="A718" s="117"/>
      <c r="B718" s="117"/>
    </row>
    <row r="719" ht="15.75" customHeight="1">
      <c r="A719" s="117"/>
      <c r="B719" s="117"/>
    </row>
    <row r="720" ht="15.75" customHeight="1">
      <c r="A720" s="117"/>
      <c r="B720" s="117"/>
    </row>
    <row r="721" ht="15.75" customHeight="1">
      <c r="A721" s="117"/>
      <c r="B721" s="117"/>
    </row>
    <row r="722" ht="15.75" customHeight="1">
      <c r="A722" s="117"/>
      <c r="B722" s="117"/>
    </row>
    <row r="723" ht="15.75" customHeight="1">
      <c r="A723" s="117"/>
      <c r="B723" s="117"/>
    </row>
    <row r="724" ht="15.75" customHeight="1">
      <c r="A724" s="117"/>
      <c r="B724" s="117"/>
    </row>
    <row r="725" ht="15.75" customHeight="1">
      <c r="A725" s="117"/>
      <c r="B725" s="117"/>
    </row>
    <row r="726" ht="15.75" customHeight="1">
      <c r="A726" s="117"/>
      <c r="B726" s="117"/>
    </row>
    <row r="727" ht="15.75" customHeight="1">
      <c r="A727" s="117"/>
      <c r="B727" s="117"/>
    </row>
    <row r="728" ht="15.75" customHeight="1">
      <c r="A728" s="117"/>
      <c r="B728" s="117"/>
    </row>
    <row r="729" ht="15.75" customHeight="1">
      <c r="A729" s="117"/>
      <c r="B729" s="117"/>
    </row>
    <row r="730" ht="15.75" customHeight="1">
      <c r="A730" s="117"/>
      <c r="B730" s="117"/>
    </row>
    <row r="731" ht="15.75" customHeight="1">
      <c r="A731" s="117"/>
      <c r="B731" s="117"/>
    </row>
    <row r="732" ht="15.75" customHeight="1">
      <c r="A732" s="117"/>
      <c r="B732" s="117"/>
    </row>
    <row r="733" ht="15.75" customHeight="1">
      <c r="A733" s="117"/>
      <c r="B733" s="117"/>
    </row>
    <row r="734" ht="15.75" customHeight="1">
      <c r="A734" s="117"/>
      <c r="B734" s="117"/>
    </row>
    <row r="735" ht="15.75" customHeight="1">
      <c r="A735" s="117"/>
      <c r="B735" s="117"/>
    </row>
    <row r="736" ht="15.75" customHeight="1">
      <c r="A736" s="117"/>
      <c r="B736" s="117"/>
    </row>
    <row r="737" ht="15.75" customHeight="1">
      <c r="A737" s="117"/>
      <c r="B737" s="117"/>
    </row>
    <row r="738" ht="15.75" customHeight="1">
      <c r="A738" s="117"/>
      <c r="B738" s="117"/>
    </row>
    <row r="739" ht="15.75" customHeight="1">
      <c r="A739" s="117"/>
      <c r="B739" s="117"/>
    </row>
    <row r="740" ht="15.75" customHeight="1">
      <c r="A740" s="117"/>
      <c r="B740" s="117"/>
    </row>
    <row r="741" ht="15.75" customHeight="1">
      <c r="A741" s="117"/>
      <c r="B741" s="117"/>
    </row>
    <row r="742" ht="15.75" customHeight="1">
      <c r="A742" s="117"/>
      <c r="B742" s="117"/>
    </row>
    <row r="743" ht="15.75" customHeight="1">
      <c r="A743" s="117"/>
      <c r="B743" s="117"/>
    </row>
    <row r="744" ht="15.75" customHeight="1">
      <c r="A744" s="117"/>
      <c r="B744" s="117"/>
    </row>
    <row r="745" ht="15.75" customHeight="1">
      <c r="A745" s="117"/>
      <c r="B745" s="117"/>
    </row>
    <row r="746" ht="15.75" customHeight="1">
      <c r="A746" s="117"/>
      <c r="B746" s="117"/>
    </row>
    <row r="747" ht="15.75" customHeight="1">
      <c r="A747" s="117"/>
      <c r="B747" s="117"/>
    </row>
    <row r="748" ht="15.75" customHeight="1">
      <c r="A748" s="117"/>
      <c r="B748" s="117"/>
    </row>
    <row r="749" ht="15.75" customHeight="1">
      <c r="A749" s="117"/>
      <c r="B749" s="117"/>
    </row>
    <row r="750" ht="15.75" customHeight="1">
      <c r="A750" s="117"/>
      <c r="B750" s="117"/>
    </row>
    <row r="751" ht="15.75" customHeight="1">
      <c r="A751" s="117"/>
      <c r="B751" s="117"/>
    </row>
    <row r="752" ht="15.75" customHeight="1">
      <c r="A752" s="117"/>
      <c r="B752" s="117"/>
    </row>
    <row r="753" ht="15.75" customHeight="1">
      <c r="A753" s="117"/>
      <c r="B753" s="117"/>
    </row>
    <row r="754" ht="15.75" customHeight="1">
      <c r="A754" s="117"/>
      <c r="B754" s="117"/>
    </row>
    <row r="755" ht="15.75" customHeight="1">
      <c r="A755" s="117"/>
      <c r="B755" s="117"/>
    </row>
    <row r="756" ht="15.75" customHeight="1">
      <c r="A756" s="117"/>
      <c r="B756" s="117"/>
    </row>
    <row r="757" ht="15.75" customHeight="1">
      <c r="A757" s="117"/>
      <c r="B757" s="117"/>
    </row>
    <row r="758" ht="15.75" customHeight="1">
      <c r="A758" s="117"/>
      <c r="B758" s="117"/>
    </row>
    <row r="759" ht="15.75" customHeight="1">
      <c r="A759" s="117"/>
      <c r="B759" s="117"/>
    </row>
    <row r="760" ht="15.75" customHeight="1">
      <c r="A760" s="117"/>
      <c r="B760" s="117"/>
    </row>
    <row r="761" ht="15.75" customHeight="1">
      <c r="A761" s="117"/>
      <c r="B761" s="117"/>
    </row>
    <row r="762" ht="15.75" customHeight="1">
      <c r="A762" s="117"/>
      <c r="B762" s="117"/>
    </row>
    <row r="763" ht="15.75" customHeight="1">
      <c r="A763" s="117"/>
      <c r="B763" s="117"/>
    </row>
    <row r="764" ht="15.75" customHeight="1">
      <c r="A764" s="117"/>
      <c r="B764" s="117"/>
    </row>
    <row r="765" ht="15.75" customHeight="1">
      <c r="A765" s="117"/>
      <c r="B765" s="117"/>
    </row>
    <row r="766" ht="15.75" customHeight="1">
      <c r="A766" s="117"/>
      <c r="B766" s="117"/>
    </row>
    <row r="767" ht="15.75" customHeight="1">
      <c r="A767" s="117"/>
      <c r="B767" s="117"/>
    </row>
    <row r="768" ht="15.75" customHeight="1">
      <c r="A768" s="117"/>
      <c r="B768" s="117"/>
    </row>
    <row r="769" ht="15.75" customHeight="1">
      <c r="A769" s="117"/>
      <c r="B769" s="117"/>
    </row>
    <row r="770" ht="15.75" customHeight="1">
      <c r="A770" s="117"/>
      <c r="B770" s="117"/>
    </row>
    <row r="771" ht="15.75" customHeight="1">
      <c r="A771" s="117"/>
      <c r="B771" s="117"/>
    </row>
    <row r="772" ht="15.75" customHeight="1">
      <c r="A772" s="117"/>
      <c r="B772" s="117"/>
    </row>
    <row r="773" ht="15.75" customHeight="1">
      <c r="A773" s="117"/>
      <c r="B773" s="117"/>
    </row>
    <row r="774" ht="15.75" customHeight="1">
      <c r="A774" s="117"/>
      <c r="B774" s="117"/>
    </row>
    <row r="775" ht="15.75" customHeight="1">
      <c r="A775" s="117"/>
      <c r="B775" s="117"/>
    </row>
    <row r="776" ht="15.75" customHeight="1">
      <c r="A776" s="117"/>
      <c r="B776" s="117"/>
    </row>
    <row r="777" ht="15.75" customHeight="1">
      <c r="A777" s="117"/>
      <c r="B777" s="117"/>
    </row>
    <row r="778" ht="15.75" customHeight="1">
      <c r="A778" s="117"/>
      <c r="B778" s="117"/>
    </row>
    <row r="779" ht="15.75" customHeight="1">
      <c r="A779" s="117"/>
      <c r="B779" s="117"/>
    </row>
    <row r="780" ht="15.75" customHeight="1">
      <c r="A780" s="117"/>
      <c r="B780" s="117"/>
    </row>
    <row r="781" ht="15.75" customHeight="1">
      <c r="A781" s="117"/>
      <c r="B781" s="117"/>
    </row>
    <row r="782" ht="15.75" customHeight="1">
      <c r="A782" s="117"/>
      <c r="B782" s="117"/>
    </row>
    <row r="783" ht="15.75" customHeight="1">
      <c r="A783" s="117"/>
      <c r="B783" s="117"/>
    </row>
    <row r="784" ht="15.75" customHeight="1">
      <c r="A784" s="117"/>
      <c r="B784" s="117"/>
    </row>
    <row r="785" ht="15.75" customHeight="1">
      <c r="A785" s="117"/>
      <c r="B785" s="117"/>
    </row>
    <row r="786" ht="15.75" customHeight="1">
      <c r="A786" s="117"/>
      <c r="B786" s="117"/>
    </row>
    <row r="787" ht="15.75" customHeight="1">
      <c r="A787" s="117"/>
      <c r="B787" s="117"/>
    </row>
    <row r="788" ht="15.75" customHeight="1">
      <c r="A788" s="117"/>
      <c r="B788" s="117"/>
    </row>
    <row r="789" ht="15.75" customHeight="1">
      <c r="A789" s="117"/>
      <c r="B789" s="117"/>
    </row>
    <row r="790" ht="15.75" customHeight="1">
      <c r="A790" s="117"/>
      <c r="B790" s="117"/>
    </row>
    <row r="791" ht="15.75" customHeight="1">
      <c r="A791" s="117"/>
      <c r="B791" s="117"/>
    </row>
    <row r="792" ht="15.75" customHeight="1">
      <c r="A792" s="117"/>
      <c r="B792" s="117"/>
    </row>
    <row r="793" ht="15.75" customHeight="1">
      <c r="A793" s="117"/>
      <c r="B793" s="117"/>
    </row>
    <row r="794" ht="15.75" customHeight="1">
      <c r="A794" s="117"/>
      <c r="B794" s="117"/>
    </row>
    <row r="795" ht="15.75" customHeight="1">
      <c r="A795" s="117"/>
      <c r="B795" s="117"/>
    </row>
    <row r="796" ht="15.75" customHeight="1">
      <c r="A796" s="117"/>
      <c r="B796" s="117"/>
    </row>
    <row r="797" ht="15.75" customHeight="1">
      <c r="A797" s="117"/>
      <c r="B797" s="117"/>
    </row>
    <row r="798" ht="15.75" customHeight="1">
      <c r="A798" s="117"/>
      <c r="B798" s="117"/>
    </row>
    <row r="799" ht="15.75" customHeight="1">
      <c r="A799" s="117"/>
      <c r="B799" s="117"/>
    </row>
    <row r="800" ht="15.75" customHeight="1">
      <c r="A800" s="117"/>
      <c r="B800" s="117"/>
    </row>
    <row r="801" ht="15.75" customHeight="1">
      <c r="A801" s="117"/>
      <c r="B801" s="117"/>
    </row>
    <row r="802" ht="15.75" customHeight="1">
      <c r="A802" s="117"/>
      <c r="B802" s="117"/>
    </row>
    <row r="803" ht="15.75" customHeight="1">
      <c r="A803" s="117"/>
      <c r="B803" s="117"/>
    </row>
    <row r="804" ht="15.75" customHeight="1">
      <c r="A804" s="117"/>
      <c r="B804" s="117"/>
    </row>
    <row r="805" ht="15.75" customHeight="1">
      <c r="A805" s="117"/>
      <c r="B805" s="117"/>
    </row>
    <row r="806" ht="15.75" customHeight="1">
      <c r="A806" s="117"/>
      <c r="B806" s="117"/>
    </row>
    <row r="807" ht="15.75" customHeight="1">
      <c r="A807" s="117"/>
      <c r="B807" s="117"/>
    </row>
    <row r="808" ht="15.75" customHeight="1">
      <c r="A808" s="117"/>
      <c r="B808" s="117"/>
    </row>
    <row r="809" ht="15.75" customHeight="1">
      <c r="A809" s="117"/>
      <c r="B809" s="117"/>
    </row>
    <row r="810" ht="15.75" customHeight="1">
      <c r="A810" s="117"/>
      <c r="B810" s="117"/>
    </row>
    <row r="811" ht="15.75" customHeight="1">
      <c r="A811" s="117"/>
      <c r="B811" s="117"/>
    </row>
    <row r="812" ht="15.75" customHeight="1">
      <c r="A812" s="117"/>
      <c r="B812" s="117"/>
    </row>
    <row r="813" ht="15.75" customHeight="1">
      <c r="A813" s="117"/>
      <c r="B813" s="117"/>
    </row>
    <row r="814" ht="15.75" customHeight="1">
      <c r="A814" s="117"/>
      <c r="B814" s="117"/>
    </row>
    <row r="815" ht="15.75" customHeight="1">
      <c r="A815" s="117"/>
      <c r="B815" s="117"/>
    </row>
    <row r="816" ht="15.75" customHeight="1">
      <c r="A816" s="117"/>
      <c r="B816" s="117"/>
    </row>
    <row r="817" ht="15.75" customHeight="1">
      <c r="A817" s="117"/>
      <c r="B817" s="117"/>
    </row>
    <row r="818" ht="15.75" customHeight="1">
      <c r="A818" s="117"/>
      <c r="B818" s="117"/>
    </row>
    <row r="819" ht="15.75" customHeight="1">
      <c r="A819" s="117"/>
      <c r="B819" s="117"/>
    </row>
    <row r="820" ht="15.75" customHeight="1">
      <c r="A820" s="117"/>
      <c r="B820" s="117"/>
    </row>
    <row r="821" ht="15.75" customHeight="1">
      <c r="A821" s="117"/>
      <c r="B821" s="117"/>
    </row>
    <row r="822" ht="15.75" customHeight="1">
      <c r="A822" s="117"/>
      <c r="B822" s="117"/>
    </row>
    <row r="823" ht="15.75" customHeight="1">
      <c r="A823" s="117"/>
      <c r="B823" s="117"/>
    </row>
    <row r="824" ht="15.75" customHeight="1">
      <c r="A824" s="117"/>
      <c r="B824" s="117"/>
    </row>
    <row r="825" ht="15.75" customHeight="1">
      <c r="A825" s="117"/>
      <c r="B825" s="117"/>
    </row>
    <row r="826" ht="15.75" customHeight="1">
      <c r="A826" s="117"/>
      <c r="B826" s="117"/>
    </row>
    <row r="827" ht="15.75" customHeight="1">
      <c r="A827" s="117"/>
      <c r="B827" s="117"/>
    </row>
    <row r="828" ht="15.75" customHeight="1">
      <c r="A828" s="117"/>
      <c r="B828" s="117"/>
    </row>
    <row r="829" ht="15.75" customHeight="1">
      <c r="A829" s="117"/>
      <c r="B829" s="117"/>
    </row>
    <row r="830" ht="15.75" customHeight="1">
      <c r="A830" s="117"/>
      <c r="B830" s="117"/>
    </row>
    <row r="831" ht="15.75" customHeight="1">
      <c r="A831" s="117"/>
      <c r="B831" s="117"/>
    </row>
    <row r="832" ht="15.75" customHeight="1">
      <c r="A832" s="117"/>
      <c r="B832" s="117"/>
    </row>
    <row r="833" ht="15.75" customHeight="1">
      <c r="A833" s="117"/>
      <c r="B833" s="117"/>
    </row>
    <row r="834" ht="15.75" customHeight="1">
      <c r="A834" s="117"/>
      <c r="B834" s="117"/>
    </row>
    <row r="835" ht="15.75" customHeight="1">
      <c r="A835" s="117"/>
      <c r="B835" s="117"/>
    </row>
    <row r="836" ht="15.75" customHeight="1">
      <c r="A836" s="117"/>
      <c r="B836" s="117"/>
    </row>
    <row r="837" ht="15.75" customHeight="1">
      <c r="A837" s="117"/>
      <c r="B837" s="117"/>
    </row>
    <row r="838" ht="15.75" customHeight="1">
      <c r="A838" s="117"/>
      <c r="B838" s="117"/>
    </row>
    <row r="839" ht="15.75" customHeight="1">
      <c r="A839" s="117"/>
      <c r="B839" s="117"/>
    </row>
    <row r="840" ht="15.75" customHeight="1">
      <c r="A840" s="117"/>
      <c r="B840" s="117"/>
    </row>
    <row r="841" ht="15.75" customHeight="1">
      <c r="A841" s="117"/>
      <c r="B841" s="117"/>
    </row>
    <row r="842" ht="15.75" customHeight="1">
      <c r="A842" s="117"/>
      <c r="B842" s="117"/>
    </row>
    <row r="843" ht="15.75" customHeight="1">
      <c r="A843" s="117"/>
      <c r="B843" s="117"/>
    </row>
    <row r="844" ht="15.75" customHeight="1">
      <c r="A844" s="117"/>
      <c r="B844" s="117"/>
    </row>
    <row r="845" ht="15.75" customHeight="1">
      <c r="A845" s="117"/>
      <c r="B845" s="117"/>
    </row>
    <row r="846" ht="15.75" customHeight="1">
      <c r="A846" s="117"/>
      <c r="B846" s="117"/>
    </row>
    <row r="847" ht="15.75" customHeight="1">
      <c r="A847" s="117"/>
      <c r="B847" s="117"/>
    </row>
    <row r="848" ht="15.75" customHeight="1">
      <c r="A848" s="117"/>
      <c r="B848" s="117"/>
    </row>
    <row r="849" ht="15.75" customHeight="1">
      <c r="A849" s="117"/>
      <c r="B849" s="117"/>
    </row>
    <row r="850" ht="15.75" customHeight="1">
      <c r="A850" s="117"/>
      <c r="B850" s="117"/>
    </row>
    <row r="851" ht="15.75" customHeight="1">
      <c r="A851" s="117"/>
      <c r="B851" s="117"/>
    </row>
    <row r="852" ht="15.75" customHeight="1">
      <c r="A852" s="117"/>
      <c r="B852" s="117"/>
    </row>
    <row r="853" ht="15.75" customHeight="1">
      <c r="A853" s="117"/>
      <c r="B853" s="117"/>
    </row>
    <row r="854" ht="15.75" customHeight="1">
      <c r="A854" s="117"/>
      <c r="B854" s="117"/>
    </row>
    <row r="855" ht="15.75" customHeight="1">
      <c r="A855" s="117"/>
      <c r="B855" s="117"/>
    </row>
    <row r="856" ht="15.75" customHeight="1">
      <c r="A856" s="117"/>
      <c r="B856" s="117"/>
    </row>
    <row r="857" ht="15.75" customHeight="1">
      <c r="A857" s="117"/>
      <c r="B857" s="117"/>
    </row>
    <row r="858" ht="15.75" customHeight="1">
      <c r="A858" s="117"/>
      <c r="B858" s="117"/>
    </row>
    <row r="859" ht="15.75" customHeight="1">
      <c r="A859" s="117"/>
      <c r="B859" s="117"/>
    </row>
    <row r="860" ht="15.75" customHeight="1">
      <c r="A860" s="117"/>
      <c r="B860" s="117"/>
    </row>
    <row r="861" ht="15.75" customHeight="1">
      <c r="A861" s="117"/>
      <c r="B861" s="117"/>
    </row>
    <row r="862" ht="15.75" customHeight="1">
      <c r="A862" s="117"/>
      <c r="B862" s="117"/>
    </row>
    <row r="863" ht="15.75" customHeight="1">
      <c r="A863" s="117"/>
      <c r="B863" s="117"/>
    </row>
    <row r="864" ht="15.75" customHeight="1">
      <c r="A864" s="117"/>
      <c r="B864" s="117"/>
    </row>
    <row r="865" ht="15.75" customHeight="1">
      <c r="A865" s="117"/>
      <c r="B865" s="117"/>
    </row>
    <row r="866" ht="15.75" customHeight="1">
      <c r="A866" s="117"/>
      <c r="B866" s="117"/>
    </row>
    <row r="867" ht="15.75" customHeight="1">
      <c r="A867" s="117"/>
      <c r="B867" s="117"/>
    </row>
    <row r="868" ht="15.75" customHeight="1">
      <c r="A868" s="117"/>
      <c r="B868" s="117"/>
    </row>
    <row r="869" ht="15.75" customHeight="1">
      <c r="A869" s="117"/>
      <c r="B869" s="117"/>
    </row>
    <row r="870" ht="15.75" customHeight="1">
      <c r="A870" s="117"/>
      <c r="B870" s="117"/>
    </row>
    <row r="871" ht="15.75" customHeight="1">
      <c r="A871" s="117"/>
      <c r="B871" s="117"/>
    </row>
    <row r="872" ht="15.75" customHeight="1">
      <c r="A872" s="117"/>
      <c r="B872" s="117"/>
    </row>
    <row r="873" ht="15.75" customHeight="1">
      <c r="A873" s="117"/>
      <c r="B873" s="117"/>
    </row>
    <row r="874" ht="15.75" customHeight="1">
      <c r="A874" s="117"/>
      <c r="B874" s="117"/>
    </row>
    <row r="875" ht="15.75" customHeight="1">
      <c r="A875" s="117"/>
      <c r="B875" s="117"/>
    </row>
    <row r="876" ht="15.75" customHeight="1">
      <c r="A876" s="117"/>
      <c r="B876" s="117"/>
    </row>
    <row r="877" ht="15.75" customHeight="1">
      <c r="A877" s="117"/>
      <c r="B877" s="117"/>
    </row>
    <row r="878" ht="15.75" customHeight="1">
      <c r="A878" s="117"/>
      <c r="B878" s="117"/>
    </row>
    <row r="879" ht="15.75" customHeight="1">
      <c r="A879" s="117"/>
      <c r="B879" s="117"/>
    </row>
    <row r="880" ht="15.75" customHeight="1">
      <c r="A880" s="117"/>
      <c r="B880" s="117"/>
    </row>
    <row r="881" ht="15.75" customHeight="1">
      <c r="A881" s="117"/>
      <c r="B881" s="117"/>
    </row>
    <row r="882" ht="15.75" customHeight="1">
      <c r="A882" s="117"/>
      <c r="B882" s="117"/>
    </row>
    <row r="883" ht="15.75" customHeight="1">
      <c r="A883" s="117"/>
      <c r="B883" s="117"/>
    </row>
    <row r="884" ht="15.75" customHeight="1">
      <c r="A884" s="117"/>
      <c r="B884" s="117"/>
    </row>
    <row r="885" ht="15.75" customHeight="1">
      <c r="A885" s="117"/>
      <c r="B885" s="117"/>
    </row>
    <row r="886" ht="15.75" customHeight="1">
      <c r="A886" s="117"/>
      <c r="B886" s="117"/>
    </row>
    <row r="887" ht="15.75" customHeight="1">
      <c r="A887" s="117"/>
      <c r="B887" s="117"/>
    </row>
    <row r="888" ht="15.75" customHeight="1">
      <c r="A888" s="117"/>
      <c r="B888" s="117"/>
    </row>
    <row r="889" ht="15.75" customHeight="1">
      <c r="A889" s="117"/>
      <c r="B889" s="117"/>
    </row>
    <row r="890" ht="15.75" customHeight="1">
      <c r="A890" s="117"/>
      <c r="B890" s="117"/>
    </row>
    <row r="891" ht="15.75" customHeight="1">
      <c r="A891" s="117"/>
      <c r="B891" s="117"/>
    </row>
    <row r="892" ht="15.75" customHeight="1">
      <c r="A892" s="117"/>
      <c r="B892" s="117"/>
    </row>
    <row r="893" ht="15.75" customHeight="1">
      <c r="A893" s="117"/>
      <c r="B893" s="117"/>
    </row>
    <row r="894" ht="15.75" customHeight="1">
      <c r="A894" s="117"/>
      <c r="B894" s="117"/>
    </row>
    <row r="895" ht="15.75" customHeight="1">
      <c r="A895" s="117"/>
      <c r="B895" s="117"/>
    </row>
    <row r="896" ht="15.75" customHeight="1">
      <c r="A896" s="117"/>
      <c r="B896" s="117"/>
    </row>
    <row r="897" ht="15.75" customHeight="1">
      <c r="A897" s="117"/>
      <c r="B897" s="117"/>
    </row>
    <row r="898" ht="15.75" customHeight="1">
      <c r="A898" s="117"/>
      <c r="B898" s="117"/>
    </row>
    <row r="899" ht="15.75" customHeight="1">
      <c r="A899" s="117"/>
      <c r="B899" s="117"/>
    </row>
    <row r="900" ht="15.75" customHeight="1">
      <c r="A900" s="117"/>
      <c r="B900" s="117"/>
    </row>
    <row r="901" ht="15.75" customHeight="1">
      <c r="A901" s="117"/>
      <c r="B901" s="117"/>
    </row>
    <row r="902" ht="15.75" customHeight="1">
      <c r="A902" s="117"/>
      <c r="B902" s="117"/>
    </row>
    <row r="903" ht="15.75" customHeight="1">
      <c r="A903" s="117"/>
      <c r="B903" s="117"/>
    </row>
    <row r="904" ht="15.75" customHeight="1">
      <c r="A904" s="117"/>
      <c r="B904" s="117"/>
    </row>
    <row r="905" ht="15.75" customHeight="1">
      <c r="A905" s="117"/>
      <c r="B905" s="117"/>
    </row>
    <row r="906" ht="15.75" customHeight="1">
      <c r="A906" s="117"/>
      <c r="B906" s="117"/>
    </row>
    <row r="907" ht="15.75" customHeight="1">
      <c r="A907" s="117"/>
      <c r="B907" s="117"/>
    </row>
    <row r="908" ht="15.75" customHeight="1">
      <c r="A908" s="117"/>
      <c r="B908" s="117"/>
    </row>
    <row r="909" ht="15.75" customHeight="1">
      <c r="A909" s="117"/>
      <c r="B909" s="117"/>
    </row>
    <row r="910" ht="15.75" customHeight="1">
      <c r="A910" s="117"/>
      <c r="B910" s="117"/>
    </row>
    <row r="911" ht="15.75" customHeight="1">
      <c r="A911" s="117"/>
      <c r="B911" s="117"/>
    </row>
    <row r="912" ht="15.75" customHeight="1">
      <c r="A912" s="117"/>
      <c r="B912" s="117"/>
    </row>
    <row r="913" ht="15.75" customHeight="1">
      <c r="A913" s="117"/>
      <c r="B913" s="117"/>
    </row>
    <row r="914" ht="15.75" customHeight="1">
      <c r="A914" s="117"/>
      <c r="B914" s="117"/>
    </row>
    <row r="915" ht="15.75" customHeight="1">
      <c r="A915" s="117"/>
      <c r="B915" s="117"/>
    </row>
    <row r="916" ht="15.75" customHeight="1">
      <c r="A916" s="117"/>
      <c r="B916" s="117"/>
    </row>
    <row r="917" ht="15.75" customHeight="1">
      <c r="A917" s="117"/>
      <c r="B917" s="117"/>
    </row>
    <row r="918" ht="15.75" customHeight="1">
      <c r="A918" s="117"/>
      <c r="B918" s="117"/>
    </row>
    <row r="919" ht="15.75" customHeight="1">
      <c r="A919" s="117"/>
      <c r="B919" s="117"/>
    </row>
    <row r="920" ht="15.75" customHeight="1">
      <c r="A920" s="117"/>
      <c r="B920" s="117"/>
    </row>
    <row r="921" ht="15.75" customHeight="1">
      <c r="A921" s="117"/>
      <c r="B921" s="117"/>
    </row>
    <row r="922" ht="15.75" customHeight="1">
      <c r="A922" s="117"/>
      <c r="B922" s="117"/>
    </row>
    <row r="923" ht="15.75" customHeight="1">
      <c r="A923" s="117"/>
      <c r="B923" s="117"/>
    </row>
    <row r="924" ht="15.75" customHeight="1">
      <c r="A924" s="117"/>
      <c r="B924" s="117"/>
    </row>
    <row r="925" ht="15.75" customHeight="1">
      <c r="A925" s="117"/>
      <c r="B925" s="117"/>
    </row>
    <row r="926" ht="15.75" customHeight="1">
      <c r="A926" s="117"/>
      <c r="B926" s="117"/>
    </row>
    <row r="927" ht="15.75" customHeight="1">
      <c r="A927" s="117"/>
      <c r="B927" s="117"/>
    </row>
    <row r="928" ht="15.75" customHeight="1">
      <c r="A928" s="117"/>
      <c r="B928" s="117"/>
    </row>
    <row r="929" ht="15.75" customHeight="1">
      <c r="A929" s="117"/>
      <c r="B929" s="117"/>
    </row>
    <row r="930" ht="15.75" customHeight="1">
      <c r="A930" s="117"/>
      <c r="B930" s="117"/>
    </row>
    <row r="931" ht="15.75" customHeight="1">
      <c r="A931" s="117"/>
      <c r="B931" s="117"/>
    </row>
    <row r="932" ht="15.75" customHeight="1">
      <c r="A932" s="117"/>
      <c r="B932" s="117"/>
    </row>
    <row r="933" ht="15.75" customHeight="1">
      <c r="A933" s="117"/>
      <c r="B933" s="117"/>
    </row>
    <row r="934" ht="15.75" customHeight="1">
      <c r="A934" s="117"/>
      <c r="B934" s="117"/>
    </row>
    <row r="935" ht="15.75" customHeight="1">
      <c r="A935" s="117"/>
      <c r="B935" s="117"/>
    </row>
    <row r="936" ht="15.75" customHeight="1">
      <c r="A936" s="117"/>
      <c r="B936" s="117"/>
    </row>
    <row r="937" ht="15.75" customHeight="1">
      <c r="A937" s="117"/>
      <c r="B937" s="117"/>
    </row>
    <row r="938" ht="15.75" customHeight="1">
      <c r="A938" s="117"/>
      <c r="B938" s="117"/>
    </row>
    <row r="939" ht="15.75" customHeight="1">
      <c r="A939" s="117"/>
      <c r="B939" s="117"/>
    </row>
    <row r="940" ht="15.75" customHeight="1">
      <c r="A940" s="117"/>
      <c r="B940" s="117"/>
    </row>
    <row r="941" ht="15.75" customHeight="1">
      <c r="A941" s="117"/>
      <c r="B941" s="117"/>
    </row>
    <row r="942" ht="15.75" customHeight="1">
      <c r="A942" s="117"/>
      <c r="B942" s="117"/>
    </row>
    <row r="943" ht="15.75" customHeight="1">
      <c r="A943" s="117"/>
      <c r="B943" s="117"/>
    </row>
    <row r="944" ht="15.75" customHeight="1">
      <c r="A944" s="117"/>
      <c r="B944" s="117"/>
    </row>
    <row r="945" ht="15.75" customHeight="1">
      <c r="A945" s="117"/>
      <c r="B945" s="117"/>
    </row>
    <row r="946" ht="15.75" customHeight="1">
      <c r="A946" s="117"/>
      <c r="B946" s="117"/>
    </row>
    <row r="947" ht="15.75" customHeight="1">
      <c r="A947" s="117"/>
      <c r="B947" s="117"/>
    </row>
    <row r="948" ht="15.75" customHeight="1">
      <c r="A948" s="117"/>
      <c r="B948" s="117"/>
    </row>
    <row r="949" ht="15.75" customHeight="1">
      <c r="A949" s="117"/>
      <c r="B949" s="117"/>
    </row>
    <row r="950" ht="15.75" customHeight="1">
      <c r="A950" s="117"/>
      <c r="B950" s="117"/>
    </row>
    <row r="951" ht="15.75" customHeight="1">
      <c r="A951" s="117"/>
      <c r="B951" s="117"/>
    </row>
    <row r="952" ht="15.75" customHeight="1">
      <c r="A952" s="117"/>
      <c r="B952" s="117"/>
    </row>
    <row r="953" ht="15.75" customHeight="1">
      <c r="A953" s="117"/>
      <c r="B953" s="117"/>
    </row>
    <row r="954" ht="15.75" customHeight="1">
      <c r="A954" s="117"/>
      <c r="B954" s="117"/>
    </row>
    <row r="955" ht="15.75" customHeight="1">
      <c r="A955" s="117"/>
      <c r="B955" s="117"/>
    </row>
    <row r="956" ht="15.75" customHeight="1">
      <c r="A956" s="117"/>
      <c r="B956" s="117"/>
    </row>
    <row r="957" ht="15.75" customHeight="1">
      <c r="A957" s="117"/>
      <c r="B957" s="117"/>
    </row>
    <row r="958" ht="15.75" customHeight="1">
      <c r="A958" s="117"/>
      <c r="B958" s="117"/>
    </row>
    <row r="959" ht="15.75" customHeight="1">
      <c r="A959" s="117"/>
      <c r="B959" s="117"/>
    </row>
    <row r="960" ht="15.75" customHeight="1">
      <c r="A960" s="117"/>
      <c r="B960" s="117"/>
    </row>
    <row r="961" ht="15.75" customHeight="1">
      <c r="A961" s="117"/>
      <c r="B961" s="117"/>
    </row>
    <row r="962" ht="15.75" customHeight="1">
      <c r="A962" s="117"/>
      <c r="B962" s="117"/>
    </row>
    <row r="963" ht="15.75" customHeight="1">
      <c r="A963" s="117"/>
      <c r="B963" s="117"/>
    </row>
    <row r="964" ht="15.75" customHeight="1">
      <c r="A964" s="117"/>
      <c r="B964" s="117"/>
    </row>
    <row r="965" ht="15.75" customHeight="1">
      <c r="A965" s="117"/>
      <c r="B965" s="117"/>
    </row>
    <row r="966" ht="15.75" customHeight="1">
      <c r="A966" s="117"/>
      <c r="B966" s="117"/>
    </row>
    <row r="967" ht="15.75" customHeight="1">
      <c r="A967" s="117"/>
      <c r="B967" s="117"/>
    </row>
    <row r="968" ht="15.75" customHeight="1">
      <c r="A968" s="117"/>
      <c r="B968" s="117"/>
    </row>
    <row r="969" ht="15.75" customHeight="1">
      <c r="A969" s="117"/>
      <c r="B969" s="117"/>
    </row>
    <row r="970" ht="15.75" customHeight="1">
      <c r="A970" s="117"/>
      <c r="B970" s="117"/>
    </row>
    <row r="971" ht="15.75" customHeight="1">
      <c r="A971" s="117"/>
      <c r="B971" s="117"/>
    </row>
    <row r="972" ht="15.75" customHeight="1">
      <c r="A972" s="117"/>
      <c r="B972" s="117"/>
    </row>
    <row r="973" ht="15.75" customHeight="1">
      <c r="A973" s="117"/>
      <c r="B973" s="117"/>
    </row>
    <row r="974" ht="15.75" customHeight="1">
      <c r="A974" s="117"/>
      <c r="B974" s="117"/>
    </row>
    <row r="975" ht="15.75" customHeight="1">
      <c r="A975" s="117"/>
      <c r="B975" s="117"/>
    </row>
    <row r="976" ht="15.75" customHeight="1">
      <c r="A976" s="117"/>
      <c r="B976" s="117"/>
    </row>
    <row r="977" ht="15.75" customHeight="1">
      <c r="A977" s="117"/>
      <c r="B977" s="117"/>
    </row>
    <row r="978" ht="15.75" customHeight="1">
      <c r="A978" s="117"/>
      <c r="B978" s="117"/>
    </row>
    <row r="979" ht="15.75" customHeight="1">
      <c r="A979" s="117"/>
      <c r="B979" s="117"/>
    </row>
    <row r="980" ht="15.75" customHeight="1">
      <c r="A980" s="117"/>
      <c r="B980" s="117"/>
    </row>
    <row r="981" ht="15.75" customHeight="1">
      <c r="A981" s="117"/>
      <c r="B981" s="117"/>
    </row>
    <row r="982" ht="15.75" customHeight="1">
      <c r="A982" s="117"/>
      <c r="B982" s="117"/>
    </row>
    <row r="983" ht="15.75" customHeight="1">
      <c r="A983" s="117"/>
      <c r="B983" s="117"/>
    </row>
    <row r="984" ht="15.75" customHeight="1">
      <c r="A984" s="117"/>
      <c r="B984" s="117"/>
    </row>
    <row r="985" ht="15.75" customHeight="1">
      <c r="A985" s="117"/>
      <c r="B985" s="117"/>
    </row>
    <row r="986" ht="15.75" customHeight="1">
      <c r="A986" s="117"/>
      <c r="B986" s="117"/>
    </row>
    <row r="987" ht="15.75" customHeight="1">
      <c r="A987" s="117"/>
      <c r="B987" s="117"/>
    </row>
    <row r="988" ht="15.75" customHeight="1">
      <c r="A988" s="117"/>
      <c r="B988" s="117"/>
    </row>
    <row r="989" ht="15.75" customHeight="1">
      <c r="A989" s="117"/>
      <c r="B989" s="117"/>
    </row>
    <row r="990" ht="15.75" customHeight="1">
      <c r="A990" s="117"/>
      <c r="B990" s="117"/>
    </row>
    <row r="991" ht="15.75" customHeight="1">
      <c r="A991" s="117"/>
      <c r="B991" s="117"/>
    </row>
    <row r="992" ht="15.75" customHeight="1">
      <c r="A992" s="117"/>
      <c r="B992" s="117"/>
    </row>
    <row r="993" ht="15.75" customHeight="1">
      <c r="A993" s="117"/>
      <c r="B993" s="117"/>
    </row>
    <row r="994" ht="15.75" customHeight="1">
      <c r="A994" s="117"/>
      <c r="B994" s="117"/>
    </row>
    <row r="995" ht="15.75" customHeight="1">
      <c r="A995" s="117"/>
      <c r="B995" s="117"/>
    </row>
    <row r="996" ht="15.75" customHeight="1">
      <c r="A996" s="117"/>
      <c r="B996" s="117"/>
    </row>
    <row r="997" ht="15.75" customHeight="1">
      <c r="A997" s="117"/>
      <c r="B997" s="117"/>
    </row>
    <row r="998" ht="15.75" customHeight="1">
      <c r="A998" s="117"/>
      <c r="B998" s="117"/>
    </row>
    <row r="999" ht="15.75" customHeight="1">
      <c r="A999" s="117"/>
      <c r="B999" s="117"/>
    </row>
    <row r="1000" ht="15.75" customHeight="1">
      <c r="A1000" s="117"/>
      <c r="B1000" s="117"/>
    </row>
  </sheetData>
  <mergeCells count="1">
    <mergeCell ref="A10:A11"/>
  </mergeCell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12.63"/>
    <col customWidth="1" min="3" max="3" width="11.75"/>
    <col customWidth="1" min="4" max="5" width="11.63"/>
    <col customWidth="1" min="6" max="6" width="10.88"/>
    <col customWidth="1" min="7" max="7" width="13.38"/>
    <col customWidth="1" min="8" max="8" width="12.38"/>
    <col customWidth="1" min="9" max="9" width="9.13"/>
    <col customWidth="1" min="10" max="26" width="8.63"/>
  </cols>
  <sheetData>
    <row r="1">
      <c r="A1" s="119" t="s">
        <v>1939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 t="s">
        <v>1940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 t="s">
        <v>656</v>
      </c>
      <c r="B3" s="7" t="s">
        <v>739</v>
      </c>
      <c r="C3" s="7" t="s">
        <v>1941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 t="s">
        <v>1942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1943</v>
      </c>
      <c r="B5" s="7" t="s">
        <v>1944</v>
      </c>
      <c r="C5" s="7">
        <v>1.0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 t="s">
        <v>1945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 t="s">
        <v>1946</v>
      </c>
      <c r="B9" s="7" t="s">
        <v>729</v>
      </c>
      <c r="C9" s="7" t="s">
        <v>1947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 t="s">
        <v>1942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>
        <v>1.0</v>
      </c>
      <c r="B11" s="7">
        <v>1.0</v>
      </c>
      <c r="C11" s="7" t="s">
        <v>731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 t="s">
        <v>1948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 t="s">
        <v>1949</v>
      </c>
      <c r="B15" s="7" t="s">
        <v>20</v>
      </c>
      <c r="C15" s="7" t="s">
        <v>1950</v>
      </c>
      <c r="D15" s="7" t="s">
        <v>1951</v>
      </c>
      <c r="E15" s="7" t="s">
        <v>1952</v>
      </c>
      <c r="F15" s="7" t="s">
        <v>1953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>
        <v>1.0</v>
      </c>
      <c r="B16" s="7" t="s">
        <v>9</v>
      </c>
      <c r="C16" s="59">
        <v>43101.0</v>
      </c>
      <c r="D16" s="59">
        <v>44197.0</v>
      </c>
      <c r="E16" s="7" t="s">
        <v>1954</v>
      </c>
      <c r="F16" s="7">
        <v>0.0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>
        <v>2.0</v>
      </c>
      <c r="B17" s="7" t="s">
        <v>7</v>
      </c>
      <c r="C17" s="59">
        <v>44927.0</v>
      </c>
      <c r="D17" s="59">
        <v>45727.0</v>
      </c>
      <c r="E17" s="7" t="s">
        <v>1954</v>
      </c>
      <c r="F17" s="7">
        <v>0.0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>
        <v>3.0</v>
      </c>
      <c r="B18" s="7" t="s">
        <v>10</v>
      </c>
      <c r="C18" s="59">
        <v>45717.0</v>
      </c>
      <c r="D18" s="59" t="s">
        <v>1955</v>
      </c>
      <c r="E18" s="7" t="s">
        <v>1956</v>
      </c>
      <c r="F18" s="7">
        <v>1.0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>
        <v>0.0</v>
      </c>
      <c r="B19" s="7" t="s">
        <v>1955</v>
      </c>
      <c r="C19" s="59"/>
      <c r="D19" s="59"/>
      <c r="E19" s="7" t="s">
        <v>1957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59"/>
      <c r="D20" s="59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 t="s">
        <v>1958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 t="s">
        <v>853</v>
      </c>
      <c r="B23" s="7" t="s">
        <v>136</v>
      </c>
      <c r="C23" s="7" t="s">
        <v>631</v>
      </c>
      <c r="D23" s="7" t="s">
        <v>632</v>
      </c>
      <c r="E23" s="7" t="s">
        <v>15</v>
      </c>
      <c r="F23" s="7" t="s">
        <v>103</v>
      </c>
      <c r="G23" s="7" t="s">
        <v>20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 t="s">
        <v>1942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 t="s">
        <v>1959</v>
      </c>
      <c r="B27" s="7"/>
      <c r="C27" s="7" t="s">
        <v>1960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 t="s">
        <v>1961</v>
      </c>
      <c r="B28" s="7" t="s">
        <v>656</v>
      </c>
      <c r="C28" s="7" t="s">
        <v>1946</v>
      </c>
      <c r="D28" s="7" t="s">
        <v>1952</v>
      </c>
      <c r="E28" s="7" t="s">
        <v>1962</v>
      </c>
      <c r="F28" s="7" t="s">
        <v>1963</v>
      </c>
      <c r="G28" s="7" t="s">
        <v>1964</v>
      </c>
      <c r="H28" s="7" t="s">
        <v>1965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 t="s">
        <v>1942</v>
      </c>
      <c r="B29" s="7" t="s">
        <v>1966</v>
      </c>
      <c r="C29" s="7" t="s">
        <v>1966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 t="s">
        <v>1967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 t="s">
        <v>1968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 t="s">
        <v>846</v>
      </c>
      <c r="B36" s="7" t="s">
        <v>656</v>
      </c>
      <c r="C36" s="7" t="s">
        <v>853</v>
      </c>
      <c r="D36" s="7" t="s">
        <v>1946</v>
      </c>
      <c r="E36" s="7" t="s">
        <v>1969</v>
      </c>
      <c r="F36" s="7" t="s">
        <v>1963</v>
      </c>
      <c r="G36" s="7" t="s">
        <v>1970</v>
      </c>
      <c r="H36" s="7" t="s">
        <v>1971</v>
      </c>
      <c r="I36" s="7" t="s">
        <v>1972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</worksheet>
</file>